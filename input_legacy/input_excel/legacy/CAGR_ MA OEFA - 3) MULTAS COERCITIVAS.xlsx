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IC_TABLAS" sheetId="1" r:id="rId5"/>
    <sheet state="hidden" name="DIC_VARIABLES" sheetId="2" r:id="rId6"/>
    <sheet state="visible" name="1) Multas coercitivas" sheetId="3" r:id="rId7"/>
    <sheet state="visible" name="2) Etapas" sheetId="4" r:id="rId8"/>
    <sheet state="hidden" name="PARAMETROS" sheetId="5" r:id="rId9"/>
    <sheet state="hidden" name="MA_INDIVIDUALES" sheetId="6" r:id="rId10"/>
    <sheet state="hidden" name="Equipo" sheetId="7" r:id="rId11"/>
  </sheets>
  <definedNames>
    <definedName name="FERIADOS">PARAMETROS!$A$2:$A$1551</definedName>
    <definedName hidden="1" localSheetId="2" name="_xlnm._FilterDatabase">'1) Multas coercitivas'!$A$2:$AV$172</definedName>
    <definedName hidden="1" localSheetId="3" name="_xlnm._FilterDatabase">'2) Etapas'!$A$1:$J$99</definedName>
    <definedName hidden="1" localSheetId="3" name="Z_9EC9DD5F_F71D_4F8F_8140_C1F02CBDF5B7_.wvu.FilterData">'2) Etapas'!$A$1:$K$8</definedName>
    <definedName hidden="1" localSheetId="3" name="Z_C722D24B_32C5_4E23_8574_7A7B71831F42_.wvu.FilterData">'2) Etapas'!$A$1:$K$8</definedName>
    <definedName hidden="1" localSheetId="3" name="Z_CB60A8E0_82C4_466A_AF09_3B798ABBEA8F_.wvu.FilterData">'2) Etapas'!$A$1:$K$8</definedName>
    <definedName hidden="1" localSheetId="3" name="Z_9589F337_F154_4765_A546_B88859D0B7EA_.wvu.FilterData">'2) Etapas'!$A$1:$K$8</definedName>
    <definedName hidden="1" localSheetId="3" name="Z_0F775C1A_2B6B_42C0_9142_0889D70FD6AC_.wvu.FilterData">'2) Etapas'!$A$1:$K$8</definedName>
    <definedName hidden="1" localSheetId="3" name="Z_B85F7DFC_BF79_4C0C_B97A_991A15E6741B_.wvu.FilterData">'2) Etapas'!$A$1:$K$8</definedName>
    <definedName hidden="1" localSheetId="3" name="Z_1040A414_DC1C_42EF_8F5E_E5D432928D90_.wvu.FilterData">'2) Etapas'!$A$1:$K$8</definedName>
    <definedName hidden="1" localSheetId="3" name="Z_6F1C5073_763D_4AAD_8A2E_A37DA839D014_.wvu.FilterData">'2) Etapas'!$A$1:$K$8</definedName>
    <definedName hidden="1" localSheetId="3" name="Z_3A236F02_AC29_4F27_A47C_308DDFDE584B_.wvu.FilterData">'2) Etapas'!$A$1:$K$8</definedName>
    <definedName hidden="1" localSheetId="3" name="Z_A9DEB9CB_2C8B_4BA2_925D_91D676755513_.wvu.FilterData">'2) Etapas'!$A$1:$K$9</definedName>
    <definedName hidden="1" localSheetId="3" name="Z_9520C0C3_37AB_433E_ABC9_23BD8E1662B9_.wvu.FilterData">'2) Etapas'!$A$1:$K$8</definedName>
    <definedName hidden="1" localSheetId="3" name="Z_9260C663_4564_4A92_A38B_0852123E355E_.wvu.FilterData">'2) Etapas'!$A$1:$K$8</definedName>
    <definedName hidden="1" localSheetId="3" name="Z_4E383481_2CD7_4997_8549_8804B3766B15_.wvu.FilterData">'2) Etapas'!$A$1:$K$8</definedName>
    <definedName hidden="1" localSheetId="3" name="Z_67E0C31B_51B8_4B98_AFD1_D44B7EB5A5E6_.wvu.FilterData">'2) Etapas'!$A$1:$K$8</definedName>
    <definedName hidden="1" localSheetId="3" name="Z_3A9A9343_6A7A_496C_8252_2617C1ECA26E_.wvu.FilterData">'2) Etapas'!$A$1:$K$8</definedName>
    <definedName hidden="1" localSheetId="3" name="Z_FE249A66_A136_44AC_B540_B04B8D284251_.wvu.FilterData">'2) Etapas'!$A$1:$K$8</definedName>
    <definedName hidden="1" localSheetId="3" name="Z_F84F9888_17BB_45DD_9A84_1B337BF940EC_.wvu.FilterData">'2) Etapas'!$A$1:$K$8</definedName>
    <definedName hidden="1" localSheetId="3" name="Z_FF8C140B_42B4_4DCD_9311_D00A2772C93B_.wvu.FilterData">'2) Etapas'!$A$1:$K$8</definedName>
    <definedName hidden="1" localSheetId="3" name="Z_2F1E8D0E_F6C1_4DBF_8F0A_069495DFD063_.wvu.FilterData">'2) Etapas'!$A$1:$K$911</definedName>
    <definedName hidden="1" localSheetId="3" name="Z_E157A347_D657_4E09_9A22_791CD6436665_.wvu.FilterData">'2) Etapas'!$A$1:$K$8</definedName>
    <definedName hidden="1" localSheetId="3" name="Z_97CFEDFC_6CCF_4A83_B38C_0FAFEBE4FFA6_.wvu.FilterData">'2) Etapas'!$A$1:$K$8</definedName>
    <definedName hidden="1" localSheetId="3" name="Z_198C4933_D23F_4153_9337_08F3CD6DB21A_.wvu.FilterData">'2) Etapas'!$A$1:$K$8</definedName>
    <definedName hidden="1" localSheetId="3" name="Z_FD50DABA_5B6F_4936_B067_8DDED246406E_.wvu.FilterData">'2) Etapas'!$A$1:$K$8</definedName>
  </definedNames>
  <calcPr/>
  <customWorkbookViews>
    <customWorkbookView activeSheetId="0" maximized="1" windowHeight="0" windowWidth="0" guid="{9EC9DD5F-F71D-4F8F-8140-C1F02CBDF5B7}" name="Filtro 4"/>
    <customWorkbookView activeSheetId="0" maximized="1" windowHeight="0" windowWidth="0" guid="{C722D24B-32C5-4E23-8574-7A7B71831F42}" name="Filtro 12"/>
    <customWorkbookView activeSheetId="0" maximized="1" windowHeight="0" windowWidth="0" guid="{CB60A8E0-82C4-466A-AF09-3B798ABBEA8F}" name="Filtro 9"/>
    <customWorkbookView activeSheetId="0" maximized="1" windowHeight="0" windowWidth="0" guid="{9589F337-F154-4765-A546-B88859D0B7EA}" name="Filtro 14"/>
    <customWorkbookView activeSheetId="0" maximized="1" windowHeight="0" windowWidth="0" guid="{0F775C1A-2B6B-42C0-9142-0889D70FD6AC}" name="Filtro 23"/>
    <customWorkbookView activeSheetId="0" maximized="1" windowHeight="0" windowWidth="0" guid="{B85F7DFC-BF79-4C0C-B97A-991A15E6741B}" name="Filtro 10"/>
    <customWorkbookView activeSheetId="0" maximized="1" windowHeight="0" windowWidth="0" guid="{1040A414-DC1C-42EF-8F5E-E5D432928D90}" name="Filtro 2"/>
    <customWorkbookView activeSheetId="0" maximized="1" windowHeight="0" windowWidth="0" guid="{6F1C5073-763D-4AAD-8A2E-A37DA839D014}" name="Filtro 3"/>
    <customWorkbookView activeSheetId="0" maximized="1" windowHeight="0" windowWidth="0" guid="{3A236F02-AC29-4F27-A47C-308DDFDE584B}" name="Filtro 7"/>
    <customWorkbookView activeSheetId="0" maximized="1" windowHeight="0" windowWidth="0" guid="{A9DEB9CB-2C8B-4BA2-925D-91D676755513}" name="Filtro 13"/>
    <customWorkbookView activeSheetId="0" maximized="1" windowHeight="0" windowWidth="0" guid="{9520C0C3-37AB-433E-ABC9-23BD8E1662B9}" name="Filtro 19"/>
    <customWorkbookView activeSheetId="0" maximized="1" windowHeight="0" windowWidth="0" guid="{9260C663-4564-4A92-A38B-0852123E355E}" name="Filtro 5"/>
    <customWorkbookView activeSheetId="0" maximized="1" windowHeight="0" windowWidth="0" guid="{4E383481-2CD7-4997-8549-8804B3766B15}" name="Filtro 16"/>
    <customWorkbookView activeSheetId="0" maximized="1" windowHeight="0" windowWidth="0" guid="{67E0C31B-51B8-4B98-AFD1-D44B7EB5A5E6}" name="Filtro 21"/>
    <customWorkbookView activeSheetId="0" maximized="1" windowHeight="0" windowWidth="0" guid="{3A9A9343-6A7A-496C-8252-2617C1ECA26E}" name="Filtro 22"/>
    <customWorkbookView activeSheetId="0" maximized="1" windowHeight="0" windowWidth="0" guid="{FE249A66-A136-44AC-B540-B04B8D284251}" name="Filtro 20"/>
    <customWorkbookView activeSheetId="0" maximized="1" windowHeight="0" windowWidth="0" guid="{F84F9888-17BB-45DD-9A84-1B337BF940EC}" name="Filtro 11"/>
    <customWorkbookView activeSheetId="0" maximized="1" windowHeight="0" windowWidth="0" guid="{FF8C140B-42B4-4DCD-9311-D00A2772C93B}" name="Filtro 17"/>
    <customWorkbookView activeSheetId="0" maximized="1" windowHeight="0" windowWidth="0" guid="{2F1E8D0E-F6C1-4DBF-8F0A-069495DFD063}" name="Filtro 8"/>
    <customWorkbookView activeSheetId="0" maximized="1" windowHeight="0" windowWidth="0" guid="{E157A347-D657-4E09-9A22-791CD6436665}" name="Filtro 6"/>
    <customWorkbookView activeSheetId="0" maximized="1" windowHeight="0" windowWidth="0" guid="{97CFEDFC-6CCF-4A83-B38C-0FAFEBE4FFA6}" name="Filtro 1"/>
    <customWorkbookView activeSheetId="0" maximized="1" windowHeight="0" windowWidth="0" guid="{198C4933-D23F-4153-9337-08F3CD6DB21A}" name="Filtro 18"/>
    <customWorkbookView activeSheetId="0" maximized="1" windowHeight="0" windowWidth="0" guid="{FD50DABA-5B6F-4936-B067-8DDED246406E}" name="Filtro 15"/>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N2">
      <text>
        <t xml:space="preserve">NOMENCLATURA:
XXXX-20XX-OEFA/DSXX</t>
      </text>
    </comment>
    <comment authorId="0" ref="I2">
      <text>
        <t xml:space="preserve">NOMENCLATURA:
XXXX-20XX-DXXX-CXXX</t>
      </text>
    </comment>
    <comment authorId="0" ref="I1">
      <text>
        <t xml:space="preserve">Dada la última modificatoria en el Reglamento de Supervisión (Artículo 36 de la Resolución Nº 16-2021-OEFA/CD) se omite el Informe de Supervisión como medio de verificación de un incumplimiento otorgando la facultad a las DS de notificar directamente las cartas que solicitan los descargos.</t>
      </text>
    </comment>
    <comment authorId="0" ref="AA2">
      <text>
        <t xml:space="preserve">NOMENCLATURA:
XXXX-20XX-DXXX-CXXX</t>
      </text>
    </comment>
    <comment authorId="0" ref="AB2">
      <text>
        <t xml:space="preserve">XXXX-20XX-OEFA/DSXX</t>
      </text>
    </comment>
  </commentList>
</comments>
</file>

<file path=xl/sharedStrings.xml><?xml version="1.0" encoding="utf-8"?>
<sst xmlns="http://schemas.openxmlformats.org/spreadsheetml/2006/main" count="571" uniqueCount="246">
  <si>
    <t>DATASET</t>
  </si>
  <si>
    <t>CÓDIGOS</t>
  </si>
  <si>
    <t>CÓDIGO DE PROYECTO DE MULTA COERCITIVA</t>
  </si>
  <si>
    <t>SECCION</t>
  </si>
  <si>
    <t>CAMPO EN BD</t>
  </si>
  <si>
    <t>CODIGO CAMPO</t>
  </si>
  <si>
    <t>DESCRIPCION / INSTRUCCIONES</t>
  </si>
  <si>
    <t>CAMPO NO PUBLICABLE</t>
  </si>
  <si>
    <t>NO PUBLICABLE PERO NECESARIO (CSEP)</t>
  </si>
  <si>
    <t>NRO DE ETAPA</t>
  </si>
  <si>
    <t>VARIABLES DE LLENADO MINIMO</t>
  </si>
  <si>
    <t>DESCRIPCION</t>
  </si>
  <si>
    <t>PERFIL DE ENCARGADO</t>
  </si>
  <si>
    <t>TIPO DE VARIABLE</t>
  </si>
  <si>
    <t>ACCIÓN</t>
  </si>
  <si>
    <t>ESTADO</t>
  </si>
  <si>
    <t xml:space="preserve">ENCARGADO </t>
  </si>
  <si>
    <t>FECHA DE ASIGNACIÓN</t>
  </si>
  <si>
    <t>ESTADO DE LA ETAPA</t>
  </si>
  <si>
    <t>CONFORMIDAD</t>
  </si>
  <si>
    <t>INFORMACIÓN GENERAL</t>
  </si>
  <si>
    <t xml:space="preserve">FECHA DE ENTREGA O DEVOLUCIÓN </t>
  </si>
  <si>
    <t>TIEMPO DE ELABORACIÓN</t>
  </si>
  <si>
    <t>COD ETAPA</t>
  </si>
  <si>
    <t>AUX FINALIZADO</t>
  </si>
  <si>
    <t>ETAPA DE DESCARGOS</t>
  </si>
  <si>
    <t>COD_PROY_MC</t>
  </si>
  <si>
    <t>ETAPA ANÁLISIS DE DESCARGOS</t>
  </si>
  <si>
    <t>NRO_ETAPA_MC</t>
  </si>
  <si>
    <t>RESULTADO DEL PROYECTO</t>
  </si>
  <si>
    <t>ETAPAS DE REGISTRO DE LA MC</t>
  </si>
  <si>
    <t>IMPOSICIÓN DE MULTA COERCITIVA</t>
  </si>
  <si>
    <t>PERF_ENCARG_MC</t>
  </si>
  <si>
    <t>ACCION_MC</t>
  </si>
  <si>
    <t>ENCARGADO_MC</t>
  </si>
  <si>
    <t>SEGUIMIENTO DE MULTA</t>
  </si>
  <si>
    <t>F_ASIG_MC</t>
  </si>
  <si>
    <t>EST_ETAPA_MC</t>
  </si>
  <si>
    <t>CONFORMIDAD_MC</t>
  </si>
  <si>
    <t>F_ENT_DEV_MC</t>
  </si>
  <si>
    <t>T_ELAB_MC</t>
  </si>
  <si>
    <t>COBRANZA</t>
  </si>
  <si>
    <t>COD_ETAPA_MC</t>
  </si>
  <si>
    <t>AUX_FIN_MC</t>
  </si>
  <si>
    <t>AUXILIARES</t>
  </si>
  <si>
    <t>MULTA COERCITIVA - 1/CAGR</t>
  </si>
  <si>
    <t>CÓDIGO DE LA MEDIDA ADMINISTRATIVA</t>
  </si>
  <si>
    <t>JEFE DE EQUIPO RESPONSABLE</t>
  </si>
  <si>
    <t xml:space="preserve">ETAPAS DE REGISTRO DEL PROYECTO </t>
  </si>
  <si>
    <t>N° DE PROYECTO</t>
  </si>
  <si>
    <t>COORDINACIÓN</t>
  </si>
  <si>
    <t>ADMINISTRADO</t>
  </si>
  <si>
    <t>UNIDAD FISCALIZABLE</t>
  </si>
  <si>
    <t>EXPEDIENTE CON EL INFORME DE DECLARACIÓN DEL INCUMPLIMIENTO</t>
  </si>
  <si>
    <t>N° DE CARTA QUE REQUIERE DESCARGOS</t>
  </si>
  <si>
    <t>FECHA DE NOTIFICACIÓN</t>
  </si>
  <si>
    <t>FECHA DE VENCIMIENTO</t>
  </si>
  <si>
    <t>¿PRESENTÓ DESCARGOS EL ADMINISTRADO?</t>
  </si>
  <si>
    <t>FECHA DE RESPUESTA DEL ADMINISTRADO</t>
  </si>
  <si>
    <t>DOCUMENTO SIGED</t>
  </si>
  <si>
    <t>ESTADO DE DESCARGOS</t>
  </si>
  <si>
    <t>FECHA DE INICIO DE ANÁLISIS</t>
  </si>
  <si>
    <t>¿REQUIERE VERIFICACIÓN EN CAMPO?</t>
  </si>
  <si>
    <t>ELABORACION DE PROYECTO</t>
  </si>
  <si>
    <t>FECHA DE VERIFICACIÓN EN CAMPO</t>
  </si>
  <si>
    <t>FECHA FIN DE ANÁLISIS</t>
  </si>
  <si>
    <t>¿AMERITA MULTA?</t>
  </si>
  <si>
    <t>ASCON, ALEX</t>
  </si>
  <si>
    <t>N° DE DOCUMENTO EN EL QUE SE INDICA QUE NO AMERITA</t>
  </si>
  <si>
    <t>FECHA DOCUMENTO EN EL QUE SE INDICA QUE NO AMERITA MULTA</t>
  </si>
  <si>
    <t xml:space="preserve">MOTIVO POR EL CUAL NO AMERITA MULTA COERCITIVA </t>
  </si>
  <si>
    <r>
      <rPr>
        <rFont val="Calibri"/>
        <b/>
        <color theme="0"/>
        <sz val="8.0"/>
      </rPr>
      <t xml:space="preserve">ETAPAS DE REGISTRO DE </t>
    </r>
    <r>
      <rPr>
        <rFont val="Calibri"/>
        <b/>
        <color theme="0"/>
        <sz val="8.0"/>
      </rPr>
      <t>LA MC</t>
    </r>
  </si>
  <si>
    <t>EXPEDIENTE CON LA RESOLUCIÓN DE MC</t>
  </si>
  <si>
    <t>N° DE RESOLUCIÓN DE MC</t>
  </si>
  <si>
    <t>FECHA DE FIRMA DE RESOLUCIÓN DE MC</t>
  </si>
  <si>
    <t>FECHA DE NOTIFICACIÓN DE RESOLUCIÓN DE MC</t>
  </si>
  <si>
    <t>FECHA DE VENCIMIENTO DE MULTA</t>
  </si>
  <si>
    <t>NO APLICA</t>
  </si>
  <si>
    <t>MULTA EN UIT</t>
  </si>
  <si>
    <t>MULTA EN SOLES</t>
  </si>
  <si>
    <t>RECORDATORIO NUEVO SEGUIMIENTO (POST MULTA COERCITIVA)</t>
  </si>
  <si>
    <t>FECHA DE VERIFICACIÓN POST MULTA COERCITIVA</t>
  </si>
  <si>
    <t>DOCUMENTO DE VERIFICACIÓN DE MULTA</t>
  </si>
  <si>
    <t>EXPEDIENTE SIGED DEL DOCUMENTO</t>
  </si>
  <si>
    <t>ESTADO DE LA MULTA</t>
  </si>
  <si>
    <t>FECHA DE PAGO</t>
  </si>
  <si>
    <t>MEMORANDO DE TRASLADO A EJECUCIÓN FORZOSA</t>
  </si>
  <si>
    <t>FECHA DE REMISIÓN DEL MEMORANDO</t>
  </si>
  <si>
    <t>SIGED</t>
  </si>
  <si>
    <t>ESTADO DEL PAGO DE LA MULTA</t>
  </si>
  <si>
    <t>CÓDIGO DE LA MEDIDA ADMINISTRATIVA AUX</t>
  </si>
  <si>
    <t>ESTADO AUX DE MULTA COERCITIVA</t>
  </si>
  <si>
    <t>ÚLTIMA RESOLUCIÓN DE MULTA COERCITIVA</t>
  </si>
  <si>
    <t>FECHA DE NOTIFICACIÓN DE LA ÚLTIMA RESOLUCIÓN DE MULTA COERCITIVA</t>
  </si>
  <si>
    <t>COD_MA</t>
  </si>
  <si>
    <t>JEFE</t>
  </si>
  <si>
    <t>ETA_REG_PROY_MC</t>
  </si>
  <si>
    <t>N_PROY_MC</t>
  </si>
  <si>
    <t>COORD</t>
  </si>
  <si>
    <t>ADM</t>
  </si>
  <si>
    <t>UF</t>
  </si>
  <si>
    <t>EXP_INF_INCUMP</t>
  </si>
  <si>
    <t>N_CARTA_DCG</t>
  </si>
  <si>
    <t>FN_MC</t>
  </si>
  <si>
    <t>F_VENC_DCG</t>
  </si>
  <si>
    <t>PRESENT_DCG_ADM</t>
  </si>
  <si>
    <t>F_RPTA_ADM</t>
  </si>
  <si>
    <t>DOC_SIGED</t>
  </si>
  <si>
    <t>EST_DCG</t>
  </si>
  <si>
    <t>F_INIC_ANALISIS</t>
  </si>
  <si>
    <t>REQ_VERIF_CAMPO</t>
  </si>
  <si>
    <t>REVISION</t>
  </si>
  <si>
    <t>F_VERIF_CAMPO</t>
  </si>
  <si>
    <t>F_FIN_ANALISIS</t>
  </si>
  <si>
    <t>AMERIT_MC</t>
  </si>
  <si>
    <t>LAVERIANO, BETSABE</t>
  </si>
  <si>
    <t>N_DOC_NO_AMERIT</t>
  </si>
  <si>
    <t>F_DOC_NO_AMERIT</t>
  </si>
  <si>
    <t>MOTIVO_NO_AMERIT</t>
  </si>
  <si>
    <t>RESULT_PROY_MC</t>
  </si>
  <si>
    <t>ETA_REG_MC</t>
  </si>
  <si>
    <t>EXP_RES_MC</t>
  </si>
  <si>
    <t>N_RES_MC</t>
  </si>
  <si>
    <t>CONFORME (SIN CORRECIONES)</t>
  </si>
  <si>
    <t>F_FIRMA_RES_MC</t>
  </si>
  <si>
    <t>FN_RES_MC</t>
  </si>
  <si>
    <t>F_VENC_MC</t>
  </si>
  <si>
    <t>MULTA_UIT</t>
  </si>
  <si>
    <t>MULTA_S</t>
  </si>
  <si>
    <t>RECORD_SEG</t>
  </si>
  <si>
    <t>F_VERIF_POST_MC</t>
  </si>
  <si>
    <t>DOC_VERIF_MC</t>
  </si>
  <si>
    <t>EXP_SIGED_DOC</t>
  </si>
  <si>
    <t>ESTADO_MC</t>
  </si>
  <si>
    <t>F_PAGO</t>
  </si>
  <si>
    <t>MEMO_EF</t>
  </si>
  <si>
    <t>F_REMIS</t>
  </si>
  <si>
    <t>ESTADO_PAGO_MC</t>
  </si>
  <si>
    <t>AUX_COD_MA</t>
  </si>
  <si>
    <t>AUX_EST_MC</t>
  </si>
  <si>
    <t>URESOL_MC</t>
  </si>
  <si>
    <t>FN_URESOL_MC</t>
  </si>
  <si>
    <t>0136-2021-0012-2022-1-CAGR</t>
  </si>
  <si>
    <t>CALCULO</t>
  </si>
  <si>
    <t>SEERANO, CRISTIAN</t>
  </si>
  <si>
    <t>PEÑA, AGUSTÍN</t>
  </si>
  <si>
    <t>FIRMA</t>
  </si>
  <si>
    <t>DSAP</t>
  </si>
  <si>
    <t>MULTA COERCITIVA - 2/CAGR</t>
  </si>
  <si>
    <t>0237-2022-DSAP-CAGR</t>
  </si>
  <si>
    <t>0240-2023-OEFA/DSAP</t>
  </si>
  <si>
    <t>NO</t>
  </si>
  <si>
    <t>SI</t>
  </si>
  <si>
    <t>0018-2023-OEFA/DSAP</t>
  </si>
  <si>
    <t>INCUMPLIDO</t>
  </si>
  <si>
    <t>0689-2023-OEFA/DSAP</t>
  </si>
  <si>
    <t>2023-I01-012453</t>
  </si>
  <si>
    <t>MULTA COERCITIVA - 3/CAGR</t>
  </si>
  <si>
    <t>Orlando Palomino</t>
  </si>
  <si>
    <t>0016-2022-ACTA 0002-1-CAGR</t>
  </si>
  <si>
    <t xml:space="preserve">REVISION </t>
  </si>
  <si>
    <t>0011-2023-DSAP-CAGR</t>
  </si>
  <si>
    <t>0498-2023-OEFA/DSAP</t>
  </si>
  <si>
    <t>Eduardo Borda</t>
  </si>
  <si>
    <t>0126-2023-OEFA/DSAP</t>
  </si>
  <si>
    <t>MULTA COERCITIVA - 4/CAGR</t>
  </si>
  <si>
    <t>1421-2023-OEFA/DSAP</t>
  </si>
  <si>
    <t>2023-I01-025671</t>
  </si>
  <si>
    <t>0016-2022-ACTA 0002-2-CAGR</t>
  </si>
  <si>
    <t>BORDA, EDUARDO</t>
  </si>
  <si>
    <t>MULTA COERCITIVA - 5/CAGR</t>
  </si>
  <si>
    <t>POLO, JOSELYNE</t>
  </si>
  <si>
    <t>0184-2022-0117-2023-1-CAGR</t>
  </si>
  <si>
    <t>0085-2023-DSAP-CAGR</t>
  </si>
  <si>
    <t>1021-2023-OEFA/DSAP</t>
  </si>
  <si>
    <t>0132-2023-OEFA/DSAP</t>
  </si>
  <si>
    <t>MULTA COERCITIVA - 6/CAGR</t>
  </si>
  <si>
    <t>CORDOVA, EDWIN</t>
  </si>
  <si>
    <t>1810-2023-OEFA/DSAP</t>
  </si>
  <si>
    <t>2023-I01-032037</t>
  </si>
  <si>
    <t>0101-2021-0008-2022-1-CAGR</t>
  </si>
  <si>
    <t>RIMACHI, LUIS</t>
  </si>
  <si>
    <t>0101-2021-DSAP-CAGR</t>
  </si>
  <si>
    <t>0565-2023-OEFA/DSAP</t>
  </si>
  <si>
    <t>0133-2023-OEFA/DSAP</t>
  </si>
  <si>
    <t>MULTA COERCITIVA - 7/CAGR</t>
  </si>
  <si>
    <t>MONTELLANOS, PAMELA</t>
  </si>
  <si>
    <t>0223-2022-ACTA 0003-1-CAGR</t>
  </si>
  <si>
    <t>0223-2022-DSAP-CAGR</t>
  </si>
  <si>
    <t>0316-2023-OEFA/DSAP</t>
  </si>
  <si>
    <t>0134-2023-OEFA/DSAP</t>
  </si>
  <si>
    <t>MULTA COERCITIVA - 8/CAGR</t>
  </si>
  <si>
    <t>0223-2022-ACTA 0003-3-CAGR</t>
  </si>
  <si>
    <t>CORCUERA, ALDO</t>
  </si>
  <si>
    <t>MULTA COERCITIVA - 9/CAGR</t>
  </si>
  <si>
    <t>0040-2023-0149-2023-1-CAGR</t>
  </si>
  <si>
    <t>0150-2024-DSAP-CAGR</t>
  </si>
  <si>
    <t>1723-2024-OEFA/DSAP</t>
  </si>
  <si>
    <t>0008-2025-OEFA/DSAP</t>
  </si>
  <si>
    <t>MULTA COERCITIVA - 10/CAGR</t>
  </si>
  <si>
    <t>0754-2025-OEFA/DSAP</t>
  </si>
  <si>
    <t>2025-I01-012041</t>
  </si>
  <si>
    <t>ENCARNACION, JHOYMA</t>
  </si>
  <si>
    <t xml:space="preserve">0233-2024-DSAP-CAGR
</t>
  </si>
  <si>
    <t>0103-2025-OEFA/DSAP</t>
  </si>
  <si>
    <t>2025-E01-053756</t>
  </si>
  <si>
    <t>0233-2024-DSAP-CAGR</t>
  </si>
  <si>
    <t>0022-2025-OEFA/DSAP</t>
  </si>
  <si>
    <t>MULTA COERCITIVA - 11/CAGR</t>
  </si>
  <si>
    <t>ARAUJO, LAYNN</t>
  </si>
  <si>
    <t>2558-2025-OEFA/DSAP</t>
  </si>
  <si>
    <t>2025-I01-040793</t>
  </si>
  <si>
    <t>LLUEN, VICTOR</t>
  </si>
  <si>
    <t>0184-2024-0019-2025-1-CAGR</t>
  </si>
  <si>
    <t>0180-2025-DSAP-CAGR</t>
  </si>
  <si>
    <t>1664-2025-OEFA/DSAP</t>
  </si>
  <si>
    <t>0004-2026-OEFA/DSAP</t>
  </si>
  <si>
    <t>00337-2026-OEFA/DSAP</t>
  </si>
  <si>
    <t>2026-I01-006274</t>
  </si>
  <si>
    <t>0218-2024-DSAP-CAGR</t>
  </si>
  <si>
    <t>00078-2025-OEFA/DSAP</t>
  </si>
  <si>
    <t>00009-2026-OEFA/DSAP</t>
  </si>
  <si>
    <t>0223-2022-ACTA 0003-2-CAGR</t>
  </si>
  <si>
    <t>0033-2024-0037-2025-1-CAGR</t>
  </si>
  <si>
    <t>0033-2024-DSAP-CAGR</t>
  </si>
  <si>
    <t>00041-2026-OEFA/DSAP</t>
  </si>
  <si>
    <t>00010-2026-OEFA/DSAP</t>
  </si>
  <si>
    <t>00850-2026-OEFA/DSAP</t>
  </si>
  <si>
    <t>2026-I01-014643</t>
  </si>
  <si>
    <t>0033-2024-0037-2025-2-CAGR</t>
  </si>
  <si>
    <t>00539-2026-OEFA/DSAP</t>
  </si>
  <si>
    <t>0016-2026-OEFA/DSAP</t>
  </si>
  <si>
    <t>EN EJECUCIÓN</t>
  </si>
  <si>
    <t>PROYECTOS QUE AMERITAN MULTA</t>
  </si>
  <si>
    <t>RESPONSABLE</t>
  </si>
  <si>
    <t>ACTIVO</t>
  </si>
  <si>
    <t>ZAMORA, MOISES</t>
  </si>
  <si>
    <t>PINEDO, DIXON</t>
  </si>
  <si>
    <t>RODRIGUEZ, MARICARMEN</t>
  </si>
  <si>
    <t>RODRIGUEZ, MARIA</t>
  </si>
  <si>
    <t>REQUEJO, SANTISTEBAN</t>
  </si>
  <si>
    <t>AGUIRRE, ALEJANDRA</t>
  </si>
  <si>
    <t>ESPINOZA, JACKELINE</t>
  </si>
  <si>
    <t>GUTIERREZ, PAUL</t>
  </si>
  <si>
    <t>VENEGAS, ANDREA</t>
  </si>
  <si>
    <t>PAICO, EDSON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</si>
</sst>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quot;/&quot;mm&quot;/&quot;yyyy"/>
    <numFmt numFmtId="165" formatCode="0.0000"/>
    <numFmt numFmtId="166" formatCode="#,##0.0000"/>
    <numFmt numFmtId="167" formatCode="dd/mm/yyyy"/>
    <numFmt numFmtId="168" formatCode="d/M/yyyy"/>
  </numFmts>
  <fonts count="12">
    <font>
      <sz val="10.0"/>
      <color rgb="FF000000"/>
      <name val="Arial"/>
      <scheme val="minor"/>
    </font>
    <font>
      <b/>
      <sz val="8.0"/>
      <color rgb="FFFFFFFF"/>
      <name val="Calibri"/>
    </font>
    <font/>
    <font>
      <sz val="8.0"/>
      <color theme="1"/>
      <name val="Calibri"/>
    </font>
    <font>
      <b/>
      <sz val="8.0"/>
      <color theme="0"/>
      <name val="Calibri"/>
    </font>
    <font>
      <sz val="8.0"/>
      <color rgb="FF000000"/>
      <name val="Calibri"/>
    </font>
    <font>
      <b/>
      <sz val="8.0"/>
      <color rgb="FF000000"/>
      <name val="Calibri"/>
    </font>
    <font>
      <sz val="8.0"/>
      <color rgb="FFFFFFFF"/>
      <name val="Calibri"/>
    </font>
    <font>
      <b/>
      <color rgb="FFFFFFFF"/>
      <name val="Arial"/>
      <scheme val="minor"/>
    </font>
    <font>
      <color theme="1"/>
      <name val="Arial"/>
    </font>
    <font>
      <sz val="11.0"/>
      <color theme="1"/>
      <name val="Calibri"/>
    </font>
    <font>
      <color theme="1"/>
      <name val="Arial"/>
      <scheme val="minor"/>
    </font>
  </fonts>
  <fills count="19">
    <fill>
      <patternFill patternType="none"/>
    </fill>
    <fill>
      <patternFill patternType="lightGray"/>
    </fill>
    <fill>
      <patternFill patternType="solid">
        <fgColor rgb="FFFF0000"/>
        <bgColor rgb="FFFF0000"/>
      </patternFill>
    </fill>
    <fill>
      <patternFill patternType="solid">
        <fgColor rgb="FFFBBC04"/>
        <bgColor rgb="FFFBBC04"/>
      </patternFill>
    </fill>
    <fill>
      <patternFill patternType="solid">
        <fgColor rgb="FFFFC000"/>
        <bgColor rgb="FFFFC000"/>
      </patternFill>
    </fill>
    <fill>
      <patternFill patternType="solid">
        <fgColor rgb="FF144AA7"/>
        <bgColor rgb="FF144AA7"/>
      </patternFill>
    </fill>
    <fill>
      <patternFill patternType="solid">
        <fgColor rgb="FF666666"/>
        <bgColor rgb="FF666666"/>
      </patternFill>
    </fill>
    <fill>
      <patternFill patternType="solid">
        <fgColor rgb="FF8CCD3A"/>
        <bgColor rgb="FF8CCD3A"/>
      </patternFill>
    </fill>
    <fill>
      <patternFill patternType="solid">
        <fgColor rgb="FF1D85BF"/>
        <bgColor rgb="FF1D85BF"/>
      </patternFill>
    </fill>
    <fill>
      <patternFill patternType="solid">
        <fgColor rgb="FF3D85C6"/>
        <bgColor rgb="FF3D85C6"/>
      </patternFill>
    </fill>
    <fill>
      <patternFill patternType="solid">
        <fgColor rgb="FF434343"/>
        <bgColor rgb="FF434343"/>
      </patternFill>
    </fill>
    <fill>
      <patternFill patternType="solid">
        <fgColor rgb="FFCCCCCC"/>
        <bgColor rgb="FFCCCCCC"/>
      </patternFill>
    </fill>
    <fill>
      <patternFill patternType="solid">
        <fgColor rgb="FF85200C"/>
        <bgColor rgb="FF85200C"/>
      </patternFill>
    </fill>
    <fill>
      <patternFill patternType="solid">
        <fgColor rgb="FFFFFFFF"/>
        <bgColor rgb="FFFFFFFF"/>
      </patternFill>
    </fill>
    <fill>
      <patternFill patternType="solid">
        <fgColor rgb="FFB7B7B7"/>
        <bgColor rgb="FFB7B7B7"/>
      </patternFill>
    </fill>
    <fill>
      <patternFill patternType="solid">
        <fgColor rgb="FFD9D9D9"/>
        <bgColor rgb="FFD9D9D9"/>
      </patternFill>
    </fill>
    <fill>
      <patternFill patternType="solid">
        <fgColor rgb="FFFFFF00"/>
        <bgColor rgb="FFFFFF00"/>
      </patternFill>
    </fill>
    <fill>
      <patternFill patternType="solid">
        <fgColor theme="0"/>
        <bgColor theme="0"/>
      </patternFill>
    </fill>
    <fill>
      <patternFill patternType="solid">
        <fgColor rgb="FF000000"/>
        <bgColor rgb="FF000000"/>
      </patternFill>
    </fill>
  </fills>
  <borders count="8">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0"/>
    </xf>
    <xf borderId="1" fillId="3" fontId="1" numFmtId="14" xfId="0" applyAlignment="1" applyBorder="1" applyFill="1" applyFont="1" applyNumberFormat="1">
      <alignment horizontal="center" shrinkToFit="0" vertical="center" wrapText="1"/>
    </xf>
    <xf borderId="1" fillId="2" fontId="1" numFmtId="0" xfId="0" applyAlignment="1" applyBorder="1" applyFont="1">
      <alignment horizontal="center" shrinkToFit="0" vertical="center" wrapText="0"/>
    </xf>
    <xf borderId="1" fillId="4" fontId="1" numFmtId="3" xfId="0" applyAlignment="1" applyBorder="1" applyFill="1" applyFont="1" applyNumberFormat="1">
      <alignment horizontal="center" shrinkToFit="0" vertical="center" wrapText="1"/>
    </xf>
    <xf borderId="3" fillId="3" fontId="1" numFmtId="0" xfId="0" applyAlignment="1" applyBorder="1" applyFont="1">
      <alignment horizontal="center" readingOrder="0" shrinkToFit="0" vertical="center" wrapText="1"/>
    </xf>
    <xf borderId="4" fillId="4" fontId="1" numFmtId="0" xfId="0" applyAlignment="1" applyBorder="1" applyFont="1">
      <alignment horizontal="center" shrinkToFit="0" wrapText="1"/>
    </xf>
    <xf borderId="4" fillId="0" fontId="2" numFmtId="0" xfId="0" applyBorder="1" applyFont="1"/>
    <xf borderId="5" fillId="5" fontId="1" numFmtId="0" xfId="0" applyAlignment="1" applyBorder="1" applyFill="1" applyFont="1">
      <alignment horizontal="center" readingOrder="0" shrinkToFit="0" vertical="center" wrapText="1"/>
    </xf>
    <xf borderId="5" fillId="0" fontId="2" numFmtId="0" xfId="0" applyBorder="1" applyFont="1"/>
    <xf borderId="1" fillId="3" fontId="1" numFmtId="164" xfId="0" applyAlignment="1" applyBorder="1" applyFont="1" applyNumberFormat="1">
      <alignment horizontal="center" shrinkToFit="0" vertical="center" wrapText="1"/>
    </xf>
    <xf borderId="1" fillId="0" fontId="3" numFmtId="0" xfId="0" applyAlignment="1" applyBorder="1" applyFont="1">
      <alignment horizontal="left" readingOrder="0" shrinkToFit="0" vertical="center" wrapText="0"/>
    </xf>
    <xf borderId="1" fillId="0" fontId="3" numFmtId="0" xfId="0" applyAlignment="1" applyBorder="1" applyFont="1">
      <alignment readingOrder="0" shrinkToFit="0" vertical="center" wrapText="1"/>
    </xf>
    <xf borderId="1" fillId="6" fontId="1" numFmtId="0" xfId="0" applyAlignment="1" applyBorder="1" applyFill="1" applyFont="1">
      <alignment horizontal="center" shrinkToFit="0" vertical="center" wrapText="1"/>
    </xf>
    <xf borderId="1" fillId="6" fontId="1" numFmtId="0" xfId="0" applyAlignment="1" applyBorder="1" applyFont="1">
      <alignment horizontal="center" readingOrder="0" shrinkToFit="0" vertical="center" wrapText="1"/>
    </xf>
    <xf borderId="1" fillId="0" fontId="3" numFmtId="0" xfId="0" applyAlignment="1" applyBorder="1" applyFont="1">
      <alignment readingOrder="0" vertical="center"/>
    </xf>
    <xf borderId="3" fillId="7" fontId="1" numFmtId="0" xfId="0" applyAlignment="1" applyBorder="1" applyFill="1" applyFont="1">
      <alignment horizontal="center" shrinkToFit="0" vertical="center" wrapText="1"/>
    </xf>
    <xf borderId="1" fillId="0" fontId="3" numFmtId="0" xfId="0" applyAlignment="1" applyBorder="1" applyFont="1">
      <alignment vertical="center"/>
    </xf>
    <xf borderId="1" fillId="0" fontId="3" numFmtId="0" xfId="0" applyAlignment="1" applyBorder="1" applyFont="1">
      <alignment horizontal="left" shrinkToFit="0" vertical="center" wrapText="0"/>
    </xf>
    <xf borderId="1" fillId="0" fontId="3" numFmtId="0" xfId="0" applyAlignment="1" applyBorder="1" applyFont="1">
      <alignment shrinkToFit="0" vertical="center" wrapText="1"/>
    </xf>
    <xf borderId="3" fillId="8" fontId="1" numFmtId="164" xfId="0" applyAlignment="1" applyBorder="1" applyFill="1" applyFont="1" applyNumberFormat="1">
      <alignment horizontal="center" shrinkToFit="0" vertical="center" wrapText="1"/>
    </xf>
    <xf borderId="1" fillId="4" fontId="1" numFmtId="0" xfId="0" applyAlignment="1" applyBorder="1" applyFont="1">
      <alignment horizontal="center" readingOrder="0" shrinkToFit="0" vertical="center" wrapText="1"/>
    </xf>
    <xf borderId="6" fillId="4" fontId="1" numFmtId="3" xfId="0" applyAlignment="1" applyBorder="1" applyFont="1" applyNumberFormat="1">
      <alignment horizontal="center" readingOrder="0" shrinkToFit="0" vertical="center" wrapText="1"/>
    </xf>
    <xf borderId="7" fillId="4" fontId="1" numFmtId="0" xfId="0" applyAlignment="1" applyBorder="1" applyFont="1">
      <alignment horizontal="center" readingOrder="0" shrinkToFit="0" wrapText="1"/>
    </xf>
    <xf borderId="3" fillId="3" fontId="1" numFmtId="0" xfId="0" applyAlignment="1" applyBorder="1" applyFont="1">
      <alignment horizontal="center" shrinkToFit="0" vertical="center" wrapText="1"/>
    </xf>
    <xf borderId="1" fillId="3" fontId="1" numFmtId="0" xfId="0" applyAlignment="1" applyBorder="1" applyFont="1">
      <alignment horizontal="center" readingOrder="0" shrinkToFit="0" vertical="center" wrapText="1"/>
    </xf>
    <xf borderId="3" fillId="9" fontId="1" numFmtId="0" xfId="0" applyAlignment="1" applyBorder="1" applyFill="1" applyFont="1">
      <alignment horizontal="center" shrinkToFit="0" vertical="center" wrapText="1"/>
    </xf>
    <xf borderId="0" fillId="10" fontId="4" numFmtId="0" xfId="0" applyAlignment="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3"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1" fillId="0" fontId="3" numFmtId="3" xfId="0" applyAlignment="1" applyBorder="1" applyFont="1" applyNumberFormat="1">
      <alignment horizontal="center" readingOrder="0" shrinkToFit="0" vertical="center" wrapText="1"/>
    </xf>
    <xf borderId="1" fillId="5" fontId="1" numFmtId="0" xfId="0" applyAlignment="1" applyBorder="1" applyFont="1">
      <alignment horizontal="center" readingOrder="0" shrinkToFit="0" vertical="center" wrapText="1"/>
    </xf>
    <xf borderId="1" fillId="5" fontId="1" numFmtId="0" xfId="0" applyAlignment="1" applyBorder="1" applyFont="1">
      <alignment horizontal="center" shrinkToFit="0" vertical="center" wrapText="1"/>
    </xf>
    <xf borderId="1" fillId="7" fontId="1" numFmtId="0" xfId="0" applyAlignment="1" applyBorder="1" applyFont="1">
      <alignment horizontal="center" shrinkToFit="0" vertical="center" wrapText="1"/>
    </xf>
    <xf borderId="1" fillId="7" fontId="1" numFmtId="164" xfId="0" applyAlignment="1" applyBorder="1" applyFont="1" applyNumberFormat="1">
      <alignment horizontal="center" shrinkToFit="0" vertical="center" wrapText="1"/>
    </xf>
    <xf borderId="1" fillId="6" fontId="1" numFmtId="0" xfId="0" applyAlignment="1" applyBorder="1" applyFont="1">
      <alignment horizontal="center" shrinkToFit="0" wrapText="1"/>
    </xf>
    <xf borderId="1" fillId="11" fontId="3" numFmtId="0" xfId="0" applyAlignment="1" applyBorder="1" applyFill="1" applyFont="1">
      <alignment horizontal="left" readingOrder="0" shrinkToFit="0" vertical="center" wrapText="1"/>
    </xf>
    <xf borderId="1" fillId="8" fontId="1" numFmtId="164" xfId="0" applyAlignment="1" applyBorder="1" applyFont="1" applyNumberFormat="1">
      <alignment horizontal="center" shrinkToFit="0" vertical="center" wrapText="1"/>
    </xf>
    <xf borderId="1" fillId="6" fontId="1" numFmtId="0" xfId="0" applyAlignment="1" applyBorder="1" applyFont="1">
      <alignment horizontal="center" readingOrder="0" shrinkToFit="0" wrapText="1"/>
    </xf>
    <xf borderId="1" fillId="8" fontId="1" numFmtId="0" xfId="0" applyAlignment="1" applyBorder="1" applyFont="1">
      <alignment horizontal="center" shrinkToFit="0" vertical="center" wrapText="1"/>
    </xf>
    <xf borderId="1" fillId="0" fontId="3" numFmtId="0" xfId="0" applyAlignment="1" applyBorder="1" applyFont="1">
      <alignment horizontal="left" readingOrder="0" shrinkToFit="0" vertical="center" wrapText="1"/>
    </xf>
    <xf borderId="1" fillId="12" fontId="1" numFmtId="3" xfId="0" applyAlignment="1" applyBorder="1" applyFill="1" applyFont="1" applyNumberFormat="1">
      <alignment horizontal="center" shrinkToFit="0" wrapText="1"/>
    </xf>
    <xf borderId="1" fillId="0" fontId="3" numFmtId="0" xfId="0" applyAlignment="1" applyBorder="1" applyFont="1">
      <alignment horizontal="left" readingOrder="0" vertical="center"/>
    </xf>
    <xf borderId="1" fillId="13" fontId="3" numFmtId="164" xfId="0" applyAlignment="1" applyBorder="1" applyFill="1" applyFont="1" applyNumberFormat="1">
      <alignment horizontal="center" readingOrder="0" vertical="center"/>
    </xf>
    <xf borderId="1" fillId="12" fontId="1" numFmtId="0" xfId="0" applyAlignment="1" applyBorder="1" applyFont="1">
      <alignment horizontal="center" shrinkToFit="0" wrapText="1"/>
    </xf>
    <xf borderId="5" fillId="5" fontId="4" numFmtId="0" xfId="0" applyAlignment="1" applyBorder="1" applyFont="1">
      <alignment horizontal="center" readingOrder="0" shrinkToFit="0" vertical="center" wrapText="1"/>
    </xf>
    <xf borderId="1" fillId="7" fontId="4" numFmtId="0" xfId="0" applyAlignment="1" applyBorder="1" applyFont="1">
      <alignment horizontal="center" readingOrder="0" shrinkToFit="0" vertical="center" wrapText="1"/>
    </xf>
    <xf borderId="1" fillId="11" fontId="3" numFmtId="0" xfId="0" applyAlignment="1" applyBorder="1" applyFont="1">
      <alignment horizontal="center" vertical="center"/>
    </xf>
    <xf borderId="1" fillId="7" fontId="1" numFmtId="165" xfId="0" applyAlignment="1" applyBorder="1" applyFont="1" applyNumberFormat="1">
      <alignment horizontal="center" shrinkToFit="0" vertical="center" wrapText="1"/>
    </xf>
    <xf borderId="1" fillId="7" fontId="1" numFmtId="166" xfId="0" applyAlignment="1" applyBorder="1" applyFont="1" applyNumberFormat="1">
      <alignment horizontal="center" shrinkToFit="0" vertical="center" wrapText="1"/>
    </xf>
    <xf borderId="1" fillId="0" fontId="3" numFmtId="164" xfId="0" applyAlignment="1" applyBorder="1" applyFont="1" applyNumberFormat="1">
      <alignment horizontal="center" readingOrder="0" vertical="center"/>
    </xf>
    <xf borderId="1" fillId="0" fontId="3" numFmtId="167" xfId="0" applyAlignment="1" applyBorder="1" applyFont="1" applyNumberFormat="1">
      <alignment horizontal="center"/>
    </xf>
    <xf borderId="1" fillId="9" fontId="1" numFmtId="14" xfId="0" applyAlignment="1" applyBorder="1" applyFont="1" applyNumberFormat="1">
      <alignment horizontal="center" shrinkToFit="0" vertical="center" wrapText="1"/>
    </xf>
    <xf borderId="1" fillId="0" fontId="3" numFmtId="0" xfId="0" applyBorder="1" applyFont="1"/>
    <xf borderId="1" fillId="9" fontId="1" numFmtId="164" xfId="0" applyAlignment="1" applyBorder="1" applyFont="1" applyNumberFormat="1">
      <alignment horizontal="center" shrinkToFit="0" vertical="center" wrapText="1"/>
    </xf>
    <xf borderId="1" fillId="0" fontId="3" numFmtId="0" xfId="0" applyAlignment="1" applyBorder="1" applyFont="1">
      <alignment readingOrder="0"/>
    </xf>
    <xf borderId="1" fillId="14" fontId="1" numFmtId="3" xfId="0" applyAlignment="1" applyBorder="1" applyFill="1" applyFont="1" applyNumberFormat="1">
      <alignment horizontal="center" shrinkToFit="0" vertical="center" wrapText="1"/>
    </xf>
    <xf borderId="1" fillId="0" fontId="3" numFmtId="3" xfId="0" applyBorder="1" applyFont="1" applyNumberFormat="1"/>
    <xf borderId="1" fillId="9" fontId="1" numFmtId="0" xfId="0" applyAlignment="1" applyBorder="1" applyFont="1">
      <alignment horizontal="center" shrinkToFit="0" vertical="center" wrapText="1"/>
    </xf>
    <xf borderId="1" fillId="10" fontId="4" numFmtId="0" xfId="0" applyAlignment="1" applyBorder="1" applyFont="1">
      <alignment horizontal="center" readingOrder="0" shrinkToFit="0" vertical="center" wrapText="1"/>
    </xf>
    <xf borderId="1" fillId="0" fontId="3" numFmtId="0" xfId="0" applyAlignment="1" applyBorder="1" applyFont="1">
      <alignment horizontal="center"/>
    </xf>
    <xf borderId="1" fillId="7" fontId="1" numFmtId="0" xfId="0" applyAlignment="1" applyBorder="1" applyFont="1">
      <alignment horizontal="center" readingOrder="0" shrinkToFit="0" vertical="center" wrapText="1"/>
    </xf>
    <xf borderId="1" fillId="8" fontId="1" numFmtId="0" xfId="0" applyAlignment="1" applyBorder="1" applyFont="1">
      <alignment horizontal="center" readingOrder="0" shrinkToFit="0" vertical="center" wrapText="1"/>
    </xf>
    <xf borderId="1" fillId="7" fontId="1" numFmtId="165" xfId="0" applyAlignment="1" applyBorder="1" applyFont="1" applyNumberFormat="1">
      <alignment horizontal="center" readingOrder="0" shrinkToFit="0" vertical="center" wrapText="1"/>
    </xf>
    <xf borderId="1" fillId="7" fontId="1" numFmtId="166" xfId="0" applyAlignment="1" applyBorder="1" applyFont="1" applyNumberFormat="1">
      <alignment horizontal="center" readingOrder="0" shrinkToFit="0" vertical="center" wrapText="1"/>
    </xf>
    <xf borderId="1" fillId="9" fontId="1" numFmtId="0" xfId="0" applyAlignment="1" applyBorder="1" applyFont="1">
      <alignment horizontal="center" readingOrder="0" shrinkToFit="0" vertical="center" wrapText="1"/>
    </xf>
    <xf borderId="1" fillId="15" fontId="3" numFmtId="0" xfId="0" applyAlignment="1" applyBorder="1" applyFill="1" applyFont="1">
      <alignment horizontal="center" shrinkToFit="0" vertical="center" wrapText="1"/>
    </xf>
    <xf borderId="1" fillId="0" fontId="3" numFmtId="0" xfId="0" applyAlignment="1" applyBorder="1" applyFont="1">
      <alignment horizontal="center" readingOrder="0" vertical="center"/>
    </xf>
    <xf borderId="1" fillId="11" fontId="3" numFmtId="0" xfId="0" applyAlignment="1" applyBorder="1" applyFont="1">
      <alignment horizontal="center" readingOrder="0" shrinkToFit="0" vertical="center" wrapText="1"/>
    </xf>
    <xf borderId="1" fillId="0" fontId="3" numFmtId="0" xfId="0" applyBorder="1" applyFont="1"/>
    <xf borderId="1" fillId="0" fontId="3" numFmtId="0" xfId="0" applyAlignment="1" applyBorder="1" applyFont="1">
      <alignment horizontal="center"/>
    </xf>
    <xf borderId="1" fillId="0" fontId="3" numFmtId="164" xfId="0" applyAlignment="1" applyBorder="1" applyFont="1" applyNumberFormat="1">
      <alignment horizontal="center" readingOrder="0" shrinkToFit="0" vertical="center" wrapText="1"/>
    </xf>
    <xf borderId="1" fillId="11" fontId="5" numFmtId="164" xfId="0" applyAlignment="1" applyBorder="1" applyFont="1" applyNumberFormat="1">
      <alignment horizontal="center" shrinkToFit="0" vertical="center" wrapText="1"/>
    </xf>
    <xf borderId="1" fillId="0" fontId="3" numFmtId="164"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1" fillId="11" fontId="3" numFmtId="0" xfId="0" applyAlignment="1" applyBorder="1" applyFont="1">
      <alignment horizontal="center" shrinkToFit="0" vertical="center" wrapText="1"/>
    </xf>
    <xf borderId="1" fillId="11" fontId="3" numFmtId="164" xfId="0" applyAlignment="1" applyBorder="1" applyFont="1" applyNumberFormat="1">
      <alignment horizontal="center" shrinkToFit="0" vertical="center" wrapText="1"/>
    </xf>
    <xf borderId="1" fillId="0" fontId="3" numFmtId="165" xfId="0" applyAlignment="1" applyBorder="1" applyFont="1" applyNumberFormat="1">
      <alignment horizontal="center" readingOrder="0" shrinkToFit="0" vertical="center" wrapText="1"/>
    </xf>
    <xf borderId="1" fillId="11" fontId="5" numFmtId="166" xfId="0" applyAlignment="1" applyBorder="1" applyFont="1" applyNumberFormat="1">
      <alignment horizontal="center" shrinkToFit="0" vertical="center" wrapText="1"/>
    </xf>
    <xf borderId="1" fillId="13" fontId="5" numFmtId="0" xfId="0" applyAlignment="1" applyBorder="1" applyFont="1">
      <alignment horizontal="center" shrinkToFit="0" vertical="center" wrapText="1"/>
    </xf>
    <xf borderId="1" fillId="13" fontId="5" numFmtId="164" xfId="0" applyAlignment="1" applyBorder="1" applyFont="1" applyNumberFormat="1">
      <alignment horizontal="center" shrinkToFit="0" vertical="center" wrapText="1"/>
    </xf>
    <xf borderId="1" fillId="13" fontId="3" numFmtId="164" xfId="0" applyAlignment="1" applyBorder="1" applyFont="1" applyNumberFormat="1">
      <alignment horizontal="center" readingOrder="0" shrinkToFit="0" vertical="center" wrapText="1"/>
    </xf>
    <xf borderId="1" fillId="13" fontId="3" numFmtId="0" xfId="0" applyAlignment="1" applyBorder="1" applyFont="1">
      <alignment horizontal="center" readingOrder="0" shrinkToFit="0" vertical="center" wrapText="1"/>
    </xf>
    <xf borderId="1" fillId="13" fontId="5" numFmtId="0" xfId="0" applyAlignment="1" applyBorder="1" applyFont="1">
      <alignment horizontal="center" vertical="center"/>
    </xf>
    <xf borderId="1" fillId="14" fontId="6" numFmtId="3" xfId="0" applyAlignment="1" applyBorder="1" applyFont="1" applyNumberFormat="1">
      <alignment horizontal="center" shrinkToFit="0" vertical="center" wrapText="1"/>
    </xf>
    <xf borderId="1" fillId="11" fontId="5" numFmtId="0" xfId="0" applyAlignment="1" applyBorder="1" applyFont="1">
      <alignment horizontal="center" shrinkToFit="0" vertical="center" wrapText="1"/>
    </xf>
    <xf borderId="7" fillId="0" fontId="5" numFmtId="0" xfId="0" applyAlignment="1" applyBorder="1" applyFont="1">
      <alignment readingOrder="0"/>
    </xf>
    <xf borderId="1" fillId="11" fontId="5" numFmtId="168" xfId="0" applyAlignment="1" applyBorder="1" applyFont="1" applyNumberFormat="1">
      <alignment horizontal="center"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readingOrder="0" vertical="center"/>
    </xf>
    <xf borderId="0" fillId="0" fontId="3" numFmtId="0" xfId="0" applyAlignment="1" applyFont="1">
      <alignment vertical="center"/>
    </xf>
    <xf borderId="1" fillId="0" fontId="3" numFmtId="3" xfId="0" applyAlignment="1" applyBorder="1" applyFont="1" applyNumberFormat="1">
      <alignment horizontal="center" shrinkToFit="0" vertical="center" wrapText="1"/>
    </xf>
    <xf borderId="1" fillId="13" fontId="3" numFmtId="164" xfId="0" applyAlignment="1" applyBorder="1" applyFont="1" applyNumberFormat="1">
      <alignment horizontal="center" shrinkToFit="0" vertical="center" wrapText="1"/>
    </xf>
    <xf borderId="1" fillId="13" fontId="3" numFmtId="14" xfId="0" applyAlignment="1" applyBorder="1" applyFont="1" applyNumberFormat="1">
      <alignment horizontal="center" shrinkToFit="0" vertical="center" wrapText="1"/>
    </xf>
    <xf borderId="1" fillId="6" fontId="7" numFmtId="0" xfId="0" applyAlignment="1" applyBorder="1" applyFont="1">
      <alignment horizontal="center" shrinkToFit="0" vertical="center" wrapText="1"/>
    </xf>
    <xf borderId="1" fillId="16" fontId="3" numFmtId="0" xfId="0" applyAlignment="1" applyBorder="1" applyFill="1" applyFont="1">
      <alignment horizontal="center" readingOrder="0" shrinkToFit="0" vertical="center" wrapText="1"/>
    </xf>
    <xf borderId="1" fillId="0" fontId="3" numFmtId="0" xfId="0" applyAlignment="1" applyBorder="1" applyFont="1">
      <alignment horizontal="center" vertical="center"/>
    </xf>
    <xf borderId="1" fillId="17" fontId="3" numFmtId="0" xfId="0" applyAlignment="1" applyBorder="1" applyFill="1" applyFont="1">
      <alignment horizontal="left" readingOrder="0" shrinkToFit="0" vertical="center" wrapText="1"/>
    </xf>
    <xf borderId="1" fillId="0" fontId="3" numFmtId="0" xfId="0" applyAlignment="1" applyBorder="1" applyFont="1">
      <alignment horizontal="left" shrinkToFit="0" vertical="center" wrapText="1"/>
    </xf>
    <xf borderId="1" fillId="0" fontId="3" numFmtId="0" xfId="0" applyAlignment="1" applyBorder="1" applyFont="1">
      <alignment horizontal="left" vertical="center"/>
    </xf>
    <xf borderId="1" fillId="0" fontId="3" numFmtId="164" xfId="0" applyAlignment="1" applyBorder="1" applyFont="1" applyNumberFormat="1">
      <alignment horizontal="center" vertical="center"/>
    </xf>
    <xf borderId="1" fillId="0" fontId="3" numFmtId="165" xfId="0" applyAlignment="1" applyBorder="1" applyFont="1" applyNumberFormat="1">
      <alignment horizontal="center" shrinkToFit="0" vertical="center" wrapText="1"/>
    </xf>
    <xf borderId="0" fillId="18" fontId="8" numFmtId="0" xfId="0" applyAlignment="1" applyFill="1" applyFont="1">
      <alignment readingOrder="0"/>
    </xf>
    <xf borderId="0" fillId="0" fontId="9" numFmtId="0" xfId="0" applyAlignment="1" applyFont="1">
      <alignment vertical="bottom"/>
    </xf>
    <xf borderId="0" fillId="0" fontId="10" numFmtId="0" xfId="0" applyAlignment="1" applyFont="1">
      <alignment vertical="bottom"/>
    </xf>
    <xf borderId="0" fillId="0" fontId="11" numFmtId="0" xfId="0" applyFont="1"/>
    <xf borderId="0" fillId="2" fontId="11" numFmtId="0" xfId="0" applyAlignment="1" applyFont="1">
      <alignment readingOrder="0"/>
    </xf>
    <xf borderId="1" fillId="0" fontId="3" numFmtId="0" xfId="0" applyAlignment="1" applyBorder="1" applyFont="1">
      <alignment horizontal="center" vertical="center"/>
    </xf>
  </cellXfs>
  <cellStyles count="1">
    <cellStyle xfId="0" name="Normal" builtinId="0"/>
  </cellStyles>
  <dxfs count="13">
    <dxf>
      <font>
        <b/>
        <color rgb="FF8CCD3A"/>
      </font>
      <fill>
        <patternFill patternType="solid">
          <fgColor rgb="FFD9EAD3"/>
          <bgColor rgb="FFD9EAD3"/>
        </patternFill>
      </fill>
      <border/>
    </dxf>
    <dxf>
      <font>
        <b/>
        <color rgb="FFFBBC04"/>
      </font>
      <fill>
        <patternFill patternType="solid">
          <fgColor rgb="FFFFF2CC"/>
          <bgColor rgb="FFFFF2CC"/>
        </patternFill>
      </fill>
      <border/>
    </dxf>
    <dxf>
      <font/>
      <fill>
        <patternFill patternType="none"/>
      </fill>
      <border/>
    </dxf>
    <dxf>
      <font>
        <color rgb="FF666666"/>
      </font>
      <fill>
        <patternFill patternType="solid">
          <fgColor rgb="FF666666"/>
          <bgColor rgb="FF666666"/>
        </patternFill>
      </fill>
      <border/>
    </dxf>
    <dxf>
      <font>
        <b/>
        <color rgb="FFA61C00"/>
      </font>
      <fill>
        <patternFill patternType="solid">
          <fgColor rgb="FFEA9999"/>
          <bgColor rgb="FFEA9999"/>
        </patternFill>
      </fill>
      <border/>
    </dxf>
    <dxf>
      <font>
        <color rgb="FFFFFFFF"/>
      </font>
      <fill>
        <patternFill patternType="solid">
          <fgColor rgb="FF666666"/>
          <bgColor rgb="FF666666"/>
        </patternFill>
      </fill>
      <border/>
    </dxf>
    <dxf>
      <font/>
      <fill>
        <patternFill patternType="solid">
          <fgColor rgb="FFFF0000"/>
          <bgColor rgb="FFFF0000"/>
        </patternFill>
      </fill>
      <border/>
    </dxf>
    <dxf>
      <font>
        <b/>
        <color rgb="FFFF0000"/>
      </font>
      <fill>
        <patternFill patternType="solid">
          <fgColor rgb="FFF4CCCC"/>
          <bgColor rgb="FFF4CCCC"/>
        </patternFill>
      </fill>
      <border/>
    </dxf>
    <dxf>
      <font>
        <b/>
        <color rgb="FFFF9900"/>
      </font>
      <fill>
        <patternFill patternType="solid">
          <fgColor rgb="FFFCE5CD"/>
          <bgColor rgb="FFFCE5CD"/>
        </patternFill>
      </fill>
      <border/>
    </dxf>
    <dxf>
      <font/>
      <fill>
        <patternFill patternType="solid">
          <fgColor rgb="FF666666"/>
          <bgColor rgb="FF666666"/>
        </patternFill>
      </fill>
      <border/>
    </dxf>
    <dxf>
      <font>
        <b/>
        <color rgb="FF000000"/>
      </font>
      <fill>
        <patternFill patternType="solid">
          <fgColor rgb="FFB7B7B7"/>
          <bgColor rgb="FFB7B7B7"/>
        </patternFill>
      </fill>
      <border/>
    </dxf>
    <dxf>
      <font>
        <b/>
        <color rgb="FFED7D31"/>
      </font>
      <fill>
        <patternFill patternType="solid">
          <fgColor rgb="FFFFE599"/>
          <bgColor rgb="FFFFE599"/>
        </patternFill>
      </fill>
      <border/>
    </dxf>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outlineLevelCol="1"/>
  <cols>
    <col customWidth="1" min="1" max="1" width="19.13"/>
    <col customWidth="1" min="2" max="2" width="60.0"/>
  </cols>
  <sheetData>
    <row r="1" ht="17.25" customHeight="1">
      <c r="A1" s="2" t="s">
        <v>0</v>
      </c>
      <c r="B1" s="4" t="s">
        <v>6</v>
      </c>
    </row>
    <row r="2" ht="17.25" customHeight="1">
      <c r="A2" s="12" t="str">
        <f>IFERROR(__xludf.DUMMYFUNCTION("QUERY({IMPORTRANGE(""1P0oKwzKbn6LJXrlUQ38ebfDyD6GcN8gtDfznV-VcUpg"",""DIC_TABLAS!A$2:D"")},""SELECT Col2, Col3 WHERE Col1 = 'AMBITO 3'"")"),"1) Multas coercitivas")</f>
        <v>1) Multas coercitivas</v>
      </c>
      <c r="B2" s="12" t="str">
        <f>IFERROR(__xludf.DUMMYFUNCTION("""COMPUTED_VALUE"""),"Esta base debe contener los proyectos de multas coercitivas.")</f>
        <v>Esta base debe contener los proyectos de multas coercitivas.</v>
      </c>
    </row>
    <row r="3" ht="17.25" customHeight="1">
      <c r="A3" s="12" t="str">
        <f>IFERROR(__xludf.DUMMYFUNCTION("""COMPUTED_VALUE"""),"2) Etapas")</f>
        <v>2) Etapas</v>
      </c>
      <c r="B3" s="19" t="str">
        <f>IFERROR(__xludf.DUMMYFUNCTION("""COMPUTED_VALUE"""),"Esta base debe contener las diferentes etapas de la elaboración de una multa coercitiva.")</f>
        <v>Esta base debe contener las diferentes etapas de la elaboración de una multa coercitiva.</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min="1" max="1" width="12.63"/>
    <col customWidth="1" min="2" max="2" width="24.25"/>
    <col customWidth="1" min="3" max="3" width="30.13"/>
    <col customWidth="1" min="4" max="4" width="15.5"/>
    <col customWidth="1" min="5" max="5" width="10.13"/>
    <col customWidth="1" min="6" max="7" width="18.88" outlineLevel="1"/>
    <col customWidth="1" min="8" max="8" width="37.63"/>
    <col customWidth="1" min="9" max="9" width="12.25"/>
  </cols>
  <sheetData>
    <row r="1" ht="30.75" customHeight="1">
      <c r="A1" s="1" t="s">
        <v>0</v>
      </c>
      <c r="B1" s="1" t="s">
        <v>3</v>
      </c>
      <c r="C1" s="1" t="s">
        <v>4</v>
      </c>
      <c r="D1" s="1" t="s">
        <v>5</v>
      </c>
      <c r="E1" s="1" t="s">
        <v>7</v>
      </c>
      <c r="F1" s="1" t="s">
        <v>8</v>
      </c>
      <c r="G1" s="1" t="s">
        <v>10</v>
      </c>
      <c r="H1" s="1" t="s">
        <v>11</v>
      </c>
      <c r="I1" s="1" t="s">
        <v>13</v>
      </c>
    </row>
    <row r="2">
      <c r="A2" s="13" t="str">
        <f>IFERROR(__xludf.DUMMYFUNCTION("QUERY({IMPORTRANGE(""1GGHB-7IvEqjPs32eZ4K5cqTwzDZk9toJ9gAmRWrDwos"",""DIC_VARIABLES!A$2:J"")},""SELECT Col2, Col3, Col4, Col5, Col6, Col7, Col8, Col9, Col10 WHERE Col1 = 'AMBITO 3'"")"),"#REF!")</f>
        <v>#REF!</v>
      </c>
      <c r="B2" s="13"/>
      <c r="C2" s="13"/>
      <c r="D2" s="16"/>
      <c r="E2" s="18"/>
      <c r="F2" s="18"/>
      <c r="G2" s="18"/>
      <c r="H2" s="20"/>
      <c r="I2" s="16"/>
    </row>
    <row r="3">
      <c r="A3" s="13"/>
      <c r="B3" s="13"/>
      <c r="C3" s="13"/>
      <c r="D3" s="16"/>
      <c r="E3" s="18"/>
      <c r="F3" s="18"/>
      <c r="G3" s="18"/>
      <c r="H3" s="20"/>
      <c r="I3" s="16"/>
    </row>
    <row r="4">
      <c r="A4" s="13"/>
      <c r="B4" s="13"/>
      <c r="C4" s="13"/>
      <c r="D4" s="16"/>
      <c r="E4" s="18"/>
      <c r="F4" s="18"/>
      <c r="G4" s="18"/>
      <c r="H4" s="20"/>
      <c r="I4" s="16"/>
    </row>
    <row r="5">
      <c r="A5" s="13"/>
      <c r="B5" s="13"/>
      <c r="C5" s="13"/>
      <c r="D5" s="16"/>
      <c r="E5" s="18"/>
      <c r="F5" s="18"/>
      <c r="G5" s="18"/>
      <c r="H5" s="20"/>
      <c r="I5" s="16"/>
    </row>
    <row r="6">
      <c r="A6" s="13"/>
      <c r="B6" s="13"/>
      <c r="C6" s="13"/>
      <c r="D6" s="16"/>
      <c r="E6" s="18"/>
      <c r="F6" s="18"/>
      <c r="G6" s="18"/>
      <c r="H6" s="20"/>
      <c r="I6" s="16"/>
    </row>
    <row r="7">
      <c r="A7" s="13"/>
      <c r="B7" s="13"/>
      <c r="C7" s="13"/>
      <c r="D7" s="16"/>
      <c r="E7" s="18"/>
      <c r="F7" s="18"/>
      <c r="G7" s="18"/>
      <c r="H7" s="20"/>
      <c r="I7" s="16"/>
    </row>
    <row r="8">
      <c r="A8" s="13"/>
      <c r="B8" s="13"/>
      <c r="C8" s="13"/>
      <c r="D8" s="16"/>
      <c r="E8" s="18"/>
      <c r="F8" s="18"/>
      <c r="G8" s="18"/>
      <c r="H8" s="20"/>
      <c r="I8" s="16"/>
    </row>
    <row r="9">
      <c r="A9" s="13"/>
      <c r="B9" s="13"/>
      <c r="C9" s="13"/>
      <c r="D9" s="16"/>
      <c r="E9" s="18"/>
      <c r="F9" s="18"/>
      <c r="G9" s="18"/>
      <c r="H9" s="20"/>
      <c r="I9" s="16"/>
    </row>
    <row r="10">
      <c r="A10" s="13"/>
      <c r="B10" s="13"/>
      <c r="C10" s="13"/>
      <c r="D10" s="16"/>
      <c r="E10" s="18"/>
      <c r="F10" s="18"/>
      <c r="G10" s="18"/>
      <c r="H10" s="20"/>
      <c r="I10" s="16"/>
    </row>
    <row r="11">
      <c r="A11" s="13"/>
      <c r="B11" s="13"/>
      <c r="C11" s="13"/>
      <c r="D11" s="16"/>
      <c r="E11" s="18"/>
      <c r="F11" s="18"/>
      <c r="G11" s="18"/>
      <c r="H11" s="20"/>
      <c r="I11" s="16"/>
    </row>
    <row r="12">
      <c r="A12" s="13"/>
      <c r="B12" s="13"/>
      <c r="C12" s="13"/>
      <c r="D12" s="16"/>
      <c r="E12" s="18"/>
      <c r="F12" s="18"/>
      <c r="G12" s="18"/>
      <c r="H12" s="20"/>
      <c r="I12" s="16"/>
    </row>
    <row r="13">
      <c r="A13" s="13"/>
      <c r="B13" s="13"/>
      <c r="C13" s="13"/>
      <c r="D13" s="16"/>
      <c r="E13" s="18"/>
      <c r="F13" s="18"/>
      <c r="G13" s="18"/>
      <c r="H13" s="20"/>
      <c r="I13" s="16"/>
    </row>
    <row r="14">
      <c r="A14" s="13"/>
      <c r="B14" s="13"/>
      <c r="C14" s="13"/>
      <c r="D14" s="16"/>
      <c r="E14" s="18"/>
      <c r="F14" s="18"/>
      <c r="G14" s="18"/>
      <c r="H14" s="20"/>
      <c r="I14" s="16"/>
    </row>
    <row r="15">
      <c r="A15" s="13"/>
      <c r="B15" s="13"/>
      <c r="C15" s="13"/>
      <c r="D15" s="16"/>
      <c r="E15" s="18"/>
      <c r="F15" s="18"/>
      <c r="G15" s="18"/>
      <c r="H15" s="20"/>
      <c r="I15" s="16"/>
    </row>
    <row r="16">
      <c r="A16" s="13"/>
      <c r="B16" s="13"/>
      <c r="C16" s="13"/>
      <c r="D16" s="16"/>
      <c r="E16" s="18"/>
      <c r="F16" s="18"/>
      <c r="G16" s="18"/>
      <c r="H16" s="20"/>
      <c r="I16" s="16"/>
    </row>
    <row r="17">
      <c r="A17" s="13"/>
      <c r="B17" s="13"/>
      <c r="C17" s="13"/>
      <c r="D17" s="16"/>
      <c r="E17" s="18"/>
      <c r="F17" s="18"/>
      <c r="G17" s="18"/>
      <c r="H17" s="20"/>
      <c r="I17" s="16"/>
    </row>
    <row r="18">
      <c r="A18" s="13"/>
      <c r="B18" s="13"/>
      <c r="C18" s="13"/>
      <c r="D18" s="16"/>
      <c r="E18" s="18"/>
      <c r="F18" s="18"/>
      <c r="G18" s="18"/>
      <c r="H18" s="20"/>
      <c r="I18" s="16"/>
    </row>
    <row r="19">
      <c r="A19" s="13"/>
      <c r="B19" s="13"/>
      <c r="C19" s="13"/>
      <c r="D19" s="16"/>
      <c r="E19" s="18"/>
      <c r="F19" s="18"/>
      <c r="G19" s="18"/>
      <c r="H19" s="20"/>
      <c r="I19" s="16"/>
    </row>
    <row r="20">
      <c r="A20" s="13"/>
      <c r="B20" s="13"/>
      <c r="C20" s="13"/>
      <c r="D20" s="16"/>
      <c r="E20" s="18"/>
      <c r="F20" s="18"/>
      <c r="G20" s="18"/>
      <c r="H20" s="20"/>
      <c r="I20" s="16"/>
    </row>
    <row r="21">
      <c r="A21" s="13"/>
      <c r="B21" s="13"/>
      <c r="C21" s="13"/>
      <c r="D21" s="16"/>
      <c r="E21" s="18"/>
      <c r="F21" s="18"/>
      <c r="G21" s="18"/>
      <c r="H21" s="20"/>
      <c r="I21" s="16"/>
    </row>
    <row r="22">
      <c r="A22" s="13"/>
      <c r="B22" s="13"/>
      <c r="C22" s="13"/>
      <c r="D22" s="16"/>
      <c r="E22" s="18"/>
      <c r="F22" s="18"/>
      <c r="G22" s="18"/>
      <c r="H22" s="20"/>
      <c r="I22" s="16"/>
    </row>
    <row r="23">
      <c r="A23" s="13"/>
      <c r="B23" s="13"/>
      <c r="C23" s="13"/>
      <c r="D23" s="16"/>
      <c r="E23" s="18"/>
      <c r="F23" s="18"/>
      <c r="G23" s="18"/>
      <c r="H23" s="20"/>
      <c r="I23" s="16"/>
    </row>
    <row r="24">
      <c r="A24" s="13"/>
      <c r="B24" s="13"/>
      <c r="C24" s="13"/>
      <c r="D24" s="16"/>
      <c r="E24" s="18"/>
      <c r="F24" s="18"/>
      <c r="G24" s="18"/>
      <c r="H24" s="20"/>
      <c r="I24" s="16"/>
    </row>
    <row r="25">
      <c r="A25" s="13"/>
      <c r="B25" s="13"/>
      <c r="C25" s="13"/>
      <c r="D25" s="16"/>
      <c r="E25" s="18"/>
      <c r="F25" s="18"/>
      <c r="G25" s="18"/>
      <c r="H25" s="20"/>
      <c r="I25" s="16"/>
    </row>
    <row r="26">
      <c r="A26" s="13"/>
      <c r="B26" s="13"/>
      <c r="C26" s="13"/>
      <c r="D26" s="16"/>
      <c r="E26" s="18"/>
      <c r="F26" s="18"/>
      <c r="G26" s="18"/>
      <c r="H26" s="20"/>
      <c r="I26" s="16"/>
    </row>
    <row r="27">
      <c r="A27" s="13"/>
      <c r="B27" s="13"/>
      <c r="C27" s="13"/>
      <c r="D27" s="16"/>
      <c r="E27" s="18"/>
      <c r="F27" s="18"/>
      <c r="G27" s="18"/>
      <c r="H27" s="20"/>
      <c r="I27" s="16"/>
    </row>
    <row r="28">
      <c r="A28" s="13"/>
      <c r="B28" s="13"/>
      <c r="C28" s="13"/>
      <c r="D28" s="16"/>
      <c r="E28" s="18"/>
      <c r="F28" s="18"/>
      <c r="G28" s="18"/>
      <c r="H28" s="20"/>
      <c r="I28" s="16"/>
    </row>
    <row r="29">
      <c r="A29" s="13"/>
      <c r="B29" s="13"/>
      <c r="C29" s="13"/>
      <c r="D29" s="16"/>
      <c r="E29" s="18"/>
      <c r="F29" s="18"/>
      <c r="G29" s="18"/>
      <c r="H29" s="20"/>
      <c r="I29" s="16"/>
    </row>
    <row r="30">
      <c r="A30" s="13"/>
      <c r="B30" s="13"/>
      <c r="C30" s="13"/>
      <c r="D30" s="16"/>
      <c r="E30" s="18"/>
      <c r="F30" s="18"/>
      <c r="G30" s="18"/>
      <c r="H30" s="20"/>
      <c r="I30" s="16"/>
    </row>
    <row r="31">
      <c r="A31" s="13"/>
      <c r="B31" s="13"/>
      <c r="C31" s="13"/>
      <c r="D31" s="16"/>
      <c r="E31" s="18"/>
      <c r="F31" s="18"/>
      <c r="G31" s="18"/>
      <c r="H31" s="20"/>
      <c r="I31" s="16"/>
    </row>
    <row r="32">
      <c r="A32" s="13"/>
      <c r="B32" s="13"/>
      <c r="C32" s="13"/>
      <c r="D32" s="16"/>
      <c r="E32" s="18"/>
      <c r="F32" s="18"/>
      <c r="G32" s="18"/>
      <c r="H32" s="20"/>
      <c r="I32" s="16"/>
    </row>
    <row r="33">
      <c r="A33" s="13"/>
      <c r="B33" s="13"/>
      <c r="C33" s="13"/>
      <c r="D33" s="16"/>
      <c r="E33" s="18"/>
      <c r="F33" s="18"/>
      <c r="G33" s="18"/>
      <c r="H33" s="20"/>
      <c r="I33" s="16"/>
    </row>
    <row r="34">
      <c r="A34" s="13"/>
      <c r="B34" s="13"/>
      <c r="C34" s="13"/>
      <c r="D34" s="16"/>
      <c r="E34" s="18"/>
      <c r="F34" s="18"/>
      <c r="G34" s="18"/>
      <c r="H34" s="20"/>
      <c r="I34" s="16"/>
    </row>
    <row r="35">
      <c r="A35" s="13"/>
      <c r="B35" s="13"/>
      <c r="C35" s="13"/>
      <c r="D35" s="16"/>
      <c r="E35" s="18"/>
      <c r="F35" s="18"/>
      <c r="G35" s="18"/>
      <c r="H35" s="20"/>
      <c r="I35" s="16"/>
    </row>
    <row r="36">
      <c r="A36" s="13"/>
      <c r="B36" s="13"/>
      <c r="C36" s="13"/>
      <c r="D36" s="16"/>
      <c r="E36" s="18"/>
      <c r="F36" s="18"/>
      <c r="G36" s="18"/>
      <c r="H36" s="20"/>
      <c r="I36" s="16"/>
    </row>
    <row r="37">
      <c r="A37" s="13"/>
      <c r="B37" s="13"/>
      <c r="C37" s="13"/>
      <c r="D37" s="16"/>
      <c r="E37" s="18"/>
      <c r="F37" s="18"/>
      <c r="G37" s="18"/>
      <c r="H37" s="20"/>
      <c r="I37" s="16"/>
    </row>
    <row r="38">
      <c r="A38" s="13"/>
      <c r="B38" s="13"/>
      <c r="C38" s="13"/>
      <c r="D38" s="16"/>
      <c r="E38" s="18"/>
      <c r="F38" s="18"/>
      <c r="G38" s="18"/>
      <c r="H38" s="20"/>
      <c r="I38" s="16"/>
    </row>
    <row r="39">
      <c r="A39" s="13"/>
      <c r="B39" s="13"/>
      <c r="C39" s="13"/>
      <c r="D39" s="16"/>
      <c r="E39" s="18"/>
      <c r="F39" s="18"/>
      <c r="G39" s="18"/>
      <c r="H39" s="20"/>
      <c r="I39" s="16"/>
    </row>
    <row r="40">
      <c r="A40" s="13"/>
      <c r="B40" s="13"/>
      <c r="C40" s="13"/>
      <c r="D40" s="16"/>
      <c r="E40" s="18"/>
      <c r="F40" s="18"/>
      <c r="G40" s="18"/>
      <c r="H40" s="20"/>
      <c r="I40" s="16"/>
    </row>
    <row r="41">
      <c r="A41" s="13"/>
      <c r="B41" s="13"/>
      <c r="C41" s="13"/>
      <c r="D41" s="16"/>
      <c r="E41" s="18"/>
      <c r="F41" s="18"/>
      <c r="G41" s="18"/>
      <c r="H41" s="20"/>
      <c r="I41" s="16"/>
    </row>
    <row r="42">
      <c r="A42" s="13"/>
      <c r="B42" s="13"/>
      <c r="C42" s="13"/>
      <c r="D42" s="16"/>
      <c r="E42" s="18"/>
      <c r="F42" s="18"/>
      <c r="G42" s="18"/>
      <c r="H42" s="20"/>
      <c r="I42" s="16"/>
    </row>
    <row r="43">
      <c r="A43" s="13"/>
      <c r="B43" s="13"/>
      <c r="C43" s="13"/>
      <c r="D43" s="16"/>
      <c r="E43" s="18"/>
      <c r="F43" s="18"/>
      <c r="G43" s="18"/>
      <c r="H43" s="20"/>
      <c r="I43" s="16"/>
    </row>
    <row r="44">
      <c r="A44" s="13"/>
      <c r="B44" s="13"/>
      <c r="C44" s="13"/>
      <c r="D44" s="16"/>
      <c r="E44" s="18"/>
      <c r="F44" s="18"/>
      <c r="G44" s="18"/>
      <c r="H44" s="20"/>
      <c r="I44" s="16"/>
    </row>
    <row r="45">
      <c r="A45" s="13"/>
      <c r="B45" s="13"/>
      <c r="C45" s="13"/>
      <c r="D45" s="16"/>
      <c r="E45" s="18"/>
      <c r="F45" s="18"/>
      <c r="G45" s="18"/>
      <c r="H45" s="20"/>
      <c r="I45" s="16"/>
    </row>
    <row r="46">
      <c r="A46" s="13"/>
      <c r="B46" s="13"/>
      <c r="C46" s="13"/>
      <c r="D46" s="16"/>
      <c r="E46" s="18"/>
      <c r="F46" s="18"/>
      <c r="G46" s="18"/>
      <c r="H46" s="20"/>
      <c r="I46" s="16"/>
    </row>
    <row r="47">
      <c r="A47" s="13"/>
      <c r="B47" s="13"/>
      <c r="C47" s="13"/>
      <c r="D47" s="16"/>
      <c r="E47" s="18"/>
      <c r="F47" s="18"/>
      <c r="G47" s="18"/>
      <c r="H47" s="20"/>
      <c r="I47" s="16"/>
    </row>
    <row r="48">
      <c r="A48" s="13"/>
      <c r="B48" s="13"/>
      <c r="C48" s="13"/>
      <c r="D48" s="16"/>
      <c r="E48" s="18"/>
      <c r="F48" s="18"/>
      <c r="G48" s="18"/>
      <c r="H48" s="20"/>
      <c r="I48" s="16"/>
    </row>
    <row r="49">
      <c r="A49" s="13"/>
      <c r="B49" s="13"/>
      <c r="C49" s="13"/>
      <c r="D49" s="16"/>
      <c r="E49" s="18"/>
      <c r="F49" s="18"/>
      <c r="G49" s="18"/>
      <c r="H49" s="20"/>
      <c r="I49" s="16"/>
    </row>
    <row r="50">
      <c r="A50" s="13"/>
      <c r="B50" s="13"/>
      <c r="C50" s="13"/>
      <c r="D50" s="16"/>
      <c r="E50" s="18"/>
      <c r="F50" s="18"/>
      <c r="G50" s="18"/>
      <c r="H50" s="20"/>
      <c r="I50" s="16"/>
    </row>
    <row r="51">
      <c r="A51" s="13"/>
      <c r="B51" s="13"/>
      <c r="C51" s="13"/>
      <c r="D51" s="16"/>
      <c r="E51" s="18"/>
      <c r="F51" s="18"/>
      <c r="G51" s="18"/>
      <c r="H51" s="20"/>
      <c r="I51" s="16"/>
    </row>
    <row r="52">
      <c r="A52" s="13"/>
      <c r="B52" s="13"/>
      <c r="C52" s="13"/>
      <c r="D52" s="16"/>
      <c r="E52" s="18"/>
      <c r="F52" s="18"/>
      <c r="G52" s="18"/>
      <c r="H52" s="20"/>
      <c r="I52" s="16"/>
    </row>
    <row r="53">
      <c r="A53" s="13"/>
      <c r="B53" s="13"/>
      <c r="C53" s="13"/>
      <c r="D53" s="16"/>
      <c r="E53" s="18"/>
      <c r="F53" s="18"/>
      <c r="G53" s="18"/>
      <c r="H53" s="20"/>
      <c r="I53" s="16"/>
    </row>
    <row r="54">
      <c r="A54" s="13"/>
      <c r="B54" s="13"/>
      <c r="C54" s="13"/>
      <c r="D54" s="16"/>
      <c r="E54" s="18"/>
      <c r="F54" s="18"/>
      <c r="G54" s="18"/>
      <c r="H54" s="20"/>
      <c r="I54" s="16"/>
    </row>
    <row r="55">
      <c r="A55" s="13"/>
      <c r="B55" s="13"/>
      <c r="C55" s="13"/>
      <c r="D55" s="16"/>
      <c r="E55" s="18"/>
      <c r="F55" s="18"/>
      <c r="G55" s="18"/>
      <c r="H55" s="20"/>
      <c r="I55" s="16"/>
    </row>
    <row r="56">
      <c r="A56" s="13"/>
      <c r="B56" s="13"/>
      <c r="C56" s="13"/>
      <c r="D56" s="16"/>
      <c r="E56" s="18"/>
      <c r="F56" s="18"/>
      <c r="G56" s="18"/>
      <c r="H56" s="20"/>
      <c r="I56" s="16"/>
    </row>
    <row r="57">
      <c r="A57" s="13"/>
      <c r="B57" s="13"/>
      <c r="C57" s="13"/>
      <c r="D57" s="16"/>
      <c r="E57" s="18"/>
      <c r="F57" s="18"/>
      <c r="G57" s="18"/>
      <c r="H57" s="20"/>
      <c r="I57" s="16"/>
    </row>
    <row r="58">
      <c r="A58" s="13"/>
      <c r="B58" s="13"/>
      <c r="C58" s="13"/>
      <c r="D58" s="16"/>
      <c r="E58" s="18"/>
      <c r="F58" s="18"/>
      <c r="G58" s="18"/>
      <c r="H58" s="20"/>
      <c r="I58" s="16"/>
    </row>
    <row r="59">
      <c r="A59" s="13"/>
      <c r="B59" s="13"/>
      <c r="C59" s="13"/>
      <c r="D59" s="16"/>
      <c r="E59" s="18"/>
      <c r="F59" s="18"/>
      <c r="G59" s="18"/>
      <c r="H59" s="20"/>
      <c r="I59" s="16"/>
    </row>
    <row r="60">
      <c r="A60" s="13"/>
      <c r="B60" s="13"/>
      <c r="C60" s="13"/>
      <c r="D60" s="16"/>
      <c r="E60" s="18"/>
      <c r="F60" s="18"/>
      <c r="G60" s="18"/>
      <c r="H60" s="20"/>
      <c r="I60" s="16"/>
    </row>
    <row r="61">
      <c r="A61" s="13"/>
      <c r="B61" s="13"/>
      <c r="C61" s="13"/>
      <c r="D61" s="16"/>
      <c r="E61" s="18"/>
      <c r="F61" s="18"/>
      <c r="G61" s="18"/>
      <c r="H61" s="20"/>
      <c r="I61" s="16"/>
    </row>
    <row r="62">
      <c r="A62" s="13"/>
      <c r="B62" s="13"/>
      <c r="C62" s="13"/>
      <c r="D62" s="16"/>
      <c r="E62" s="18"/>
      <c r="F62" s="18"/>
      <c r="G62" s="18"/>
      <c r="H62" s="20"/>
      <c r="I62" s="16"/>
    </row>
    <row r="63">
      <c r="A63" s="13"/>
      <c r="B63" s="13"/>
      <c r="C63" s="13"/>
      <c r="D63" s="16"/>
      <c r="E63" s="18"/>
      <c r="F63" s="18"/>
      <c r="G63" s="18"/>
      <c r="H63" s="20"/>
      <c r="I63" s="16"/>
    </row>
    <row r="64">
      <c r="A64" s="13"/>
      <c r="B64" s="13"/>
      <c r="C64" s="13"/>
      <c r="D64" s="16"/>
      <c r="E64" s="18"/>
      <c r="F64" s="18"/>
      <c r="G64" s="18"/>
      <c r="H64" s="20"/>
      <c r="I64" s="16"/>
    </row>
    <row r="65">
      <c r="A65" s="13"/>
      <c r="B65" s="13"/>
      <c r="C65" s="13"/>
      <c r="D65" s="16"/>
      <c r="E65" s="18"/>
      <c r="F65" s="18"/>
      <c r="G65" s="18"/>
      <c r="H65" s="20"/>
      <c r="I65" s="16"/>
    </row>
    <row r="66">
      <c r="A66" s="13"/>
      <c r="B66" s="13"/>
      <c r="C66" s="13"/>
      <c r="D66" s="16"/>
      <c r="E66" s="18"/>
      <c r="F66" s="18"/>
      <c r="G66" s="18"/>
      <c r="H66" s="20"/>
      <c r="I66" s="16"/>
    </row>
    <row r="67">
      <c r="A67" s="13"/>
      <c r="B67" s="13"/>
      <c r="C67" s="13"/>
      <c r="D67" s="16"/>
      <c r="E67" s="18"/>
      <c r="F67" s="18"/>
      <c r="G67" s="18"/>
      <c r="H67" s="20"/>
      <c r="I67" s="16"/>
    </row>
    <row r="68">
      <c r="A68" s="13"/>
      <c r="B68" s="13"/>
      <c r="C68" s="13"/>
      <c r="D68" s="16"/>
      <c r="E68" s="18"/>
      <c r="F68" s="18"/>
      <c r="G68" s="18"/>
      <c r="H68" s="20"/>
      <c r="I68" s="16"/>
    </row>
    <row r="69">
      <c r="A69" s="13"/>
      <c r="B69" s="13"/>
      <c r="C69" s="13"/>
      <c r="D69" s="16"/>
      <c r="E69" s="18"/>
      <c r="F69" s="18"/>
      <c r="G69" s="18"/>
      <c r="H69" s="20"/>
      <c r="I69" s="16"/>
    </row>
    <row r="70">
      <c r="A70" s="13"/>
      <c r="B70" s="13"/>
      <c r="C70" s="13"/>
      <c r="D70" s="16"/>
      <c r="E70" s="18"/>
      <c r="F70" s="18"/>
      <c r="G70" s="18"/>
      <c r="H70" s="20"/>
      <c r="I70" s="16"/>
    </row>
    <row r="71">
      <c r="A71" s="13"/>
      <c r="B71" s="13"/>
      <c r="C71" s="13"/>
      <c r="D71" s="16"/>
      <c r="E71" s="18"/>
      <c r="F71" s="18"/>
      <c r="G71" s="18"/>
      <c r="H71" s="20"/>
      <c r="I71" s="16"/>
    </row>
    <row r="72">
      <c r="A72" s="13"/>
      <c r="B72" s="13"/>
      <c r="C72" s="13"/>
      <c r="D72" s="16"/>
      <c r="E72" s="18"/>
      <c r="F72" s="18"/>
      <c r="G72" s="18"/>
      <c r="H72" s="20"/>
      <c r="I72" s="16"/>
    </row>
    <row r="73">
      <c r="A73" s="13"/>
      <c r="B73" s="13"/>
      <c r="C73" s="13"/>
      <c r="D73" s="16"/>
      <c r="E73" s="18"/>
      <c r="F73" s="18"/>
      <c r="G73" s="18"/>
      <c r="H73" s="20"/>
      <c r="I73" s="16"/>
    </row>
    <row r="74">
      <c r="A74" s="13"/>
      <c r="B74" s="20"/>
      <c r="C74" s="13"/>
      <c r="D74" s="16"/>
      <c r="E74" s="18"/>
      <c r="F74" s="18"/>
      <c r="G74" s="18"/>
      <c r="H74" s="20"/>
      <c r="I74" s="16"/>
    </row>
    <row r="75">
      <c r="A75" s="13"/>
      <c r="B75" s="20"/>
      <c r="C75" s="13"/>
      <c r="D75" s="16"/>
      <c r="E75" s="18"/>
      <c r="F75" s="18"/>
      <c r="G75" s="18"/>
      <c r="H75" s="20"/>
      <c r="I75" s="16"/>
    </row>
    <row r="76">
      <c r="A76" s="13"/>
      <c r="B76" s="20"/>
      <c r="C76" s="13"/>
      <c r="D76" s="16"/>
      <c r="E76" s="18"/>
      <c r="F76" s="18"/>
      <c r="G76" s="18"/>
      <c r="H76" s="20"/>
      <c r="I76" s="16"/>
    </row>
    <row r="77">
      <c r="A77" s="13"/>
      <c r="B77" s="20"/>
      <c r="C77" s="13"/>
      <c r="D77" s="16"/>
      <c r="E77" s="18"/>
      <c r="F77" s="18"/>
      <c r="G77" s="18"/>
      <c r="H77" s="20"/>
      <c r="I77" s="16"/>
    </row>
    <row r="78">
      <c r="A78" s="13"/>
      <c r="B78" s="20"/>
      <c r="C78" s="13"/>
      <c r="D78" s="16"/>
      <c r="E78" s="18"/>
      <c r="F78" s="18"/>
      <c r="G78" s="18"/>
      <c r="H78" s="20"/>
      <c r="I78" s="16"/>
    </row>
    <row r="79">
      <c r="A79" s="13"/>
      <c r="B79" s="20"/>
      <c r="C79" s="13"/>
      <c r="D79" s="16"/>
      <c r="E79" s="18"/>
      <c r="F79" s="18"/>
      <c r="G79" s="18"/>
      <c r="H79" s="20"/>
      <c r="I79" s="16"/>
    </row>
    <row r="80">
      <c r="A80" s="13"/>
      <c r="B80" s="20"/>
      <c r="C80" s="13"/>
      <c r="D80" s="16"/>
      <c r="E80" s="18"/>
      <c r="F80" s="18"/>
      <c r="G80" s="18"/>
      <c r="H80" s="20"/>
      <c r="I80" s="16"/>
    </row>
    <row r="81">
      <c r="A81" s="13"/>
      <c r="B81" s="20"/>
      <c r="C81" s="13"/>
      <c r="D81" s="16"/>
      <c r="E81" s="18"/>
      <c r="F81" s="18"/>
      <c r="G81" s="18"/>
      <c r="H81" s="20"/>
      <c r="I81" s="16"/>
    </row>
    <row r="82">
      <c r="A82" s="13"/>
      <c r="B82" s="20"/>
      <c r="C82" s="13"/>
      <c r="D82" s="16"/>
      <c r="E82" s="18"/>
      <c r="F82" s="18"/>
      <c r="G82" s="18"/>
      <c r="H82" s="20"/>
      <c r="I82" s="16"/>
    </row>
    <row r="83">
      <c r="A83" s="13"/>
      <c r="B83" s="20"/>
      <c r="C83" s="13"/>
      <c r="D83" s="16"/>
      <c r="E83" s="18"/>
      <c r="F83" s="18"/>
      <c r="G83" s="18"/>
      <c r="H83" s="20"/>
      <c r="I83" s="16"/>
    </row>
    <row r="84">
      <c r="A84" s="13"/>
      <c r="B84" s="20"/>
      <c r="C84" s="13"/>
      <c r="D84" s="16"/>
      <c r="E84" s="18"/>
      <c r="F84" s="18"/>
      <c r="G84" s="18"/>
      <c r="H84" s="20"/>
      <c r="I84" s="18"/>
    </row>
    <row r="85">
      <c r="A85" s="13"/>
      <c r="B85" s="20"/>
      <c r="C85" s="13"/>
      <c r="D85" s="16"/>
      <c r="E85" s="18"/>
      <c r="F85" s="18"/>
      <c r="G85" s="18"/>
      <c r="H85" s="20"/>
      <c r="I85" s="18"/>
    </row>
    <row r="86">
      <c r="A86" s="13"/>
      <c r="B86" s="20"/>
      <c r="C86" s="13"/>
      <c r="D86" s="16"/>
      <c r="E86" s="18"/>
      <c r="F86" s="18"/>
      <c r="G86" s="18"/>
      <c r="H86" s="20"/>
      <c r="I86" s="18"/>
    </row>
    <row r="87">
      <c r="A87" s="13"/>
      <c r="B87" s="20"/>
      <c r="C87" s="13"/>
      <c r="D87" s="16"/>
      <c r="E87" s="18"/>
      <c r="F87" s="18"/>
      <c r="G87" s="18"/>
      <c r="H87" s="20"/>
      <c r="I87" s="16"/>
    </row>
    <row r="88">
      <c r="A88" s="13"/>
      <c r="B88" s="20"/>
      <c r="C88" s="13"/>
      <c r="D88" s="16"/>
      <c r="E88" s="18"/>
      <c r="F88" s="18"/>
      <c r="G88" s="18"/>
      <c r="H88" s="20"/>
      <c r="I88" s="16"/>
    </row>
    <row r="89">
      <c r="A89" s="13"/>
      <c r="B89" s="20"/>
      <c r="C89" s="13"/>
      <c r="D89" s="16"/>
      <c r="E89" s="18"/>
      <c r="F89" s="18"/>
      <c r="G89" s="18"/>
      <c r="H89" s="20"/>
      <c r="I89" s="18"/>
    </row>
    <row r="90">
      <c r="A90" s="13"/>
      <c r="B90" s="20"/>
      <c r="C90" s="13"/>
      <c r="D90" s="16"/>
      <c r="E90" s="18"/>
      <c r="F90" s="18"/>
      <c r="G90" s="18"/>
      <c r="H90" s="20"/>
      <c r="I90" s="16"/>
    </row>
    <row r="91">
      <c r="A91" s="13"/>
      <c r="B91" s="20"/>
      <c r="C91" s="13"/>
      <c r="D91" s="16"/>
      <c r="E91" s="18"/>
      <c r="F91" s="18"/>
      <c r="G91" s="18"/>
      <c r="H91" s="20"/>
      <c r="I91" s="16"/>
    </row>
    <row r="92">
      <c r="A92" s="13"/>
      <c r="B92" s="20"/>
      <c r="C92" s="13"/>
      <c r="D92" s="16"/>
      <c r="E92" s="18"/>
      <c r="F92" s="18"/>
      <c r="G92" s="18"/>
      <c r="H92" s="20"/>
      <c r="I92" s="16"/>
    </row>
    <row r="93">
      <c r="A93" s="13"/>
      <c r="B93" s="20"/>
      <c r="C93" s="13"/>
      <c r="D93" s="16"/>
      <c r="E93" s="18"/>
      <c r="F93" s="18"/>
      <c r="G93" s="18"/>
      <c r="H93" s="20"/>
      <c r="I93" s="16"/>
    </row>
    <row r="94">
      <c r="A94" s="13"/>
      <c r="B94" s="20"/>
      <c r="C94" s="13"/>
      <c r="D94" s="16"/>
      <c r="E94" s="18"/>
      <c r="F94" s="18"/>
      <c r="G94" s="18"/>
      <c r="H94" s="20"/>
      <c r="I94" s="16"/>
    </row>
    <row r="95">
      <c r="A95" s="13"/>
      <c r="B95" s="20"/>
      <c r="C95" s="13"/>
      <c r="D95" s="16"/>
      <c r="E95" s="18"/>
      <c r="F95" s="18"/>
      <c r="G95" s="18"/>
      <c r="H95" s="20"/>
      <c r="I95" s="16"/>
    </row>
    <row r="96">
      <c r="A96" s="13"/>
      <c r="B96" s="20"/>
      <c r="C96" s="13"/>
      <c r="D96" s="16"/>
      <c r="E96" s="18"/>
      <c r="F96" s="18"/>
      <c r="G96" s="18"/>
      <c r="H96" s="20"/>
      <c r="I96" s="16"/>
    </row>
    <row r="97">
      <c r="A97" s="90"/>
      <c r="B97" s="91"/>
      <c r="C97" s="90"/>
      <c r="D97" s="92"/>
      <c r="E97" s="93"/>
      <c r="F97" s="93"/>
      <c r="G97" s="93"/>
      <c r="H97" s="91"/>
      <c r="I97" s="92"/>
    </row>
    <row r="98">
      <c r="A98" s="90"/>
      <c r="B98" s="91"/>
      <c r="C98" s="90"/>
      <c r="D98" s="92"/>
      <c r="E98" s="93"/>
      <c r="F98" s="93"/>
      <c r="G98" s="93"/>
      <c r="H98" s="91"/>
      <c r="I98" s="92"/>
    </row>
    <row r="99">
      <c r="A99" s="90"/>
      <c r="B99" s="91"/>
      <c r="C99" s="90"/>
      <c r="D99" s="92"/>
      <c r="E99" s="93"/>
      <c r="F99" s="93"/>
      <c r="G99" s="93"/>
      <c r="H99" s="91"/>
      <c r="I99" s="92"/>
    </row>
    <row r="100">
      <c r="A100" s="90"/>
      <c r="B100" s="91"/>
      <c r="C100" s="90"/>
      <c r="D100" s="92"/>
      <c r="E100" s="93"/>
      <c r="F100" s="93"/>
      <c r="G100" s="93"/>
      <c r="H100" s="91"/>
      <c r="I100" s="92"/>
    </row>
    <row r="101">
      <c r="A101" s="90"/>
      <c r="B101" s="91"/>
      <c r="C101" s="90"/>
      <c r="D101" s="92"/>
      <c r="E101" s="93"/>
      <c r="F101" s="93"/>
      <c r="G101" s="93"/>
      <c r="H101" s="91"/>
      <c r="I101" s="92"/>
    </row>
    <row r="102">
      <c r="A102" s="90"/>
      <c r="B102" s="91"/>
      <c r="C102" s="90"/>
      <c r="D102" s="92"/>
      <c r="E102" s="93"/>
      <c r="F102" s="93"/>
      <c r="G102" s="93"/>
      <c r="H102" s="91"/>
      <c r="I102" s="92"/>
    </row>
    <row r="103">
      <c r="A103" s="90"/>
      <c r="B103" s="91"/>
      <c r="C103" s="90"/>
      <c r="D103" s="92"/>
      <c r="E103" s="93"/>
      <c r="F103" s="93"/>
      <c r="G103" s="93"/>
      <c r="H103" s="91"/>
      <c r="I103" s="92"/>
    </row>
    <row r="104">
      <c r="A104" s="90"/>
      <c r="B104" s="91"/>
      <c r="C104" s="90"/>
      <c r="D104" s="92"/>
      <c r="E104" s="93"/>
      <c r="F104" s="93"/>
      <c r="G104" s="93"/>
      <c r="H104" s="91"/>
      <c r="I104" s="92"/>
    </row>
    <row r="105">
      <c r="A105" s="90"/>
      <c r="B105" s="91"/>
      <c r="C105" s="90"/>
      <c r="D105" s="92"/>
      <c r="E105" s="93"/>
      <c r="F105" s="93"/>
      <c r="G105" s="93"/>
      <c r="H105" s="91"/>
      <c r="I105" s="92"/>
    </row>
    <row r="106">
      <c r="A106" s="90"/>
      <c r="B106" s="91"/>
      <c r="C106" s="90"/>
      <c r="D106" s="92"/>
      <c r="E106" s="93"/>
      <c r="F106" s="93"/>
      <c r="G106" s="93"/>
      <c r="H106" s="91"/>
      <c r="I106" s="92"/>
    </row>
    <row r="107">
      <c r="A107" s="90"/>
      <c r="B107" s="91"/>
      <c r="C107" s="90"/>
      <c r="D107" s="92"/>
      <c r="E107" s="93"/>
      <c r="F107" s="93"/>
      <c r="G107" s="93"/>
      <c r="H107" s="91"/>
      <c r="I107" s="92"/>
    </row>
    <row r="108">
      <c r="A108" s="90"/>
      <c r="B108" s="91"/>
      <c r="C108" s="90"/>
      <c r="D108" s="92"/>
      <c r="E108" s="93"/>
      <c r="F108" s="93"/>
      <c r="G108" s="93"/>
      <c r="H108" s="91"/>
      <c r="I108" s="92"/>
    </row>
    <row r="109">
      <c r="A109" s="90"/>
      <c r="B109" s="91"/>
      <c r="C109" s="90"/>
      <c r="D109" s="92"/>
      <c r="E109" s="93"/>
      <c r="F109" s="93"/>
      <c r="G109" s="93"/>
      <c r="H109" s="91"/>
      <c r="I109" s="92"/>
    </row>
    <row r="110">
      <c r="A110" s="90"/>
      <c r="B110" s="91"/>
      <c r="C110" s="90"/>
      <c r="D110" s="92"/>
      <c r="E110" s="93"/>
      <c r="F110" s="93"/>
      <c r="G110" s="93"/>
      <c r="H110" s="91"/>
      <c r="I110" s="92"/>
    </row>
    <row r="111">
      <c r="A111" s="90"/>
      <c r="B111" s="91"/>
      <c r="C111" s="90"/>
      <c r="D111" s="92"/>
      <c r="E111" s="93"/>
      <c r="F111" s="93"/>
      <c r="G111" s="93"/>
      <c r="H111" s="91"/>
      <c r="I111" s="92"/>
    </row>
    <row r="112">
      <c r="A112" s="90"/>
      <c r="B112" s="91"/>
      <c r="C112" s="90"/>
      <c r="D112" s="92"/>
      <c r="E112" s="93"/>
      <c r="F112" s="93"/>
      <c r="G112" s="93"/>
      <c r="H112" s="91"/>
      <c r="I112" s="92"/>
    </row>
    <row r="113">
      <c r="A113" s="90"/>
      <c r="B113" s="91"/>
      <c r="C113" s="90"/>
      <c r="D113" s="92"/>
      <c r="E113" s="93"/>
      <c r="F113" s="93"/>
      <c r="G113" s="93"/>
      <c r="H113" s="91"/>
      <c r="I113" s="92"/>
    </row>
    <row r="114">
      <c r="A114" s="90"/>
      <c r="B114" s="91"/>
      <c r="C114" s="90"/>
      <c r="D114" s="92"/>
      <c r="E114" s="93"/>
      <c r="F114" s="93"/>
      <c r="G114" s="93"/>
      <c r="H114" s="91"/>
      <c r="I114" s="92"/>
    </row>
    <row r="115">
      <c r="A115" s="90"/>
      <c r="B115" s="91"/>
      <c r="C115" s="90"/>
      <c r="D115" s="92"/>
      <c r="E115" s="93"/>
      <c r="F115" s="93"/>
      <c r="G115" s="93"/>
      <c r="H115" s="91"/>
      <c r="I115" s="92"/>
    </row>
    <row r="116">
      <c r="A116" s="90"/>
      <c r="B116" s="91"/>
      <c r="C116" s="90"/>
      <c r="D116" s="92"/>
      <c r="E116" s="93"/>
      <c r="F116" s="93"/>
      <c r="G116" s="93"/>
      <c r="H116" s="91"/>
      <c r="I116" s="92"/>
    </row>
    <row r="117">
      <c r="A117" s="90"/>
      <c r="B117" s="91"/>
      <c r="C117" s="90"/>
      <c r="D117" s="92"/>
      <c r="E117" s="93"/>
      <c r="F117" s="93"/>
      <c r="G117" s="93"/>
      <c r="H117" s="91"/>
      <c r="I117" s="92"/>
    </row>
    <row r="118">
      <c r="A118" s="90"/>
      <c r="B118" s="91"/>
      <c r="C118" s="90"/>
      <c r="D118" s="92"/>
      <c r="E118" s="93"/>
      <c r="F118" s="93"/>
      <c r="G118" s="93"/>
      <c r="H118" s="91"/>
      <c r="I118" s="92"/>
    </row>
    <row r="119">
      <c r="A119" s="90"/>
      <c r="B119" s="91"/>
      <c r="C119" s="90"/>
      <c r="D119" s="92"/>
      <c r="E119" s="93"/>
      <c r="F119" s="93"/>
      <c r="G119" s="93"/>
      <c r="H119" s="91"/>
      <c r="I119" s="92"/>
    </row>
    <row r="120">
      <c r="A120" s="90"/>
      <c r="B120" s="91"/>
      <c r="C120" s="90"/>
      <c r="D120" s="92"/>
      <c r="E120" s="93"/>
      <c r="F120" s="93"/>
      <c r="G120" s="93"/>
      <c r="H120" s="91"/>
      <c r="I120" s="92"/>
    </row>
    <row r="121">
      <c r="A121" s="90"/>
      <c r="B121" s="91"/>
      <c r="C121" s="90"/>
      <c r="D121" s="92"/>
      <c r="E121" s="93"/>
      <c r="F121" s="93"/>
      <c r="G121" s="93"/>
      <c r="H121" s="91"/>
      <c r="I121" s="92"/>
    </row>
    <row r="122">
      <c r="A122" s="90"/>
      <c r="B122" s="91"/>
      <c r="C122" s="90"/>
      <c r="D122" s="92"/>
      <c r="E122" s="93"/>
      <c r="F122" s="93"/>
      <c r="G122" s="93"/>
      <c r="H122" s="91"/>
      <c r="I122" s="92"/>
    </row>
    <row r="123">
      <c r="A123" s="90"/>
      <c r="B123" s="91"/>
      <c r="C123" s="90"/>
      <c r="D123" s="92"/>
      <c r="E123" s="93"/>
      <c r="F123" s="93"/>
      <c r="G123" s="93"/>
      <c r="H123" s="91"/>
      <c r="I123" s="92"/>
    </row>
    <row r="124">
      <c r="A124" s="90"/>
      <c r="B124" s="91"/>
      <c r="C124" s="90"/>
      <c r="D124" s="92"/>
      <c r="E124" s="93"/>
      <c r="F124" s="93"/>
      <c r="G124" s="93"/>
      <c r="H124" s="91"/>
      <c r="I124" s="92"/>
    </row>
    <row r="125">
      <c r="A125" s="90"/>
      <c r="B125" s="91"/>
      <c r="C125" s="90"/>
      <c r="D125" s="92"/>
      <c r="E125" s="93"/>
      <c r="F125" s="93"/>
      <c r="G125" s="93"/>
      <c r="H125" s="91"/>
      <c r="I125" s="92"/>
    </row>
    <row r="126">
      <c r="A126" s="90"/>
      <c r="B126" s="91"/>
      <c r="C126" s="90"/>
      <c r="D126" s="92"/>
      <c r="E126" s="93"/>
      <c r="F126" s="93"/>
      <c r="G126" s="93"/>
      <c r="H126" s="91"/>
      <c r="I126" s="92"/>
    </row>
    <row r="127">
      <c r="A127" s="90"/>
      <c r="B127" s="91"/>
      <c r="C127" s="90"/>
      <c r="D127" s="92"/>
      <c r="E127" s="93"/>
      <c r="F127" s="93"/>
      <c r="G127" s="93"/>
      <c r="H127" s="91"/>
      <c r="I127" s="92"/>
    </row>
    <row r="128">
      <c r="A128" s="90"/>
      <c r="B128" s="91"/>
      <c r="C128" s="90"/>
      <c r="D128" s="92"/>
      <c r="E128" s="93"/>
      <c r="F128" s="93"/>
      <c r="G128" s="93"/>
      <c r="H128" s="91"/>
      <c r="I128" s="92"/>
    </row>
    <row r="129">
      <c r="A129" s="90"/>
      <c r="B129" s="91"/>
      <c r="C129" s="90"/>
      <c r="D129" s="92"/>
      <c r="E129" s="93"/>
      <c r="F129" s="93"/>
      <c r="G129" s="93"/>
      <c r="H129" s="91"/>
      <c r="I129" s="92"/>
    </row>
    <row r="130">
      <c r="A130" s="90"/>
      <c r="B130" s="91"/>
      <c r="C130" s="90"/>
      <c r="D130" s="92"/>
      <c r="E130" s="93"/>
      <c r="F130" s="93"/>
      <c r="G130" s="93"/>
      <c r="H130" s="91"/>
      <c r="I130" s="92"/>
    </row>
    <row r="131">
      <c r="A131" s="90"/>
      <c r="B131" s="91"/>
      <c r="C131" s="90"/>
      <c r="D131" s="92"/>
      <c r="E131" s="93"/>
      <c r="F131" s="93"/>
      <c r="G131" s="93"/>
      <c r="H131" s="91"/>
      <c r="I131" s="92"/>
    </row>
    <row r="132">
      <c r="A132" s="90"/>
      <c r="B132" s="91"/>
      <c r="C132" s="90"/>
      <c r="D132" s="92"/>
      <c r="E132" s="93"/>
      <c r="F132" s="93"/>
      <c r="G132" s="93"/>
      <c r="H132" s="91"/>
      <c r="I132" s="92"/>
    </row>
    <row r="133">
      <c r="A133" s="90"/>
      <c r="B133" s="91"/>
      <c r="C133" s="90"/>
      <c r="D133" s="92"/>
      <c r="E133" s="93"/>
      <c r="F133" s="93"/>
      <c r="G133" s="93"/>
      <c r="H133" s="91"/>
      <c r="I133" s="92"/>
    </row>
    <row r="134">
      <c r="A134" s="90"/>
      <c r="B134" s="91"/>
      <c r="C134" s="90"/>
      <c r="D134" s="92"/>
      <c r="E134" s="93"/>
      <c r="F134" s="93"/>
      <c r="G134" s="93"/>
      <c r="H134" s="91"/>
      <c r="I134" s="92"/>
    </row>
    <row r="135">
      <c r="A135" s="90"/>
      <c r="B135" s="91"/>
      <c r="C135" s="90"/>
      <c r="D135" s="92"/>
      <c r="E135" s="93"/>
      <c r="F135" s="93"/>
      <c r="G135" s="93"/>
      <c r="H135" s="91"/>
      <c r="I135" s="92"/>
    </row>
    <row r="136">
      <c r="A136" s="90"/>
      <c r="B136" s="91"/>
      <c r="C136" s="90"/>
      <c r="D136" s="92"/>
      <c r="E136" s="93"/>
      <c r="F136" s="93"/>
      <c r="G136" s="93"/>
      <c r="H136" s="91"/>
      <c r="I136" s="92"/>
    </row>
    <row r="137">
      <c r="A137" s="90"/>
      <c r="B137" s="91"/>
      <c r="C137" s="90"/>
      <c r="D137" s="92"/>
      <c r="E137" s="93"/>
      <c r="F137" s="93"/>
      <c r="G137" s="93"/>
      <c r="H137" s="91"/>
      <c r="I137" s="92"/>
    </row>
    <row r="138">
      <c r="A138" s="90"/>
      <c r="B138" s="91"/>
      <c r="C138" s="90"/>
      <c r="D138" s="92"/>
      <c r="E138" s="93"/>
      <c r="F138" s="93"/>
      <c r="G138" s="93"/>
      <c r="H138" s="91"/>
      <c r="I138" s="92"/>
    </row>
    <row r="139">
      <c r="A139" s="90"/>
      <c r="B139" s="91"/>
      <c r="C139" s="90"/>
      <c r="D139" s="92"/>
      <c r="E139" s="93"/>
      <c r="F139" s="93"/>
      <c r="G139" s="93"/>
      <c r="H139" s="91"/>
      <c r="I139" s="92"/>
    </row>
    <row r="140">
      <c r="A140" s="90"/>
      <c r="B140" s="91"/>
      <c r="C140" s="90"/>
      <c r="D140" s="92"/>
      <c r="E140" s="93"/>
      <c r="F140" s="93"/>
      <c r="G140" s="93"/>
      <c r="H140" s="91"/>
      <c r="I140" s="92"/>
    </row>
    <row r="141">
      <c r="A141" s="90"/>
      <c r="B141" s="91"/>
      <c r="C141" s="90"/>
      <c r="D141" s="92"/>
      <c r="E141" s="93"/>
      <c r="F141" s="93"/>
      <c r="G141" s="93"/>
      <c r="H141" s="91"/>
      <c r="I141" s="92"/>
    </row>
    <row r="142">
      <c r="A142" s="90"/>
      <c r="B142" s="91"/>
      <c r="C142" s="90"/>
      <c r="D142" s="92"/>
      <c r="E142" s="93"/>
      <c r="F142" s="93"/>
      <c r="G142" s="93"/>
      <c r="H142" s="91"/>
      <c r="I142" s="92"/>
    </row>
    <row r="143">
      <c r="A143" s="90"/>
      <c r="B143" s="91"/>
      <c r="C143" s="90"/>
      <c r="D143" s="92"/>
      <c r="E143" s="93"/>
      <c r="F143" s="93"/>
      <c r="G143" s="93"/>
      <c r="H143" s="91"/>
      <c r="I143" s="92"/>
    </row>
    <row r="144">
      <c r="A144" s="90"/>
      <c r="B144" s="91"/>
      <c r="C144" s="90"/>
      <c r="D144" s="92"/>
      <c r="E144" s="93"/>
      <c r="F144" s="93"/>
      <c r="G144" s="93"/>
      <c r="H144" s="91"/>
      <c r="I144" s="92"/>
    </row>
    <row r="145">
      <c r="A145" s="90"/>
      <c r="B145" s="91"/>
      <c r="C145" s="90"/>
      <c r="D145" s="92"/>
      <c r="E145" s="93"/>
      <c r="F145" s="93"/>
      <c r="G145" s="93"/>
      <c r="H145" s="91"/>
      <c r="I145" s="92"/>
    </row>
    <row r="146">
      <c r="A146" s="90"/>
      <c r="B146" s="91"/>
      <c r="C146" s="90"/>
      <c r="D146" s="92"/>
      <c r="E146" s="93"/>
      <c r="F146" s="93"/>
      <c r="G146" s="93"/>
      <c r="H146" s="91"/>
      <c r="I146" s="92"/>
    </row>
    <row r="147">
      <c r="A147" s="90"/>
      <c r="B147" s="91"/>
      <c r="C147" s="90"/>
      <c r="D147" s="92"/>
      <c r="E147" s="93"/>
      <c r="F147" s="93"/>
      <c r="G147" s="93"/>
      <c r="H147" s="91"/>
      <c r="I147" s="92"/>
    </row>
    <row r="148">
      <c r="A148" s="90"/>
      <c r="B148" s="91"/>
      <c r="C148" s="90"/>
      <c r="D148" s="92"/>
      <c r="E148" s="93"/>
      <c r="F148" s="93"/>
      <c r="G148" s="93"/>
      <c r="H148" s="91"/>
      <c r="I148" s="92"/>
    </row>
    <row r="149">
      <c r="A149" s="90"/>
      <c r="B149" s="91"/>
      <c r="C149" s="90"/>
      <c r="D149" s="92"/>
      <c r="E149" s="93"/>
      <c r="F149" s="93"/>
      <c r="G149" s="93"/>
      <c r="H149" s="91"/>
      <c r="I149" s="92"/>
    </row>
    <row r="150">
      <c r="A150" s="90"/>
      <c r="B150" s="91"/>
      <c r="C150" s="90"/>
      <c r="D150" s="92"/>
      <c r="E150" s="93"/>
      <c r="F150" s="93"/>
      <c r="G150" s="93"/>
      <c r="H150" s="91"/>
      <c r="I150" s="92"/>
    </row>
    <row r="151">
      <c r="A151" s="90"/>
      <c r="B151" s="91"/>
      <c r="C151" s="90"/>
      <c r="D151" s="92"/>
      <c r="E151" s="93"/>
      <c r="F151" s="93"/>
      <c r="G151" s="93"/>
      <c r="H151" s="91"/>
      <c r="I151" s="92"/>
    </row>
    <row r="152">
      <c r="A152" s="90"/>
      <c r="B152" s="91"/>
      <c r="C152" s="90"/>
      <c r="D152" s="92"/>
      <c r="E152" s="93"/>
      <c r="F152" s="93"/>
      <c r="G152" s="93"/>
      <c r="H152" s="91"/>
      <c r="I152" s="92"/>
    </row>
    <row r="153">
      <c r="A153" s="90"/>
      <c r="B153" s="91"/>
      <c r="C153" s="90"/>
      <c r="D153" s="92"/>
      <c r="E153" s="93"/>
      <c r="F153" s="93"/>
      <c r="G153" s="93"/>
      <c r="H153" s="91"/>
      <c r="I153" s="92"/>
    </row>
    <row r="154">
      <c r="A154" s="90"/>
      <c r="B154" s="91"/>
      <c r="C154" s="90"/>
      <c r="D154" s="92"/>
      <c r="E154" s="93"/>
      <c r="F154" s="93"/>
      <c r="G154" s="93"/>
      <c r="H154" s="91"/>
      <c r="I154" s="92"/>
    </row>
    <row r="155">
      <c r="A155" s="90"/>
      <c r="B155" s="91"/>
      <c r="C155" s="90"/>
      <c r="D155" s="92"/>
      <c r="E155" s="93"/>
      <c r="F155" s="93"/>
      <c r="G155" s="93"/>
      <c r="H155" s="91"/>
      <c r="I155" s="92"/>
    </row>
    <row r="156">
      <c r="A156" s="90"/>
      <c r="B156" s="91"/>
      <c r="C156" s="90"/>
      <c r="D156" s="92"/>
      <c r="E156" s="93"/>
      <c r="F156" s="93"/>
      <c r="G156" s="93"/>
      <c r="H156" s="91"/>
      <c r="I156" s="92"/>
    </row>
    <row r="157">
      <c r="A157" s="90"/>
      <c r="B157" s="91"/>
      <c r="C157" s="90"/>
      <c r="D157" s="92"/>
      <c r="E157" s="93"/>
      <c r="F157" s="93"/>
      <c r="G157" s="93"/>
      <c r="H157" s="91"/>
      <c r="I157" s="92"/>
    </row>
    <row r="158">
      <c r="A158" s="90"/>
      <c r="B158" s="91"/>
      <c r="C158" s="90"/>
      <c r="D158" s="92"/>
      <c r="E158" s="93"/>
      <c r="F158" s="93"/>
      <c r="G158" s="93"/>
      <c r="H158" s="91"/>
      <c r="I158" s="92"/>
    </row>
    <row r="159">
      <c r="A159" s="90"/>
      <c r="B159" s="91"/>
      <c r="C159" s="90"/>
      <c r="D159" s="92"/>
      <c r="E159" s="93"/>
      <c r="F159" s="93"/>
      <c r="G159" s="93"/>
      <c r="H159" s="91"/>
      <c r="I159" s="92"/>
    </row>
    <row r="160">
      <c r="A160" s="90"/>
      <c r="B160" s="91"/>
      <c r="C160" s="90"/>
      <c r="D160" s="92"/>
      <c r="E160" s="93"/>
      <c r="F160" s="93"/>
      <c r="G160" s="93"/>
      <c r="H160" s="91"/>
      <c r="I160" s="92"/>
    </row>
    <row r="161">
      <c r="A161" s="90"/>
      <c r="B161" s="91"/>
      <c r="C161" s="90"/>
      <c r="D161" s="92"/>
      <c r="E161" s="93"/>
      <c r="F161" s="93"/>
      <c r="G161" s="93"/>
      <c r="H161" s="91"/>
      <c r="I161" s="92"/>
    </row>
    <row r="162">
      <c r="A162" s="90"/>
      <c r="B162" s="91"/>
      <c r="C162" s="90"/>
      <c r="D162" s="92"/>
      <c r="E162" s="93"/>
      <c r="F162" s="93"/>
      <c r="G162" s="93"/>
      <c r="H162" s="91"/>
      <c r="I162" s="92"/>
    </row>
    <row r="163">
      <c r="A163" s="90"/>
      <c r="B163" s="91"/>
      <c r="C163" s="90"/>
      <c r="D163" s="92"/>
      <c r="E163" s="93"/>
      <c r="F163" s="93"/>
      <c r="G163" s="93"/>
      <c r="H163" s="91"/>
      <c r="I163" s="92"/>
    </row>
    <row r="164">
      <c r="A164" s="90"/>
      <c r="B164" s="91"/>
      <c r="C164" s="90"/>
      <c r="D164" s="92"/>
      <c r="E164" s="93"/>
      <c r="F164" s="93"/>
      <c r="G164" s="93"/>
      <c r="H164" s="91"/>
      <c r="I164" s="92"/>
    </row>
    <row r="165">
      <c r="A165" s="90"/>
      <c r="B165" s="91"/>
      <c r="C165" s="90"/>
      <c r="D165" s="92"/>
      <c r="E165" s="93"/>
      <c r="F165" s="93"/>
      <c r="G165" s="93"/>
      <c r="H165" s="91"/>
      <c r="I165" s="92"/>
    </row>
    <row r="166">
      <c r="A166" s="90"/>
      <c r="B166" s="91"/>
      <c r="C166" s="90"/>
      <c r="D166" s="92"/>
      <c r="E166" s="93"/>
      <c r="F166" s="93"/>
      <c r="G166" s="93"/>
      <c r="H166" s="91"/>
      <c r="I166" s="92"/>
    </row>
    <row r="167">
      <c r="A167" s="90"/>
      <c r="B167" s="91"/>
      <c r="C167" s="90"/>
      <c r="D167" s="92"/>
      <c r="E167" s="93"/>
      <c r="F167" s="93"/>
      <c r="G167" s="93"/>
      <c r="H167" s="91"/>
      <c r="I167" s="92"/>
    </row>
    <row r="168">
      <c r="A168" s="90"/>
      <c r="B168" s="91"/>
      <c r="C168" s="90"/>
      <c r="D168" s="92"/>
      <c r="E168" s="93"/>
      <c r="F168" s="93"/>
      <c r="G168" s="93"/>
      <c r="H168" s="91"/>
      <c r="I168" s="92"/>
    </row>
    <row r="169">
      <c r="A169" s="90"/>
      <c r="B169" s="91"/>
      <c r="C169" s="90"/>
      <c r="D169" s="92"/>
      <c r="E169" s="93"/>
      <c r="F169" s="93"/>
      <c r="G169" s="93"/>
      <c r="H169" s="91"/>
      <c r="I169" s="92"/>
    </row>
    <row r="170">
      <c r="A170" s="90"/>
      <c r="B170" s="91"/>
      <c r="C170" s="90"/>
      <c r="D170" s="92"/>
      <c r="E170" s="93"/>
      <c r="F170" s="93"/>
      <c r="G170" s="93"/>
      <c r="H170" s="91"/>
      <c r="I170" s="92"/>
    </row>
    <row r="171">
      <c r="A171" s="90"/>
      <c r="B171" s="91"/>
      <c r="C171" s="90"/>
      <c r="D171" s="92"/>
      <c r="E171" s="93"/>
      <c r="F171" s="93"/>
      <c r="G171" s="93"/>
      <c r="H171" s="91"/>
      <c r="I171" s="92"/>
    </row>
    <row r="172">
      <c r="A172" s="90"/>
      <c r="B172" s="91"/>
      <c r="C172" s="90"/>
      <c r="D172" s="92"/>
      <c r="E172" s="93"/>
      <c r="F172" s="93"/>
      <c r="G172" s="93"/>
      <c r="H172" s="91"/>
      <c r="I172" s="92"/>
    </row>
    <row r="173">
      <c r="A173" s="90"/>
      <c r="B173" s="91"/>
      <c r="C173" s="90"/>
      <c r="D173" s="92"/>
      <c r="E173" s="93"/>
      <c r="F173" s="93"/>
      <c r="G173" s="93"/>
      <c r="H173" s="91"/>
      <c r="I173" s="92"/>
    </row>
    <row r="174">
      <c r="A174" s="90"/>
      <c r="B174" s="91"/>
      <c r="C174" s="90"/>
      <c r="D174" s="92"/>
      <c r="E174" s="93"/>
      <c r="F174" s="93"/>
      <c r="G174" s="93"/>
      <c r="H174" s="91"/>
      <c r="I174" s="92"/>
    </row>
    <row r="175">
      <c r="A175" s="90"/>
      <c r="B175" s="91"/>
      <c r="C175" s="90"/>
      <c r="D175" s="92"/>
      <c r="E175" s="93"/>
      <c r="F175" s="93"/>
      <c r="G175" s="93"/>
      <c r="H175" s="91"/>
      <c r="I175" s="92"/>
    </row>
    <row r="176">
      <c r="A176" s="90"/>
      <c r="B176" s="91"/>
      <c r="C176" s="90"/>
      <c r="D176" s="92"/>
      <c r="E176" s="93"/>
      <c r="F176" s="93"/>
      <c r="G176" s="93"/>
      <c r="H176" s="91"/>
      <c r="I176" s="92"/>
    </row>
    <row r="177">
      <c r="A177" s="90"/>
      <c r="B177" s="91"/>
      <c r="C177" s="90"/>
      <c r="D177" s="92"/>
      <c r="E177" s="93"/>
      <c r="F177" s="93"/>
      <c r="G177" s="93"/>
      <c r="H177" s="91"/>
      <c r="I177" s="92"/>
    </row>
    <row r="178">
      <c r="A178" s="90"/>
      <c r="B178" s="91"/>
      <c r="C178" s="90"/>
      <c r="D178" s="92"/>
      <c r="E178" s="93"/>
      <c r="F178" s="93"/>
      <c r="G178" s="93"/>
      <c r="H178" s="91"/>
      <c r="I178" s="92"/>
    </row>
    <row r="179">
      <c r="A179" s="90"/>
      <c r="B179" s="91"/>
      <c r="C179" s="90"/>
      <c r="D179" s="92"/>
      <c r="E179" s="93"/>
      <c r="F179" s="93"/>
      <c r="G179" s="93"/>
      <c r="H179" s="91"/>
      <c r="I179" s="92"/>
    </row>
    <row r="180">
      <c r="A180" s="90"/>
      <c r="B180" s="91"/>
      <c r="C180" s="90"/>
      <c r="D180" s="92"/>
      <c r="E180" s="93"/>
      <c r="F180" s="93"/>
      <c r="G180" s="93"/>
      <c r="H180" s="91"/>
      <c r="I180" s="92"/>
    </row>
    <row r="181">
      <c r="A181" s="90"/>
      <c r="B181" s="91"/>
      <c r="C181" s="90"/>
      <c r="D181" s="92"/>
      <c r="E181" s="93"/>
      <c r="F181" s="93"/>
      <c r="G181" s="93"/>
      <c r="H181" s="91"/>
      <c r="I181" s="92"/>
    </row>
    <row r="182">
      <c r="A182" s="90"/>
      <c r="B182" s="91"/>
      <c r="C182" s="90"/>
      <c r="D182" s="92"/>
      <c r="E182" s="93"/>
      <c r="F182" s="93"/>
      <c r="G182" s="93"/>
      <c r="H182" s="91"/>
      <c r="I182" s="92"/>
    </row>
    <row r="183">
      <c r="A183" s="90"/>
      <c r="B183" s="91"/>
      <c r="C183" s="90"/>
      <c r="D183" s="92"/>
      <c r="E183" s="93"/>
      <c r="F183" s="93"/>
      <c r="G183" s="93"/>
      <c r="H183" s="91"/>
      <c r="I183" s="92"/>
    </row>
    <row r="184">
      <c r="A184" s="90"/>
      <c r="B184" s="91"/>
      <c r="C184" s="90"/>
      <c r="D184" s="92"/>
      <c r="E184" s="93"/>
      <c r="F184" s="93"/>
      <c r="G184" s="93"/>
      <c r="H184" s="91"/>
      <c r="I184" s="92"/>
    </row>
    <row r="185">
      <c r="A185" s="90"/>
      <c r="B185" s="91"/>
      <c r="C185" s="90"/>
      <c r="D185" s="92"/>
      <c r="E185" s="93"/>
      <c r="F185" s="93"/>
      <c r="G185" s="93"/>
      <c r="H185" s="91"/>
      <c r="I185" s="92"/>
    </row>
    <row r="186">
      <c r="A186" s="90"/>
      <c r="B186" s="91"/>
      <c r="C186" s="90"/>
      <c r="D186" s="92"/>
      <c r="E186" s="93"/>
      <c r="F186" s="93"/>
      <c r="G186" s="93"/>
      <c r="H186" s="91"/>
      <c r="I186" s="92"/>
    </row>
    <row r="187">
      <c r="A187" s="90"/>
      <c r="B187" s="91"/>
      <c r="C187" s="90"/>
      <c r="D187" s="92"/>
      <c r="E187" s="93"/>
      <c r="F187" s="93"/>
      <c r="G187" s="93"/>
      <c r="H187" s="91"/>
      <c r="I187" s="92"/>
    </row>
    <row r="188">
      <c r="A188" s="90"/>
      <c r="B188" s="91"/>
      <c r="C188" s="90"/>
      <c r="D188" s="92"/>
      <c r="E188" s="93"/>
      <c r="F188" s="93"/>
      <c r="G188" s="93"/>
      <c r="H188" s="91"/>
      <c r="I188" s="92"/>
    </row>
    <row r="189">
      <c r="A189" s="90"/>
      <c r="B189" s="91"/>
      <c r="C189" s="90"/>
      <c r="D189" s="92"/>
      <c r="E189" s="93"/>
      <c r="F189" s="93"/>
      <c r="G189" s="93"/>
      <c r="H189" s="91"/>
      <c r="I189" s="92"/>
    </row>
    <row r="190">
      <c r="A190" s="90"/>
      <c r="B190" s="91"/>
      <c r="C190" s="90"/>
      <c r="D190" s="92"/>
      <c r="E190" s="93"/>
      <c r="F190" s="93"/>
      <c r="G190" s="93"/>
      <c r="H190" s="91"/>
      <c r="I190" s="92"/>
    </row>
    <row r="191">
      <c r="A191" s="90"/>
      <c r="B191" s="91"/>
      <c r="C191" s="90"/>
      <c r="D191" s="92"/>
      <c r="E191" s="93"/>
      <c r="F191" s="93"/>
      <c r="G191" s="93"/>
      <c r="H191" s="91"/>
      <c r="I191" s="92"/>
    </row>
    <row r="192">
      <c r="A192" s="90"/>
      <c r="B192" s="91"/>
      <c r="C192" s="90"/>
      <c r="D192" s="92"/>
      <c r="E192" s="93"/>
      <c r="F192" s="93"/>
      <c r="G192" s="93"/>
      <c r="H192" s="91"/>
      <c r="I192" s="92"/>
    </row>
    <row r="193">
      <c r="A193" s="90"/>
      <c r="B193" s="91"/>
      <c r="C193" s="90"/>
      <c r="D193" s="92"/>
      <c r="E193" s="93"/>
      <c r="F193" s="93"/>
      <c r="G193" s="93"/>
      <c r="H193" s="91"/>
      <c r="I193" s="92"/>
    </row>
    <row r="194">
      <c r="A194" s="90"/>
      <c r="B194" s="91"/>
      <c r="C194" s="90"/>
      <c r="D194" s="92"/>
      <c r="E194" s="93"/>
      <c r="F194" s="93"/>
      <c r="G194" s="93"/>
      <c r="H194" s="91"/>
      <c r="I194" s="92"/>
    </row>
    <row r="195">
      <c r="A195" s="90"/>
      <c r="B195" s="91"/>
      <c r="C195" s="90"/>
      <c r="D195" s="92"/>
      <c r="E195" s="93"/>
      <c r="F195" s="93"/>
      <c r="G195" s="93"/>
      <c r="H195" s="91"/>
      <c r="I195" s="92"/>
    </row>
    <row r="196">
      <c r="A196" s="90"/>
      <c r="B196" s="91"/>
      <c r="C196" s="90"/>
      <c r="D196" s="92"/>
      <c r="E196" s="93"/>
      <c r="F196" s="93"/>
      <c r="G196" s="93"/>
      <c r="H196" s="91"/>
      <c r="I196" s="92"/>
    </row>
    <row r="197">
      <c r="A197" s="90"/>
      <c r="B197" s="91"/>
      <c r="C197" s="90"/>
      <c r="D197" s="92"/>
      <c r="E197" s="93"/>
      <c r="F197" s="93"/>
      <c r="G197" s="93"/>
      <c r="H197" s="91"/>
      <c r="I197" s="92"/>
    </row>
    <row r="198">
      <c r="A198" s="90"/>
      <c r="B198" s="91"/>
      <c r="C198" s="90"/>
      <c r="D198" s="92"/>
      <c r="E198" s="93"/>
      <c r="F198" s="93"/>
      <c r="G198" s="93"/>
      <c r="H198" s="91"/>
      <c r="I198" s="92"/>
    </row>
    <row r="199">
      <c r="A199" s="90"/>
      <c r="B199" s="91"/>
      <c r="C199" s="90"/>
      <c r="D199" s="92"/>
      <c r="E199" s="93"/>
      <c r="F199" s="93"/>
      <c r="G199" s="93"/>
      <c r="H199" s="91"/>
      <c r="I199" s="92"/>
    </row>
    <row r="200">
      <c r="A200" s="90"/>
      <c r="B200" s="91"/>
      <c r="C200" s="90"/>
      <c r="D200" s="92"/>
      <c r="E200" s="93"/>
      <c r="F200" s="93"/>
      <c r="G200" s="93"/>
      <c r="H200" s="91"/>
      <c r="I200" s="92"/>
    </row>
    <row r="201">
      <c r="A201" s="90"/>
      <c r="B201" s="91"/>
      <c r="C201" s="90"/>
      <c r="D201" s="92"/>
      <c r="E201" s="93"/>
      <c r="F201" s="93"/>
      <c r="G201" s="93"/>
      <c r="H201" s="91"/>
      <c r="I201" s="92"/>
    </row>
    <row r="202">
      <c r="A202" s="90"/>
      <c r="B202" s="91"/>
      <c r="C202" s="90"/>
      <c r="D202" s="92"/>
      <c r="E202" s="93"/>
      <c r="F202" s="93"/>
      <c r="G202" s="93"/>
      <c r="H202" s="91"/>
      <c r="I202" s="92"/>
    </row>
    <row r="203">
      <c r="A203" s="90"/>
      <c r="B203" s="91"/>
      <c r="C203" s="90"/>
      <c r="D203" s="92"/>
      <c r="E203" s="93"/>
      <c r="F203" s="93"/>
      <c r="G203" s="93"/>
      <c r="H203" s="91"/>
      <c r="I203" s="92"/>
    </row>
    <row r="204">
      <c r="A204" s="90"/>
      <c r="B204" s="91"/>
      <c r="C204" s="90"/>
      <c r="D204" s="92"/>
      <c r="E204" s="93"/>
      <c r="F204" s="93"/>
      <c r="G204" s="93"/>
      <c r="H204" s="91"/>
      <c r="I204" s="92"/>
    </row>
    <row r="205">
      <c r="A205" s="90"/>
      <c r="B205" s="91"/>
      <c r="C205" s="90"/>
      <c r="D205" s="92"/>
      <c r="E205" s="93"/>
      <c r="F205" s="93"/>
      <c r="G205" s="93"/>
      <c r="H205" s="91"/>
      <c r="I205" s="92"/>
    </row>
    <row r="206">
      <c r="A206" s="90"/>
      <c r="B206" s="91"/>
      <c r="C206" s="90"/>
      <c r="D206" s="92"/>
      <c r="E206" s="93"/>
      <c r="F206" s="93"/>
      <c r="G206" s="93"/>
      <c r="H206" s="91"/>
      <c r="I206" s="92"/>
    </row>
    <row r="207">
      <c r="A207" s="90"/>
      <c r="B207" s="91"/>
      <c r="C207" s="90"/>
      <c r="D207" s="92"/>
      <c r="E207" s="93"/>
      <c r="F207" s="93"/>
      <c r="G207" s="93"/>
      <c r="H207" s="91"/>
      <c r="I207" s="92"/>
    </row>
    <row r="208">
      <c r="A208" s="90"/>
      <c r="B208" s="91"/>
      <c r="C208" s="90"/>
      <c r="D208" s="92"/>
      <c r="E208" s="93"/>
      <c r="F208" s="93"/>
      <c r="G208" s="93"/>
      <c r="H208" s="91"/>
      <c r="I208" s="92"/>
    </row>
    <row r="209">
      <c r="A209" s="90"/>
      <c r="B209" s="91"/>
      <c r="C209" s="90"/>
      <c r="D209" s="92"/>
      <c r="E209" s="93"/>
      <c r="F209" s="93"/>
      <c r="G209" s="93"/>
      <c r="H209" s="91"/>
      <c r="I209" s="92"/>
    </row>
    <row r="210">
      <c r="A210" s="90"/>
      <c r="B210" s="91"/>
      <c r="C210" s="90"/>
      <c r="D210" s="92"/>
      <c r="E210" s="93"/>
      <c r="F210" s="93"/>
      <c r="G210" s="93"/>
      <c r="H210" s="91"/>
      <c r="I210" s="92"/>
    </row>
    <row r="211">
      <c r="A211" s="90"/>
      <c r="B211" s="91"/>
      <c r="C211" s="90"/>
      <c r="D211" s="92"/>
      <c r="E211" s="93"/>
      <c r="F211" s="93"/>
      <c r="G211" s="93"/>
      <c r="H211" s="91"/>
      <c r="I211" s="92"/>
    </row>
    <row r="212">
      <c r="A212" s="90"/>
      <c r="B212" s="91"/>
      <c r="C212" s="90"/>
      <c r="D212" s="92"/>
      <c r="E212" s="93"/>
      <c r="F212" s="93"/>
      <c r="G212" s="93"/>
      <c r="H212" s="91"/>
      <c r="I212" s="92"/>
    </row>
    <row r="213">
      <c r="A213" s="90"/>
      <c r="B213" s="91"/>
      <c r="C213" s="90"/>
      <c r="D213" s="92"/>
      <c r="E213" s="93"/>
      <c r="F213" s="93"/>
      <c r="G213" s="93"/>
      <c r="H213" s="91"/>
      <c r="I213" s="92"/>
    </row>
    <row r="214">
      <c r="A214" s="90"/>
      <c r="B214" s="91"/>
      <c r="C214" s="90"/>
      <c r="D214" s="92"/>
      <c r="E214" s="93"/>
      <c r="F214" s="93"/>
      <c r="G214" s="93"/>
      <c r="H214" s="91"/>
      <c r="I214" s="92"/>
    </row>
    <row r="215">
      <c r="A215" s="90"/>
      <c r="B215" s="91"/>
      <c r="C215" s="90"/>
      <c r="D215" s="92"/>
      <c r="E215" s="93"/>
      <c r="F215" s="93"/>
      <c r="G215" s="93"/>
      <c r="H215" s="91"/>
      <c r="I215" s="92"/>
    </row>
    <row r="216">
      <c r="A216" s="90"/>
      <c r="B216" s="91"/>
      <c r="C216" s="90"/>
      <c r="D216" s="92"/>
      <c r="E216" s="93"/>
      <c r="F216" s="93"/>
      <c r="G216" s="93"/>
      <c r="H216" s="91"/>
      <c r="I216" s="92"/>
    </row>
    <row r="217">
      <c r="A217" s="90"/>
      <c r="B217" s="91"/>
      <c r="C217" s="90"/>
      <c r="D217" s="92"/>
      <c r="E217" s="93"/>
      <c r="F217" s="93"/>
      <c r="G217" s="93"/>
      <c r="H217" s="91"/>
      <c r="I217" s="92"/>
    </row>
    <row r="218">
      <c r="A218" s="90"/>
      <c r="B218" s="91"/>
      <c r="C218" s="90"/>
      <c r="D218" s="92"/>
      <c r="E218" s="93"/>
      <c r="F218" s="93"/>
      <c r="G218" s="93"/>
      <c r="H218" s="91"/>
      <c r="I218" s="92"/>
    </row>
    <row r="219">
      <c r="A219" s="90"/>
      <c r="B219" s="91"/>
      <c r="C219" s="90"/>
      <c r="D219" s="92"/>
      <c r="E219" s="93"/>
      <c r="F219" s="93"/>
      <c r="G219" s="93"/>
      <c r="H219" s="91"/>
      <c r="I219" s="92"/>
    </row>
    <row r="220">
      <c r="A220" s="90"/>
      <c r="B220" s="91"/>
      <c r="C220" s="90"/>
      <c r="D220" s="92"/>
      <c r="E220" s="93"/>
      <c r="F220" s="93"/>
      <c r="G220" s="93"/>
      <c r="H220" s="91"/>
      <c r="I220" s="92"/>
    </row>
    <row r="221">
      <c r="A221" s="90"/>
      <c r="B221" s="91"/>
      <c r="C221" s="90"/>
      <c r="D221" s="92"/>
      <c r="E221" s="93"/>
      <c r="F221" s="93"/>
      <c r="G221" s="93"/>
      <c r="H221" s="91"/>
      <c r="I221" s="92"/>
    </row>
    <row r="222">
      <c r="A222" s="90"/>
      <c r="B222" s="91"/>
      <c r="C222" s="90"/>
      <c r="D222" s="92"/>
      <c r="E222" s="93"/>
      <c r="F222" s="93"/>
      <c r="G222" s="93"/>
      <c r="H222" s="91"/>
      <c r="I222" s="92"/>
    </row>
    <row r="223">
      <c r="A223" s="90"/>
      <c r="B223" s="91"/>
      <c r="C223" s="90"/>
      <c r="D223" s="92"/>
      <c r="E223" s="93"/>
      <c r="F223" s="93"/>
      <c r="G223" s="93"/>
      <c r="H223" s="91"/>
      <c r="I223" s="92"/>
    </row>
    <row r="224">
      <c r="A224" s="90"/>
      <c r="B224" s="91"/>
      <c r="C224" s="90"/>
      <c r="D224" s="92"/>
      <c r="E224" s="93"/>
      <c r="F224" s="93"/>
      <c r="G224" s="93"/>
      <c r="H224" s="91"/>
      <c r="I224" s="92"/>
    </row>
    <row r="225">
      <c r="A225" s="90"/>
      <c r="B225" s="91"/>
      <c r="C225" s="90"/>
      <c r="D225" s="92"/>
      <c r="E225" s="93"/>
      <c r="F225" s="93"/>
      <c r="G225" s="93"/>
      <c r="H225" s="91"/>
      <c r="I225" s="92"/>
    </row>
    <row r="226">
      <c r="A226" s="90"/>
      <c r="B226" s="91"/>
      <c r="C226" s="90"/>
      <c r="D226" s="92"/>
      <c r="E226" s="93"/>
      <c r="F226" s="93"/>
      <c r="G226" s="93"/>
      <c r="H226" s="91"/>
      <c r="I226" s="92"/>
    </row>
    <row r="227">
      <c r="A227" s="90"/>
      <c r="B227" s="91"/>
      <c r="C227" s="90"/>
      <c r="D227" s="92"/>
      <c r="E227" s="93"/>
      <c r="F227" s="93"/>
      <c r="G227" s="93"/>
      <c r="H227" s="91"/>
      <c r="I227" s="92"/>
    </row>
    <row r="228">
      <c r="A228" s="90"/>
      <c r="B228" s="91"/>
      <c r="C228" s="90"/>
      <c r="D228" s="92"/>
      <c r="E228" s="93"/>
      <c r="F228" s="93"/>
      <c r="G228" s="93"/>
      <c r="H228" s="91"/>
      <c r="I228" s="92"/>
    </row>
    <row r="229">
      <c r="A229" s="90"/>
      <c r="B229" s="91"/>
      <c r="C229" s="90"/>
      <c r="D229" s="92"/>
      <c r="E229" s="93"/>
      <c r="F229" s="93"/>
      <c r="G229" s="93"/>
      <c r="H229" s="91"/>
      <c r="I229" s="92"/>
    </row>
    <row r="230">
      <c r="A230" s="90"/>
      <c r="B230" s="91"/>
      <c r="C230" s="90"/>
      <c r="D230" s="92"/>
      <c r="E230" s="93"/>
      <c r="F230" s="93"/>
      <c r="G230" s="93"/>
      <c r="H230" s="91"/>
      <c r="I230" s="92"/>
    </row>
    <row r="231">
      <c r="A231" s="90"/>
      <c r="B231" s="91"/>
      <c r="C231" s="90"/>
      <c r="D231" s="92"/>
      <c r="E231" s="93"/>
      <c r="F231" s="93"/>
      <c r="G231" s="93"/>
      <c r="H231" s="91"/>
      <c r="I231" s="92"/>
    </row>
    <row r="232">
      <c r="A232" s="90"/>
      <c r="B232" s="91"/>
      <c r="C232" s="90"/>
      <c r="D232" s="92"/>
      <c r="E232" s="93"/>
      <c r="F232" s="93"/>
      <c r="G232" s="93"/>
      <c r="H232" s="91"/>
      <c r="I232" s="92"/>
    </row>
    <row r="233">
      <c r="A233" s="90"/>
      <c r="B233" s="91"/>
      <c r="C233" s="90"/>
      <c r="D233" s="92"/>
      <c r="E233" s="93"/>
      <c r="F233" s="93"/>
      <c r="G233" s="93"/>
      <c r="H233" s="91"/>
      <c r="I233" s="92"/>
    </row>
    <row r="234">
      <c r="A234" s="90"/>
      <c r="B234" s="91"/>
      <c r="C234" s="90"/>
      <c r="D234" s="92"/>
      <c r="E234" s="93"/>
      <c r="F234" s="93"/>
      <c r="G234" s="93"/>
      <c r="H234" s="91"/>
      <c r="I234" s="92"/>
    </row>
    <row r="235">
      <c r="A235" s="90"/>
      <c r="B235" s="91"/>
      <c r="C235" s="90"/>
      <c r="D235" s="92"/>
      <c r="E235" s="93"/>
      <c r="F235" s="93"/>
      <c r="G235" s="93"/>
      <c r="H235" s="91"/>
      <c r="I235" s="92"/>
    </row>
    <row r="236">
      <c r="A236" s="90"/>
      <c r="B236" s="91"/>
      <c r="C236" s="90"/>
      <c r="D236" s="92"/>
      <c r="E236" s="93"/>
      <c r="F236" s="93"/>
      <c r="G236" s="93"/>
      <c r="H236" s="91"/>
      <c r="I236" s="92"/>
    </row>
    <row r="237">
      <c r="A237" s="90"/>
      <c r="B237" s="91"/>
      <c r="C237" s="90"/>
      <c r="D237" s="92"/>
      <c r="E237" s="93"/>
      <c r="F237" s="93"/>
      <c r="G237" s="93"/>
      <c r="H237" s="91"/>
      <c r="I237" s="92"/>
    </row>
    <row r="238">
      <c r="A238" s="90"/>
      <c r="B238" s="91"/>
      <c r="C238" s="90"/>
      <c r="D238" s="92"/>
      <c r="E238" s="93"/>
      <c r="F238" s="93"/>
      <c r="G238" s="93"/>
      <c r="H238" s="91"/>
      <c r="I238" s="92"/>
    </row>
    <row r="239">
      <c r="A239" s="90"/>
      <c r="B239" s="91"/>
      <c r="C239" s="90"/>
      <c r="D239" s="92"/>
      <c r="E239" s="93"/>
      <c r="F239" s="93"/>
      <c r="G239" s="93"/>
      <c r="H239" s="91"/>
      <c r="I239" s="92"/>
    </row>
    <row r="240">
      <c r="A240" s="90"/>
      <c r="B240" s="91"/>
      <c r="C240" s="90"/>
      <c r="D240" s="92"/>
      <c r="E240" s="93"/>
      <c r="F240" s="93"/>
      <c r="G240" s="93"/>
      <c r="H240" s="91"/>
      <c r="I240" s="92"/>
    </row>
    <row r="241">
      <c r="A241" s="90"/>
      <c r="B241" s="91"/>
      <c r="C241" s="90"/>
      <c r="D241" s="92"/>
      <c r="E241" s="93"/>
      <c r="F241" s="93"/>
      <c r="G241" s="93"/>
      <c r="H241" s="91"/>
      <c r="I241" s="92"/>
    </row>
    <row r="242">
      <c r="A242" s="90"/>
      <c r="B242" s="91"/>
      <c r="C242" s="90"/>
      <c r="D242" s="92"/>
      <c r="E242" s="93"/>
      <c r="F242" s="93"/>
      <c r="G242" s="93"/>
      <c r="H242" s="91"/>
      <c r="I242" s="92"/>
    </row>
    <row r="243">
      <c r="A243" s="90"/>
      <c r="B243" s="91"/>
      <c r="C243" s="90"/>
      <c r="D243" s="92"/>
      <c r="E243" s="93"/>
      <c r="F243" s="93"/>
      <c r="G243" s="93"/>
      <c r="H243" s="91"/>
      <c r="I243" s="92"/>
    </row>
    <row r="244">
      <c r="A244" s="90"/>
      <c r="B244" s="91"/>
      <c r="C244" s="90"/>
      <c r="D244" s="92"/>
      <c r="E244" s="93"/>
      <c r="F244" s="93"/>
      <c r="G244" s="93"/>
      <c r="H244" s="91"/>
      <c r="I244" s="92"/>
    </row>
    <row r="245">
      <c r="A245" s="90"/>
      <c r="B245" s="91"/>
      <c r="C245" s="90"/>
      <c r="D245" s="92"/>
      <c r="E245" s="93"/>
      <c r="F245" s="93"/>
      <c r="G245" s="93"/>
      <c r="H245" s="91"/>
      <c r="I245" s="92"/>
    </row>
    <row r="246">
      <c r="A246" s="90"/>
      <c r="B246" s="91"/>
      <c r="C246" s="90"/>
      <c r="D246" s="92"/>
      <c r="E246" s="93"/>
      <c r="F246" s="93"/>
      <c r="G246" s="93"/>
      <c r="H246" s="91"/>
      <c r="I246" s="92"/>
    </row>
    <row r="247">
      <c r="A247" s="90"/>
      <c r="B247" s="91"/>
      <c r="C247" s="90"/>
      <c r="D247" s="92"/>
      <c r="E247" s="93"/>
      <c r="F247" s="93"/>
      <c r="G247" s="93"/>
      <c r="H247" s="91"/>
      <c r="I247" s="92"/>
    </row>
    <row r="248">
      <c r="A248" s="90"/>
      <c r="B248" s="91"/>
      <c r="C248" s="90"/>
      <c r="D248" s="92"/>
      <c r="E248" s="93"/>
      <c r="F248" s="93"/>
      <c r="G248" s="93"/>
      <c r="H248" s="91"/>
      <c r="I248" s="92"/>
    </row>
    <row r="249">
      <c r="A249" s="90"/>
      <c r="B249" s="91"/>
      <c r="C249" s="90"/>
      <c r="D249" s="92"/>
      <c r="E249" s="93"/>
      <c r="F249" s="93"/>
      <c r="G249" s="93"/>
      <c r="H249" s="91"/>
      <c r="I249" s="92"/>
    </row>
    <row r="250">
      <c r="A250" s="90"/>
      <c r="B250" s="91"/>
      <c r="C250" s="90"/>
      <c r="D250" s="92"/>
      <c r="E250" s="93"/>
      <c r="F250" s="93"/>
      <c r="G250" s="93"/>
      <c r="H250" s="91"/>
      <c r="I250" s="92"/>
    </row>
    <row r="251">
      <c r="A251" s="90"/>
      <c r="B251" s="91"/>
      <c r="C251" s="90"/>
      <c r="D251" s="92"/>
      <c r="E251" s="93"/>
      <c r="F251" s="93"/>
      <c r="G251" s="93"/>
      <c r="H251" s="91"/>
      <c r="I251" s="92"/>
    </row>
    <row r="252">
      <c r="A252" s="90"/>
      <c r="B252" s="91"/>
      <c r="C252" s="90"/>
      <c r="D252" s="92"/>
      <c r="E252" s="93"/>
      <c r="F252" s="93"/>
      <c r="G252" s="93"/>
      <c r="H252" s="91"/>
      <c r="I252" s="92"/>
    </row>
    <row r="253">
      <c r="A253" s="90"/>
      <c r="B253" s="91"/>
      <c r="C253" s="90"/>
      <c r="D253" s="92"/>
      <c r="E253" s="93"/>
      <c r="F253" s="93"/>
      <c r="G253" s="93"/>
      <c r="H253" s="91"/>
      <c r="I253" s="92"/>
    </row>
    <row r="254">
      <c r="A254" s="90"/>
      <c r="B254" s="91"/>
      <c r="C254" s="90"/>
      <c r="D254" s="92"/>
      <c r="E254" s="93"/>
      <c r="F254" s="93"/>
      <c r="G254" s="93"/>
      <c r="H254" s="91"/>
      <c r="I254" s="92"/>
    </row>
    <row r="255">
      <c r="A255" s="90"/>
      <c r="B255" s="91"/>
      <c r="C255" s="90"/>
      <c r="D255" s="92"/>
      <c r="E255" s="93"/>
      <c r="F255" s="93"/>
      <c r="G255" s="93"/>
      <c r="H255" s="91"/>
      <c r="I255" s="92"/>
    </row>
    <row r="256">
      <c r="A256" s="90"/>
      <c r="B256" s="91"/>
      <c r="C256" s="90"/>
      <c r="D256" s="92"/>
      <c r="E256" s="93"/>
      <c r="F256" s="93"/>
      <c r="G256" s="93"/>
      <c r="H256" s="91"/>
      <c r="I256" s="92"/>
    </row>
    <row r="257">
      <c r="A257" s="90"/>
      <c r="B257" s="91"/>
      <c r="C257" s="90"/>
      <c r="D257" s="92"/>
      <c r="E257" s="93"/>
      <c r="F257" s="93"/>
      <c r="G257" s="93"/>
      <c r="H257" s="91"/>
      <c r="I257" s="92"/>
    </row>
    <row r="258">
      <c r="A258" s="90"/>
      <c r="B258" s="91"/>
      <c r="C258" s="90"/>
      <c r="D258" s="92"/>
      <c r="E258" s="93"/>
      <c r="F258" s="93"/>
      <c r="G258" s="93"/>
      <c r="H258" s="91"/>
      <c r="I258" s="92"/>
    </row>
    <row r="259">
      <c r="A259" s="90"/>
      <c r="B259" s="91"/>
      <c r="C259" s="90"/>
      <c r="D259" s="92"/>
      <c r="E259" s="93"/>
      <c r="F259" s="93"/>
      <c r="G259" s="93"/>
      <c r="H259" s="91"/>
      <c r="I259" s="92"/>
    </row>
    <row r="260">
      <c r="A260" s="90"/>
      <c r="B260" s="91"/>
      <c r="C260" s="90"/>
      <c r="D260" s="92"/>
      <c r="E260" s="93"/>
      <c r="F260" s="93"/>
      <c r="G260" s="93"/>
      <c r="H260" s="91"/>
      <c r="I260" s="92"/>
    </row>
    <row r="261">
      <c r="A261" s="90"/>
      <c r="B261" s="91"/>
      <c r="C261" s="90"/>
      <c r="D261" s="92"/>
      <c r="E261" s="93"/>
      <c r="F261" s="93"/>
      <c r="G261" s="93"/>
      <c r="H261" s="91"/>
      <c r="I261" s="92"/>
    </row>
    <row r="262">
      <c r="A262" s="90"/>
      <c r="B262" s="91"/>
      <c r="C262" s="90"/>
      <c r="D262" s="92"/>
      <c r="E262" s="93"/>
      <c r="F262" s="93"/>
      <c r="G262" s="93"/>
      <c r="H262" s="91"/>
      <c r="I262" s="92"/>
    </row>
    <row r="263">
      <c r="A263" s="90"/>
      <c r="B263" s="91"/>
      <c r="C263" s="90"/>
      <c r="D263" s="92"/>
      <c r="E263" s="93"/>
      <c r="F263" s="93"/>
      <c r="G263" s="93"/>
      <c r="H263" s="91"/>
      <c r="I263" s="92"/>
    </row>
    <row r="264">
      <c r="A264" s="90"/>
      <c r="B264" s="91"/>
      <c r="C264" s="90"/>
      <c r="D264" s="92"/>
      <c r="E264" s="93"/>
      <c r="F264" s="93"/>
      <c r="G264" s="93"/>
      <c r="H264" s="91"/>
      <c r="I264" s="92"/>
    </row>
    <row r="265">
      <c r="A265" s="90"/>
      <c r="B265" s="91"/>
      <c r="C265" s="90"/>
      <c r="D265" s="92"/>
      <c r="E265" s="93"/>
      <c r="F265" s="93"/>
      <c r="G265" s="93"/>
      <c r="H265" s="91"/>
      <c r="I265" s="92"/>
    </row>
    <row r="266">
      <c r="A266" s="90"/>
      <c r="B266" s="91"/>
      <c r="C266" s="90"/>
      <c r="D266" s="92"/>
      <c r="E266" s="93"/>
      <c r="F266" s="93"/>
      <c r="G266" s="93"/>
      <c r="H266" s="91"/>
      <c r="I266" s="92"/>
    </row>
    <row r="267">
      <c r="A267" s="90"/>
      <c r="B267" s="91"/>
      <c r="C267" s="90"/>
      <c r="D267" s="92"/>
      <c r="E267" s="93"/>
      <c r="F267" s="93"/>
      <c r="G267" s="93"/>
      <c r="H267" s="91"/>
      <c r="I267" s="92"/>
    </row>
    <row r="268">
      <c r="A268" s="90"/>
      <c r="B268" s="91"/>
      <c r="C268" s="90"/>
      <c r="D268" s="92"/>
      <c r="E268" s="93"/>
      <c r="F268" s="93"/>
      <c r="G268" s="93"/>
      <c r="H268" s="91"/>
      <c r="I268" s="92"/>
    </row>
    <row r="269">
      <c r="A269" s="90"/>
      <c r="B269" s="91"/>
      <c r="C269" s="90"/>
      <c r="D269" s="92"/>
      <c r="E269" s="93"/>
      <c r="F269" s="93"/>
      <c r="G269" s="93"/>
      <c r="H269" s="91"/>
      <c r="I269" s="92"/>
    </row>
    <row r="270">
      <c r="A270" s="90"/>
      <c r="B270" s="91"/>
      <c r="C270" s="90"/>
      <c r="D270" s="92"/>
      <c r="E270" s="93"/>
      <c r="F270" s="93"/>
      <c r="G270" s="93"/>
      <c r="H270" s="91"/>
      <c r="I270" s="92"/>
    </row>
    <row r="271">
      <c r="A271" s="90"/>
      <c r="B271" s="91"/>
      <c r="C271" s="90"/>
      <c r="D271" s="92"/>
      <c r="E271" s="93"/>
      <c r="F271" s="93"/>
      <c r="G271" s="93"/>
      <c r="H271" s="91"/>
      <c r="I271" s="92"/>
    </row>
    <row r="272">
      <c r="A272" s="90"/>
      <c r="B272" s="91"/>
      <c r="C272" s="90"/>
      <c r="D272" s="92"/>
      <c r="E272" s="93"/>
      <c r="F272" s="93"/>
      <c r="G272" s="93"/>
      <c r="H272" s="91"/>
      <c r="I272" s="92"/>
    </row>
    <row r="273">
      <c r="A273" s="90"/>
      <c r="B273" s="91"/>
      <c r="C273" s="90"/>
      <c r="D273" s="92"/>
      <c r="E273" s="93"/>
      <c r="F273" s="93"/>
      <c r="G273" s="93"/>
      <c r="H273" s="91"/>
      <c r="I273" s="92"/>
    </row>
    <row r="274">
      <c r="A274" s="90"/>
      <c r="B274" s="91"/>
      <c r="C274" s="90"/>
      <c r="D274" s="92"/>
      <c r="E274" s="93"/>
      <c r="F274" s="93"/>
      <c r="G274" s="93"/>
      <c r="H274" s="91"/>
      <c r="I274" s="92"/>
    </row>
    <row r="275">
      <c r="A275" s="90"/>
      <c r="B275" s="91"/>
      <c r="C275" s="90"/>
      <c r="D275" s="92"/>
      <c r="E275" s="93"/>
      <c r="F275" s="93"/>
      <c r="G275" s="93"/>
      <c r="H275" s="91"/>
      <c r="I275" s="92"/>
    </row>
    <row r="276">
      <c r="A276" s="90"/>
      <c r="B276" s="91"/>
      <c r="C276" s="90"/>
      <c r="D276" s="92"/>
      <c r="E276" s="93"/>
      <c r="F276" s="93"/>
      <c r="G276" s="93"/>
      <c r="H276" s="91"/>
      <c r="I276" s="92"/>
    </row>
    <row r="277">
      <c r="A277" s="90"/>
      <c r="B277" s="91"/>
      <c r="C277" s="90"/>
      <c r="D277" s="92"/>
      <c r="E277" s="93"/>
      <c r="F277" s="93"/>
      <c r="G277" s="93"/>
      <c r="H277" s="91"/>
      <c r="I277" s="92"/>
    </row>
    <row r="278">
      <c r="A278" s="90"/>
      <c r="B278" s="91"/>
      <c r="C278" s="90"/>
      <c r="D278" s="92"/>
      <c r="E278" s="93"/>
      <c r="F278" s="93"/>
      <c r="G278" s="93"/>
      <c r="H278" s="91"/>
      <c r="I278" s="92"/>
    </row>
    <row r="279">
      <c r="A279" s="90"/>
      <c r="B279" s="91"/>
      <c r="C279" s="90"/>
      <c r="D279" s="92"/>
      <c r="E279" s="93"/>
      <c r="F279" s="93"/>
      <c r="G279" s="93"/>
      <c r="H279" s="91"/>
      <c r="I279" s="92"/>
    </row>
    <row r="280">
      <c r="A280" s="90"/>
      <c r="B280" s="91"/>
      <c r="C280" s="90"/>
      <c r="D280" s="92"/>
      <c r="E280" s="93"/>
      <c r="F280" s="93"/>
      <c r="G280" s="93"/>
      <c r="H280" s="91"/>
      <c r="I280" s="92"/>
    </row>
    <row r="281">
      <c r="A281" s="90"/>
      <c r="B281" s="91"/>
      <c r="C281" s="90"/>
      <c r="D281" s="92"/>
      <c r="E281" s="93"/>
      <c r="F281" s="93"/>
      <c r="G281" s="93"/>
      <c r="H281" s="91"/>
      <c r="I281" s="92"/>
    </row>
    <row r="282">
      <c r="A282" s="90"/>
      <c r="B282" s="91"/>
      <c r="C282" s="90"/>
      <c r="D282" s="92"/>
      <c r="E282" s="93"/>
      <c r="F282" s="93"/>
      <c r="G282" s="93"/>
      <c r="H282" s="91"/>
      <c r="I282" s="92"/>
    </row>
    <row r="283">
      <c r="A283" s="90"/>
      <c r="B283" s="91"/>
      <c r="C283" s="90"/>
      <c r="D283" s="92"/>
      <c r="E283" s="93"/>
      <c r="F283" s="93"/>
      <c r="G283" s="93"/>
      <c r="H283" s="91"/>
      <c r="I283" s="92"/>
    </row>
    <row r="284">
      <c r="A284" s="90"/>
      <c r="B284" s="91"/>
      <c r="C284" s="90"/>
      <c r="D284" s="92"/>
      <c r="E284" s="93"/>
      <c r="F284" s="93"/>
      <c r="G284" s="93"/>
      <c r="H284" s="91"/>
      <c r="I284" s="92"/>
    </row>
    <row r="285">
      <c r="A285" s="90"/>
      <c r="B285" s="91"/>
      <c r="C285" s="90"/>
      <c r="D285" s="92"/>
      <c r="E285" s="93"/>
      <c r="F285" s="93"/>
      <c r="G285" s="93"/>
      <c r="H285" s="91"/>
      <c r="I285" s="92"/>
    </row>
    <row r="286">
      <c r="A286" s="90"/>
      <c r="B286" s="91"/>
      <c r="C286" s="90"/>
      <c r="D286" s="92"/>
      <c r="E286" s="93"/>
      <c r="F286" s="93"/>
      <c r="G286" s="93"/>
      <c r="H286" s="91"/>
      <c r="I286" s="92"/>
    </row>
    <row r="287">
      <c r="A287" s="90"/>
      <c r="B287" s="91"/>
      <c r="C287" s="90"/>
      <c r="D287" s="92"/>
      <c r="E287" s="93"/>
      <c r="F287" s="93"/>
      <c r="G287" s="93"/>
      <c r="H287" s="91"/>
      <c r="I287" s="92"/>
    </row>
    <row r="288">
      <c r="A288" s="90"/>
      <c r="B288" s="91"/>
      <c r="C288" s="90"/>
      <c r="D288" s="92"/>
      <c r="E288" s="93"/>
      <c r="F288" s="93"/>
      <c r="G288" s="93"/>
      <c r="H288" s="91"/>
      <c r="I288" s="92"/>
    </row>
    <row r="289">
      <c r="A289" s="90"/>
      <c r="B289" s="91"/>
      <c r="C289" s="90"/>
      <c r="D289" s="92"/>
      <c r="E289" s="93"/>
      <c r="F289" s="93"/>
      <c r="G289" s="93"/>
      <c r="H289" s="91"/>
      <c r="I289" s="92"/>
    </row>
    <row r="290">
      <c r="A290" s="90"/>
      <c r="B290" s="91"/>
      <c r="C290" s="90"/>
      <c r="D290" s="92"/>
      <c r="E290" s="93"/>
      <c r="F290" s="93"/>
      <c r="G290" s="93"/>
      <c r="H290" s="91"/>
      <c r="I290" s="92"/>
    </row>
    <row r="291">
      <c r="A291" s="90"/>
      <c r="B291" s="91"/>
      <c r="C291" s="90"/>
      <c r="D291" s="92"/>
      <c r="E291" s="93"/>
      <c r="F291" s="93"/>
      <c r="G291" s="93"/>
      <c r="H291" s="91"/>
      <c r="I291" s="92"/>
    </row>
    <row r="292">
      <c r="A292" s="90"/>
      <c r="B292" s="91"/>
      <c r="C292" s="90"/>
      <c r="D292" s="92"/>
      <c r="E292" s="93"/>
      <c r="F292" s="93"/>
      <c r="G292" s="93"/>
      <c r="H292" s="91"/>
      <c r="I292" s="92"/>
    </row>
    <row r="293">
      <c r="A293" s="90"/>
      <c r="B293" s="91"/>
      <c r="C293" s="90"/>
      <c r="D293" s="92"/>
      <c r="E293" s="93"/>
      <c r="F293" s="93"/>
      <c r="G293" s="93"/>
      <c r="H293" s="91"/>
      <c r="I293" s="92"/>
    </row>
    <row r="294">
      <c r="A294" s="90"/>
      <c r="B294" s="91"/>
      <c r="C294" s="90"/>
      <c r="D294" s="92"/>
      <c r="E294" s="93"/>
      <c r="F294" s="93"/>
      <c r="G294" s="93"/>
      <c r="H294" s="91"/>
      <c r="I294" s="92"/>
    </row>
    <row r="295">
      <c r="A295" s="90"/>
      <c r="B295" s="91"/>
      <c r="C295" s="90"/>
      <c r="D295" s="92"/>
      <c r="E295" s="93"/>
      <c r="F295" s="93"/>
      <c r="G295" s="93"/>
      <c r="H295" s="91"/>
      <c r="I295" s="92"/>
    </row>
    <row r="296">
      <c r="A296" s="90"/>
      <c r="B296" s="91"/>
      <c r="C296" s="90"/>
      <c r="D296" s="92"/>
      <c r="E296" s="93"/>
      <c r="F296" s="93"/>
      <c r="G296" s="93"/>
      <c r="H296" s="91"/>
      <c r="I296" s="92"/>
    </row>
    <row r="297">
      <c r="A297" s="90"/>
      <c r="B297" s="91"/>
      <c r="C297" s="90"/>
      <c r="D297" s="92"/>
      <c r="E297" s="93"/>
      <c r="F297" s="93"/>
      <c r="G297" s="93"/>
      <c r="H297" s="91"/>
      <c r="I297" s="92"/>
    </row>
    <row r="298">
      <c r="A298" s="90"/>
      <c r="B298" s="91"/>
      <c r="C298" s="90"/>
      <c r="D298" s="92"/>
      <c r="E298" s="93"/>
      <c r="F298" s="93"/>
      <c r="G298" s="93"/>
      <c r="H298" s="91"/>
      <c r="I298" s="92"/>
    </row>
    <row r="299">
      <c r="A299" s="90"/>
      <c r="B299" s="91"/>
      <c r="C299" s="90"/>
      <c r="D299" s="92"/>
      <c r="E299" s="93"/>
      <c r="F299" s="93"/>
      <c r="G299" s="93"/>
      <c r="H299" s="91"/>
      <c r="I299" s="92"/>
    </row>
    <row r="300">
      <c r="A300" s="90"/>
      <c r="B300" s="91"/>
      <c r="C300" s="90"/>
      <c r="D300" s="92"/>
      <c r="E300" s="93"/>
      <c r="F300" s="93"/>
      <c r="G300" s="93"/>
      <c r="H300" s="91"/>
      <c r="I300" s="92"/>
    </row>
    <row r="301">
      <c r="A301" s="90"/>
      <c r="B301" s="91"/>
      <c r="C301" s="90"/>
      <c r="D301" s="92"/>
      <c r="E301" s="93"/>
      <c r="F301" s="93"/>
      <c r="G301" s="93"/>
      <c r="H301" s="91"/>
      <c r="I301" s="92"/>
    </row>
    <row r="302">
      <c r="A302" s="90"/>
      <c r="B302" s="91"/>
      <c r="C302" s="90"/>
      <c r="D302" s="92"/>
      <c r="E302" s="93"/>
      <c r="F302" s="93"/>
      <c r="G302" s="93"/>
      <c r="H302" s="91"/>
      <c r="I302" s="92"/>
    </row>
    <row r="303">
      <c r="A303" s="90"/>
      <c r="B303" s="91"/>
      <c r="C303" s="90"/>
      <c r="D303" s="92"/>
      <c r="E303" s="93"/>
      <c r="F303" s="93"/>
      <c r="G303" s="93"/>
      <c r="H303" s="91"/>
      <c r="I303" s="92"/>
    </row>
    <row r="304">
      <c r="A304" s="90"/>
      <c r="B304" s="91"/>
      <c r="C304" s="90"/>
      <c r="D304" s="92"/>
      <c r="E304" s="93"/>
      <c r="F304" s="93"/>
      <c r="G304" s="93"/>
      <c r="H304" s="91"/>
      <c r="I304" s="92"/>
    </row>
    <row r="305">
      <c r="A305" s="90"/>
      <c r="B305" s="91"/>
      <c r="C305" s="90"/>
      <c r="D305" s="92"/>
      <c r="E305" s="93"/>
      <c r="F305" s="93"/>
      <c r="G305" s="93"/>
      <c r="H305" s="91"/>
      <c r="I305" s="92"/>
    </row>
    <row r="306">
      <c r="A306" s="90"/>
      <c r="B306" s="91"/>
      <c r="C306" s="90"/>
      <c r="D306" s="92"/>
      <c r="E306" s="93"/>
      <c r="F306" s="93"/>
      <c r="G306" s="93"/>
      <c r="H306" s="91"/>
      <c r="I306" s="92"/>
    </row>
    <row r="307">
      <c r="A307" s="90"/>
      <c r="B307" s="91"/>
      <c r="C307" s="90"/>
      <c r="D307" s="92"/>
      <c r="E307" s="93"/>
      <c r="F307" s="93"/>
      <c r="G307" s="93"/>
      <c r="H307" s="91"/>
      <c r="I307" s="92"/>
    </row>
    <row r="308">
      <c r="A308" s="90"/>
      <c r="B308" s="91"/>
      <c r="C308" s="90"/>
      <c r="D308" s="92"/>
      <c r="E308" s="93"/>
      <c r="F308" s="93"/>
      <c r="G308" s="93"/>
      <c r="H308" s="91"/>
      <c r="I308" s="92"/>
    </row>
    <row r="309">
      <c r="A309" s="90"/>
      <c r="B309" s="91"/>
      <c r="C309" s="90"/>
      <c r="D309" s="92"/>
      <c r="E309" s="93"/>
      <c r="F309" s="93"/>
      <c r="G309" s="93"/>
      <c r="H309" s="91"/>
      <c r="I309" s="92"/>
    </row>
    <row r="310">
      <c r="A310" s="90"/>
      <c r="B310" s="91"/>
      <c r="C310" s="90"/>
      <c r="D310" s="92"/>
      <c r="E310" s="93"/>
      <c r="F310" s="93"/>
      <c r="G310" s="93"/>
      <c r="H310" s="91"/>
      <c r="I310" s="92"/>
    </row>
    <row r="311">
      <c r="A311" s="90"/>
      <c r="B311" s="91"/>
      <c r="C311" s="90"/>
      <c r="D311" s="92"/>
      <c r="E311" s="93"/>
      <c r="F311" s="93"/>
      <c r="G311" s="93"/>
      <c r="H311" s="91"/>
      <c r="I311" s="92"/>
    </row>
    <row r="312">
      <c r="A312" s="90"/>
      <c r="B312" s="91"/>
      <c r="C312" s="90"/>
      <c r="D312" s="92"/>
      <c r="E312" s="93"/>
      <c r="F312" s="93"/>
      <c r="G312" s="93"/>
      <c r="H312" s="91"/>
      <c r="I312" s="92"/>
    </row>
    <row r="313">
      <c r="A313" s="90"/>
      <c r="B313" s="91"/>
      <c r="C313" s="90"/>
      <c r="D313" s="92"/>
      <c r="E313" s="93"/>
      <c r="F313" s="93"/>
      <c r="G313" s="93"/>
      <c r="H313" s="91"/>
      <c r="I313" s="92"/>
    </row>
    <row r="314">
      <c r="A314" s="90"/>
      <c r="B314" s="91"/>
      <c r="C314" s="90"/>
      <c r="D314" s="92"/>
      <c r="E314" s="93"/>
      <c r="F314" s="93"/>
      <c r="G314" s="93"/>
      <c r="H314" s="91"/>
      <c r="I314" s="92"/>
    </row>
    <row r="315">
      <c r="A315" s="90"/>
      <c r="B315" s="91"/>
      <c r="C315" s="90"/>
      <c r="D315" s="92"/>
      <c r="E315" s="93"/>
      <c r="F315" s="93"/>
      <c r="G315" s="93"/>
      <c r="H315" s="91"/>
      <c r="I315" s="92"/>
    </row>
    <row r="316">
      <c r="A316" s="90"/>
      <c r="B316" s="91"/>
      <c r="C316" s="90"/>
      <c r="D316" s="92"/>
      <c r="E316" s="93"/>
      <c r="F316" s="93"/>
      <c r="G316" s="93"/>
      <c r="H316" s="91"/>
      <c r="I316" s="92"/>
    </row>
    <row r="317">
      <c r="A317" s="90"/>
      <c r="B317" s="91"/>
      <c r="C317" s="90"/>
      <c r="D317" s="92"/>
      <c r="E317" s="93"/>
      <c r="F317" s="93"/>
      <c r="G317" s="93"/>
      <c r="H317" s="91"/>
      <c r="I317" s="92"/>
    </row>
    <row r="318">
      <c r="A318" s="90"/>
      <c r="B318" s="91"/>
      <c r="C318" s="90"/>
      <c r="D318" s="92"/>
      <c r="E318" s="93"/>
      <c r="F318" s="93"/>
      <c r="G318" s="93"/>
      <c r="H318" s="91"/>
      <c r="I318" s="92"/>
    </row>
    <row r="319">
      <c r="A319" s="90"/>
      <c r="B319" s="91"/>
      <c r="C319" s="90"/>
      <c r="D319" s="92"/>
      <c r="E319" s="93"/>
      <c r="F319" s="93"/>
      <c r="G319" s="93"/>
      <c r="H319" s="91"/>
      <c r="I319" s="92"/>
    </row>
    <row r="320">
      <c r="A320" s="90"/>
      <c r="B320" s="91"/>
      <c r="C320" s="90"/>
      <c r="D320" s="92"/>
      <c r="E320" s="93"/>
      <c r="F320" s="93"/>
      <c r="G320" s="93"/>
      <c r="H320" s="91"/>
      <c r="I320" s="92"/>
    </row>
    <row r="321">
      <c r="A321" s="90"/>
      <c r="B321" s="91"/>
      <c r="C321" s="90"/>
      <c r="D321" s="92"/>
      <c r="E321" s="93"/>
      <c r="F321" s="93"/>
      <c r="G321" s="93"/>
      <c r="H321" s="91"/>
      <c r="I321" s="92"/>
    </row>
    <row r="322">
      <c r="A322" s="90"/>
      <c r="B322" s="91"/>
      <c r="C322" s="90"/>
      <c r="D322" s="92"/>
      <c r="E322" s="93"/>
      <c r="F322" s="93"/>
      <c r="G322" s="93"/>
      <c r="H322" s="91"/>
      <c r="I322" s="92"/>
    </row>
    <row r="323">
      <c r="A323" s="90"/>
      <c r="B323" s="91"/>
      <c r="C323" s="90"/>
      <c r="D323" s="92"/>
      <c r="E323" s="93"/>
      <c r="F323" s="93"/>
      <c r="G323" s="93"/>
      <c r="H323" s="91"/>
      <c r="I323" s="92"/>
    </row>
    <row r="324">
      <c r="A324" s="90"/>
      <c r="B324" s="91"/>
      <c r="C324" s="90"/>
      <c r="D324" s="92"/>
      <c r="E324" s="93"/>
      <c r="F324" s="93"/>
      <c r="G324" s="93"/>
      <c r="H324" s="91"/>
      <c r="I324" s="92"/>
    </row>
    <row r="325">
      <c r="A325" s="90"/>
      <c r="B325" s="91"/>
      <c r="C325" s="90"/>
      <c r="D325" s="92"/>
      <c r="E325" s="93"/>
      <c r="F325" s="93"/>
      <c r="G325" s="93"/>
      <c r="H325" s="91"/>
      <c r="I325" s="92"/>
    </row>
    <row r="326">
      <c r="A326" s="90"/>
      <c r="B326" s="91"/>
      <c r="C326" s="90"/>
      <c r="D326" s="92"/>
      <c r="E326" s="93"/>
      <c r="F326" s="93"/>
      <c r="G326" s="93"/>
      <c r="H326" s="91"/>
      <c r="I326" s="92"/>
    </row>
    <row r="327">
      <c r="A327" s="90"/>
      <c r="B327" s="91"/>
      <c r="C327" s="90"/>
      <c r="D327" s="92"/>
      <c r="E327" s="93"/>
      <c r="F327" s="93"/>
      <c r="G327" s="93"/>
      <c r="H327" s="91"/>
      <c r="I327" s="92"/>
    </row>
    <row r="328">
      <c r="A328" s="90"/>
      <c r="B328" s="91"/>
      <c r="C328" s="90"/>
      <c r="D328" s="92"/>
      <c r="E328" s="93"/>
      <c r="F328" s="93"/>
      <c r="G328" s="93"/>
      <c r="H328" s="91"/>
      <c r="I328" s="92"/>
    </row>
    <row r="329">
      <c r="A329" s="90"/>
      <c r="B329" s="91"/>
      <c r="C329" s="90"/>
      <c r="D329" s="92"/>
      <c r="E329" s="93"/>
      <c r="F329" s="93"/>
      <c r="G329" s="93"/>
      <c r="H329" s="91"/>
      <c r="I329" s="92"/>
    </row>
    <row r="330">
      <c r="A330" s="90"/>
      <c r="B330" s="91"/>
      <c r="C330" s="90"/>
      <c r="D330" s="92"/>
      <c r="E330" s="93"/>
      <c r="F330" s="93"/>
      <c r="G330" s="93"/>
      <c r="H330" s="91"/>
      <c r="I330" s="92"/>
    </row>
    <row r="331">
      <c r="A331" s="90"/>
      <c r="B331" s="91"/>
      <c r="C331" s="90"/>
      <c r="D331" s="92"/>
      <c r="E331" s="93"/>
      <c r="F331" s="93"/>
      <c r="G331" s="93"/>
      <c r="H331" s="91"/>
      <c r="I331" s="92"/>
    </row>
    <row r="332">
      <c r="A332" s="90"/>
      <c r="B332" s="91"/>
      <c r="C332" s="90"/>
      <c r="D332" s="92"/>
      <c r="E332" s="93"/>
      <c r="F332" s="93"/>
      <c r="G332" s="93"/>
      <c r="H332" s="91"/>
      <c r="I332" s="92"/>
    </row>
    <row r="333">
      <c r="A333" s="90"/>
      <c r="B333" s="91"/>
      <c r="C333" s="90"/>
      <c r="D333" s="92"/>
      <c r="E333" s="93"/>
      <c r="F333" s="93"/>
      <c r="G333" s="93"/>
      <c r="H333" s="91"/>
      <c r="I333" s="92"/>
    </row>
    <row r="334">
      <c r="A334" s="90"/>
      <c r="B334" s="91"/>
      <c r="C334" s="90"/>
      <c r="D334" s="92"/>
      <c r="E334" s="93"/>
      <c r="F334" s="93"/>
      <c r="G334" s="93"/>
      <c r="H334" s="91"/>
      <c r="I334" s="92"/>
    </row>
    <row r="335">
      <c r="A335" s="90"/>
      <c r="B335" s="91"/>
      <c r="C335" s="90"/>
      <c r="D335" s="92"/>
      <c r="E335" s="93"/>
      <c r="F335" s="93"/>
      <c r="G335" s="93"/>
      <c r="H335" s="91"/>
      <c r="I335" s="92"/>
    </row>
    <row r="336">
      <c r="A336" s="90"/>
      <c r="B336" s="91"/>
      <c r="C336" s="90"/>
      <c r="D336" s="92"/>
      <c r="E336" s="93"/>
      <c r="F336" s="93"/>
      <c r="G336" s="93"/>
      <c r="H336" s="91"/>
      <c r="I336" s="92"/>
    </row>
    <row r="337">
      <c r="A337" s="90"/>
      <c r="B337" s="91"/>
      <c r="C337" s="90"/>
      <c r="D337" s="92"/>
      <c r="E337" s="93"/>
      <c r="F337" s="93"/>
      <c r="G337" s="93"/>
      <c r="H337" s="91"/>
      <c r="I337" s="92"/>
    </row>
    <row r="338">
      <c r="A338" s="90"/>
      <c r="B338" s="91"/>
      <c r="C338" s="90"/>
      <c r="D338" s="92"/>
      <c r="E338" s="93"/>
      <c r="F338" s="93"/>
      <c r="G338" s="93"/>
      <c r="H338" s="91"/>
      <c r="I338" s="92"/>
    </row>
    <row r="339">
      <c r="A339" s="90"/>
      <c r="B339" s="91"/>
      <c r="C339" s="90"/>
      <c r="D339" s="92"/>
      <c r="E339" s="93"/>
      <c r="F339" s="93"/>
      <c r="G339" s="93"/>
      <c r="H339" s="91"/>
      <c r="I339" s="92"/>
    </row>
    <row r="340">
      <c r="A340" s="90"/>
      <c r="B340" s="91"/>
      <c r="C340" s="90"/>
      <c r="D340" s="92"/>
      <c r="E340" s="93"/>
      <c r="F340" s="93"/>
      <c r="G340" s="93"/>
      <c r="H340" s="91"/>
      <c r="I340" s="92"/>
    </row>
    <row r="341">
      <c r="A341" s="90"/>
      <c r="B341" s="91"/>
      <c r="C341" s="90"/>
      <c r="D341" s="92"/>
      <c r="E341" s="93"/>
      <c r="F341" s="93"/>
      <c r="G341" s="93"/>
      <c r="H341" s="91"/>
      <c r="I341" s="92"/>
    </row>
    <row r="342">
      <c r="A342" s="90"/>
      <c r="B342" s="91"/>
      <c r="C342" s="90"/>
      <c r="D342" s="92"/>
      <c r="E342" s="93"/>
      <c r="F342" s="93"/>
      <c r="G342" s="93"/>
      <c r="H342" s="91"/>
      <c r="I342" s="92"/>
    </row>
    <row r="343">
      <c r="A343" s="90"/>
      <c r="B343" s="91"/>
      <c r="C343" s="90"/>
      <c r="D343" s="92"/>
      <c r="E343" s="93"/>
      <c r="F343" s="93"/>
      <c r="G343" s="93"/>
      <c r="H343" s="91"/>
      <c r="I343" s="92"/>
    </row>
    <row r="344">
      <c r="A344" s="90"/>
      <c r="B344" s="91"/>
      <c r="C344" s="90"/>
      <c r="D344" s="92"/>
      <c r="E344" s="93"/>
      <c r="F344" s="93"/>
      <c r="G344" s="93"/>
      <c r="H344" s="91"/>
      <c r="I344" s="92"/>
    </row>
    <row r="345">
      <c r="A345" s="90"/>
      <c r="B345" s="91"/>
      <c r="C345" s="90"/>
      <c r="D345" s="92"/>
      <c r="E345" s="93"/>
      <c r="F345" s="93"/>
      <c r="G345" s="93"/>
      <c r="H345" s="91"/>
      <c r="I345" s="92"/>
    </row>
    <row r="346">
      <c r="A346" s="90"/>
      <c r="B346" s="91"/>
      <c r="C346" s="90"/>
      <c r="D346" s="92"/>
      <c r="E346" s="93"/>
      <c r="F346" s="93"/>
      <c r="G346" s="93"/>
      <c r="H346" s="91"/>
      <c r="I346" s="92"/>
    </row>
    <row r="347">
      <c r="A347" s="90"/>
      <c r="B347" s="91"/>
      <c r="C347" s="90"/>
      <c r="D347" s="92"/>
      <c r="E347" s="93"/>
      <c r="F347" s="93"/>
      <c r="G347" s="93"/>
      <c r="H347" s="91"/>
      <c r="I347" s="92"/>
    </row>
    <row r="348">
      <c r="A348" s="90"/>
      <c r="B348" s="91"/>
      <c r="C348" s="90"/>
      <c r="D348" s="92"/>
      <c r="E348" s="93"/>
      <c r="F348" s="93"/>
      <c r="G348" s="93"/>
      <c r="H348" s="91"/>
      <c r="I348" s="92"/>
    </row>
    <row r="349">
      <c r="A349" s="90"/>
      <c r="B349" s="91"/>
      <c r="C349" s="90"/>
      <c r="D349" s="92"/>
      <c r="E349" s="93"/>
      <c r="F349" s="93"/>
      <c r="G349" s="93"/>
      <c r="H349" s="91"/>
      <c r="I349" s="92"/>
    </row>
    <row r="350">
      <c r="A350" s="90"/>
      <c r="B350" s="91"/>
      <c r="C350" s="90"/>
      <c r="D350" s="92"/>
      <c r="E350" s="93"/>
      <c r="F350" s="93"/>
      <c r="G350" s="93"/>
      <c r="H350" s="91"/>
      <c r="I350" s="92"/>
    </row>
    <row r="351">
      <c r="A351" s="90"/>
      <c r="B351" s="91"/>
      <c r="C351" s="90"/>
      <c r="D351" s="92"/>
      <c r="E351" s="93"/>
      <c r="F351" s="93"/>
      <c r="G351" s="93"/>
      <c r="H351" s="91"/>
      <c r="I351" s="92"/>
    </row>
    <row r="352">
      <c r="A352" s="90"/>
      <c r="B352" s="91"/>
      <c r="C352" s="90"/>
      <c r="D352" s="92"/>
      <c r="E352" s="93"/>
      <c r="F352" s="93"/>
      <c r="G352" s="93"/>
      <c r="H352" s="91"/>
      <c r="I352" s="92"/>
    </row>
    <row r="353">
      <c r="A353" s="90"/>
      <c r="B353" s="91"/>
      <c r="C353" s="90"/>
      <c r="D353" s="92"/>
      <c r="E353" s="93"/>
      <c r="F353" s="93"/>
      <c r="G353" s="93"/>
      <c r="H353" s="91"/>
      <c r="I353" s="92"/>
    </row>
    <row r="354">
      <c r="A354" s="90"/>
      <c r="B354" s="91"/>
      <c r="C354" s="90"/>
      <c r="D354" s="92"/>
      <c r="E354" s="93"/>
      <c r="F354" s="93"/>
      <c r="G354" s="93"/>
      <c r="H354" s="91"/>
      <c r="I354" s="92"/>
    </row>
    <row r="355">
      <c r="A355" s="90"/>
      <c r="B355" s="91"/>
      <c r="C355" s="90"/>
      <c r="D355" s="92"/>
      <c r="E355" s="93"/>
      <c r="F355" s="93"/>
      <c r="G355" s="93"/>
      <c r="H355" s="91"/>
      <c r="I355" s="92"/>
    </row>
    <row r="356">
      <c r="A356" s="90"/>
      <c r="B356" s="91"/>
      <c r="C356" s="90"/>
      <c r="D356" s="92"/>
      <c r="E356" s="93"/>
      <c r="F356" s="93"/>
      <c r="G356" s="93"/>
      <c r="H356" s="91"/>
      <c r="I356" s="92"/>
    </row>
    <row r="357">
      <c r="A357" s="90"/>
      <c r="B357" s="91"/>
      <c r="C357" s="90"/>
      <c r="D357" s="92"/>
      <c r="E357" s="93"/>
      <c r="F357" s="93"/>
      <c r="G357" s="93"/>
      <c r="H357" s="91"/>
      <c r="I357" s="92"/>
    </row>
    <row r="358">
      <c r="A358" s="90"/>
      <c r="B358" s="91"/>
      <c r="C358" s="90"/>
      <c r="D358" s="92"/>
      <c r="E358" s="93"/>
      <c r="F358" s="93"/>
      <c r="G358" s="93"/>
      <c r="H358" s="91"/>
      <c r="I358" s="92"/>
    </row>
    <row r="359">
      <c r="A359" s="90"/>
      <c r="B359" s="91"/>
      <c r="C359" s="90"/>
      <c r="D359" s="92"/>
      <c r="E359" s="93"/>
      <c r="F359" s="93"/>
      <c r="G359" s="93"/>
      <c r="H359" s="91"/>
      <c r="I359" s="92"/>
    </row>
    <row r="360">
      <c r="A360" s="90"/>
      <c r="B360" s="91"/>
      <c r="C360" s="90"/>
      <c r="D360" s="92"/>
      <c r="E360" s="93"/>
      <c r="F360" s="93"/>
      <c r="G360" s="93"/>
      <c r="H360" s="91"/>
      <c r="I360" s="92"/>
    </row>
    <row r="361">
      <c r="A361" s="90"/>
      <c r="B361" s="91"/>
      <c r="C361" s="90"/>
      <c r="D361" s="92"/>
      <c r="E361" s="93"/>
      <c r="F361" s="93"/>
      <c r="G361" s="93"/>
      <c r="H361" s="91"/>
      <c r="I361" s="92"/>
    </row>
    <row r="362">
      <c r="A362" s="90"/>
      <c r="B362" s="91"/>
      <c r="C362" s="90"/>
      <c r="D362" s="92"/>
      <c r="E362" s="93"/>
      <c r="F362" s="93"/>
      <c r="G362" s="93"/>
      <c r="H362" s="91"/>
      <c r="I362" s="92"/>
    </row>
    <row r="363">
      <c r="A363" s="90"/>
      <c r="B363" s="91"/>
      <c r="C363" s="90"/>
      <c r="D363" s="92"/>
      <c r="E363" s="93"/>
      <c r="F363" s="93"/>
      <c r="G363" s="93"/>
      <c r="H363" s="91"/>
      <c r="I363" s="92"/>
    </row>
    <row r="364">
      <c r="A364" s="90"/>
      <c r="B364" s="91"/>
      <c r="C364" s="90"/>
      <c r="D364" s="92"/>
      <c r="E364" s="93"/>
      <c r="F364" s="93"/>
      <c r="G364" s="93"/>
      <c r="H364" s="91"/>
      <c r="I364" s="92"/>
    </row>
    <row r="365">
      <c r="A365" s="90"/>
      <c r="B365" s="91"/>
      <c r="C365" s="90"/>
      <c r="D365" s="92"/>
      <c r="E365" s="93"/>
      <c r="F365" s="93"/>
      <c r="G365" s="93"/>
      <c r="H365" s="91"/>
      <c r="I365" s="92"/>
    </row>
    <row r="366">
      <c r="A366" s="90"/>
      <c r="B366" s="91"/>
      <c r="C366" s="90"/>
      <c r="D366" s="92"/>
      <c r="E366" s="93"/>
      <c r="F366" s="93"/>
      <c r="G366" s="93"/>
      <c r="H366" s="91"/>
      <c r="I366" s="92"/>
    </row>
    <row r="367">
      <c r="A367" s="90"/>
      <c r="B367" s="91"/>
      <c r="C367" s="90"/>
      <c r="D367" s="92"/>
      <c r="E367" s="93"/>
      <c r="F367" s="93"/>
      <c r="G367" s="93"/>
      <c r="H367" s="91"/>
      <c r="I367" s="92"/>
    </row>
    <row r="368">
      <c r="A368" s="90"/>
      <c r="B368" s="91"/>
      <c r="C368" s="90"/>
      <c r="D368" s="92"/>
      <c r="E368" s="93"/>
      <c r="F368" s="93"/>
      <c r="G368" s="93"/>
      <c r="H368" s="91"/>
      <c r="I368" s="92"/>
    </row>
    <row r="369">
      <c r="A369" s="90"/>
      <c r="B369" s="91"/>
      <c r="C369" s="90"/>
      <c r="D369" s="92"/>
      <c r="E369" s="93"/>
      <c r="F369" s="93"/>
      <c r="G369" s="93"/>
      <c r="H369" s="91"/>
      <c r="I369" s="92"/>
    </row>
    <row r="370">
      <c r="A370" s="90"/>
      <c r="B370" s="91"/>
      <c r="C370" s="90"/>
      <c r="D370" s="92"/>
      <c r="E370" s="93"/>
      <c r="F370" s="93"/>
      <c r="G370" s="93"/>
      <c r="H370" s="91"/>
      <c r="I370" s="92"/>
    </row>
    <row r="371">
      <c r="A371" s="90"/>
      <c r="B371" s="91"/>
      <c r="C371" s="90"/>
      <c r="D371" s="92"/>
      <c r="E371" s="93"/>
      <c r="F371" s="93"/>
      <c r="G371" s="93"/>
      <c r="H371" s="91"/>
      <c r="I371" s="92"/>
    </row>
    <row r="372">
      <c r="A372" s="90"/>
      <c r="B372" s="91"/>
      <c r="C372" s="90"/>
      <c r="D372" s="92"/>
      <c r="E372" s="93"/>
      <c r="F372" s="93"/>
      <c r="G372" s="93"/>
      <c r="H372" s="91"/>
      <c r="I372" s="92"/>
    </row>
    <row r="373">
      <c r="A373" s="90"/>
      <c r="B373" s="91"/>
      <c r="C373" s="90"/>
      <c r="D373" s="92"/>
      <c r="E373" s="93"/>
      <c r="F373" s="93"/>
      <c r="G373" s="93"/>
      <c r="H373" s="91"/>
      <c r="I373" s="92"/>
    </row>
    <row r="374">
      <c r="A374" s="90"/>
      <c r="B374" s="91"/>
      <c r="C374" s="90"/>
      <c r="D374" s="92"/>
      <c r="E374" s="93"/>
      <c r="F374" s="93"/>
      <c r="G374" s="93"/>
      <c r="H374" s="91"/>
      <c r="I374" s="92"/>
    </row>
    <row r="375">
      <c r="A375" s="90"/>
      <c r="B375" s="91"/>
      <c r="C375" s="90"/>
      <c r="D375" s="92"/>
      <c r="E375" s="93"/>
      <c r="F375" s="93"/>
      <c r="G375" s="93"/>
      <c r="H375" s="91"/>
      <c r="I375" s="92"/>
    </row>
    <row r="376">
      <c r="A376" s="90"/>
      <c r="B376" s="91"/>
      <c r="C376" s="90"/>
      <c r="D376" s="92"/>
      <c r="E376" s="93"/>
      <c r="F376" s="93"/>
      <c r="G376" s="93"/>
      <c r="H376" s="91"/>
      <c r="I376" s="92"/>
    </row>
    <row r="377">
      <c r="A377" s="90"/>
      <c r="B377" s="91"/>
      <c r="C377" s="90"/>
      <c r="D377" s="92"/>
      <c r="E377" s="93"/>
      <c r="F377" s="93"/>
      <c r="G377" s="93"/>
      <c r="H377" s="91"/>
      <c r="I377" s="92"/>
    </row>
    <row r="378">
      <c r="A378" s="90"/>
      <c r="B378" s="91"/>
      <c r="C378" s="90"/>
      <c r="D378" s="92"/>
      <c r="E378" s="93"/>
      <c r="F378" s="93"/>
      <c r="G378" s="93"/>
      <c r="H378" s="91"/>
      <c r="I378" s="92"/>
    </row>
    <row r="379">
      <c r="A379" s="90"/>
      <c r="B379" s="91"/>
      <c r="C379" s="90"/>
      <c r="D379" s="92"/>
      <c r="E379" s="93"/>
      <c r="F379" s="93"/>
      <c r="G379" s="93"/>
      <c r="H379" s="91"/>
      <c r="I379" s="92"/>
    </row>
    <row r="380">
      <c r="A380" s="90"/>
      <c r="B380" s="91"/>
      <c r="C380" s="90"/>
      <c r="D380" s="92"/>
      <c r="E380" s="93"/>
      <c r="F380" s="93"/>
      <c r="G380" s="93"/>
      <c r="H380" s="91"/>
      <c r="I380" s="92"/>
    </row>
    <row r="381">
      <c r="A381" s="90"/>
      <c r="B381" s="91"/>
      <c r="C381" s="90"/>
      <c r="D381" s="92"/>
      <c r="E381" s="93"/>
      <c r="F381" s="93"/>
      <c r="G381" s="93"/>
      <c r="H381" s="91"/>
      <c r="I381" s="92"/>
    </row>
    <row r="382">
      <c r="A382" s="90"/>
      <c r="B382" s="91"/>
      <c r="C382" s="90"/>
      <c r="D382" s="92"/>
      <c r="E382" s="93"/>
      <c r="F382" s="93"/>
      <c r="G382" s="93"/>
      <c r="H382" s="91"/>
      <c r="I382" s="92"/>
    </row>
    <row r="383">
      <c r="A383" s="90"/>
      <c r="B383" s="91"/>
      <c r="C383" s="90"/>
      <c r="D383" s="92"/>
      <c r="E383" s="93"/>
      <c r="F383" s="93"/>
      <c r="G383" s="93"/>
      <c r="H383" s="91"/>
      <c r="I383" s="92"/>
    </row>
    <row r="384">
      <c r="A384" s="90"/>
      <c r="B384" s="91"/>
      <c r="C384" s="90"/>
      <c r="D384" s="92"/>
      <c r="E384" s="93"/>
      <c r="F384" s="93"/>
      <c r="G384" s="93"/>
      <c r="H384" s="91"/>
      <c r="I384" s="92"/>
    </row>
    <row r="385">
      <c r="A385" s="90"/>
      <c r="B385" s="91"/>
      <c r="C385" s="90"/>
      <c r="D385" s="92"/>
      <c r="E385" s="93"/>
      <c r="F385" s="93"/>
      <c r="G385" s="93"/>
      <c r="H385" s="91"/>
      <c r="I385" s="92"/>
    </row>
    <row r="386">
      <c r="A386" s="90"/>
      <c r="B386" s="91"/>
      <c r="C386" s="90"/>
      <c r="D386" s="92"/>
      <c r="E386" s="93"/>
      <c r="F386" s="93"/>
      <c r="G386" s="93"/>
      <c r="H386" s="91"/>
      <c r="I386" s="92"/>
    </row>
    <row r="387">
      <c r="A387" s="90"/>
      <c r="B387" s="91"/>
      <c r="C387" s="90"/>
      <c r="D387" s="92"/>
      <c r="E387" s="93"/>
      <c r="F387" s="93"/>
      <c r="G387" s="93"/>
      <c r="H387" s="91"/>
      <c r="I387" s="92"/>
    </row>
    <row r="388">
      <c r="A388" s="90"/>
      <c r="B388" s="91"/>
      <c r="C388" s="90"/>
      <c r="D388" s="92"/>
      <c r="E388" s="93"/>
      <c r="F388" s="93"/>
      <c r="G388" s="93"/>
      <c r="H388" s="91"/>
      <c r="I388" s="92"/>
    </row>
    <row r="389">
      <c r="A389" s="90"/>
      <c r="B389" s="91"/>
      <c r="C389" s="90"/>
      <c r="D389" s="92"/>
      <c r="E389" s="93"/>
      <c r="F389" s="93"/>
      <c r="G389" s="93"/>
      <c r="H389" s="91"/>
      <c r="I389" s="92"/>
    </row>
    <row r="390">
      <c r="A390" s="90"/>
      <c r="B390" s="91"/>
      <c r="C390" s="90"/>
      <c r="D390" s="92"/>
      <c r="E390" s="93"/>
      <c r="F390" s="93"/>
      <c r="G390" s="93"/>
      <c r="H390" s="91"/>
      <c r="I390" s="92"/>
    </row>
    <row r="391">
      <c r="A391" s="90"/>
      <c r="B391" s="91"/>
      <c r="C391" s="90"/>
      <c r="D391" s="92"/>
      <c r="E391" s="93"/>
      <c r="F391" s="93"/>
      <c r="G391" s="93"/>
      <c r="H391" s="91"/>
      <c r="I391" s="92"/>
    </row>
    <row r="392">
      <c r="A392" s="90"/>
      <c r="B392" s="91"/>
      <c r="C392" s="90"/>
      <c r="D392" s="92"/>
      <c r="E392" s="93"/>
      <c r="F392" s="93"/>
      <c r="G392" s="93"/>
      <c r="H392" s="91"/>
      <c r="I392" s="92"/>
    </row>
    <row r="393">
      <c r="A393" s="90"/>
      <c r="B393" s="91"/>
      <c r="C393" s="90"/>
      <c r="D393" s="92"/>
      <c r="E393" s="93"/>
      <c r="F393" s="93"/>
      <c r="G393" s="93"/>
      <c r="H393" s="91"/>
      <c r="I393" s="92"/>
    </row>
    <row r="394">
      <c r="A394" s="90"/>
      <c r="B394" s="91"/>
      <c r="C394" s="90"/>
      <c r="D394" s="92"/>
      <c r="E394" s="93"/>
      <c r="F394" s="93"/>
      <c r="G394" s="93"/>
      <c r="H394" s="91"/>
      <c r="I394" s="92"/>
    </row>
    <row r="395">
      <c r="A395" s="90"/>
      <c r="B395" s="91"/>
      <c r="C395" s="90"/>
      <c r="D395" s="92"/>
      <c r="E395" s="93"/>
      <c r="F395" s="93"/>
      <c r="G395" s="93"/>
      <c r="H395" s="91"/>
      <c r="I395" s="92"/>
    </row>
    <row r="396">
      <c r="A396" s="90"/>
      <c r="B396" s="91"/>
      <c r="C396" s="90"/>
      <c r="D396" s="92"/>
      <c r="E396" s="93"/>
      <c r="F396" s="93"/>
      <c r="G396" s="93"/>
      <c r="H396" s="91"/>
      <c r="I396" s="92"/>
    </row>
    <row r="397">
      <c r="A397" s="90"/>
      <c r="B397" s="91"/>
      <c r="C397" s="90"/>
      <c r="D397" s="92"/>
      <c r="E397" s="93"/>
      <c r="F397" s="93"/>
      <c r="G397" s="93"/>
      <c r="H397" s="91"/>
      <c r="I397" s="92"/>
    </row>
    <row r="398">
      <c r="A398" s="90"/>
      <c r="B398" s="91"/>
      <c r="C398" s="90"/>
      <c r="D398" s="92"/>
      <c r="E398" s="93"/>
      <c r="F398" s="93"/>
      <c r="G398" s="93"/>
      <c r="H398" s="91"/>
      <c r="I398" s="92"/>
    </row>
    <row r="399">
      <c r="A399" s="90"/>
      <c r="B399" s="91"/>
      <c r="C399" s="90"/>
      <c r="D399" s="92"/>
      <c r="E399" s="93"/>
      <c r="F399" s="93"/>
      <c r="G399" s="93"/>
      <c r="H399" s="91"/>
      <c r="I399" s="92"/>
    </row>
    <row r="400">
      <c r="A400" s="90"/>
      <c r="B400" s="91"/>
      <c r="C400" s="90"/>
      <c r="D400" s="92"/>
      <c r="E400" s="93"/>
      <c r="F400" s="93"/>
      <c r="G400" s="93"/>
      <c r="H400" s="91"/>
      <c r="I400" s="92"/>
    </row>
    <row r="401">
      <c r="A401" s="90"/>
      <c r="B401" s="91"/>
      <c r="C401" s="90"/>
      <c r="D401" s="92"/>
      <c r="E401" s="93"/>
      <c r="F401" s="93"/>
      <c r="G401" s="93"/>
      <c r="H401" s="91"/>
      <c r="I401" s="92"/>
    </row>
    <row r="402">
      <c r="A402" s="90"/>
      <c r="B402" s="91"/>
      <c r="C402" s="90"/>
      <c r="D402" s="92"/>
      <c r="E402" s="93"/>
      <c r="F402" s="93"/>
      <c r="G402" s="93"/>
      <c r="H402" s="91"/>
      <c r="I402" s="92"/>
    </row>
    <row r="403">
      <c r="A403" s="90"/>
      <c r="B403" s="91"/>
      <c r="C403" s="90"/>
      <c r="D403" s="92"/>
      <c r="E403" s="93"/>
      <c r="F403" s="93"/>
      <c r="G403" s="93"/>
      <c r="H403" s="91"/>
      <c r="I403" s="92"/>
    </row>
    <row r="404">
      <c r="A404" s="90"/>
      <c r="B404" s="91"/>
      <c r="C404" s="90"/>
      <c r="D404" s="92"/>
      <c r="E404" s="93"/>
      <c r="F404" s="93"/>
      <c r="G404" s="93"/>
      <c r="H404" s="91"/>
      <c r="I404" s="92"/>
    </row>
    <row r="405">
      <c r="A405" s="90"/>
      <c r="B405" s="91"/>
      <c r="C405" s="90"/>
      <c r="D405" s="92"/>
      <c r="E405" s="93"/>
      <c r="F405" s="93"/>
      <c r="G405" s="93"/>
      <c r="H405" s="91"/>
      <c r="I405" s="92"/>
    </row>
    <row r="406">
      <c r="A406" s="90"/>
      <c r="B406" s="91"/>
      <c r="C406" s="90"/>
      <c r="D406" s="92"/>
      <c r="E406" s="93"/>
      <c r="F406" s="93"/>
      <c r="G406" s="93"/>
      <c r="H406" s="91"/>
      <c r="I406" s="92"/>
    </row>
    <row r="407">
      <c r="A407" s="90"/>
      <c r="B407" s="91"/>
      <c r="C407" s="90"/>
      <c r="D407" s="92"/>
      <c r="E407" s="93"/>
      <c r="F407" s="93"/>
      <c r="G407" s="93"/>
      <c r="H407" s="91"/>
      <c r="I407" s="92"/>
    </row>
    <row r="408">
      <c r="A408" s="90"/>
      <c r="B408" s="91"/>
      <c r="C408" s="90"/>
      <c r="D408" s="92"/>
      <c r="E408" s="93"/>
      <c r="F408" s="93"/>
      <c r="G408" s="93"/>
      <c r="H408" s="91"/>
      <c r="I408" s="92"/>
    </row>
    <row r="409">
      <c r="A409" s="90"/>
      <c r="B409" s="91"/>
      <c r="C409" s="90"/>
      <c r="D409" s="92"/>
      <c r="E409" s="93"/>
      <c r="F409" s="93"/>
      <c r="G409" s="93"/>
      <c r="H409" s="91"/>
      <c r="I409" s="92"/>
    </row>
    <row r="410">
      <c r="A410" s="90"/>
      <c r="B410" s="91"/>
      <c r="C410" s="90"/>
      <c r="D410" s="92"/>
      <c r="E410" s="93"/>
      <c r="F410" s="93"/>
      <c r="G410" s="93"/>
      <c r="H410" s="91"/>
      <c r="I410" s="92"/>
    </row>
    <row r="411">
      <c r="A411" s="90"/>
      <c r="B411" s="91"/>
      <c r="C411" s="90"/>
      <c r="D411" s="92"/>
      <c r="E411" s="93"/>
      <c r="F411" s="93"/>
      <c r="G411" s="93"/>
      <c r="H411" s="91"/>
      <c r="I411" s="92"/>
    </row>
    <row r="412">
      <c r="A412" s="90"/>
      <c r="B412" s="91"/>
      <c r="C412" s="90"/>
      <c r="D412" s="92"/>
      <c r="E412" s="93"/>
      <c r="F412" s="93"/>
      <c r="G412" s="93"/>
      <c r="H412" s="91"/>
      <c r="I412" s="92"/>
    </row>
    <row r="413">
      <c r="A413" s="90"/>
      <c r="B413" s="91"/>
      <c r="C413" s="90"/>
      <c r="D413" s="92"/>
      <c r="E413" s="93"/>
      <c r="F413" s="93"/>
      <c r="G413" s="93"/>
      <c r="H413" s="91"/>
      <c r="I413" s="92"/>
    </row>
    <row r="414">
      <c r="A414" s="90"/>
      <c r="B414" s="91"/>
      <c r="C414" s="90"/>
      <c r="D414" s="92"/>
      <c r="E414" s="93"/>
      <c r="F414" s="93"/>
      <c r="G414" s="93"/>
      <c r="H414" s="91"/>
      <c r="I414" s="92"/>
    </row>
    <row r="415">
      <c r="A415" s="90"/>
      <c r="B415" s="91"/>
      <c r="C415" s="90"/>
      <c r="D415" s="92"/>
      <c r="E415" s="93"/>
      <c r="F415" s="93"/>
      <c r="G415" s="93"/>
      <c r="H415" s="91"/>
      <c r="I415" s="92"/>
    </row>
    <row r="416">
      <c r="A416" s="90"/>
      <c r="B416" s="91"/>
      <c r="C416" s="90"/>
      <c r="D416" s="92"/>
      <c r="E416" s="93"/>
      <c r="F416" s="93"/>
      <c r="G416" s="93"/>
      <c r="H416" s="91"/>
      <c r="I416" s="92"/>
    </row>
    <row r="417">
      <c r="A417" s="90"/>
      <c r="B417" s="91"/>
      <c r="C417" s="90"/>
      <c r="D417" s="92"/>
      <c r="E417" s="93"/>
      <c r="F417" s="93"/>
      <c r="G417" s="93"/>
      <c r="H417" s="91"/>
      <c r="I417" s="92"/>
    </row>
    <row r="418">
      <c r="A418" s="90"/>
      <c r="B418" s="91"/>
      <c r="C418" s="90"/>
      <c r="D418" s="92"/>
      <c r="E418" s="93"/>
      <c r="F418" s="93"/>
      <c r="G418" s="93"/>
      <c r="H418" s="91"/>
      <c r="I418" s="92"/>
    </row>
    <row r="419">
      <c r="A419" s="90"/>
      <c r="B419" s="91"/>
      <c r="C419" s="90"/>
      <c r="D419" s="92"/>
      <c r="E419" s="93"/>
      <c r="F419" s="93"/>
      <c r="G419" s="93"/>
      <c r="H419" s="91"/>
      <c r="I419" s="92"/>
    </row>
    <row r="420">
      <c r="A420" s="90"/>
      <c r="B420" s="91"/>
      <c r="C420" s="90"/>
      <c r="D420" s="92"/>
      <c r="E420" s="93"/>
      <c r="F420" s="93"/>
      <c r="G420" s="93"/>
      <c r="H420" s="91"/>
      <c r="I420" s="92"/>
    </row>
    <row r="421">
      <c r="A421" s="90"/>
      <c r="B421" s="91"/>
      <c r="C421" s="90"/>
      <c r="D421" s="92"/>
      <c r="E421" s="93"/>
      <c r="F421" s="93"/>
      <c r="G421" s="93"/>
      <c r="H421" s="91"/>
      <c r="I421" s="92"/>
    </row>
    <row r="422">
      <c r="A422" s="90"/>
      <c r="B422" s="91"/>
      <c r="C422" s="90"/>
      <c r="D422" s="92"/>
      <c r="E422" s="93"/>
      <c r="F422" s="93"/>
      <c r="G422" s="93"/>
      <c r="H422" s="91"/>
      <c r="I422" s="92"/>
    </row>
    <row r="423">
      <c r="A423" s="90"/>
      <c r="B423" s="91"/>
      <c r="C423" s="90"/>
      <c r="D423" s="92"/>
      <c r="E423" s="93"/>
      <c r="F423" s="93"/>
      <c r="G423" s="93"/>
      <c r="H423" s="91"/>
      <c r="I423" s="92"/>
    </row>
    <row r="424">
      <c r="A424" s="90"/>
      <c r="B424" s="91"/>
      <c r="C424" s="90"/>
      <c r="D424" s="92"/>
      <c r="E424" s="93"/>
      <c r="F424" s="93"/>
      <c r="G424" s="93"/>
      <c r="H424" s="91"/>
      <c r="I424" s="92"/>
    </row>
    <row r="425">
      <c r="A425" s="90"/>
      <c r="B425" s="91"/>
      <c r="C425" s="90"/>
      <c r="D425" s="92"/>
      <c r="E425" s="93"/>
      <c r="F425" s="93"/>
      <c r="G425" s="93"/>
      <c r="H425" s="91"/>
      <c r="I425" s="92"/>
    </row>
    <row r="426">
      <c r="A426" s="90"/>
      <c r="B426" s="91"/>
      <c r="C426" s="90"/>
      <c r="D426" s="92"/>
      <c r="E426" s="93"/>
      <c r="F426" s="93"/>
      <c r="G426" s="93"/>
      <c r="H426" s="91"/>
      <c r="I426" s="92"/>
    </row>
    <row r="427">
      <c r="A427" s="90"/>
      <c r="B427" s="91"/>
      <c r="C427" s="90"/>
      <c r="D427" s="92"/>
      <c r="E427" s="93"/>
      <c r="F427" s="93"/>
      <c r="G427" s="93"/>
      <c r="H427" s="91"/>
      <c r="I427" s="92"/>
    </row>
    <row r="428">
      <c r="A428" s="90"/>
      <c r="B428" s="91"/>
      <c r="C428" s="90"/>
      <c r="D428" s="92"/>
      <c r="E428" s="93"/>
      <c r="F428" s="93"/>
      <c r="G428" s="93"/>
      <c r="H428" s="91"/>
      <c r="I428" s="92"/>
    </row>
    <row r="429">
      <c r="A429" s="90"/>
      <c r="B429" s="91"/>
      <c r="C429" s="90"/>
      <c r="D429" s="92"/>
      <c r="E429" s="93"/>
      <c r="F429" s="93"/>
      <c r="G429" s="93"/>
      <c r="H429" s="91"/>
      <c r="I429" s="92"/>
    </row>
    <row r="430">
      <c r="A430" s="90"/>
      <c r="B430" s="91"/>
      <c r="C430" s="90"/>
      <c r="D430" s="92"/>
      <c r="E430" s="93"/>
      <c r="F430" s="93"/>
      <c r="G430" s="93"/>
      <c r="H430" s="91"/>
      <c r="I430" s="92"/>
    </row>
    <row r="431">
      <c r="A431" s="90"/>
      <c r="B431" s="91"/>
      <c r="C431" s="90"/>
      <c r="D431" s="92"/>
      <c r="E431" s="93"/>
      <c r="F431" s="93"/>
      <c r="G431" s="93"/>
      <c r="H431" s="91"/>
      <c r="I431" s="92"/>
    </row>
    <row r="432">
      <c r="A432" s="90"/>
      <c r="B432" s="91"/>
      <c r="C432" s="90"/>
      <c r="D432" s="92"/>
      <c r="E432" s="93"/>
      <c r="F432" s="93"/>
      <c r="G432" s="93"/>
      <c r="H432" s="91"/>
      <c r="I432" s="92"/>
    </row>
    <row r="433">
      <c r="A433" s="90"/>
      <c r="B433" s="91"/>
      <c r="C433" s="90"/>
      <c r="D433" s="92"/>
      <c r="E433" s="93"/>
      <c r="F433" s="93"/>
      <c r="G433" s="93"/>
      <c r="H433" s="91"/>
      <c r="I433" s="92"/>
    </row>
    <row r="434">
      <c r="A434" s="90"/>
      <c r="B434" s="91"/>
      <c r="C434" s="90"/>
      <c r="D434" s="92"/>
      <c r="E434" s="93"/>
      <c r="F434" s="93"/>
      <c r="G434" s="93"/>
      <c r="H434" s="91"/>
      <c r="I434" s="92"/>
    </row>
    <row r="435">
      <c r="A435" s="90"/>
      <c r="B435" s="91"/>
      <c r="C435" s="90"/>
      <c r="D435" s="92"/>
      <c r="E435" s="93"/>
      <c r="F435" s="93"/>
      <c r="G435" s="93"/>
      <c r="H435" s="91"/>
      <c r="I435" s="92"/>
    </row>
    <row r="436">
      <c r="A436" s="90"/>
      <c r="B436" s="91"/>
      <c r="C436" s="90"/>
      <c r="D436" s="92"/>
      <c r="E436" s="93"/>
      <c r="F436" s="93"/>
      <c r="G436" s="93"/>
      <c r="H436" s="91"/>
      <c r="I436" s="92"/>
    </row>
    <row r="437">
      <c r="A437" s="90"/>
      <c r="B437" s="91"/>
      <c r="C437" s="90"/>
      <c r="D437" s="92"/>
      <c r="E437" s="93"/>
      <c r="F437" s="93"/>
      <c r="G437" s="93"/>
      <c r="H437" s="91"/>
      <c r="I437" s="92"/>
    </row>
    <row r="438">
      <c r="A438" s="90"/>
      <c r="B438" s="91"/>
      <c r="C438" s="90"/>
      <c r="D438" s="92"/>
      <c r="E438" s="93"/>
      <c r="F438" s="93"/>
      <c r="G438" s="93"/>
      <c r="H438" s="91"/>
      <c r="I438" s="92"/>
    </row>
    <row r="439">
      <c r="A439" s="90"/>
      <c r="B439" s="91"/>
      <c r="C439" s="90"/>
      <c r="D439" s="92"/>
      <c r="E439" s="93"/>
      <c r="F439" s="93"/>
      <c r="G439" s="93"/>
      <c r="H439" s="91"/>
      <c r="I439" s="92"/>
    </row>
    <row r="440">
      <c r="A440" s="90"/>
      <c r="B440" s="91"/>
      <c r="C440" s="90"/>
      <c r="D440" s="92"/>
      <c r="E440" s="93"/>
      <c r="F440" s="93"/>
      <c r="G440" s="93"/>
      <c r="H440" s="91"/>
      <c r="I440" s="92"/>
    </row>
    <row r="441">
      <c r="A441" s="90"/>
      <c r="B441" s="91"/>
      <c r="C441" s="90"/>
      <c r="D441" s="92"/>
      <c r="E441" s="93"/>
      <c r="F441" s="93"/>
      <c r="G441" s="93"/>
      <c r="H441" s="91"/>
      <c r="I441" s="92"/>
    </row>
    <row r="442">
      <c r="A442" s="90"/>
      <c r="B442" s="91"/>
      <c r="C442" s="90"/>
      <c r="D442" s="92"/>
      <c r="E442" s="93"/>
      <c r="F442" s="93"/>
      <c r="G442" s="93"/>
      <c r="H442" s="91"/>
      <c r="I442" s="92"/>
    </row>
    <row r="443">
      <c r="A443" s="90"/>
      <c r="B443" s="91"/>
      <c r="C443" s="90"/>
      <c r="D443" s="92"/>
      <c r="E443" s="93"/>
      <c r="F443" s="93"/>
      <c r="G443" s="93"/>
      <c r="H443" s="91"/>
      <c r="I443" s="92"/>
    </row>
    <row r="444">
      <c r="A444" s="90"/>
      <c r="B444" s="91"/>
      <c r="C444" s="90"/>
      <c r="D444" s="92"/>
      <c r="E444" s="93"/>
      <c r="F444" s="93"/>
      <c r="G444" s="93"/>
      <c r="H444" s="91"/>
      <c r="I444" s="92"/>
    </row>
    <row r="445">
      <c r="A445" s="90"/>
      <c r="B445" s="91"/>
      <c r="C445" s="90"/>
      <c r="D445" s="92"/>
      <c r="E445" s="93"/>
      <c r="F445" s="93"/>
      <c r="G445" s="93"/>
      <c r="H445" s="91"/>
      <c r="I445" s="92"/>
    </row>
    <row r="446">
      <c r="A446" s="90"/>
      <c r="B446" s="91"/>
      <c r="C446" s="90"/>
      <c r="D446" s="92"/>
      <c r="E446" s="93"/>
      <c r="F446" s="93"/>
      <c r="G446" s="93"/>
      <c r="H446" s="91"/>
      <c r="I446" s="92"/>
    </row>
    <row r="447">
      <c r="A447" s="90"/>
      <c r="B447" s="91"/>
      <c r="C447" s="90"/>
      <c r="D447" s="92"/>
      <c r="E447" s="93"/>
      <c r="F447" s="93"/>
      <c r="G447" s="93"/>
      <c r="H447" s="91"/>
      <c r="I447" s="92"/>
    </row>
    <row r="448">
      <c r="A448" s="90"/>
      <c r="B448" s="91"/>
      <c r="C448" s="90"/>
      <c r="D448" s="92"/>
      <c r="E448" s="93"/>
      <c r="F448" s="93"/>
      <c r="G448" s="93"/>
      <c r="H448" s="91"/>
      <c r="I448" s="92"/>
    </row>
    <row r="449">
      <c r="A449" s="90"/>
      <c r="B449" s="91"/>
      <c r="C449" s="90"/>
      <c r="D449" s="92"/>
      <c r="E449" s="93"/>
      <c r="F449" s="93"/>
      <c r="G449" s="93"/>
      <c r="H449" s="91"/>
      <c r="I449" s="92"/>
    </row>
    <row r="450">
      <c r="A450" s="90"/>
      <c r="B450" s="91"/>
      <c r="C450" s="90"/>
      <c r="D450" s="92"/>
      <c r="E450" s="93"/>
      <c r="F450" s="93"/>
      <c r="G450" s="93"/>
      <c r="H450" s="91"/>
      <c r="I450" s="92"/>
    </row>
    <row r="451">
      <c r="A451" s="90"/>
      <c r="B451" s="91"/>
      <c r="C451" s="90"/>
      <c r="D451" s="92"/>
      <c r="E451" s="93"/>
      <c r="F451" s="93"/>
      <c r="G451" s="93"/>
      <c r="H451" s="91"/>
      <c r="I451" s="92"/>
    </row>
    <row r="452">
      <c r="A452" s="90"/>
      <c r="B452" s="91"/>
      <c r="C452" s="90"/>
      <c r="D452" s="92"/>
      <c r="E452" s="93"/>
      <c r="F452" s="93"/>
      <c r="G452" s="93"/>
      <c r="H452" s="91"/>
      <c r="I452" s="92"/>
    </row>
    <row r="453">
      <c r="A453" s="90"/>
      <c r="B453" s="91"/>
      <c r="C453" s="90"/>
      <c r="D453" s="92"/>
      <c r="E453" s="93"/>
      <c r="F453" s="93"/>
      <c r="G453" s="93"/>
      <c r="H453" s="91"/>
      <c r="I453" s="92"/>
    </row>
    <row r="454">
      <c r="A454" s="90"/>
      <c r="B454" s="91"/>
      <c r="C454" s="90"/>
      <c r="D454" s="92"/>
      <c r="E454" s="93"/>
      <c r="F454" s="93"/>
      <c r="G454" s="93"/>
      <c r="H454" s="91"/>
      <c r="I454" s="92"/>
    </row>
    <row r="455">
      <c r="A455" s="90"/>
      <c r="B455" s="91"/>
      <c r="C455" s="90"/>
      <c r="D455" s="92"/>
      <c r="E455" s="93"/>
      <c r="F455" s="93"/>
      <c r="G455" s="93"/>
      <c r="H455" s="91"/>
      <c r="I455" s="92"/>
    </row>
    <row r="456">
      <c r="A456" s="90"/>
      <c r="B456" s="91"/>
      <c r="C456" s="90"/>
      <c r="D456" s="92"/>
      <c r="E456" s="93"/>
      <c r="F456" s="93"/>
      <c r="G456" s="93"/>
      <c r="H456" s="91"/>
      <c r="I456" s="92"/>
    </row>
    <row r="457">
      <c r="A457" s="90"/>
      <c r="B457" s="91"/>
      <c r="C457" s="90"/>
      <c r="D457" s="92"/>
      <c r="E457" s="93"/>
      <c r="F457" s="93"/>
      <c r="G457" s="93"/>
      <c r="H457" s="91"/>
      <c r="I457" s="92"/>
    </row>
    <row r="458">
      <c r="A458" s="90"/>
      <c r="B458" s="91"/>
      <c r="C458" s="90"/>
      <c r="D458" s="92"/>
      <c r="E458" s="93"/>
      <c r="F458" s="93"/>
      <c r="G458" s="93"/>
      <c r="H458" s="91"/>
      <c r="I458" s="92"/>
    </row>
    <row r="459">
      <c r="A459" s="90"/>
      <c r="B459" s="91"/>
      <c r="C459" s="90"/>
      <c r="D459" s="92"/>
      <c r="E459" s="93"/>
      <c r="F459" s="93"/>
      <c r="G459" s="93"/>
      <c r="H459" s="91"/>
      <c r="I459" s="92"/>
    </row>
    <row r="460">
      <c r="A460" s="90"/>
      <c r="B460" s="91"/>
      <c r="C460" s="90"/>
      <c r="D460" s="92"/>
      <c r="E460" s="93"/>
      <c r="F460" s="93"/>
      <c r="G460" s="93"/>
      <c r="H460" s="91"/>
      <c r="I460" s="92"/>
    </row>
    <row r="461">
      <c r="A461" s="90"/>
      <c r="B461" s="91"/>
      <c r="C461" s="90"/>
      <c r="D461" s="92"/>
      <c r="E461" s="93"/>
      <c r="F461" s="93"/>
      <c r="G461" s="93"/>
      <c r="H461" s="91"/>
      <c r="I461" s="92"/>
    </row>
    <row r="462">
      <c r="A462" s="90"/>
      <c r="B462" s="91"/>
      <c r="C462" s="90"/>
      <c r="D462" s="92"/>
      <c r="E462" s="93"/>
      <c r="F462" s="93"/>
      <c r="G462" s="93"/>
      <c r="H462" s="91"/>
      <c r="I462" s="92"/>
    </row>
    <row r="463">
      <c r="A463" s="90"/>
      <c r="B463" s="91"/>
      <c r="C463" s="90"/>
      <c r="D463" s="92"/>
      <c r="E463" s="93"/>
      <c r="F463" s="93"/>
      <c r="G463" s="93"/>
      <c r="H463" s="91"/>
      <c r="I463" s="92"/>
    </row>
    <row r="464">
      <c r="A464" s="90"/>
      <c r="B464" s="91"/>
      <c r="C464" s="90"/>
      <c r="D464" s="92"/>
      <c r="E464" s="93"/>
      <c r="F464" s="93"/>
      <c r="G464" s="93"/>
      <c r="H464" s="91"/>
      <c r="I464" s="92"/>
    </row>
    <row r="465">
      <c r="A465" s="90"/>
      <c r="B465" s="91"/>
      <c r="C465" s="90"/>
      <c r="D465" s="92"/>
      <c r="E465" s="93"/>
      <c r="F465" s="93"/>
      <c r="G465" s="93"/>
      <c r="H465" s="91"/>
      <c r="I465" s="92"/>
    </row>
    <row r="466">
      <c r="A466" s="90"/>
      <c r="B466" s="91"/>
      <c r="C466" s="90"/>
      <c r="D466" s="92"/>
      <c r="E466" s="93"/>
      <c r="F466" s="93"/>
      <c r="G466" s="93"/>
      <c r="H466" s="91"/>
      <c r="I466" s="92"/>
    </row>
    <row r="467">
      <c r="A467" s="90"/>
      <c r="B467" s="91"/>
      <c r="C467" s="90"/>
      <c r="D467" s="92"/>
      <c r="E467" s="93"/>
      <c r="F467" s="93"/>
      <c r="G467" s="93"/>
      <c r="H467" s="91"/>
      <c r="I467" s="92"/>
    </row>
    <row r="468">
      <c r="A468" s="90"/>
      <c r="B468" s="91"/>
      <c r="C468" s="90"/>
      <c r="D468" s="92"/>
      <c r="E468" s="93"/>
      <c r="F468" s="93"/>
      <c r="G468" s="93"/>
      <c r="H468" s="91"/>
      <c r="I468" s="92"/>
    </row>
    <row r="469">
      <c r="A469" s="90"/>
      <c r="B469" s="91"/>
      <c r="C469" s="90"/>
      <c r="D469" s="92"/>
      <c r="E469" s="93"/>
      <c r="F469" s="93"/>
      <c r="G469" s="93"/>
      <c r="H469" s="91"/>
      <c r="I469" s="92"/>
    </row>
    <row r="470">
      <c r="A470" s="90"/>
      <c r="B470" s="91"/>
      <c r="C470" s="90"/>
      <c r="D470" s="92"/>
      <c r="E470" s="93"/>
      <c r="F470" s="93"/>
      <c r="G470" s="93"/>
      <c r="H470" s="91"/>
      <c r="I470" s="92"/>
    </row>
    <row r="471">
      <c r="A471" s="90"/>
      <c r="B471" s="91"/>
      <c r="C471" s="90"/>
      <c r="D471" s="92"/>
      <c r="E471" s="93"/>
      <c r="F471" s="93"/>
      <c r="G471" s="93"/>
      <c r="H471" s="91"/>
      <c r="I471" s="92"/>
    </row>
    <row r="472">
      <c r="A472" s="90"/>
      <c r="B472" s="91"/>
      <c r="C472" s="90"/>
      <c r="D472" s="92"/>
      <c r="E472" s="93"/>
      <c r="F472" s="93"/>
      <c r="G472" s="93"/>
      <c r="H472" s="91"/>
      <c r="I472" s="92"/>
    </row>
    <row r="473">
      <c r="A473" s="90"/>
      <c r="B473" s="91"/>
      <c r="C473" s="90"/>
      <c r="D473" s="92"/>
      <c r="E473" s="93"/>
      <c r="F473" s="93"/>
      <c r="G473" s="93"/>
      <c r="H473" s="91"/>
      <c r="I473" s="92"/>
    </row>
    <row r="474">
      <c r="A474" s="90"/>
      <c r="B474" s="91"/>
      <c r="C474" s="90"/>
      <c r="D474" s="92"/>
      <c r="E474" s="93"/>
      <c r="F474" s="93"/>
      <c r="G474" s="93"/>
      <c r="H474" s="91"/>
      <c r="I474" s="92"/>
    </row>
    <row r="475">
      <c r="A475" s="90"/>
      <c r="B475" s="91"/>
      <c r="C475" s="90"/>
      <c r="D475" s="92"/>
      <c r="E475" s="93"/>
      <c r="F475" s="93"/>
      <c r="G475" s="93"/>
      <c r="H475" s="91"/>
      <c r="I475" s="92"/>
    </row>
    <row r="476">
      <c r="A476" s="90"/>
      <c r="B476" s="91"/>
      <c r="C476" s="90"/>
      <c r="D476" s="92"/>
      <c r="E476" s="93"/>
      <c r="F476" s="93"/>
      <c r="G476" s="93"/>
      <c r="H476" s="91"/>
      <c r="I476" s="92"/>
    </row>
    <row r="477">
      <c r="A477" s="90"/>
      <c r="B477" s="91"/>
      <c r="C477" s="90"/>
      <c r="D477" s="92"/>
      <c r="E477" s="93"/>
      <c r="F477" s="93"/>
      <c r="G477" s="93"/>
      <c r="H477" s="91"/>
      <c r="I477" s="92"/>
    </row>
    <row r="478">
      <c r="A478" s="90"/>
      <c r="B478" s="91"/>
      <c r="C478" s="90"/>
      <c r="D478" s="92"/>
      <c r="E478" s="93"/>
      <c r="F478" s="93"/>
      <c r="G478" s="93"/>
      <c r="H478" s="91"/>
      <c r="I478" s="92"/>
    </row>
    <row r="479">
      <c r="A479" s="90"/>
      <c r="B479" s="91"/>
      <c r="C479" s="90"/>
      <c r="D479" s="92"/>
      <c r="E479" s="93"/>
      <c r="F479" s="93"/>
      <c r="G479" s="93"/>
      <c r="H479" s="91"/>
      <c r="I479" s="92"/>
    </row>
    <row r="480">
      <c r="A480" s="90"/>
      <c r="B480" s="91"/>
      <c r="C480" s="90"/>
      <c r="D480" s="92"/>
      <c r="E480" s="93"/>
      <c r="F480" s="93"/>
      <c r="G480" s="93"/>
      <c r="H480" s="91"/>
      <c r="I480" s="92"/>
    </row>
    <row r="481">
      <c r="A481" s="90"/>
      <c r="B481" s="91"/>
      <c r="C481" s="90"/>
      <c r="D481" s="92"/>
      <c r="E481" s="93"/>
      <c r="F481" s="93"/>
      <c r="G481" s="93"/>
      <c r="H481" s="91"/>
      <c r="I481" s="92"/>
    </row>
    <row r="482">
      <c r="A482" s="90"/>
      <c r="B482" s="91"/>
      <c r="C482" s="90"/>
      <c r="D482" s="92"/>
      <c r="E482" s="93"/>
      <c r="F482" s="93"/>
      <c r="G482" s="93"/>
      <c r="H482" s="91"/>
      <c r="I482" s="92"/>
    </row>
    <row r="483">
      <c r="A483" s="90"/>
      <c r="B483" s="91"/>
      <c r="C483" s="90"/>
      <c r="D483" s="92"/>
      <c r="E483" s="93"/>
      <c r="F483" s="93"/>
      <c r="G483" s="93"/>
      <c r="H483" s="91"/>
      <c r="I483" s="92"/>
    </row>
    <row r="484">
      <c r="A484" s="90"/>
      <c r="B484" s="91"/>
      <c r="C484" s="90"/>
      <c r="D484" s="92"/>
      <c r="E484" s="93"/>
      <c r="F484" s="93"/>
      <c r="G484" s="93"/>
      <c r="H484" s="91"/>
      <c r="I484" s="92"/>
    </row>
    <row r="485">
      <c r="A485" s="90"/>
      <c r="B485" s="91"/>
      <c r="C485" s="90"/>
      <c r="D485" s="92"/>
      <c r="E485" s="93"/>
      <c r="F485" s="93"/>
      <c r="G485" s="93"/>
      <c r="H485" s="91"/>
      <c r="I485" s="92"/>
    </row>
    <row r="486">
      <c r="A486" s="90"/>
      <c r="B486" s="91"/>
      <c r="C486" s="90"/>
      <c r="D486" s="92"/>
      <c r="E486" s="93"/>
      <c r="F486" s="93"/>
      <c r="G486" s="93"/>
      <c r="H486" s="91"/>
      <c r="I486" s="92"/>
    </row>
    <row r="487">
      <c r="A487" s="90"/>
      <c r="B487" s="91"/>
      <c r="C487" s="90"/>
      <c r="D487" s="92"/>
      <c r="E487" s="93"/>
      <c r="F487" s="93"/>
      <c r="G487" s="93"/>
      <c r="H487" s="91"/>
      <c r="I487" s="92"/>
    </row>
    <row r="488">
      <c r="A488" s="90"/>
      <c r="B488" s="91"/>
      <c r="C488" s="90"/>
      <c r="D488" s="92"/>
      <c r="E488" s="93"/>
      <c r="F488" s="93"/>
      <c r="G488" s="93"/>
      <c r="H488" s="91"/>
      <c r="I488" s="92"/>
    </row>
    <row r="489">
      <c r="A489" s="90"/>
      <c r="B489" s="91"/>
      <c r="C489" s="90"/>
      <c r="D489" s="92"/>
      <c r="E489" s="93"/>
      <c r="F489" s="93"/>
      <c r="G489" s="93"/>
      <c r="H489" s="91"/>
      <c r="I489" s="92"/>
    </row>
    <row r="490">
      <c r="A490" s="90"/>
      <c r="B490" s="91"/>
      <c r="C490" s="90"/>
      <c r="D490" s="92"/>
      <c r="E490" s="93"/>
      <c r="F490" s="93"/>
      <c r="G490" s="93"/>
      <c r="H490" s="91"/>
      <c r="I490" s="92"/>
    </row>
    <row r="491">
      <c r="A491" s="90"/>
      <c r="B491" s="91"/>
      <c r="C491" s="90"/>
      <c r="D491" s="92"/>
      <c r="E491" s="93"/>
      <c r="F491" s="93"/>
      <c r="G491" s="93"/>
      <c r="H491" s="91"/>
      <c r="I491" s="92"/>
    </row>
    <row r="492">
      <c r="A492" s="90"/>
      <c r="B492" s="91"/>
      <c r="C492" s="90"/>
      <c r="D492" s="92"/>
      <c r="E492" s="93"/>
      <c r="F492" s="93"/>
      <c r="G492" s="93"/>
      <c r="H492" s="91"/>
      <c r="I492" s="92"/>
    </row>
    <row r="493">
      <c r="A493" s="90"/>
      <c r="B493" s="91"/>
      <c r="C493" s="90"/>
      <c r="D493" s="92"/>
      <c r="E493" s="93"/>
      <c r="F493" s="93"/>
      <c r="G493" s="93"/>
      <c r="H493" s="91"/>
      <c r="I493" s="92"/>
    </row>
    <row r="494">
      <c r="A494" s="90"/>
      <c r="B494" s="91"/>
      <c r="C494" s="90"/>
      <c r="D494" s="92"/>
      <c r="E494" s="93"/>
      <c r="F494" s="93"/>
      <c r="G494" s="93"/>
      <c r="H494" s="91"/>
      <c r="I494" s="92"/>
    </row>
    <row r="495">
      <c r="A495" s="90"/>
      <c r="B495" s="91"/>
      <c r="C495" s="90"/>
      <c r="D495" s="92"/>
      <c r="E495" s="93"/>
      <c r="F495" s="93"/>
      <c r="G495" s="93"/>
      <c r="H495" s="91"/>
      <c r="I495" s="92"/>
    </row>
    <row r="496">
      <c r="A496" s="90"/>
      <c r="B496" s="91"/>
      <c r="C496" s="90"/>
      <c r="D496" s="92"/>
      <c r="E496" s="93"/>
      <c r="F496" s="93"/>
      <c r="G496" s="93"/>
      <c r="H496" s="91"/>
      <c r="I496" s="92"/>
    </row>
    <row r="497">
      <c r="A497" s="90"/>
      <c r="B497" s="91"/>
      <c r="C497" s="90"/>
      <c r="D497" s="92"/>
      <c r="E497" s="93"/>
      <c r="F497" s="93"/>
      <c r="G497" s="93"/>
      <c r="H497" s="91"/>
      <c r="I497" s="92"/>
    </row>
    <row r="498">
      <c r="A498" s="90"/>
      <c r="B498" s="91"/>
      <c r="C498" s="90"/>
      <c r="D498" s="92"/>
      <c r="E498" s="93"/>
      <c r="F498" s="93"/>
      <c r="G498" s="93"/>
      <c r="H498" s="91"/>
      <c r="I498" s="92"/>
    </row>
    <row r="499">
      <c r="A499" s="90"/>
      <c r="B499" s="91"/>
      <c r="C499" s="90"/>
      <c r="D499" s="92"/>
      <c r="E499" s="93"/>
      <c r="F499" s="93"/>
      <c r="G499" s="93"/>
      <c r="H499" s="91"/>
      <c r="I499" s="92"/>
    </row>
    <row r="500">
      <c r="A500" s="90"/>
      <c r="B500" s="91"/>
      <c r="C500" s="90"/>
      <c r="D500" s="92"/>
      <c r="E500" s="93"/>
      <c r="F500" s="93"/>
      <c r="G500" s="93"/>
      <c r="H500" s="91"/>
      <c r="I500" s="92"/>
    </row>
    <row r="501">
      <c r="A501" s="90"/>
      <c r="B501" s="91"/>
      <c r="C501" s="90"/>
      <c r="D501" s="92"/>
      <c r="E501" s="93"/>
      <c r="F501" s="93"/>
      <c r="G501" s="93"/>
      <c r="H501" s="91"/>
      <c r="I501" s="92"/>
    </row>
    <row r="502">
      <c r="A502" s="90"/>
      <c r="B502" s="91"/>
      <c r="C502" s="90"/>
      <c r="D502" s="92"/>
      <c r="E502" s="93"/>
      <c r="F502" s="93"/>
      <c r="G502" s="93"/>
      <c r="H502" s="91"/>
      <c r="I502" s="92"/>
    </row>
    <row r="503">
      <c r="A503" s="90"/>
      <c r="B503" s="91"/>
      <c r="C503" s="90"/>
      <c r="D503" s="92"/>
      <c r="E503" s="93"/>
      <c r="F503" s="93"/>
      <c r="G503" s="93"/>
      <c r="H503" s="91"/>
      <c r="I503" s="92"/>
    </row>
    <row r="504">
      <c r="A504" s="90"/>
      <c r="B504" s="91"/>
      <c r="C504" s="90"/>
      <c r="D504" s="92"/>
      <c r="E504" s="93"/>
      <c r="F504" s="93"/>
      <c r="G504" s="93"/>
      <c r="H504" s="91"/>
      <c r="I504" s="92"/>
    </row>
    <row r="505">
      <c r="A505" s="90"/>
      <c r="B505" s="91"/>
      <c r="C505" s="90"/>
      <c r="D505" s="92"/>
      <c r="E505" s="93"/>
      <c r="F505" s="93"/>
      <c r="G505" s="93"/>
      <c r="H505" s="91"/>
      <c r="I505" s="92"/>
    </row>
    <row r="506">
      <c r="A506" s="90"/>
      <c r="B506" s="91"/>
      <c r="C506" s="90"/>
      <c r="D506" s="92"/>
      <c r="E506" s="93"/>
      <c r="F506" s="93"/>
      <c r="G506" s="93"/>
      <c r="H506" s="91"/>
      <c r="I506" s="92"/>
    </row>
    <row r="507">
      <c r="A507" s="90"/>
      <c r="B507" s="91"/>
      <c r="C507" s="90"/>
      <c r="D507" s="92"/>
      <c r="E507" s="93"/>
      <c r="F507" s="93"/>
      <c r="G507" s="93"/>
      <c r="H507" s="91"/>
      <c r="I507" s="92"/>
    </row>
    <row r="508">
      <c r="A508" s="90"/>
      <c r="B508" s="91"/>
      <c r="C508" s="90"/>
      <c r="D508" s="92"/>
      <c r="E508" s="93"/>
      <c r="F508" s="93"/>
      <c r="G508" s="93"/>
      <c r="H508" s="91"/>
      <c r="I508" s="92"/>
    </row>
    <row r="509">
      <c r="A509" s="90"/>
      <c r="B509" s="91"/>
      <c r="C509" s="90"/>
      <c r="D509" s="92"/>
      <c r="E509" s="93"/>
      <c r="F509" s="93"/>
      <c r="G509" s="93"/>
      <c r="H509" s="91"/>
      <c r="I509" s="92"/>
    </row>
    <row r="510">
      <c r="A510" s="90"/>
      <c r="B510" s="91"/>
      <c r="C510" s="90"/>
      <c r="D510" s="92"/>
      <c r="E510" s="93"/>
      <c r="F510" s="93"/>
      <c r="G510" s="93"/>
      <c r="H510" s="91"/>
      <c r="I510" s="92"/>
    </row>
    <row r="511">
      <c r="A511" s="90"/>
      <c r="B511" s="91"/>
      <c r="C511" s="90"/>
      <c r="D511" s="92"/>
      <c r="E511" s="93"/>
      <c r="F511" s="93"/>
      <c r="G511" s="93"/>
      <c r="H511" s="91"/>
      <c r="I511" s="92"/>
    </row>
    <row r="512">
      <c r="A512" s="90"/>
      <c r="B512" s="91"/>
      <c r="C512" s="90"/>
      <c r="D512" s="92"/>
      <c r="E512" s="93"/>
      <c r="F512" s="93"/>
      <c r="G512" s="93"/>
      <c r="H512" s="91"/>
      <c r="I512" s="92"/>
    </row>
    <row r="513">
      <c r="A513" s="90"/>
      <c r="B513" s="91"/>
      <c r="C513" s="90"/>
      <c r="D513" s="92"/>
      <c r="E513" s="93"/>
      <c r="F513" s="93"/>
      <c r="G513" s="93"/>
      <c r="H513" s="91"/>
      <c r="I513" s="92"/>
    </row>
    <row r="514">
      <c r="A514" s="90"/>
      <c r="B514" s="91"/>
      <c r="C514" s="90"/>
      <c r="D514" s="92"/>
      <c r="E514" s="93"/>
      <c r="F514" s="93"/>
      <c r="G514" s="93"/>
      <c r="H514" s="91"/>
      <c r="I514" s="92"/>
    </row>
    <row r="515">
      <c r="A515" s="90"/>
      <c r="B515" s="91"/>
      <c r="C515" s="90"/>
      <c r="D515" s="92"/>
      <c r="E515" s="93"/>
      <c r="F515" s="93"/>
      <c r="G515" s="93"/>
      <c r="H515" s="91"/>
      <c r="I515" s="92"/>
    </row>
    <row r="516">
      <c r="A516" s="90"/>
      <c r="B516" s="91"/>
      <c r="C516" s="90"/>
      <c r="D516" s="92"/>
      <c r="E516" s="93"/>
      <c r="F516" s="93"/>
      <c r="G516" s="93"/>
      <c r="H516" s="91"/>
      <c r="I516" s="92"/>
    </row>
    <row r="517">
      <c r="A517" s="90"/>
      <c r="B517" s="91"/>
      <c r="C517" s="90"/>
      <c r="D517" s="92"/>
      <c r="E517" s="93"/>
      <c r="F517" s="93"/>
      <c r="G517" s="93"/>
      <c r="H517" s="91"/>
      <c r="I517" s="92"/>
    </row>
    <row r="518">
      <c r="A518" s="90"/>
      <c r="B518" s="91"/>
      <c r="C518" s="90"/>
      <c r="D518" s="92"/>
      <c r="E518" s="93"/>
      <c r="F518" s="93"/>
      <c r="G518" s="93"/>
      <c r="H518" s="91"/>
      <c r="I518" s="92"/>
    </row>
    <row r="519">
      <c r="A519" s="90"/>
      <c r="B519" s="91"/>
      <c r="C519" s="90"/>
      <c r="D519" s="92"/>
      <c r="E519" s="93"/>
      <c r="F519" s="93"/>
      <c r="G519" s="93"/>
      <c r="H519" s="91"/>
      <c r="I519" s="92"/>
    </row>
    <row r="520">
      <c r="A520" s="90"/>
      <c r="B520" s="91"/>
      <c r="C520" s="90"/>
      <c r="D520" s="92"/>
      <c r="E520" s="93"/>
      <c r="F520" s="93"/>
      <c r="G520" s="93"/>
      <c r="H520" s="91"/>
      <c r="I520" s="92"/>
    </row>
    <row r="521">
      <c r="A521" s="90"/>
      <c r="B521" s="91"/>
      <c r="C521" s="90"/>
      <c r="D521" s="92"/>
      <c r="E521" s="93"/>
      <c r="F521" s="93"/>
      <c r="G521" s="93"/>
      <c r="H521" s="91"/>
      <c r="I521" s="92"/>
    </row>
    <row r="522">
      <c r="A522" s="90"/>
      <c r="B522" s="91"/>
      <c r="C522" s="90"/>
      <c r="D522" s="92"/>
      <c r="E522" s="93"/>
      <c r="F522" s="93"/>
      <c r="G522" s="93"/>
      <c r="H522" s="91"/>
      <c r="I522" s="92"/>
    </row>
    <row r="523">
      <c r="A523" s="90"/>
      <c r="B523" s="91"/>
      <c r="C523" s="90"/>
      <c r="D523" s="92"/>
      <c r="E523" s="93"/>
      <c r="F523" s="93"/>
      <c r="G523" s="93"/>
      <c r="H523" s="91"/>
      <c r="I523" s="92"/>
    </row>
    <row r="524">
      <c r="A524" s="90"/>
      <c r="B524" s="91"/>
      <c r="C524" s="90"/>
      <c r="D524" s="92"/>
      <c r="E524" s="93"/>
      <c r="F524" s="93"/>
      <c r="G524" s="93"/>
      <c r="H524" s="91"/>
      <c r="I524" s="92"/>
    </row>
    <row r="525">
      <c r="A525" s="90"/>
      <c r="B525" s="91"/>
      <c r="C525" s="90"/>
      <c r="D525" s="92"/>
      <c r="E525" s="93"/>
      <c r="F525" s="93"/>
      <c r="G525" s="93"/>
      <c r="H525" s="91"/>
      <c r="I525" s="92"/>
    </row>
    <row r="526">
      <c r="A526" s="90"/>
      <c r="B526" s="91"/>
      <c r="C526" s="90"/>
      <c r="D526" s="92"/>
      <c r="E526" s="93"/>
      <c r="F526" s="93"/>
      <c r="G526" s="93"/>
      <c r="H526" s="91"/>
      <c r="I526" s="92"/>
    </row>
    <row r="527">
      <c r="A527" s="90"/>
      <c r="B527" s="91"/>
      <c r="C527" s="90"/>
      <c r="D527" s="92"/>
      <c r="E527" s="93"/>
      <c r="F527" s="93"/>
      <c r="G527" s="93"/>
      <c r="H527" s="91"/>
      <c r="I527" s="92"/>
    </row>
    <row r="528">
      <c r="A528" s="90"/>
      <c r="B528" s="91"/>
      <c r="C528" s="90"/>
      <c r="D528" s="92"/>
      <c r="E528" s="93"/>
      <c r="F528" s="93"/>
      <c r="G528" s="93"/>
      <c r="H528" s="91"/>
      <c r="I528" s="92"/>
    </row>
    <row r="529">
      <c r="A529" s="90"/>
      <c r="B529" s="91"/>
      <c r="C529" s="90"/>
      <c r="D529" s="92"/>
      <c r="E529" s="93"/>
      <c r="F529" s="93"/>
      <c r="G529" s="93"/>
      <c r="H529" s="91"/>
      <c r="I529" s="92"/>
    </row>
    <row r="530">
      <c r="A530" s="90"/>
      <c r="B530" s="91"/>
      <c r="C530" s="90"/>
      <c r="D530" s="92"/>
      <c r="E530" s="93"/>
      <c r="F530" s="93"/>
      <c r="G530" s="93"/>
      <c r="H530" s="91"/>
      <c r="I530" s="92"/>
    </row>
    <row r="531">
      <c r="A531" s="90"/>
      <c r="B531" s="91"/>
      <c r="C531" s="90"/>
      <c r="D531" s="92"/>
      <c r="E531" s="93"/>
      <c r="F531" s="93"/>
      <c r="G531" s="93"/>
      <c r="H531" s="91"/>
      <c r="I531" s="92"/>
    </row>
    <row r="532">
      <c r="A532" s="90"/>
      <c r="B532" s="91"/>
      <c r="C532" s="90"/>
      <c r="D532" s="92"/>
      <c r="E532" s="93"/>
      <c r="F532" s="93"/>
      <c r="G532" s="93"/>
      <c r="H532" s="91"/>
      <c r="I532" s="92"/>
    </row>
    <row r="533">
      <c r="A533" s="90"/>
      <c r="B533" s="91"/>
      <c r="C533" s="90"/>
      <c r="D533" s="92"/>
      <c r="E533" s="93"/>
      <c r="F533" s="93"/>
      <c r="G533" s="93"/>
      <c r="H533" s="91"/>
      <c r="I533" s="92"/>
    </row>
    <row r="534">
      <c r="A534" s="90"/>
      <c r="B534" s="91"/>
      <c r="C534" s="90"/>
      <c r="D534" s="92"/>
      <c r="E534" s="93"/>
      <c r="F534" s="93"/>
      <c r="G534" s="93"/>
      <c r="H534" s="91"/>
      <c r="I534" s="92"/>
    </row>
    <row r="535">
      <c r="A535" s="90"/>
      <c r="B535" s="91"/>
      <c r="C535" s="90"/>
      <c r="D535" s="92"/>
      <c r="E535" s="93"/>
      <c r="F535" s="93"/>
      <c r="G535" s="93"/>
      <c r="H535" s="91"/>
      <c r="I535" s="92"/>
    </row>
    <row r="536">
      <c r="A536" s="90"/>
      <c r="B536" s="91"/>
      <c r="C536" s="90"/>
      <c r="D536" s="92"/>
      <c r="E536" s="93"/>
      <c r="F536" s="93"/>
      <c r="G536" s="93"/>
      <c r="H536" s="91"/>
      <c r="I536" s="92"/>
    </row>
    <row r="537">
      <c r="A537" s="90"/>
      <c r="B537" s="91"/>
      <c r="C537" s="90"/>
      <c r="D537" s="92"/>
      <c r="E537" s="93"/>
      <c r="F537" s="93"/>
      <c r="G537" s="93"/>
      <c r="H537" s="91"/>
      <c r="I537" s="92"/>
    </row>
    <row r="538">
      <c r="A538" s="90"/>
      <c r="B538" s="91"/>
      <c r="C538" s="90"/>
      <c r="D538" s="92"/>
      <c r="E538" s="93"/>
      <c r="F538" s="93"/>
      <c r="G538" s="93"/>
      <c r="H538" s="91"/>
      <c r="I538" s="92"/>
    </row>
    <row r="539">
      <c r="A539" s="90"/>
      <c r="B539" s="91"/>
      <c r="C539" s="90"/>
      <c r="D539" s="92"/>
      <c r="E539" s="93"/>
      <c r="F539" s="93"/>
      <c r="G539" s="93"/>
      <c r="H539" s="91"/>
      <c r="I539" s="92"/>
    </row>
    <row r="540">
      <c r="A540" s="90"/>
      <c r="B540" s="91"/>
      <c r="C540" s="90"/>
      <c r="D540" s="92"/>
      <c r="E540" s="93"/>
      <c r="F540" s="93"/>
      <c r="G540" s="93"/>
      <c r="H540" s="91"/>
      <c r="I540" s="92"/>
    </row>
    <row r="541">
      <c r="A541" s="90"/>
      <c r="B541" s="91"/>
      <c r="C541" s="90"/>
      <c r="D541" s="92"/>
      <c r="E541" s="93"/>
      <c r="F541" s="93"/>
      <c r="G541" s="93"/>
      <c r="H541" s="91"/>
      <c r="I541" s="92"/>
    </row>
    <row r="542">
      <c r="A542" s="90"/>
      <c r="B542" s="91"/>
      <c r="C542" s="90"/>
      <c r="D542" s="92"/>
      <c r="E542" s="93"/>
      <c r="F542" s="93"/>
      <c r="G542" s="93"/>
      <c r="H542" s="91"/>
      <c r="I542" s="92"/>
    </row>
    <row r="543">
      <c r="A543" s="90"/>
      <c r="B543" s="91"/>
      <c r="C543" s="90"/>
      <c r="D543" s="92"/>
      <c r="E543" s="93"/>
      <c r="F543" s="93"/>
      <c r="G543" s="93"/>
      <c r="H543" s="91"/>
      <c r="I543" s="92"/>
    </row>
    <row r="544">
      <c r="A544" s="90"/>
      <c r="B544" s="91"/>
      <c r="C544" s="90"/>
      <c r="D544" s="92"/>
      <c r="E544" s="93"/>
      <c r="F544" s="93"/>
      <c r="G544" s="93"/>
      <c r="H544" s="91"/>
      <c r="I544" s="92"/>
    </row>
    <row r="545">
      <c r="A545" s="90"/>
      <c r="B545" s="91"/>
      <c r="C545" s="90"/>
      <c r="D545" s="92"/>
      <c r="E545" s="93"/>
      <c r="F545" s="93"/>
      <c r="G545" s="93"/>
      <c r="H545" s="91"/>
      <c r="I545" s="92"/>
    </row>
    <row r="546">
      <c r="A546" s="90"/>
      <c r="B546" s="91"/>
      <c r="C546" s="90"/>
      <c r="D546" s="92"/>
      <c r="E546" s="93"/>
      <c r="F546" s="93"/>
      <c r="G546" s="93"/>
      <c r="H546" s="91"/>
      <c r="I546" s="92"/>
    </row>
    <row r="547">
      <c r="A547" s="90"/>
      <c r="B547" s="91"/>
      <c r="C547" s="90"/>
      <c r="D547" s="92"/>
      <c r="E547" s="93"/>
      <c r="F547" s="93"/>
      <c r="G547" s="93"/>
      <c r="H547" s="91"/>
      <c r="I547" s="92"/>
    </row>
    <row r="548">
      <c r="A548" s="90"/>
      <c r="B548" s="91"/>
      <c r="C548" s="90"/>
      <c r="D548" s="92"/>
      <c r="E548" s="93"/>
      <c r="F548" s="93"/>
      <c r="G548" s="93"/>
      <c r="H548" s="91"/>
      <c r="I548" s="92"/>
    </row>
    <row r="549">
      <c r="A549" s="90"/>
      <c r="B549" s="91"/>
      <c r="C549" s="90"/>
      <c r="D549" s="92"/>
      <c r="E549" s="93"/>
      <c r="F549" s="93"/>
      <c r="G549" s="93"/>
      <c r="H549" s="91"/>
      <c r="I549" s="92"/>
    </row>
    <row r="550">
      <c r="A550" s="90"/>
      <c r="B550" s="91"/>
      <c r="C550" s="90"/>
      <c r="D550" s="92"/>
      <c r="E550" s="93"/>
      <c r="F550" s="93"/>
      <c r="G550" s="93"/>
      <c r="H550" s="91"/>
      <c r="I550" s="92"/>
    </row>
    <row r="551">
      <c r="A551" s="90"/>
      <c r="B551" s="91"/>
      <c r="C551" s="90"/>
      <c r="D551" s="92"/>
      <c r="E551" s="93"/>
      <c r="F551" s="93"/>
      <c r="G551" s="93"/>
      <c r="H551" s="91"/>
      <c r="I551" s="92"/>
    </row>
    <row r="552">
      <c r="A552" s="90"/>
      <c r="B552" s="91"/>
      <c r="C552" s="90"/>
      <c r="D552" s="92"/>
      <c r="E552" s="93"/>
      <c r="F552" s="93"/>
      <c r="G552" s="93"/>
      <c r="H552" s="91"/>
      <c r="I552" s="92"/>
    </row>
    <row r="553">
      <c r="A553" s="90"/>
      <c r="B553" s="91"/>
      <c r="C553" s="90"/>
      <c r="D553" s="92"/>
      <c r="E553" s="93"/>
      <c r="F553" s="93"/>
      <c r="G553" s="93"/>
      <c r="H553" s="91"/>
      <c r="I553" s="92"/>
    </row>
    <row r="554">
      <c r="A554" s="90"/>
      <c r="B554" s="91"/>
      <c r="C554" s="90"/>
      <c r="D554" s="92"/>
      <c r="E554" s="93"/>
      <c r="F554" s="93"/>
      <c r="G554" s="93"/>
      <c r="H554" s="91"/>
      <c r="I554" s="92"/>
    </row>
    <row r="555">
      <c r="A555" s="90"/>
      <c r="B555" s="91"/>
      <c r="C555" s="90"/>
      <c r="D555" s="92"/>
      <c r="E555" s="93"/>
      <c r="F555" s="93"/>
      <c r="G555" s="93"/>
      <c r="H555" s="91"/>
      <c r="I555" s="92"/>
    </row>
    <row r="556">
      <c r="A556" s="90"/>
      <c r="B556" s="91"/>
      <c r="C556" s="90"/>
      <c r="D556" s="92"/>
      <c r="E556" s="93"/>
      <c r="F556" s="93"/>
      <c r="G556" s="93"/>
      <c r="H556" s="91"/>
      <c r="I556" s="92"/>
    </row>
    <row r="557">
      <c r="A557" s="90"/>
      <c r="B557" s="91"/>
      <c r="C557" s="90"/>
      <c r="D557" s="92"/>
      <c r="E557" s="93"/>
      <c r="F557" s="93"/>
      <c r="G557" s="93"/>
      <c r="H557" s="91"/>
      <c r="I557" s="92"/>
    </row>
    <row r="558">
      <c r="A558" s="90"/>
      <c r="B558" s="91"/>
      <c r="C558" s="90"/>
      <c r="D558" s="92"/>
      <c r="E558" s="93"/>
      <c r="F558" s="93"/>
      <c r="G558" s="93"/>
      <c r="H558" s="91"/>
      <c r="I558" s="92"/>
    </row>
    <row r="559">
      <c r="A559" s="90"/>
      <c r="B559" s="91"/>
      <c r="C559" s="90"/>
      <c r="D559" s="92"/>
      <c r="E559" s="93"/>
      <c r="F559" s="93"/>
      <c r="G559" s="93"/>
      <c r="H559" s="91"/>
      <c r="I559" s="92"/>
    </row>
    <row r="560">
      <c r="A560" s="90"/>
      <c r="B560" s="91"/>
      <c r="C560" s="90"/>
      <c r="D560" s="92"/>
      <c r="E560" s="93"/>
      <c r="F560" s="93"/>
      <c r="G560" s="93"/>
      <c r="H560" s="91"/>
      <c r="I560" s="92"/>
    </row>
    <row r="561">
      <c r="A561" s="90"/>
      <c r="B561" s="91"/>
      <c r="C561" s="90"/>
      <c r="D561" s="92"/>
      <c r="E561" s="93"/>
      <c r="F561" s="93"/>
      <c r="G561" s="93"/>
      <c r="H561" s="91"/>
      <c r="I561" s="92"/>
    </row>
    <row r="562">
      <c r="A562" s="90"/>
      <c r="B562" s="91"/>
      <c r="C562" s="90"/>
      <c r="D562" s="92"/>
      <c r="E562" s="93"/>
      <c r="F562" s="93"/>
      <c r="G562" s="93"/>
      <c r="H562" s="91"/>
      <c r="I562" s="92"/>
    </row>
    <row r="563">
      <c r="A563" s="90"/>
      <c r="B563" s="91"/>
      <c r="C563" s="90"/>
      <c r="D563" s="92"/>
      <c r="E563" s="93"/>
      <c r="F563" s="93"/>
      <c r="G563" s="93"/>
      <c r="H563" s="91"/>
      <c r="I563" s="92"/>
    </row>
    <row r="564">
      <c r="A564" s="90"/>
      <c r="B564" s="91"/>
      <c r="C564" s="90"/>
      <c r="D564" s="92"/>
      <c r="E564" s="93"/>
      <c r="F564" s="93"/>
      <c r="G564" s="93"/>
      <c r="H564" s="91"/>
      <c r="I564" s="92"/>
    </row>
    <row r="565">
      <c r="A565" s="90"/>
      <c r="B565" s="91"/>
      <c r="C565" s="90"/>
      <c r="D565" s="92"/>
      <c r="E565" s="93"/>
      <c r="F565" s="93"/>
      <c r="G565" s="93"/>
      <c r="H565" s="91"/>
      <c r="I565" s="92"/>
    </row>
    <row r="566">
      <c r="A566" s="90"/>
      <c r="B566" s="91"/>
      <c r="C566" s="90"/>
      <c r="D566" s="92"/>
      <c r="E566" s="93"/>
      <c r="F566" s="93"/>
      <c r="G566" s="93"/>
      <c r="H566" s="91"/>
      <c r="I566" s="92"/>
    </row>
    <row r="567">
      <c r="A567" s="90"/>
      <c r="B567" s="91"/>
      <c r="C567" s="90"/>
      <c r="D567" s="92"/>
      <c r="E567" s="93"/>
      <c r="F567" s="93"/>
      <c r="G567" s="93"/>
      <c r="H567" s="91"/>
      <c r="I567" s="92"/>
    </row>
    <row r="568">
      <c r="A568" s="90"/>
      <c r="B568" s="91"/>
      <c r="C568" s="90"/>
      <c r="D568" s="92"/>
      <c r="E568" s="93"/>
      <c r="F568" s="93"/>
      <c r="G568" s="93"/>
      <c r="H568" s="91"/>
      <c r="I568" s="92"/>
    </row>
    <row r="569">
      <c r="A569" s="90"/>
      <c r="B569" s="91"/>
      <c r="C569" s="90"/>
      <c r="D569" s="92"/>
      <c r="E569" s="93"/>
      <c r="F569" s="93"/>
      <c r="G569" s="93"/>
      <c r="H569" s="91"/>
      <c r="I569" s="92"/>
    </row>
    <row r="570">
      <c r="A570" s="90"/>
      <c r="B570" s="91"/>
      <c r="C570" s="90"/>
      <c r="D570" s="92"/>
      <c r="E570" s="93"/>
      <c r="F570" s="93"/>
      <c r="G570" s="93"/>
      <c r="H570" s="91"/>
      <c r="I570" s="92"/>
    </row>
    <row r="571">
      <c r="A571" s="90"/>
      <c r="B571" s="91"/>
      <c r="C571" s="90"/>
      <c r="D571" s="92"/>
      <c r="E571" s="93"/>
      <c r="F571" s="93"/>
      <c r="G571" s="93"/>
      <c r="H571" s="91"/>
      <c r="I571" s="92"/>
    </row>
    <row r="572">
      <c r="A572" s="90"/>
      <c r="B572" s="91"/>
      <c r="C572" s="90"/>
      <c r="D572" s="92"/>
      <c r="E572" s="93"/>
      <c r="F572" s="93"/>
      <c r="G572" s="93"/>
      <c r="H572" s="91"/>
      <c r="I572" s="92"/>
    </row>
    <row r="573">
      <c r="A573" s="90"/>
      <c r="B573" s="91"/>
      <c r="C573" s="90"/>
      <c r="D573" s="92"/>
      <c r="E573" s="93"/>
      <c r="F573" s="93"/>
      <c r="G573" s="93"/>
      <c r="H573" s="91"/>
      <c r="I573" s="92"/>
    </row>
    <row r="574">
      <c r="A574" s="90"/>
      <c r="B574" s="91"/>
      <c r="C574" s="90"/>
      <c r="D574" s="92"/>
      <c r="E574" s="93"/>
      <c r="F574" s="93"/>
      <c r="G574" s="93"/>
      <c r="H574" s="91"/>
      <c r="I574" s="92"/>
    </row>
    <row r="575">
      <c r="A575" s="90"/>
      <c r="B575" s="91"/>
      <c r="C575" s="90"/>
      <c r="D575" s="92"/>
      <c r="E575" s="93"/>
      <c r="F575" s="93"/>
      <c r="G575" s="93"/>
      <c r="H575" s="91"/>
      <c r="I575" s="92"/>
    </row>
    <row r="576">
      <c r="A576" s="90"/>
      <c r="B576" s="91"/>
      <c r="C576" s="90"/>
      <c r="D576" s="92"/>
      <c r="E576" s="93"/>
      <c r="F576" s="93"/>
      <c r="G576" s="93"/>
      <c r="H576" s="91"/>
      <c r="I576" s="92"/>
    </row>
    <row r="577">
      <c r="A577" s="90"/>
      <c r="B577" s="91"/>
      <c r="C577" s="90"/>
      <c r="D577" s="92"/>
      <c r="E577" s="93"/>
      <c r="F577" s="93"/>
      <c r="G577" s="93"/>
      <c r="H577" s="91"/>
      <c r="I577" s="92"/>
    </row>
    <row r="578">
      <c r="A578" s="90"/>
      <c r="B578" s="91"/>
      <c r="C578" s="90"/>
      <c r="D578" s="92"/>
      <c r="E578" s="93"/>
      <c r="F578" s="93"/>
      <c r="G578" s="93"/>
      <c r="H578" s="91"/>
      <c r="I578" s="92"/>
    </row>
    <row r="579">
      <c r="A579" s="90"/>
      <c r="B579" s="91"/>
      <c r="C579" s="90"/>
      <c r="D579" s="92"/>
      <c r="E579" s="93"/>
      <c r="F579" s="93"/>
      <c r="G579" s="93"/>
      <c r="H579" s="91"/>
      <c r="I579" s="92"/>
    </row>
    <row r="580">
      <c r="A580" s="90"/>
      <c r="B580" s="91"/>
      <c r="C580" s="90"/>
      <c r="D580" s="92"/>
      <c r="E580" s="93"/>
      <c r="F580" s="93"/>
      <c r="G580" s="93"/>
      <c r="H580" s="91"/>
      <c r="I580" s="92"/>
    </row>
    <row r="581">
      <c r="A581" s="90"/>
      <c r="B581" s="91"/>
      <c r="C581" s="90"/>
      <c r="D581" s="92"/>
      <c r="E581" s="93"/>
      <c r="F581" s="93"/>
      <c r="G581" s="93"/>
      <c r="H581" s="91"/>
      <c r="I581" s="92"/>
    </row>
    <row r="582">
      <c r="A582" s="90"/>
      <c r="B582" s="91"/>
      <c r="C582" s="90"/>
      <c r="D582" s="92"/>
      <c r="E582" s="93"/>
      <c r="F582" s="93"/>
      <c r="G582" s="93"/>
      <c r="H582" s="91"/>
      <c r="I582" s="92"/>
    </row>
    <row r="583">
      <c r="A583" s="90"/>
      <c r="B583" s="91"/>
      <c r="C583" s="90"/>
      <c r="D583" s="92"/>
      <c r="E583" s="93"/>
      <c r="F583" s="93"/>
      <c r="G583" s="93"/>
      <c r="H583" s="91"/>
      <c r="I583" s="92"/>
    </row>
    <row r="584">
      <c r="A584" s="90"/>
      <c r="B584" s="91"/>
      <c r="C584" s="90"/>
      <c r="D584" s="92"/>
      <c r="E584" s="93"/>
      <c r="F584" s="93"/>
      <c r="G584" s="93"/>
      <c r="H584" s="91"/>
      <c r="I584" s="92"/>
    </row>
    <row r="585">
      <c r="A585" s="90"/>
      <c r="B585" s="91"/>
      <c r="C585" s="90"/>
      <c r="D585" s="92"/>
      <c r="E585" s="93"/>
      <c r="F585" s="93"/>
      <c r="G585" s="93"/>
      <c r="H585" s="91"/>
      <c r="I585" s="92"/>
    </row>
    <row r="586">
      <c r="A586" s="90"/>
      <c r="B586" s="91"/>
      <c r="C586" s="90"/>
      <c r="D586" s="92"/>
      <c r="E586" s="93"/>
      <c r="F586" s="93"/>
      <c r="G586" s="93"/>
      <c r="H586" s="91"/>
      <c r="I586" s="92"/>
    </row>
    <row r="587">
      <c r="A587" s="90"/>
      <c r="B587" s="91"/>
      <c r="C587" s="90"/>
      <c r="D587" s="92"/>
      <c r="E587" s="93"/>
      <c r="F587" s="93"/>
      <c r="G587" s="93"/>
      <c r="H587" s="91"/>
      <c r="I587" s="92"/>
    </row>
    <row r="588">
      <c r="A588" s="90"/>
      <c r="B588" s="91"/>
      <c r="C588" s="90"/>
      <c r="D588" s="92"/>
      <c r="E588" s="93"/>
      <c r="F588" s="93"/>
      <c r="G588" s="93"/>
      <c r="H588" s="91"/>
      <c r="I588" s="92"/>
    </row>
    <row r="589">
      <c r="A589" s="90"/>
      <c r="B589" s="91"/>
      <c r="C589" s="90"/>
      <c r="D589" s="92"/>
      <c r="E589" s="93"/>
      <c r="F589" s="93"/>
      <c r="G589" s="93"/>
      <c r="H589" s="91"/>
      <c r="I589" s="92"/>
    </row>
    <row r="590">
      <c r="A590" s="90"/>
      <c r="B590" s="91"/>
      <c r="C590" s="90"/>
      <c r="D590" s="92"/>
      <c r="E590" s="93"/>
      <c r="F590" s="93"/>
      <c r="G590" s="93"/>
      <c r="H590" s="91"/>
      <c r="I590" s="92"/>
    </row>
    <row r="591">
      <c r="A591" s="90"/>
      <c r="B591" s="91"/>
      <c r="C591" s="90"/>
      <c r="D591" s="92"/>
      <c r="E591" s="93"/>
      <c r="F591" s="93"/>
      <c r="G591" s="93"/>
      <c r="H591" s="91"/>
      <c r="I591" s="92"/>
    </row>
    <row r="592">
      <c r="A592" s="90"/>
      <c r="B592" s="91"/>
      <c r="C592" s="90"/>
      <c r="D592" s="92"/>
      <c r="E592" s="93"/>
      <c r="F592" s="93"/>
      <c r="G592" s="93"/>
      <c r="H592" s="91"/>
      <c r="I592" s="92"/>
    </row>
    <row r="593">
      <c r="A593" s="90"/>
      <c r="B593" s="91"/>
      <c r="C593" s="90"/>
      <c r="D593" s="92"/>
      <c r="E593" s="93"/>
      <c r="F593" s="93"/>
      <c r="G593" s="93"/>
      <c r="H593" s="91"/>
      <c r="I593" s="92"/>
    </row>
    <row r="594">
      <c r="A594" s="90"/>
      <c r="B594" s="91"/>
      <c r="C594" s="90"/>
      <c r="D594" s="92"/>
      <c r="E594" s="93"/>
      <c r="F594" s="93"/>
      <c r="G594" s="93"/>
      <c r="H594" s="91"/>
      <c r="I594" s="92"/>
    </row>
  </sheetData>
  <dataValidations>
    <dataValidation type="list" allowBlank="1" sqref="I2:I594">
      <formula1>"ALFA-NUMERICO,FECHA,TEXTO,NUMERICO"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85BF"/>
    <outlinePr summaryBelow="0" summaryRight="0"/>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outlineLevelCol="1"/>
  <cols>
    <col customWidth="1" min="1" max="1" width="20.5"/>
    <col customWidth="1" min="2" max="2" width="19.0"/>
    <col customWidth="1" min="3" max="3" width="14.5"/>
    <col customWidth="1" min="4" max="4" width="16.13"/>
    <col customWidth="1" min="5" max="5" width="9.75"/>
    <col customWidth="1" min="6" max="6" width="10.13"/>
    <col customWidth="1" min="7" max="8" width="15.63"/>
    <col customWidth="1" min="9" max="9" width="19.13"/>
    <col customWidth="1" min="10" max="10" width="12.0"/>
    <col customWidth="1" min="11" max="12" width="9.63"/>
    <col customWidth="1" min="13" max="14" width="11.5"/>
    <col customWidth="1" min="15" max="15" width="10.88"/>
    <col customWidth="1" min="16" max="16" width="11.75"/>
    <col customWidth="1" min="17" max="17" width="9.88"/>
    <col customWidth="1" min="18" max="18" width="9.25"/>
    <col customWidth="1" min="19" max="20" width="10.0"/>
    <col customWidth="1" min="21" max="21" width="9.25"/>
    <col customWidth="1" min="22" max="22" width="18.0"/>
    <col customWidth="1" min="23" max="23" width="16.63"/>
    <col customWidth="1" min="24" max="24" width="15.88"/>
    <col customWidth="1" min="25" max="25" width="16.13"/>
    <col customWidth="1" min="26" max="26" width="14.5"/>
    <col customWidth="1" min="27" max="27" width="15.38"/>
    <col customWidth="1" min="28" max="28" width="14.5"/>
    <col customWidth="1" min="29" max="29" width="11.0"/>
    <col customWidth="1" min="30" max="30" width="11.63"/>
    <col customWidth="1" min="31" max="31" width="11.88"/>
    <col customWidth="1" min="32" max="33" width="8.5"/>
    <col customWidth="1" min="34" max="34" width="15.0"/>
    <col customWidth="1" min="35" max="35" width="10.38"/>
    <col customWidth="1" min="36" max="37" width="11.75"/>
    <col customWidth="1" min="38" max="38" width="11.38"/>
    <col customWidth="1" min="39" max="39" width="8.88"/>
    <col customWidth="1" min="40" max="40" width="16.25"/>
    <col customWidth="1" min="41" max="41" width="11.0"/>
    <col customWidth="1" min="42" max="42" width="10.5"/>
    <col collapsed="1" customWidth="1" min="43" max="43" width="15.38"/>
    <col customWidth="1" hidden="1" min="44" max="44" width="14.25" outlineLevel="1"/>
    <col customWidth="1" hidden="1" min="45" max="48" width="17.88" outlineLevel="1"/>
  </cols>
  <sheetData>
    <row r="1" ht="22.5" customHeight="1">
      <c r="A1" s="6" t="s">
        <v>1</v>
      </c>
      <c r="B1" s="8"/>
      <c r="C1" s="9" t="s">
        <v>15</v>
      </c>
      <c r="D1" s="8"/>
      <c r="E1" s="9" t="s">
        <v>20</v>
      </c>
      <c r="F1" s="10"/>
      <c r="G1" s="10"/>
      <c r="H1" s="10"/>
      <c r="I1" s="17" t="s">
        <v>25</v>
      </c>
      <c r="J1" s="10"/>
      <c r="K1" s="10"/>
      <c r="L1" s="10"/>
      <c r="M1" s="10"/>
      <c r="N1" s="10"/>
      <c r="O1" s="10"/>
      <c r="P1" s="8"/>
      <c r="Q1" s="21" t="s">
        <v>27</v>
      </c>
      <c r="R1" s="10"/>
      <c r="S1" s="10"/>
      <c r="T1" s="10"/>
      <c r="U1" s="10"/>
      <c r="V1" s="10"/>
      <c r="W1" s="10"/>
      <c r="X1" s="8"/>
      <c r="Y1" s="9" t="s">
        <v>29</v>
      </c>
      <c r="Z1" s="9" t="s">
        <v>30</v>
      </c>
      <c r="AA1" s="17" t="s">
        <v>31</v>
      </c>
      <c r="AB1" s="10"/>
      <c r="AC1" s="10"/>
      <c r="AD1" s="10"/>
      <c r="AE1" s="10"/>
      <c r="AF1" s="10"/>
      <c r="AG1" s="8"/>
      <c r="AH1" s="25" t="s">
        <v>35</v>
      </c>
      <c r="AI1" s="10"/>
      <c r="AJ1" s="10"/>
      <c r="AK1" s="8"/>
      <c r="AL1" s="27" t="s">
        <v>41</v>
      </c>
      <c r="AM1" s="10"/>
      <c r="AN1" s="10"/>
      <c r="AO1" s="10"/>
      <c r="AP1" s="10"/>
      <c r="AQ1" s="8"/>
      <c r="AR1" s="28" t="s">
        <v>44</v>
      </c>
    </row>
    <row r="2" ht="39.0" customHeight="1">
      <c r="A2" s="30" t="s">
        <v>46</v>
      </c>
      <c r="B2" s="31" t="s">
        <v>2</v>
      </c>
      <c r="C2" s="33" t="s">
        <v>47</v>
      </c>
      <c r="D2" s="33" t="s">
        <v>48</v>
      </c>
      <c r="E2" s="34" t="s">
        <v>49</v>
      </c>
      <c r="F2" s="34" t="s">
        <v>50</v>
      </c>
      <c r="G2" s="34" t="s">
        <v>51</v>
      </c>
      <c r="H2" s="34" t="s">
        <v>52</v>
      </c>
      <c r="I2" s="35" t="s">
        <v>53</v>
      </c>
      <c r="J2" s="35" t="s">
        <v>54</v>
      </c>
      <c r="K2" s="36" t="s">
        <v>55</v>
      </c>
      <c r="L2" s="36" t="s">
        <v>56</v>
      </c>
      <c r="M2" s="35" t="s">
        <v>57</v>
      </c>
      <c r="N2" s="36" t="s">
        <v>58</v>
      </c>
      <c r="O2" s="35" t="s">
        <v>59</v>
      </c>
      <c r="P2" s="35" t="s">
        <v>60</v>
      </c>
      <c r="Q2" s="39" t="s">
        <v>61</v>
      </c>
      <c r="R2" s="41" t="s">
        <v>62</v>
      </c>
      <c r="S2" s="39" t="s">
        <v>64</v>
      </c>
      <c r="T2" s="39" t="s">
        <v>65</v>
      </c>
      <c r="U2" s="41" t="s">
        <v>66</v>
      </c>
      <c r="V2" s="41" t="s">
        <v>68</v>
      </c>
      <c r="W2" s="39" t="s">
        <v>69</v>
      </c>
      <c r="X2" s="41" t="s">
        <v>70</v>
      </c>
      <c r="Y2" s="9" t="s">
        <v>29</v>
      </c>
      <c r="Z2" s="47" t="s">
        <v>71</v>
      </c>
      <c r="AA2" s="35" t="s">
        <v>72</v>
      </c>
      <c r="AB2" s="35" t="s">
        <v>73</v>
      </c>
      <c r="AC2" s="48" t="s">
        <v>74</v>
      </c>
      <c r="AD2" s="36" t="s">
        <v>75</v>
      </c>
      <c r="AE2" s="36" t="s">
        <v>76</v>
      </c>
      <c r="AF2" s="50" t="s">
        <v>78</v>
      </c>
      <c r="AG2" s="51" t="s">
        <v>79</v>
      </c>
      <c r="AH2" s="30" t="s">
        <v>80</v>
      </c>
      <c r="AI2" s="11" t="s">
        <v>81</v>
      </c>
      <c r="AJ2" s="30" t="s">
        <v>82</v>
      </c>
      <c r="AK2" s="30" t="s">
        <v>83</v>
      </c>
      <c r="AL2" s="54" t="s">
        <v>84</v>
      </c>
      <c r="AM2" s="56" t="s">
        <v>85</v>
      </c>
      <c r="AN2" s="56" t="s">
        <v>86</v>
      </c>
      <c r="AO2" s="56" t="s">
        <v>87</v>
      </c>
      <c r="AP2" s="60" t="s">
        <v>88</v>
      </c>
      <c r="AQ2" s="60" t="s">
        <v>89</v>
      </c>
      <c r="AR2" s="61" t="s">
        <v>24</v>
      </c>
      <c r="AS2" s="61" t="s">
        <v>90</v>
      </c>
      <c r="AT2" s="61" t="s">
        <v>91</v>
      </c>
      <c r="AU2" s="61" t="s">
        <v>92</v>
      </c>
      <c r="AV2" s="61" t="s">
        <v>93</v>
      </c>
    </row>
    <row r="3" ht="22.5" customHeight="1">
      <c r="A3" s="26" t="s">
        <v>94</v>
      </c>
      <c r="B3" s="22" t="s">
        <v>26</v>
      </c>
      <c r="C3" s="33" t="s">
        <v>95</v>
      </c>
      <c r="D3" s="33" t="s">
        <v>96</v>
      </c>
      <c r="E3" s="33" t="s">
        <v>97</v>
      </c>
      <c r="F3" s="33" t="s">
        <v>98</v>
      </c>
      <c r="G3" s="33" t="s">
        <v>99</v>
      </c>
      <c r="H3" s="33" t="s">
        <v>100</v>
      </c>
      <c r="I3" s="63" t="s">
        <v>101</v>
      </c>
      <c r="J3" s="63" t="s">
        <v>102</v>
      </c>
      <c r="K3" s="63" t="s">
        <v>103</v>
      </c>
      <c r="L3" s="63" t="s">
        <v>104</v>
      </c>
      <c r="M3" s="63" t="s">
        <v>105</v>
      </c>
      <c r="N3" s="63" t="s">
        <v>106</v>
      </c>
      <c r="O3" s="63" t="s">
        <v>107</v>
      </c>
      <c r="P3" s="63" t="s">
        <v>108</v>
      </c>
      <c r="Q3" s="64" t="s">
        <v>109</v>
      </c>
      <c r="R3" s="64" t="s">
        <v>110</v>
      </c>
      <c r="S3" s="64" t="s">
        <v>112</v>
      </c>
      <c r="T3" s="64" t="s">
        <v>113</v>
      </c>
      <c r="U3" s="64" t="s">
        <v>114</v>
      </c>
      <c r="V3" s="64" t="s">
        <v>116</v>
      </c>
      <c r="W3" s="64" t="s">
        <v>117</v>
      </c>
      <c r="X3" s="64" t="s">
        <v>118</v>
      </c>
      <c r="Y3" s="9" t="s">
        <v>119</v>
      </c>
      <c r="Z3" s="9" t="s">
        <v>120</v>
      </c>
      <c r="AA3" s="63" t="s">
        <v>121</v>
      </c>
      <c r="AB3" s="63" t="s">
        <v>122</v>
      </c>
      <c r="AC3" s="48" t="s">
        <v>124</v>
      </c>
      <c r="AD3" s="63" t="s">
        <v>125</v>
      </c>
      <c r="AE3" s="63" t="s">
        <v>126</v>
      </c>
      <c r="AF3" s="65" t="s">
        <v>127</v>
      </c>
      <c r="AG3" s="66" t="s">
        <v>128</v>
      </c>
      <c r="AH3" s="26" t="s">
        <v>129</v>
      </c>
      <c r="AI3" s="26" t="s">
        <v>130</v>
      </c>
      <c r="AJ3" s="26" t="s">
        <v>131</v>
      </c>
      <c r="AK3" s="26" t="s">
        <v>132</v>
      </c>
      <c r="AL3" s="67" t="s">
        <v>133</v>
      </c>
      <c r="AM3" s="67" t="s">
        <v>134</v>
      </c>
      <c r="AN3" s="67" t="s">
        <v>135</v>
      </c>
      <c r="AO3" s="67" t="s">
        <v>136</v>
      </c>
      <c r="AP3" s="67" t="s">
        <v>88</v>
      </c>
      <c r="AQ3" s="67" t="s">
        <v>137</v>
      </c>
      <c r="AR3" s="61" t="s">
        <v>43</v>
      </c>
      <c r="AS3" s="61" t="s">
        <v>138</v>
      </c>
      <c r="AT3" s="61" t="s">
        <v>139</v>
      </c>
      <c r="AU3" s="61" t="s">
        <v>140</v>
      </c>
      <c r="AV3" s="61" t="s">
        <v>141</v>
      </c>
    </row>
    <row r="4" ht="22.5" customHeight="1">
      <c r="A4" s="29" t="s">
        <v>142</v>
      </c>
      <c r="B4" s="68" t="str">
        <f t="shared" ref="B4:B923" si="1">IF(A4="","",IF(E4="","INDICAR NÚMERO DE PROYECTO",CONCATENATE("MULTA COERCITIVA - ",E4,"/",F4)))</f>
        <v>MULTA COERCITIVA - 1/CÓDIGO DE EXPEDIENTE INVÁLIDO</v>
      </c>
      <c r="C4" s="69" t="s">
        <v>145</v>
      </c>
      <c r="D4" s="70" t="str">
        <f t="shared" ref="D4:D923" si="2">IF(A4="","",IF(AL4&lt;&gt;"","EN ETAPA DE COBRANZA",IF(AH4&lt;&gt;"","EN SEGUIMIENTO DE MULTA",IF(AB4&lt;&gt;"","EN IMPOISICIÓN DE MULTA",IF(Q4&lt;&gt;"","EN ETAPA DE ÁNALISIS DE DESCARGOS",IF(OR(P5="VENCIDO", P5="EN PLAZO"),"EN ETAPA DE DESCARGOS","EN ETAPA DE DESCARGOS"))))))</f>
        <v>EN ETAPA DE COBRANZA</v>
      </c>
      <c r="E4" s="29">
        <v>1.0</v>
      </c>
      <c r="F4" s="68" t="str">
        <f t="array" ref="F4">IF($A4="","",IFERROR(INDEX(MA_INDIVIDUALES!C$2:C923, MATCH($A4,MA_INDIVIDUALES!$B$2:$B923,0),1),"CÓDIGO DE EXPEDIENTE INVÁLIDO"))</f>
        <v>CÓDIGO DE EXPEDIENTE INVÁLIDO</v>
      </c>
      <c r="G4" s="68" t="str">
        <f t="array" ref="G4">IF($A4="","",IFERROR(INDEX(MA_INDIVIDUALES!K$2:K923, MATCH($A4,MA_INDIVIDUALES!$B$2:$B923,0),1),"CÓDIGO DE EXPEDIENTE INVÁLIDO"))</f>
        <v>CÓDIGO DE EXPEDIENTE INVÁLIDO</v>
      </c>
      <c r="H4" s="68" t="str">
        <f t="array" ref="H4">IF($A4="","",IFERROR(INDEX(MA_INDIVIDUALES!L$2:L923, MATCH($A4,MA_INDIVIDUALES!$B$2:$B923,0),1),"CÓDIGO DE EXPEDIENTE INVÁLIDO"))</f>
        <v>CÓDIGO DE EXPEDIENTE INVÁLIDO</v>
      </c>
      <c r="I4" s="29" t="s">
        <v>149</v>
      </c>
      <c r="J4" s="29" t="s">
        <v>150</v>
      </c>
      <c r="K4" s="73">
        <v>44980.0</v>
      </c>
      <c r="L4" s="74">
        <f>IF(A4="","",IF(K4="","",_xlfn.WORKDAY.INTL(K4,5,1,FERIADOS)))</f>
        <v>44987</v>
      </c>
      <c r="M4" s="29" t="s">
        <v>151</v>
      </c>
      <c r="N4" s="75"/>
      <c r="O4" s="76"/>
      <c r="P4" s="77" t="str">
        <f t="shared" ref="P4:P923" si="3">IF(A4="","",IF(M4="NO","NO PRESENTÓ DESCARGOS",IF(N4="",IF(TODAY()&lt;=L4,"EN PLAZO","VENCIDO"),IF(N4&lt;=L4,"PRESENTADO EN PLAZO","PRESENTADO FUERA DE PLAZO"))))</f>
        <v>NO PRESENTÓ DESCARGOS</v>
      </c>
      <c r="Q4" s="75"/>
      <c r="R4" s="76"/>
      <c r="S4" s="75"/>
      <c r="T4" s="75"/>
      <c r="U4" s="29" t="s">
        <v>152</v>
      </c>
      <c r="V4" s="76"/>
      <c r="W4" s="75"/>
      <c r="X4" s="76"/>
      <c r="Y4" s="29" t="str">
        <f t="shared" ref="Y4:Y923" si="4">IF(A4="","",IF(U4="SI","ELABORAR MC",IF(U4="NO","NO AMERITA ELABORAR MC","EN PROCESO")))</f>
        <v>ELABORAR MC</v>
      </c>
      <c r="Z4" s="29" t="str">
        <f t="shared" ref="Z4:Z923" si="5">IF(A4="","",IF(AND(AR4=-1,Y4="ELABORAR MC"),"SIN REGISTRO DE ETAPAS",IF(AND(AR4=0,Y4="ELABORAR MC"),"EN PROCESO",IF(AND(AR4=1,Y4="ELABORAR MC",AB4=""),"EN ESPERA DE REGISTRO DE RESOLUCIÓN",IF(AND(AR4=1,Y4="ELABORAR MC",AB4&lt;&gt;""),"TERMINADO",IF(OR(Y4="NO AMERITA MC",Y4="EN PROCESO"),"",""))))))</f>
        <v>SIN REGISTRO DE ETAPAS</v>
      </c>
      <c r="AA4" s="29" t="s">
        <v>149</v>
      </c>
      <c r="AB4" s="29" t="s">
        <v>153</v>
      </c>
      <c r="AC4" s="73">
        <v>45001.0</v>
      </c>
      <c r="AD4" s="73">
        <v>45002.0</v>
      </c>
      <c r="AE4" s="78">
        <f>IF(U4="","",IF(AD4="","",_xlfn.WORKDAY.INTL(AD4,7,1,FERIADOS)))</f>
        <v>45013</v>
      </c>
      <c r="AF4" s="79">
        <v>15.0</v>
      </c>
      <c r="AG4" s="80" t="str">
        <f t="array" ref="AG4">IF(A4="","",IF(AF4="","",AF4*INDEX(PARAMETROS!F$2:F1067,MATCH(YEAR(AC4),PARAMETROS!E$2:E1067,0),1)))</f>
        <v>#N/A</v>
      </c>
      <c r="AH4" s="81"/>
      <c r="AI4" s="82"/>
      <c r="AJ4" s="81"/>
      <c r="AK4" s="81"/>
      <c r="AL4" s="29" t="s">
        <v>154</v>
      </c>
      <c r="AM4" s="75"/>
      <c r="AN4" s="29" t="s">
        <v>155</v>
      </c>
      <c r="AO4" s="83">
        <v>45029.0</v>
      </c>
      <c r="AP4" s="84" t="s">
        <v>156</v>
      </c>
      <c r="AQ4" s="85" t="str">
        <f t="shared" ref="AQ4:AQ923" si="6">IF($A4="","",IF(OR(AB4="",AL4="EN EJECUCIÓN"),"EN PROCESO", IF(AE4="","INDICAR FECHA DE NOTIFICACIÓN",IF(AM4="","NO PAGÓ MULTA",IF(AM4="",IF(TODAY()&lt;=AE4,"EN PLAZO","VENCIDO"),IF(AM4&lt;=AE4,"PAGADO EN PLAZO","PAGADO FUERA DE PLAZO"))))))</f>
        <v>NO PAGÓ MULTA</v>
      </c>
      <c r="AR4" s="86">
        <f t="array" ref="AR4">IF(A4="","",IFERROR(INDEX('2) Etapas'!L$3:L923,MATCH(B4,'2) Etapas'!$A$4:$A923,0),1),-1))</f>
        <v>-1</v>
      </c>
      <c r="AS4" s="87" t="str">
        <f t="shared" ref="AS4:AS923" si="7">IF(A4="","",A4)</f>
        <v>0136-2021-0012-2022-1-CAGR</v>
      </c>
      <c r="AT4" s="87" t="str">
        <f t="shared" ref="AT4:AT923" si="8">IF(A4="","",IF(AU4="","MULTA EN ELABORACIÓN", "MULTA IMPUESTA"))</f>
        <v>MULTA IMPUESTA</v>
      </c>
      <c r="AU4" s="87" t="str">
        <f t="shared" ref="AU4:AU923" si="9">IF(OR($A4="",$AB4="", $AC4=""),"", INDEX($AB$4:$AB923,MATCH(CONCATENATE($A4,$AV4),$A$4:$A923&amp;$AC$4:$AC923,0),1))</f>
        <v>0018-2023-OEFA/DSAP</v>
      </c>
      <c r="AV4" s="89">
        <f t="array" ref="AV4">IF(OR($A4="",$AB4="", $AC4=""),"",MAXA(IF($A4=$A$4:$A923,$AC$4:$AC923)))</f>
        <v>45001</v>
      </c>
    </row>
    <row r="5" ht="22.5" customHeight="1">
      <c r="A5" s="29" t="s">
        <v>159</v>
      </c>
      <c r="B5" s="68" t="str">
        <f t="shared" si="1"/>
        <v>MULTA COERCITIVA - 2/CÓDIGO DE EXPEDIENTE INVÁLIDO</v>
      </c>
      <c r="C5" s="69" t="s">
        <v>145</v>
      </c>
      <c r="D5" s="70" t="str">
        <f t="shared" si="2"/>
        <v>EN ETAPA DE COBRANZA</v>
      </c>
      <c r="E5" s="29">
        <v>2.0</v>
      </c>
      <c r="F5" s="68" t="str">
        <f t="array" ref="F5">IF($A5="","",IFERROR(INDEX(MA_INDIVIDUALES!C$2:C923, MATCH($A5,MA_INDIVIDUALES!$B$2:$B923,0),1),"CÓDIGO DE EXPEDIENTE INVÁLIDO"))</f>
        <v>CÓDIGO DE EXPEDIENTE INVÁLIDO</v>
      </c>
      <c r="G5" s="68" t="str">
        <f t="array" ref="G5">IF($A5="","",IFERROR(INDEX(MA_INDIVIDUALES!K$2:K923, MATCH($A5,MA_INDIVIDUALES!$B$2:$B923,0),1),"CÓDIGO DE EXPEDIENTE INVÁLIDO"))</f>
        <v>CÓDIGO DE EXPEDIENTE INVÁLIDO</v>
      </c>
      <c r="H5" s="68" t="str">
        <f t="array" ref="H5">IF($A5="","",IFERROR(INDEX(MA_INDIVIDUALES!L$2:L923, MATCH($A5,MA_INDIVIDUALES!$B$2:$B923,0),1),"CÓDIGO DE EXPEDIENTE INVÁLIDO"))</f>
        <v>CÓDIGO DE EXPEDIENTE INVÁLIDO</v>
      </c>
      <c r="I5" s="29" t="s">
        <v>161</v>
      </c>
      <c r="J5" s="29" t="s">
        <v>162</v>
      </c>
      <c r="K5" s="73">
        <v>45028.0</v>
      </c>
      <c r="L5" s="74">
        <f>IF(A5="","",IF(K5="","",_xlfn.WORKDAY.INTL(K5,5,1,FERIADOS)))</f>
        <v>45035</v>
      </c>
      <c r="M5" s="29" t="s">
        <v>151</v>
      </c>
      <c r="N5" s="75"/>
      <c r="O5" s="76"/>
      <c r="P5" s="77" t="str">
        <f t="shared" si="3"/>
        <v>NO PRESENTÓ DESCARGOS</v>
      </c>
      <c r="Q5" s="75"/>
      <c r="R5" s="76"/>
      <c r="S5" s="75"/>
      <c r="T5" s="75"/>
      <c r="U5" s="29" t="s">
        <v>152</v>
      </c>
      <c r="V5" s="76"/>
      <c r="W5" s="75"/>
      <c r="X5" s="76"/>
      <c r="Y5" s="29" t="str">
        <f t="shared" si="4"/>
        <v>ELABORAR MC</v>
      </c>
      <c r="Z5" s="29" t="str">
        <f t="shared" si="5"/>
        <v>SIN REGISTRO DE ETAPAS</v>
      </c>
      <c r="AA5" s="29" t="s">
        <v>161</v>
      </c>
      <c r="AB5" s="29" t="s">
        <v>164</v>
      </c>
      <c r="AC5" s="73">
        <v>45110.0</v>
      </c>
      <c r="AD5" s="73">
        <v>45111.0</v>
      </c>
      <c r="AE5" s="78">
        <f>IF(U5="","",IF(AD5="","",_xlfn.WORKDAY.INTL(AD5,7,1,FERIADOS)))</f>
        <v>45120</v>
      </c>
      <c r="AF5" s="79">
        <v>22.5</v>
      </c>
      <c r="AG5" s="80" t="str">
        <f t="array" ref="AG5">IF(A5="","",IF(AF5="","",AF5*INDEX(PARAMETROS!F$2:F1068,MATCH(YEAR(AC5),PARAMETROS!E$2:E1068,0),1)))</f>
        <v>#N/A</v>
      </c>
      <c r="AH5" s="81"/>
      <c r="AI5" s="82"/>
      <c r="AJ5" s="81"/>
      <c r="AK5" s="81"/>
      <c r="AL5" s="29" t="s">
        <v>154</v>
      </c>
      <c r="AM5" s="75"/>
      <c r="AN5" s="29" t="s">
        <v>166</v>
      </c>
      <c r="AO5" s="83">
        <v>45124.0</v>
      </c>
      <c r="AP5" s="84" t="s">
        <v>167</v>
      </c>
      <c r="AQ5" s="85" t="str">
        <f t="shared" si="6"/>
        <v>NO PAGÓ MULTA</v>
      </c>
      <c r="AR5" s="86">
        <f t="array" ref="AR5">IF(A5="","",IFERROR(INDEX('2) Etapas'!L$3:L923,MATCH(B5,'2) Etapas'!$A$4:$A923,0),1),-1))</f>
        <v>-1</v>
      </c>
      <c r="AS5" s="87" t="str">
        <f t="shared" si="7"/>
        <v>0016-2022-ACTA 0002-1-CAGR</v>
      </c>
      <c r="AT5" s="87" t="str">
        <f t="shared" si="8"/>
        <v>MULTA IMPUESTA</v>
      </c>
      <c r="AU5" s="87" t="str">
        <f t="shared" si="9"/>
        <v>0126-2023-OEFA/DSAP</v>
      </c>
      <c r="AV5" s="89">
        <f t="array" ref="AV5">IF(OR($A5="",$AB5="", $AC5=""),"",MAXA(IF($A5=$A$4:$A923,$AC$4:$AC923)))</f>
        <v>45110</v>
      </c>
    </row>
    <row r="6" ht="22.5" customHeight="1">
      <c r="A6" s="29" t="s">
        <v>168</v>
      </c>
      <c r="B6" s="68" t="str">
        <f t="shared" si="1"/>
        <v>MULTA COERCITIVA - 2/CÓDIGO DE EXPEDIENTE INVÁLIDO</v>
      </c>
      <c r="C6" s="69" t="s">
        <v>145</v>
      </c>
      <c r="D6" s="70" t="str">
        <f t="shared" si="2"/>
        <v>EN ETAPA DE COBRANZA</v>
      </c>
      <c r="E6" s="29">
        <v>2.0</v>
      </c>
      <c r="F6" s="68" t="str">
        <f t="array" ref="F6">IF($A6="","",IFERROR(INDEX(MA_INDIVIDUALES!C$2:C923, MATCH($A6,MA_INDIVIDUALES!$B$2:$B923,0),1),"CÓDIGO DE EXPEDIENTE INVÁLIDO"))</f>
        <v>CÓDIGO DE EXPEDIENTE INVÁLIDO</v>
      </c>
      <c r="G6" s="68" t="str">
        <f t="array" ref="G6">IF($A6="","",IFERROR(INDEX(MA_INDIVIDUALES!K$2:K923, MATCH($A6,MA_INDIVIDUALES!$B$2:$B923,0),1),"CÓDIGO DE EXPEDIENTE INVÁLIDO"))</f>
        <v>CÓDIGO DE EXPEDIENTE INVÁLIDO</v>
      </c>
      <c r="H6" s="68" t="str">
        <f t="array" ref="H6">IF($A6="","",IFERROR(INDEX(MA_INDIVIDUALES!L$2:L923, MATCH($A6,MA_INDIVIDUALES!$B$2:$B923,0),1),"CÓDIGO DE EXPEDIENTE INVÁLIDO"))</f>
        <v>CÓDIGO DE EXPEDIENTE INVÁLIDO</v>
      </c>
      <c r="I6" s="29" t="s">
        <v>161</v>
      </c>
      <c r="J6" s="29" t="s">
        <v>162</v>
      </c>
      <c r="K6" s="73">
        <v>45028.0</v>
      </c>
      <c r="L6" s="74">
        <f>IF(A6="","",IF(K6="","",_xlfn.WORKDAY.INTL(K6,5,1,FERIADOS)))</f>
        <v>45035</v>
      </c>
      <c r="M6" s="29" t="s">
        <v>151</v>
      </c>
      <c r="N6" s="75"/>
      <c r="O6" s="76"/>
      <c r="P6" s="77" t="str">
        <f t="shared" si="3"/>
        <v>NO PRESENTÓ DESCARGOS</v>
      </c>
      <c r="Q6" s="75"/>
      <c r="R6" s="76"/>
      <c r="S6" s="75"/>
      <c r="T6" s="75"/>
      <c r="U6" s="29" t="s">
        <v>152</v>
      </c>
      <c r="V6" s="76"/>
      <c r="W6" s="75"/>
      <c r="X6" s="76"/>
      <c r="Y6" s="29" t="str">
        <f t="shared" si="4"/>
        <v>ELABORAR MC</v>
      </c>
      <c r="Z6" s="29" t="str">
        <f t="shared" si="5"/>
        <v>SIN REGISTRO DE ETAPAS</v>
      </c>
      <c r="AA6" s="29" t="s">
        <v>161</v>
      </c>
      <c r="AB6" s="29" t="s">
        <v>164</v>
      </c>
      <c r="AC6" s="73">
        <v>45110.0</v>
      </c>
      <c r="AD6" s="73">
        <v>45111.0</v>
      </c>
      <c r="AE6" s="78">
        <f>IF(U6="","",IF(AD6="","",_xlfn.WORKDAY.INTL(AD6,7,1,FERIADOS)))</f>
        <v>45120</v>
      </c>
      <c r="AF6" s="79">
        <v>11.25</v>
      </c>
      <c r="AG6" s="80" t="str">
        <f t="array" ref="AG6">IF(A6="","",IF(AF6="","",AF6*INDEX(PARAMETROS!F$2:F1069,MATCH(YEAR(AC6),PARAMETROS!E$2:E1069,0),1)))</f>
        <v>#N/A</v>
      </c>
      <c r="AH6" s="81"/>
      <c r="AI6" s="82"/>
      <c r="AJ6" s="81"/>
      <c r="AK6" s="81"/>
      <c r="AL6" s="29" t="s">
        <v>154</v>
      </c>
      <c r="AM6" s="75"/>
      <c r="AN6" s="29" t="s">
        <v>166</v>
      </c>
      <c r="AO6" s="83">
        <v>45124.0</v>
      </c>
      <c r="AP6" s="84" t="s">
        <v>167</v>
      </c>
      <c r="AQ6" s="85" t="str">
        <f t="shared" si="6"/>
        <v>NO PAGÓ MULTA</v>
      </c>
      <c r="AR6" s="86">
        <f t="array" ref="AR6">IF(A6="","",IFERROR(INDEX('2) Etapas'!L$3:L923,MATCH(B6,'2) Etapas'!$A$4:$A923,0),1),-1))</f>
        <v>-1</v>
      </c>
      <c r="AS6" s="87" t="str">
        <f t="shared" si="7"/>
        <v>0016-2022-ACTA 0002-2-CAGR</v>
      </c>
      <c r="AT6" s="87" t="str">
        <f t="shared" si="8"/>
        <v>MULTA IMPUESTA</v>
      </c>
      <c r="AU6" s="87" t="str">
        <f t="shared" si="9"/>
        <v>0126-2023-OEFA/DSAP</v>
      </c>
      <c r="AV6" s="89">
        <f t="array" ref="AV6">IF(OR($A6="",$AB6="", $AC6=""),"",MAXA(IF($A6=$A$4:$A923,$AC$4:$AC923)))</f>
        <v>45110</v>
      </c>
    </row>
    <row r="7" ht="22.5" customHeight="1">
      <c r="A7" s="29" t="s">
        <v>172</v>
      </c>
      <c r="B7" s="68" t="str">
        <f t="shared" si="1"/>
        <v>MULTA COERCITIVA - 3/CÓDIGO DE EXPEDIENTE INVÁLIDO</v>
      </c>
      <c r="C7" s="69" t="s">
        <v>145</v>
      </c>
      <c r="D7" s="70" t="str">
        <f t="shared" si="2"/>
        <v>EN ETAPA DE COBRANZA</v>
      </c>
      <c r="E7" s="29">
        <v>3.0</v>
      </c>
      <c r="F7" s="68" t="str">
        <f t="array" ref="F7">IF($A7="","",IFERROR(INDEX(MA_INDIVIDUALES!C$2:C923, MATCH($A7,MA_INDIVIDUALES!$B$2:$B923,0),1),"CÓDIGO DE EXPEDIENTE INVÁLIDO"))</f>
        <v>CÓDIGO DE EXPEDIENTE INVÁLIDO</v>
      </c>
      <c r="G7" s="68" t="str">
        <f t="array" ref="G7">IF($A7="","",IFERROR(INDEX(MA_INDIVIDUALES!K$2:K923, MATCH($A7,MA_INDIVIDUALES!$B$2:$B923,0),1),"CÓDIGO DE EXPEDIENTE INVÁLIDO"))</f>
        <v>CÓDIGO DE EXPEDIENTE INVÁLIDO</v>
      </c>
      <c r="H7" s="68" t="str">
        <f t="array" ref="H7">IF($A7="","",IFERROR(INDEX(MA_INDIVIDUALES!L$2:L923, MATCH($A7,MA_INDIVIDUALES!$B$2:$B923,0),1),"CÓDIGO DE EXPEDIENTE INVÁLIDO"))</f>
        <v>CÓDIGO DE EXPEDIENTE INVÁLIDO</v>
      </c>
      <c r="I7" s="29" t="s">
        <v>173</v>
      </c>
      <c r="J7" s="29" t="s">
        <v>174</v>
      </c>
      <c r="K7" s="73">
        <v>45120.0</v>
      </c>
      <c r="L7" s="74">
        <f>IF(A7="","",IF(K7="","",_xlfn.WORKDAY.INTL(K7,5,1,FERIADOS)))</f>
        <v>45127</v>
      </c>
      <c r="M7" s="29" t="s">
        <v>151</v>
      </c>
      <c r="N7" s="75"/>
      <c r="O7" s="76"/>
      <c r="P7" s="77" t="str">
        <f t="shared" si="3"/>
        <v>NO PRESENTÓ DESCARGOS</v>
      </c>
      <c r="Q7" s="75"/>
      <c r="R7" s="76"/>
      <c r="S7" s="75"/>
      <c r="T7" s="75"/>
      <c r="U7" s="29" t="s">
        <v>152</v>
      </c>
      <c r="V7" s="76"/>
      <c r="W7" s="75"/>
      <c r="X7" s="76"/>
      <c r="Y7" s="29" t="str">
        <f t="shared" si="4"/>
        <v>ELABORAR MC</v>
      </c>
      <c r="Z7" s="29" t="str">
        <f t="shared" si="5"/>
        <v>SIN REGISTRO DE ETAPAS</v>
      </c>
      <c r="AA7" s="29" t="s">
        <v>173</v>
      </c>
      <c r="AB7" s="29" t="s">
        <v>175</v>
      </c>
      <c r="AC7" s="73">
        <v>45148.0</v>
      </c>
      <c r="AD7" s="73">
        <v>45148.0</v>
      </c>
      <c r="AE7" s="78">
        <f>IF(U7="","",IF(AD7="","",_xlfn.WORKDAY.INTL(AD7,7,1,FERIADOS)))</f>
        <v>45159</v>
      </c>
      <c r="AF7" s="79">
        <v>6.5625</v>
      </c>
      <c r="AG7" s="80" t="str">
        <f t="array" ref="AG7">IF(A7="","",IF(AF7="","",AF7*INDEX(PARAMETROS!F$2:F1070,MATCH(YEAR(AC7),PARAMETROS!E$2:E1070,0),1)))</f>
        <v>#N/A</v>
      </c>
      <c r="AH7" s="81"/>
      <c r="AI7" s="82"/>
      <c r="AJ7" s="81"/>
      <c r="AK7" s="81"/>
      <c r="AL7" s="29" t="s">
        <v>154</v>
      </c>
      <c r="AM7" s="75"/>
      <c r="AN7" s="29" t="s">
        <v>178</v>
      </c>
      <c r="AO7" s="83">
        <v>45169.0</v>
      </c>
      <c r="AP7" s="84" t="s">
        <v>179</v>
      </c>
      <c r="AQ7" s="85" t="str">
        <f t="shared" si="6"/>
        <v>NO PAGÓ MULTA</v>
      </c>
      <c r="AR7" s="86">
        <f t="array" ref="AR7">IF(A7="","",IFERROR(INDEX('2) Etapas'!L$3:L923,MATCH(B7,'2) Etapas'!$A$4:$A923,0),1),-1))</f>
        <v>-1</v>
      </c>
      <c r="AS7" s="87" t="str">
        <f t="shared" si="7"/>
        <v>0184-2022-0117-2023-1-CAGR</v>
      </c>
      <c r="AT7" s="87" t="str">
        <f t="shared" si="8"/>
        <v>MULTA IMPUESTA</v>
      </c>
      <c r="AU7" s="87" t="str">
        <f t="shared" si="9"/>
        <v>0022-2025-OEFA/DSAP</v>
      </c>
      <c r="AV7" s="89">
        <f t="array" ref="AV7">IF(OR($A7="",$AB7="", $AC7=""),"",MAXA(IF($A7=$A$4:$A923,$AC$4:$AC923)))</f>
        <v>45743</v>
      </c>
    </row>
    <row r="8" ht="22.5" customHeight="1">
      <c r="A8" s="29" t="s">
        <v>180</v>
      </c>
      <c r="B8" s="68" t="str">
        <f t="shared" si="1"/>
        <v>MULTA COERCITIVA - 4/CÓDIGO DE EXPEDIENTE INVÁLIDO</v>
      </c>
      <c r="C8" s="69" t="s">
        <v>181</v>
      </c>
      <c r="D8" s="70" t="str">
        <f t="shared" si="2"/>
        <v>EN ETAPA DE COBRANZA</v>
      </c>
      <c r="E8" s="29">
        <v>4.0</v>
      </c>
      <c r="F8" s="68" t="str">
        <f t="array" ref="F8">IF($A8="","",IFERROR(INDEX(MA_INDIVIDUALES!C$2:C923, MATCH($A8,MA_INDIVIDUALES!$B$2:$B923,0),1),"CÓDIGO DE EXPEDIENTE INVÁLIDO"))</f>
        <v>CÓDIGO DE EXPEDIENTE INVÁLIDO</v>
      </c>
      <c r="G8" s="68" t="str">
        <f t="array" ref="G8">IF($A8="","",IFERROR(INDEX(MA_INDIVIDUALES!K$2:K923, MATCH($A8,MA_INDIVIDUALES!$B$2:$B923,0),1),"CÓDIGO DE EXPEDIENTE INVÁLIDO"))</f>
        <v>CÓDIGO DE EXPEDIENTE INVÁLIDO</v>
      </c>
      <c r="H8" s="68" t="str">
        <f t="array" ref="H8">IF($A8="","",IFERROR(INDEX(MA_INDIVIDUALES!L$2:L923, MATCH($A8,MA_INDIVIDUALES!$B$2:$B923,0),1),"CÓDIGO DE EXPEDIENTE INVÁLIDO"))</f>
        <v>CÓDIGO DE EXPEDIENTE INVÁLIDO</v>
      </c>
      <c r="I8" s="29" t="s">
        <v>182</v>
      </c>
      <c r="J8" s="29" t="s">
        <v>183</v>
      </c>
      <c r="K8" s="73">
        <v>45117.0</v>
      </c>
      <c r="L8" s="74">
        <f>IF(A8="","",IF(K8="","",_xlfn.WORKDAY.INTL(K8,5,1,FERIADOS)))</f>
        <v>45124</v>
      </c>
      <c r="M8" s="29" t="s">
        <v>151</v>
      </c>
      <c r="N8" s="75"/>
      <c r="O8" s="76"/>
      <c r="P8" s="77" t="str">
        <f t="shared" si="3"/>
        <v>NO PRESENTÓ DESCARGOS</v>
      </c>
      <c r="Q8" s="75"/>
      <c r="R8" s="76"/>
      <c r="S8" s="75"/>
      <c r="T8" s="75"/>
      <c r="U8" s="29" t="s">
        <v>152</v>
      </c>
      <c r="V8" s="76"/>
      <c r="W8" s="75"/>
      <c r="X8" s="76"/>
      <c r="Y8" s="29" t="str">
        <f t="shared" si="4"/>
        <v>ELABORAR MC</v>
      </c>
      <c r="Z8" s="29" t="str">
        <f t="shared" si="5"/>
        <v>SIN REGISTRO DE ETAPAS</v>
      </c>
      <c r="AA8" s="29" t="s">
        <v>182</v>
      </c>
      <c r="AB8" s="29" t="s">
        <v>184</v>
      </c>
      <c r="AC8" s="73">
        <v>45148.0</v>
      </c>
      <c r="AD8" s="73">
        <v>45148.0</v>
      </c>
      <c r="AE8" s="78">
        <f>IF(U8="","",IF(AD8="","",_xlfn.WORKDAY.INTL(AD8,7,1,FERIADOS)))</f>
        <v>45159</v>
      </c>
      <c r="AF8" s="79">
        <v>5.0</v>
      </c>
      <c r="AG8" s="80" t="str">
        <f t="array" ref="AG8">IF(A8="","",IF(AF8="","",AF8*INDEX(PARAMETROS!F$2:F1071,MATCH(YEAR(AC8),PARAMETROS!E$2:E1071,0),1)))</f>
        <v>#N/A</v>
      </c>
      <c r="AH8" s="81"/>
      <c r="AI8" s="82"/>
      <c r="AJ8" s="81"/>
      <c r="AK8" s="81"/>
      <c r="AL8" s="29" t="s">
        <v>154</v>
      </c>
      <c r="AM8" s="75"/>
      <c r="AN8" s="29" t="s">
        <v>178</v>
      </c>
      <c r="AO8" s="83">
        <v>45169.0</v>
      </c>
      <c r="AP8" s="84" t="s">
        <v>179</v>
      </c>
      <c r="AQ8" s="85" t="str">
        <f t="shared" si="6"/>
        <v>NO PAGÓ MULTA</v>
      </c>
      <c r="AR8" s="86">
        <f t="array" ref="AR8">IF(A8="","",IFERROR(INDEX('2) Etapas'!L$3:L923,MATCH(B8,'2) Etapas'!$A$4:$A923,0),1),-1))</f>
        <v>-1</v>
      </c>
      <c r="AS8" s="87" t="str">
        <f t="shared" si="7"/>
        <v>0101-2021-0008-2022-1-CAGR</v>
      </c>
      <c r="AT8" s="87" t="str">
        <f t="shared" si="8"/>
        <v>MULTA IMPUESTA</v>
      </c>
      <c r="AU8" s="87" t="str">
        <f t="shared" si="9"/>
        <v>0133-2023-OEFA/DSAP</v>
      </c>
      <c r="AV8" s="89">
        <f t="array" ref="AV8">IF(OR($A8="",$AB8="", $AC8=""),"",MAXA(IF($A8=$A$4:$A923,$AC$4:$AC923)))</f>
        <v>45148</v>
      </c>
    </row>
    <row r="9" ht="22.5" customHeight="1">
      <c r="A9" s="29" t="s">
        <v>187</v>
      </c>
      <c r="B9" s="68" t="str">
        <f t="shared" si="1"/>
        <v>MULTA COERCITIVA - 5/CÓDIGO DE EXPEDIENTE INVÁLIDO</v>
      </c>
      <c r="C9" s="69" t="s">
        <v>145</v>
      </c>
      <c r="D9" s="70" t="str">
        <f t="shared" si="2"/>
        <v>EN ETAPA DE COBRANZA</v>
      </c>
      <c r="E9" s="29">
        <v>5.0</v>
      </c>
      <c r="F9" s="68" t="str">
        <f t="array" ref="F9">IF($A9="","",IFERROR(INDEX(MA_INDIVIDUALES!C$2:C923, MATCH($A9,MA_INDIVIDUALES!$B$2:$B923,0),1),"CÓDIGO DE EXPEDIENTE INVÁLIDO"))</f>
        <v>CÓDIGO DE EXPEDIENTE INVÁLIDO</v>
      </c>
      <c r="G9" s="68" t="str">
        <f t="array" ref="G9">IF($A9="","",IFERROR(INDEX(MA_INDIVIDUALES!K$2:K923, MATCH($A9,MA_INDIVIDUALES!$B$2:$B923,0),1),"CÓDIGO DE EXPEDIENTE INVÁLIDO"))</f>
        <v>CÓDIGO DE EXPEDIENTE INVÁLIDO</v>
      </c>
      <c r="H9" s="68" t="str">
        <f t="array" ref="H9">IF($A9="","",IFERROR(INDEX(MA_INDIVIDUALES!L$2:L923, MATCH($A9,MA_INDIVIDUALES!$B$2:$B923,0),1),"CÓDIGO DE EXPEDIENTE INVÁLIDO"))</f>
        <v>CÓDIGO DE EXPEDIENTE INVÁLIDO</v>
      </c>
      <c r="I9" s="29" t="s">
        <v>188</v>
      </c>
      <c r="J9" s="29" t="s">
        <v>189</v>
      </c>
      <c r="K9" s="73">
        <v>45050.0</v>
      </c>
      <c r="L9" s="74">
        <f>IF(A9="","",IF(K9="","",_xlfn.WORKDAY.INTL(K9,5,1,FERIADOS)))</f>
        <v>45057</v>
      </c>
      <c r="M9" s="29" t="s">
        <v>151</v>
      </c>
      <c r="N9" s="75"/>
      <c r="O9" s="76"/>
      <c r="P9" s="77" t="str">
        <f t="shared" si="3"/>
        <v>NO PRESENTÓ DESCARGOS</v>
      </c>
      <c r="Q9" s="75"/>
      <c r="R9" s="76"/>
      <c r="S9" s="75"/>
      <c r="T9" s="75"/>
      <c r="U9" s="29" t="s">
        <v>152</v>
      </c>
      <c r="V9" s="76"/>
      <c r="W9" s="75"/>
      <c r="X9" s="76"/>
      <c r="Y9" s="29" t="str">
        <f t="shared" si="4"/>
        <v>ELABORAR MC</v>
      </c>
      <c r="Z9" s="29" t="str">
        <f t="shared" si="5"/>
        <v>SIN REGISTRO DE ETAPAS</v>
      </c>
      <c r="AA9" s="29" t="s">
        <v>188</v>
      </c>
      <c r="AB9" s="29" t="s">
        <v>190</v>
      </c>
      <c r="AC9" s="73">
        <v>45152.0</v>
      </c>
      <c r="AD9" s="73">
        <v>45152.0</v>
      </c>
      <c r="AE9" s="78">
        <f>IF(U9="","",IF(AD9="","",_xlfn.WORKDAY.INTL(AD9,7,1,FERIADOS)))</f>
        <v>45161</v>
      </c>
      <c r="AF9" s="79">
        <v>3.75</v>
      </c>
      <c r="AG9" s="80" t="str">
        <f t="array" ref="AG9">IF(A9="","",IF(AF9="","",AF9*INDEX(PARAMETROS!F$2:F1072,MATCH(YEAR(AC9),PARAMETROS!E$2:E1072,0),1)))</f>
        <v>#N/A</v>
      </c>
      <c r="AH9" s="81"/>
      <c r="AI9" s="82"/>
      <c r="AJ9" s="81"/>
      <c r="AK9" s="81"/>
      <c r="AL9" s="29" t="s">
        <v>154</v>
      </c>
      <c r="AM9" s="75"/>
      <c r="AN9" s="29" t="s">
        <v>178</v>
      </c>
      <c r="AO9" s="83">
        <v>45169.0</v>
      </c>
      <c r="AP9" s="84" t="s">
        <v>179</v>
      </c>
      <c r="AQ9" s="85" t="str">
        <f t="shared" si="6"/>
        <v>NO PAGÓ MULTA</v>
      </c>
      <c r="AR9" s="86">
        <f t="array" ref="AR9">IF(A9="","",IFERROR(INDEX('2) Etapas'!L$3:L923,MATCH(B9,'2) Etapas'!$A$4:$A923,0),1),-1))</f>
        <v>-1</v>
      </c>
      <c r="AS9" s="87" t="str">
        <f t="shared" si="7"/>
        <v>0223-2022-ACTA 0003-1-CAGR</v>
      </c>
      <c r="AT9" s="87" t="str">
        <f t="shared" si="8"/>
        <v>MULTA IMPUESTA</v>
      </c>
      <c r="AU9" s="87" t="str">
        <f t="shared" si="9"/>
        <v>00009-2026-OEFA/DSAP</v>
      </c>
      <c r="AV9" s="89">
        <f t="array" ref="AV9">IF(OR($A9="",$AB9="", $AC9=""),"",MAXA(IF($A9=$A$4:$A923,$AC$4:$AC923)))</f>
        <v>46080</v>
      </c>
    </row>
    <row r="10" ht="22.5" customHeight="1">
      <c r="A10" s="29" t="s">
        <v>192</v>
      </c>
      <c r="B10" s="68" t="str">
        <f t="shared" si="1"/>
        <v>MULTA COERCITIVA - 5/CÓDIGO DE EXPEDIENTE INVÁLIDO</v>
      </c>
      <c r="C10" s="69" t="s">
        <v>145</v>
      </c>
      <c r="D10" s="70" t="str">
        <f t="shared" si="2"/>
        <v>EN ETAPA DE COBRANZA</v>
      </c>
      <c r="E10" s="29">
        <v>5.0</v>
      </c>
      <c r="F10" s="68" t="str">
        <f t="array" ref="F10">IF($A10="","",IFERROR(INDEX(MA_INDIVIDUALES!C$2:C923, MATCH($A10,MA_INDIVIDUALES!$B$2:$B923,0),1),"CÓDIGO DE EXPEDIENTE INVÁLIDO"))</f>
        <v>CÓDIGO DE EXPEDIENTE INVÁLIDO</v>
      </c>
      <c r="G10" s="68" t="str">
        <f t="array" ref="G10">IF($A10="","",IFERROR(INDEX(MA_INDIVIDUALES!K$2:K923, MATCH($A10,MA_INDIVIDUALES!$B$2:$B923,0),1),"CÓDIGO DE EXPEDIENTE INVÁLIDO"))</f>
        <v>CÓDIGO DE EXPEDIENTE INVÁLIDO</v>
      </c>
      <c r="H10" s="68" t="str">
        <f t="array" ref="H10">IF($A10="","",IFERROR(INDEX(MA_INDIVIDUALES!L$2:L923, MATCH($A10,MA_INDIVIDUALES!$B$2:$B923,0),1),"CÓDIGO DE EXPEDIENTE INVÁLIDO"))</f>
        <v>CÓDIGO DE EXPEDIENTE INVÁLIDO</v>
      </c>
      <c r="I10" s="29" t="s">
        <v>188</v>
      </c>
      <c r="J10" s="29" t="s">
        <v>189</v>
      </c>
      <c r="K10" s="73">
        <v>45050.0</v>
      </c>
      <c r="L10" s="74">
        <f>IF(A10="","",IF(K10="","",_xlfn.WORKDAY.INTL(K10,5,1,FERIADOS)))</f>
        <v>45057</v>
      </c>
      <c r="M10" s="29" t="s">
        <v>151</v>
      </c>
      <c r="N10" s="75"/>
      <c r="O10" s="76"/>
      <c r="P10" s="77" t="str">
        <f t="shared" si="3"/>
        <v>NO PRESENTÓ DESCARGOS</v>
      </c>
      <c r="Q10" s="75"/>
      <c r="R10" s="76"/>
      <c r="S10" s="75"/>
      <c r="T10" s="75"/>
      <c r="U10" s="29" t="s">
        <v>152</v>
      </c>
      <c r="V10" s="76"/>
      <c r="W10" s="75"/>
      <c r="X10" s="76"/>
      <c r="Y10" s="29" t="str">
        <f t="shared" si="4"/>
        <v>ELABORAR MC</v>
      </c>
      <c r="Z10" s="29" t="str">
        <f t="shared" si="5"/>
        <v>SIN REGISTRO DE ETAPAS</v>
      </c>
      <c r="AA10" s="29" t="s">
        <v>188</v>
      </c>
      <c r="AB10" s="29" t="s">
        <v>190</v>
      </c>
      <c r="AC10" s="73">
        <v>45152.0</v>
      </c>
      <c r="AD10" s="73">
        <v>45152.0</v>
      </c>
      <c r="AE10" s="78">
        <f>IF(U10="","",IF(AD10="","",_xlfn.WORKDAY.INTL(AD10,7,1,FERIADOS)))</f>
        <v>45161</v>
      </c>
      <c r="AF10" s="79">
        <v>3.75</v>
      </c>
      <c r="AG10" s="80" t="str">
        <f t="array" ref="AG10">IF(A10="","",IF(AF10="","",AF10*INDEX(PARAMETROS!F$2:F1073,MATCH(YEAR(AC10),PARAMETROS!E$2:E1073,0),1)))</f>
        <v>#N/A</v>
      </c>
      <c r="AH10" s="81"/>
      <c r="AI10" s="82"/>
      <c r="AJ10" s="81"/>
      <c r="AK10" s="81"/>
      <c r="AL10" s="29" t="s">
        <v>154</v>
      </c>
      <c r="AM10" s="75"/>
      <c r="AN10" s="29" t="s">
        <v>178</v>
      </c>
      <c r="AO10" s="83">
        <v>45169.0</v>
      </c>
      <c r="AP10" s="84" t="s">
        <v>179</v>
      </c>
      <c r="AQ10" s="85" t="str">
        <f t="shared" si="6"/>
        <v>NO PAGÓ MULTA</v>
      </c>
      <c r="AR10" s="86">
        <f t="array" ref="AR10">IF(A10="","",IFERROR(INDEX('2) Etapas'!L$3:L923,MATCH(B10,'2) Etapas'!$A$4:$A923,0),1),-1))</f>
        <v>-1</v>
      </c>
      <c r="AS10" s="87" t="str">
        <f t="shared" si="7"/>
        <v>0223-2022-ACTA 0003-3-CAGR</v>
      </c>
      <c r="AT10" s="87" t="str">
        <f t="shared" si="8"/>
        <v>MULTA IMPUESTA</v>
      </c>
      <c r="AU10" s="87" t="str">
        <f t="shared" si="9"/>
        <v>00009-2026-OEFA/DSAP</v>
      </c>
      <c r="AV10" s="89">
        <f t="array" ref="AV10">IF(OR($A10="",$AB10="", $AC10=""),"",MAXA(IF($A10=$A$4:$A923,$AC$4:$AC923)))</f>
        <v>46080</v>
      </c>
    </row>
    <row r="11" ht="22.5" customHeight="1">
      <c r="A11" s="29" t="s">
        <v>195</v>
      </c>
      <c r="B11" s="68" t="str">
        <f t="shared" si="1"/>
        <v>MULTA COERCITIVA - 6/CÓDIGO DE EXPEDIENTE INVÁLIDO</v>
      </c>
      <c r="C11" s="69" t="s">
        <v>145</v>
      </c>
      <c r="D11" s="70" t="str">
        <f t="shared" si="2"/>
        <v>EN ETAPA DE COBRANZA</v>
      </c>
      <c r="E11" s="29">
        <v>6.0</v>
      </c>
      <c r="F11" s="68" t="str">
        <f t="array" ref="F11">IF($A11="","",IFERROR(INDEX(MA_INDIVIDUALES!C$2:C923, MATCH($A11,MA_INDIVIDUALES!$B$2:$B923,0),1),"CÓDIGO DE EXPEDIENTE INVÁLIDO"))</f>
        <v>CÓDIGO DE EXPEDIENTE INVÁLIDO</v>
      </c>
      <c r="G11" s="68" t="str">
        <f t="array" ref="G11">IF($A11="","",IFERROR(INDEX(MA_INDIVIDUALES!K$2:K923, MATCH($A11,MA_INDIVIDUALES!$B$2:$B923,0),1),"CÓDIGO DE EXPEDIENTE INVÁLIDO"))</f>
        <v>CÓDIGO DE EXPEDIENTE INVÁLIDO</v>
      </c>
      <c r="H11" s="68" t="str">
        <f t="array" ref="H11">IF($A11="","",IFERROR(INDEX(MA_INDIVIDUALES!L$2:L923, MATCH($A11,MA_INDIVIDUALES!$B$2:$B923,0),1),"CÓDIGO DE EXPEDIENTE INVÁLIDO"))</f>
        <v>CÓDIGO DE EXPEDIENTE INVÁLIDO</v>
      </c>
      <c r="I11" s="29" t="s">
        <v>196</v>
      </c>
      <c r="J11" s="29" t="s">
        <v>197</v>
      </c>
      <c r="K11" s="73">
        <v>45579.0</v>
      </c>
      <c r="L11" s="74">
        <f>IF(A11="","",IF(K11="","",_xlfn.WORKDAY.INTL(K11,5,1,FERIADOS)))</f>
        <v>45586</v>
      </c>
      <c r="M11" s="29" t="s">
        <v>151</v>
      </c>
      <c r="N11" s="75"/>
      <c r="O11" s="76"/>
      <c r="P11" s="77" t="str">
        <f t="shared" si="3"/>
        <v>NO PRESENTÓ DESCARGOS</v>
      </c>
      <c r="Q11" s="75"/>
      <c r="R11" s="76"/>
      <c r="S11" s="75"/>
      <c r="T11" s="75"/>
      <c r="U11" s="29" t="s">
        <v>152</v>
      </c>
      <c r="V11" s="76"/>
      <c r="W11" s="75"/>
      <c r="X11" s="76"/>
      <c r="Y11" s="29" t="str">
        <f t="shared" si="4"/>
        <v>ELABORAR MC</v>
      </c>
      <c r="Z11" s="29" t="str">
        <f t="shared" si="5"/>
        <v>SIN REGISTRO DE ETAPAS</v>
      </c>
      <c r="AA11" s="29" t="s">
        <v>196</v>
      </c>
      <c r="AB11" s="29" t="s">
        <v>198</v>
      </c>
      <c r="AC11" s="73">
        <v>45687.0</v>
      </c>
      <c r="AD11" s="73">
        <v>45688.0</v>
      </c>
      <c r="AE11" s="78">
        <f>IF(U11="","",IF(AD11="","",_xlfn.WORKDAY.INTL(AD11,7,1,FERIADOS)))</f>
        <v>45699</v>
      </c>
      <c r="AF11" s="79">
        <v>20.25</v>
      </c>
      <c r="AG11" s="80" t="str">
        <f t="array" ref="AG11">IF(A11="","",IF(AF11="","",AF11*INDEX(PARAMETROS!F$2:F1074,MATCH(YEAR(AC11),PARAMETROS!E$2:E1074,0),1)))</f>
        <v>#N/A</v>
      </c>
      <c r="AH11" s="81"/>
      <c r="AI11" s="82"/>
      <c r="AJ11" s="81"/>
      <c r="AK11" s="81"/>
      <c r="AL11" s="29" t="s">
        <v>154</v>
      </c>
      <c r="AM11" s="75"/>
      <c r="AN11" s="29" t="s">
        <v>200</v>
      </c>
      <c r="AO11" s="83">
        <v>45734.0</v>
      </c>
      <c r="AP11" s="84" t="s">
        <v>201</v>
      </c>
      <c r="AQ11" s="85" t="str">
        <f t="shared" si="6"/>
        <v>NO PAGÓ MULTA</v>
      </c>
      <c r="AR11" s="86">
        <f t="array" ref="AR11">IF(A11="","",IFERROR(INDEX('2) Etapas'!L$3:L923,MATCH(B11,'2) Etapas'!$A$4:$A923,0),1),-1))</f>
        <v>-1</v>
      </c>
      <c r="AS11" s="87" t="str">
        <f t="shared" si="7"/>
        <v>0040-2023-0149-2023-1-CAGR</v>
      </c>
      <c r="AT11" s="87" t="str">
        <f t="shared" si="8"/>
        <v>MULTA IMPUESTA</v>
      </c>
      <c r="AU11" s="87" t="str">
        <f t="shared" si="9"/>
        <v>0008-2025-OEFA/DSAP</v>
      </c>
      <c r="AV11" s="89">
        <f t="array" ref="AV11">IF(OR($A11="",$AB11="", $AC11=""),"",MAXA(IF($A11=$A$4:$A923,$AC$4:$AC923)))</f>
        <v>45687</v>
      </c>
    </row>
    <row r="12" ht="22.5" customHeight="1">
      <c r="A12" s="29" t="s">
        <v>172</v>
      </c>
      <c r="B12" s="68" t="str">
        <f t="shared" si="1"/>
        <v>MULTA COERCITIVA - 7/CÓDIGO DE EXPEDIENTE INVÁLIDO</v>
      </c>
      <c r="C12" s="69" t="s">
        <v>145</v>
      </c>
      <c r="D12" s="70" t="str">
        <f t="shared" si="2"/>
        <v>EN ETAPA DE COBRANZA</v>
      </c>
      <c r="E12" s="29">
        <v>7.0</v>
      </c>
      <c r="F12" s="68" t="str">
        <f t="array" ref="F12">IF($A12="","",IFERROR(INDEX(MA_INDIVIDUALES!C$2:C923, MATCH($A12,MA_INDIVIDUALES!$B$2:$B923,0),1),"CÓDIGO DE EXPEDIENTE INVÁLIDO"))</f>
        <v>CÓDIGO DE EXPEDIENTE INVÁLIDO</v>
      </c>
      <c r="G12" s="68" t="str">
        <f t="array" ref="G12">IF($A12="","",IFERROR(INDEX(MA_INDIVIDUALES!K$2:K923, MATCH($A12,MA_INDIVIDUALES!$B$2:$B923,0),1),"CÓDIGO DE EXPEDIENTE INVÁLIDO"))</f>
        <v>CÓDIGO DE EXPEDIENTE INVÁLIDO</v>
      </c>
      <c r="H12" s="68" t="str">
        <f t="array" ref="H12">IF($A12="","",IFERROR(INDEX(MA_INDIVIDUALES!L$2:L923, MATCH($A12,MA_INDIVIDUALES!$B$2:$B923,0),1),"CÓDIGO DE EXPEDIENTE INVÁLIDO"))</f>
        <v>CÓDIGO DE EXPEDIENTE INVÁLIDO</v>
      </c>
      <c r="I12" s="29" t="s">
        <v>203</v>
      </c>
      <c r="J12" s="29" t="s">
        <v>204</v>
      </c>
      <c r="K12" s="73">
        <v>45684.0</v>
      </c>
      <c r="L12" s="74">
        <f>IF(A12="","",IF(K12="","",_xlfn.WORKDAY.INTL(K12,5,1,FERIADOS)))</f>
        <v>45691</v>
      </c>
      <c r="M12" s="29" t="s">
        <v>152</v>
      </c>
      <c r="N12" s="73">
        <v>45768.0</v>
      </c>
      <c r="O12" s="29" t="s">
        <v>205</v>
      </c>
      <c r="P12" s="77" t="str">
        <f t="shared" si="3"/>
        <v>PRESENTADO FUERA DE PLAZO</v>
      </c>
      <c r="Q12" s="73">
        <v>45772.0</v>
      </c>
      <c r="R12" s="29" t="s">
        <v>151</v>
      </c>
      <c r="S12" s="75"/>
      <c r="T12" s="73">
        <v>45810.0</v>
      </c>
      <c r="U12" s="29" t="s">
        <v>152</v>
      </c>
      <c r="V12" s="76"/>
      <c r="W12" s="75"/>
      <c r="X12" s="76"/>
      <c r="Y12" s="29" t="str">
        <f t="shared" si="4"/>
        <v>ELABORAR MC</v>
      </c>
      <c r="Z12" s="29" t="str">
        <f t="shared" si="5"/>
        <v>SIN REGISTRO DE ETAPAS</v>
      </c>
      <c r="AA12" s="29" t="s">
        <v>206</v>
      </c>
      <c r="AB12" s="29" t="s">
        <v>207</v>
      </c>
      <c r="AC12" s="73">
        <v>45743.0</v>
      </c>
      <c r="AD12" s="73">
        <v>45744.0</v>
      </c>
      <c r="AE12" s="78">
        <f>IF(U12="","",IF(AD12="","",_xlfn.WORKDAY.INTL(AD12,7,1,FERIADOS)))</f>
        <v>45755</v>
      </c>
      <c r="AF12" s="79">
        <v>20.25</v>
      </c>
      <c r="AG12" s="80" t="str">
        <f t="array" ref="AG12">IF(A12="","",IF(AF12="","",AF12*INDEX(PARAMETROS!F$2:F1075,MATCH(YEAR(AC12),PARAMETROS!E$2:E1075,0),1)))</f>
        <v>#N/A</v>
      </c>
      <c r="AH12" s="81"/>
      <c r="AI12" s="82"/>
      <c r="AJ12" s="81"/>
      <c r="AK12" s="81"/>
      <c r="AL12" s="29" t="s">
        <v>154</v>
      </c>
      <c r="AM12" s="75"/>
      <c r="AN12" s="29" t="s">
        <v>210</v>
      </c>
      <c r="AO12" s="83">
        <v>45915.0</v>
      </c>
      <c r="AP12" s="84" t="s">
        <v>211</v>
      </c>
      <c r="AQ12" s="85" t="str">
        <f t="shared" si="6"/>
        <v>NO PAGÓ MULTA</v>
      </c>
      <c r="AR12" s="86">
        <f t="array" ref="AR12">IF(A12="","",IFERROR(INDEX('2) Etapas'!L$3:L923,MATCH(B12,'2) Etapas'!$A$4:$A923,0),1),-1))</f>
        <v>-1</v>
      </c>
      <c r="AS12" s="87" t="str">
        <f t="shared" si="7"/>
        <v>0184-2022-0117-2023-1-CAGR</v>
      </c>
      <c r="AT12" s="87" t="str">
        <f t="shared" si="8"/>
        <v>MULTA IMPUESTA</v>
      </c>
      <c r="AU12" s="87" t="str">
        <f t="shared" si="9"/>
        <v>0022-2025-OEFA/DSAP</v>
      </c>
      <c r="AV12" s="89">
        <f t="array" ref="AV12">IF(OR($A12="",$AB12="", $AC12=""),"",MAXA(IF($A12=$A$4:$A923,$AC$4:$AC923)))</f>
        <v>45743</v>
      </c>
    </row>
    <row r="13" ht="22.5" customHeight="1">
      <c r="A13" s="29" t="s">
        <v>213</v>
      </c>
      <c r="B13" s="68" t="str">
        <f t="shared" si="1"/>
        <v>MULTA COERCITIVA - 8/CÓDIGO DE EXPEDIENTE INVÁLIDO</v>
      </c>
      <c r="C13" s="69" t="s">
        <v>193</v>
      </c>
      <c r="D13" s="70" t="str">
        <f t="shared" si="2"/>
        <v>EN ETAPA DE COBRANZA</v>
      </c>
      <c r="E13" s="29">
        <v>8.0</v>
      </c>
      <c r="F13" s="68" t="str">
        <f t="array" ref="F13">IF($A13="","",IFERROR(INDEX(MA_INDIVIDUALES!C$2:C923, MATCH($A13,MA_INDIVIDUALES!$B$2:$B923,0),1),"CÓDIGO DE EXPEDIENTE INVÁLIDO"))</f>
        <v>CÓDIGO DE EXPEDIENTE INVÁLIDO</v>
      </c>
      <c r="G13" s="68" t="str">
        <f t="array" ref="G13">IF($A13="","",IFERROR(INDEX(MA_INDIVIDUALES!K$2:K923, MATCH($A13,MA_INDIVIDUALES!$B$2:$B923,0),1),"CÓDIGO DE EXPEDIENTE INVÁLIDO"))</f>
        <v>CÓDIGO DE EXPEDIENTE INVÁLIDO</v>
      </c>
      <c r="H13" s="68" t="str">
        <f t="array" ref="H13">IF($A13="","",IFERROR(INDEX(MA_INDIVIDUALES!L$2:L923, MATCH($A13,MA_INDIVIDUALES!$B$2:$B923,0),1),"CÓDIGO DE EXPEDIENTE INVÁLIDO"))</f>
        <v>CÓDIGO DE EXPEDIENTE INVÁLIDO</v>
      </c>
      <c r="I13" s="29" t="s">
        <v>214</v>
      </c>
      <c r="J13" s="29" t="s">
        <v>215</v>
      </c>
      <c r="K13" s="73">
        <v>46007.0</v>
      </c>
      <c r="L13" s="74">
        <f>IF(A13="","",IF(K13="","",_xlfn.WORKDAY.INTL(K13,5,1,FERIADOS)))</f>
        <v>46014</v>
      </c>
      <c r="M13" s="29" t="s">
        <v>151</v>
      </c>
      <c r="N13" s="75"/>
      <c r="O13" s="76"/>
      <c r="P13" s="77" t="str">
        <f t="shared" si="3"/>
        <v>NO PRESENTÓ DESCARGOS</v>
      </c>
      <c r="Q13" s="75"/>
      <c r="R13" s="76"/>
      <c r="S13" s="75"/>
      <c r="T13" s="75"/>
      <c r="U13" s="29" t="s">
        <v>152</v>
      </c>
      <c r="V13" s="76"/>
      <c r="W13" s="75"/>
      <c r="X13" s="76"/>
      <c r="Y13" s="29" t="str">
        <f t="shared" si="4"/>
        <v>ELABORAR MC</v>
      </c>
      <c r="Z13" s="29" t="str">
        <f t="shared" si="5"/>
        <v>SIN REGISTRO DE ETAPAS</v>
      </c>
      <c r="AA13" s="29" t="s">
        <v>214</v>
      </c>
      <c r="AB13" s="29" t="s">
        <v>216</v>
      </c>
      <c r="AC13" s="73">
        <v>46044.0</v>
      </c>
      <c r="AD13" s="73">
        <v>46044.0</v>
      </c>
      <c r="AE13" s="78">
        <f>IF(U13="","",IF(AD13="","",_xlfn.WORKDAY.INTL(AD13,7,1,FERIADOS)))</f>
        <v>46055</v>
      </c>
      <c r="AF13" s="79">
        <v>4.68</v>
      </c>
      <c r="AG13" s="80" t="str">
        <f t="array" ref="AG13">IF(A13="","",IF(AF13="","",AF13*INDEX(PARAMETROS!F$2:F1076,MATCH(YEAR(AC13),PARAMETROS!E$2:E1076,0),1)))</f>
        <v>#N/A</v>
      </c>
      <c r="AH13" s="81"/>
      <c r="AI13" s="82"/>
      <c r="AJ13" s="81"/>
      <c r="AK13" s="81"/>
      <c r="AL13" s="29" t="s">
        <v>154</v>
      </c>
      <c r="AM13" s="75"/>
      <c r="AN13" s="29" t="s">
        <v>217</v>
      </c>
      <c r="AO13" s="83">
        <v>46073.0</v>
      </c>
      <c r="AP13" s="84" t="s">
        <v>218</v>
      </c>
      <c r="AQ13" s="85" t="str">
        <f t="shared" si="6"/>
        <v>NO PAGÓ MULTA</v>
      </c>
      <c r="AR13" s="86">
        <f t="array" ref="AR13">IF(A13="","",IFERROR(INDEX('2) Etapas'!L$3:L923,MATCH(B13,'2) Etapas'!$A$4:$A923,0),1),-1))</f>
        <v>-1</v>
      </c>
      <c r="AS13" s="87" t="str">
        <f t="shared" si="7"/>
        <v>0184-2024-0019-2025-1-CAGR</v>
      </c>
      <c r="AT13" s="87" t="str">
        <f t="shared" si="8"/>
        <v>MULTA IMPUESTA</v>
      </c>
      <c r="AU13" s="87" t="str">
        <f t="shared" si="9"/>
        <v>0016-2026-OEFA/DSAP</v>
      </c>
      <c r="AV13" s="89">
        <f t="array" ref="AV13">IF(OR($A13="",$AB13="", $AC13=""),"",MAXA(IF($A13=$A$4:$A923,$AC$4:$AC923)))</f>
        <v>46203</v>
      </c>
    </row>
    <row r="14" ht="22.5" customHeight="1">
      <c r="A14" s="29" t="s">
        <v>187</v>
      </c>
      <c r="B14" s="68" t="str">
        <f t="shared" si="1"/>
        <v>MULTA COERCITIVA - 9/CÓDIGO DE EXPEDIENTE INVÁLIDO</v>
      </c>
      <c r="C14" s="69" t="s">
        <v>145</v>
      </c>
      <c r="D14" s="70" t="str">
        <f t="shared" si="2"/>
        <v>EN ETAPA DE COBRANZA</v>
      </c>
      <c r="E14" s="29">
        <v>9.0</v>
      </c>
      <c r="F14" s="68" t="str">
        <f t="array" ref="F14">IF($A14="","",IFERROR(INDEX(MA_INDIVIDUALES!C$2:C923, MATCH($A14,MA_INDIVIDUALES!$B$2:$B923,0),1),"CÓDIGO DE EXPEDIENTE INVÁLIDO"))</f>
        <v>CÓDIGO DE EXPEDIENTE INVÁLIDO</v>
      </c>
      <c r="G14" s="68" t="str">
        <f t="array" ref="G14">IF($A14="","",IFERROR(INDEX(MA_INDIVIDUALES!K$2:K923, MATCH($A14,MA_INDIVIDUALES!$B$2:$B923,0),1),"CÓDIGO DE EXPEDIENTE INVÁLIDO"))</f>
        <v>CÓDIGO DE EXPEDIENTE INVÁLIDO</v>
      </c>
      <c r="H14" s="68" t="str">
        <f t="array" ref="H14">IF($A14="","",IFERROR(INDEX(MA_INDIVIDUALES!L$2:L923, MATCH($A14,MA_INDIVIDUALES!$B$2:$B923,0),1),"CÓDIGO DE EXPEDIENTE INVÁLIDO"))</f>
        <v>CÓDIGO DE EXPEDIENTE INVÁLIDO</v>
      </c>
      <c r="I14" s="29" t="s">
        <v>219</v>
      </c>
      <c r="J14" s="29" t="s">
        <v>220</v>
      </c>
      <c r="K14" s="73">
        <v>45684.0</v>
      </c>
      <c r="L14" s="74">
        <f>IF(A14="","",IF(K14="","",_xlfn.WORKDAY.INTL(K14,5,1,FERIADOS)))</f>
        <v>45691</v>
      </c>
      <c r="M14" s="29" t="s">
        <v>151</v>
      </c>
      <c r="N14" s="75"/>
      <c r="O14" s="76"/>
      <c r="P14" s="77" t="str">
        <f t="shared" si="3"/>
        <v>NO PRESENTÓ DESCARGOS</v>
      </c>
      <c r="Q14" s="75"/>
      <c r="R14" s="76"/>
      <c r="S14" s="75"/>
      <c r="T14" s="75"/>
      <c r="U14" s="29" t="s">
        <v>152</v>
      </c>
      <c r="V14" s="76"/>
      <c r="W14" s="75"/>
      <c r="X14" s="76"/>
      <c r="Y14" s="29" t="str">
        <f t="shared" si="4"/>
        <v>ELABORAR MC</v>
      </c>
      <c r="Z14" s="29" t="str">
        <f t="shared" si="5"/>
        <v>SIN REGISTRO DE ETAPAS</v>
      </c>
      <c r="AA14" s="29" t="s">
        <v>219</v>
      </c>
      <c r="AB14" s="29" t="s">
        <v>221</v>
      </c>
      <c r="AC14" s="73">
        <v>46080.0</v>
      </c>
      <c r="AD14" s="73">
        <v>46080.0</v>
      </c>
      <c r="AE14" s="78">
        <f>IF(U14="","",IF(AD14="","",_xlfn.WORKDAY.INTL(AD14,7,1,FERIADOS)))</f>
        <v>46091</v>
      </c>
      <c r="AF14" s="79">
        <v>12.96</v>
      </c>
      <c r="AG14" s="80" t="str">
        <f t="array" ref="AG14">IF(A14="","",IF(AF14="","",AF14*INDEX(PARAMETROS!F$2:F1077,MATCH(YEAR(AC14),PARAMETROS!E$2:E1077,0),1)))</f>
        <v>#N/A</v>
      </c>
      <c r="AH14" s="81"/>
      <c r="AI14" s="82"/>
      <c r="AJ14" s="81"/>
      <c r="AK14" s="81"/>
      <c r="AL14" s="29" t="s">
        <v>154</v>
      </c>
      <c r="AM14" s="75"/>
      <c r="AN14" s="76"/>
      <c r="AO14" s="95"/>
      <c r="AP14" s="96"/>
      <c r="AQ14" s="85" t="str">
        <f t="shared" si="6"/>
        <v>NO PAGÓ MULTA</v>
      </c>
      <c r="AR14" s="86">
        <f t="array" ref="AR14">IF(A14="","",IFERROR(INDEX('2) Etapas'!L$3:L923,MATCH(B14,'2) Etapas'!$A$4:$A923,0),1),-1))</f>
        <v>-1</v>
      </c>
      <c r="AS14" s="87" t="str">
        <f t="shared" si="7"/>
        <v>0223-2022-ACTA 0003-1-CAGR</v>
      </c>
      <c r="AT14" s="87" t="str">
        <f t="shared" si="8"/>
        <v>MULTA IMPUESTA</v>
      </c>
      <c r="AU14" s="87" t="str">
        <f t="shared" si="9"/>
        <v>00009-2026-OEFA/DSAP</v>
      </c>
      <c r="AV14" s="89">
        <f t="array" ref="AV14">IF(OR($A14="",$AB14="", $AC14=""),"",MAXA(IF($A14=$A$4:$A923,$AC$4:$AC923)))</f>
        <v>46080</v>
      </c>
    </row>
    <row r="15" ht="22.5" customHeight="1">
      <c r="A15" s="29" t="s">
        <v>222</v>
      </c>
      <c r="B15" s="68" t="str">
        <f t="shared" si="1"/>
        <v>MULTA COERCITIVA - 9/CÓDIGO DE EXPEDIENTE INVÁLIDO</v>
      </c>
      <c r="C15" s="69" t="s">
        <v>145</v>
      </c>
      <c r="D15" s="70" t="str">
        <f t="shared" si="2"/>
        <v>EN ETAPA DE COBRANZA</v>
      </c>
      <c r="E15" s="29">
        <v>9.0</v>
      </c>
      <c r="F15" s="68" t="str">
        <f t="array" ref="F15">IF($A15="","",IFERROR(INDEX(MA_INDIVIDUALES!C$2:C923, MATCH($A15,MA_INDIVIDUALES!$B$2:$B923,0),1),"CÓDIGO DE EXPEDIENTE INVÁLIDO"))</f>
        <v>CÓDIGO DE EXPEDIENTE INVÁLIDO</v>
      </c>
      <c r="G15" s="68" t="str">
        <f t="array" ref="G15">IF($A15="","",IFERROR(INDEX(MA_INDIVIDUALES!K$2:K923, MATCH($A15,MA_INDIVIDUALES!$B$2:$B923,0),1),"CÓDIGO DE EXPEDIENTE INVÁLIDO"))</f>
        <v>CÓDIGO DE EXPEDIENTE INVÁLIDO</v>
      </c>
      <c r="H15" s="68" t="str">
        <f t="array" ref="H15">IF($A15="","",IFERROR(INDEX(MA_INDIVIDUALES!L$2:L923, MATCH($A15,MA_INDIVIDUALES!$B$2:$B923,0),1),"CÓDIGO DE EXPEDIENTE INVÁLIDO"))</f>
        <v>CÓDIGO DE EXPEDIENTE INVÁLIDO</v>
      </c>
      <c r="I15" s="29" t="s">
        <v>219</v>
      </c>
      <c r="J15" s="29" t="s">
        <v>220</v>
      </c>
      <c r="K15" s="73">
        <v>45684.0</v>
      </c>
      <c r="L15" s="74">
        <f>IF(A15="","",IF(K15="","",_xlfn.WORKDAY.INTL(K15,5,1,FERIADOS)))</f>
        <v>45691</v>
      </c>
      <c r="M15" s="29" t="s">
        <v>151</v>
      </c>
      <c r="N15" s="75"/>
      <c r="O15" s="76"/>
      <c r="P15" s="77" t="str">
        <f t="shared" si="3"/>
        <v>NO PRESENTÓ DESCARGOS</v>
      </c>
      <c r="Q15" s="75"/>
      <c r="R15" s="29"/>
      <c r="S15" s="75"/>
      <c r="T15" s="75"/>
      <c r="U15" s="29" t="s">
        <v>152</v>
      </c>
      <c r="V15" s="76"/>
      <c r="W15" s="75"/>
      <c r="X15" s="76"/>
      <c r="Y15" s="29" t="str">
        <f t="shared" si="4"/>
        <v>ELABORAR MC</v>
      </c>
      <c r="Z15" s="29" t="str">
        <f t="shared" si="5"/>
        <v>SIN REGISTRO DE ETAPAS</v>
      </c>
      <c r="AA15" s="29" t="s">
        <v>219</v>
      </c>
      <c r="AB15" s="29" t="s">
        <v>221</v>
      </c>
      <c r="AC15" s="73">
        <v>46080.0</v>
      </c>
      <c r="AD15" s="73">
        <v>46080.0</v>
      </c>
      <c r="AE15" s="78">
        <f>IF(U15="","",IF(AD15="","",_xlfn.WORKDAY.INTL(AD15,7,1,FERIADOS)))</f>
        <v>46091</v>
      </c>
      <c r="AF15" s="79">
        <v>3.2</v>
      </c>
      <c r="AG15" s="80" t="str">
        <f t="array" ref="AG15">IF(A15="","",IF(AF15="","",AF15*INDEX(PARAMETROS!F$2:F1078,MATCH(YEAR(AC15),PARAMETROS!E$2:E1078,0),1)))</f>
        <v>#N/A</v>
      </c>
      <c r="AH15" s="81"/>
      <c r="AI15" s="82"/>
      <c r="AJ15" s="81"/>
      <c r="AK15" s="81"/>
      <c r="AL15" s="29" t="s">
        <v>154</v>
      </c>
      <c r="AM15" s="75"/>
      <c r="AN15" s="76"/>
      <c r="AO15" s="95"/>
      <c r="AP15" s="96"/>
      <c r="AQ15" s="85" t="str">
        <f t="shared" si="6"/>
        <v>NO PAGÓ MULTA</v>
      </c>
      <c r="AR15" s="86">
        <f t="array" ref="AR15">IF(A15="","",IFERROR(INDEX('2) Etapas'!L$3:L923,MATCH(B15,'2) Etapas'!$A$4:$A923,0),1),-1))</f>
        <v>-1</v>
      </c>
      <c r="AS15" s="87" t="str">
        <f t="shared" si="7"/>
        <v>0223-2022-ACTA 0003-2-CAGR</v>
      </c>
      <c r="AT15" s="87" t="str">
        <f t="shared" si="8"/>
        <v>MULTA IMPUESTA</v>
      </c>
      <c r="AU15" s="87" t="str">
        <f t="shared" si="9"/>
        <v>00009-2026-OEFA/DSAP</v>
      </c>
      <c r="AV15" s="89">
        <f t="array" ref="AV15">IF(OR($A15="",$AB15="", $AC15=""),"",MAXA(IF($A15=$A$4:$A923,$AC$4:$AC923)))</f>
        <v>46080</v>
      </c>
    </row>
    <row r="16" ht="22.5" customHeight="1">
      <c r="A16" s="29" t="s">
        <v>192</v>
      </c>
      <c r="B16" s="68" t="str">
        <f t="shared" si="1"/>
        <v>MULTA COERCITIVA - 9/CÓDIGO DE EXPEDIENTE INVÁLIDO</v>
      </c>
      <c r="C16" s="69" t="s">
        <v>145</v>
      </c>
      <c r="D16" s="70" t="str">
        <f t="shared" si="2"/>
        <v>EN ETAPA DE COBRANZA</v>
      </c>
      <c r="E16" s="29">
        <v>9.0</v>
      </c>
      <c r="F16" s="68" t="str">
        <f t="array" ref="F16">IF($A16="","",IFERROR(INDEX(MA_INDIVIDUALES!C$2:C923, MATCH($A16,MA_INDIVIDUALES!$B$2:$B923,0),1),"CÓDIGO DE EXPEDIENTE INVÁLIDO"))</f>
        <v>CÓDIGO DE EXPEDIENTE INVÁLIDO</v>
      </c>
      <c r="G16" s="68" t="str">
        <f t="array" ref="G16">IF($A16="","",IFERROR(INDEX(MA_INDIVIDUALES!K$2:K923, MATCH($A16,MA_INDIVIDUALES!$B$2:$B923,0),1),"CÓDIGO DE EXPEDIENTE INVÁLIDO"))</f>
        <v>CÓDIGO DE EXPEDIENTE INVÁLIDO</v>
      </c>
      <c r="H16" s="68" t="str">
        <f t="array" ref="H16">IF($A16="","",IFERROR(INDEX(MA_INDIVIDUALES!L$2:L923, MATCH($A16,MA_INDIVIDUALES!$B$2:$B923,0),1),"CÓDIGO DE EXPEDIENTE INVÁLIDO"))</f>
        <v>CÓDIGO DE EXPEDIENTE INVÁLIDO</v>
      </c>
      <c r="I16" s="29" t="s">
        <v>219</v>
      </c>
      <c r="J16" s="29" t="s">
        <v>220</v>
      </c>
      <c r="K16" s="73">
        <v>45684.0</v>
      </c>
      <c r="L16" s="74">
        <f>IF(A16="","",IF(K16="","",_xlfn.WORKDAY.INTL(K16,5,1,FERIADOS)))</f>
        <v>45691</v>
      </c>
      <c r="M16" s="29" t="s">
        <v>151</v>
      </c>
      <c r="N16" s="75"/>
      <c r="O16" s="76"/>
      <c r="P16" s="77" t="str">
        <f t="shared" si="3"/>
        <v>NO PRESENTÓ DESCARGOS</v>
      </c>
      <c r="Q16" s="75"/>
      <c r="R16" s="76"/>
      <c r="S16" s="75"/>
      <c r="T16" s="75"/>
      <c r="U16" s="29" t="s">
        <v>152</v>
      </c>
      <c r="V16" s="76"/>
      <c r="W16" s="75"/>
      <c r="X16" s="76"/>
      <c r="Y16" s="29" t="str">
        <f t="shared" si="4"/>
        <v>ELABORAR MC</v>
      </c>
      <c r="Z16" s="29" t="str">
        <f t="shared" si="5"/>
        <v>SIN REGISTRO DE ETAPAS</v>
      </c>
      <c r="AA16" s="29" t="s">
        <v>219</v>
      </c>
      <c r="AB16" s="29" t="s">
        <v>221</v>
      </c>
      <c r="AC16" s="73">
        <v>46080.0</v>
      </c>
      <c r="AD16" s="73">
        <v>46080.0</v>
      </c>
      <c r="AE16" s="78">
        <f>IF(U16="","",IF(AD16="","",_xlfn.WORKDAY.INTL(AD16,7,1,FERIADOS)))</f>
        <v>46091</v>
      </c>
      <c r="AF16" s="79">
        <v>1.0</v>
      </c>
      <c r="AG16" s="80" t="str">
        <f t="array" ref="AG16">IF(A16="","",IF(AF16="","",AF16*INDEX(PARAMETROS!F$2:F1079,MATCH(YEAR(AC16),PARAMETROS!E$2:E1079,0),1)))</f>
        <v>#N/A</v>
      </c>
      <c r="AH16" s="81"/>
      <c r="AI16" s="82"/>
      <c r="AJ16" s="81"/>
      <c r="AK16" s="81"/>
      <c r="AL16" s="29" t="s">
        <v>154</v>
      </c>
      <c r="AM16" s="75"/>
      <c r="AN16" s="76"/>
      <c r="AO16" s="95"/>
      <c r="AP16" s="96"/>
      <c r="AQ16" s="85" t="str">
        <f t="shared" si="6"/>
        <v>NO PAGÓ MULTA</v>
      </c>
      <c r="AR16" s="86">
        <f t="array" ref="AR16">IF(A16="","",IFERROR(INDEX('2) Etapas'!L$3:L923,MATCH(B16,'2) Etapas'!$A$4:$A923,0),1),-1))</f>
        <v>-1</v>
      </c>
      <c r="AS16" s="87" t="str">
        <f t="shared" si="7"/>
        <v>0223-2022-ACTA 0003-3-CAGR</v>
      </c>
      <c r="AT16" s="87" t="str">
        <f t="shared" si="8"/>
        <v>MULTA IMPUESTA</v>
      </c>
      <c r="AU16" s="87" t="str">
        <f t="shared" si="9"/>
        <v>00009-2026-OEFA/DSAP</v>
      </c>
      <c r="AV16" s="89">
        <f t="array" ref="AV16">IF(OR($A16="",$AB16="", $AC16=""),"",MAXA(IF($A16=$A$4:$A923,$AC$4:$AC923)))</f>
        <v>46080</v>
      </c>
    </row>
    <row r="17" ht="22.5" customHeight="1">
      <c r="A17" s="29" t="s">
        <v>223</v>
      </c>
      <c r="B17" s="68" t="str">
        <f t="shared" si="1"/>
        <v>MULTA COERCITIVA - 10/CÓDIGO DE EXPEDIENTE INVÁLIDO</v>
      </c>
      <c r="C17" s="69" t="s">
        <v>67</v>
      </c>
      <c r="D17" s="70" t="str">
        <f t="shared" si="2"/>
        <v>EN ETAPA DE COBRANZA</v>
      </c>
      <c r="E17" s="29">
        <v>10.0</v>
      </c>
      <c r="F17" s="68" t="str">
        <f t="array" ref="F17">IF($A17="","",IFERROR(INDEX(MA_INDIVIDUALES!C$2:C923, MATCH($A17,MA_INDIVIDUALES!$B$2:$B923,0),1),"CÓDIGO DE EXPEDIENTE INVÁLIDO"))</f>
        <v>CÓDIGO DE EXPEDIENTE INVÁLIDO</v>
      </c>
      <c r="G17" s="68" t="str">
        <f t="array" ref="G17">IF($A17="","",IFERROR(INDEX(MA_INDIVIDUALES!K$2:K923, MATCH($A17,MA_INDIVIDUALES!$B$2:$B923,0),1),"CÓDIGO DE EXPEDIENTE INVÁLIDO"))</f>
        <v>CÓDIGO DE EXPEDIENTE INVÁLIDO</v>
      </c>
      <c r="H17" s="68" t="str">
        <f t="array" ref="H17">IF($A17="","",IFERROR(INDEX(MA_INDIVIDUALES!L$2:L923, MATCH($A17,MA_INDIVIDUALES!$B$2:$B923,0),1),"CÓDIGO DE EXPEDIENTE INVÁLIDO"))</f>
        <v>CÓDIGO DE EXPEDIENTE INVÁLIDO</v>
      </c>
      <c r="I17" s="29" t="s">
        <v>224</v>
      </c>
      <c r="J17" s="29" t="s">
        <v>225</v>
      </c>
      <c r="K17" s="73">
        <v>46056.0</v>
      </c>
      <c r="L17" s="74">
        <f>IF(A17="","",IF(K17="","",_xlfn.WORKDAY.INTL(K17,5,1,FERIADOS)))</f>
        <v>46063</v>
      </c>
      <c r="M17" s="29" t="s">
        <v>151</v>
      </c>
      <c r="N17" s="75"/>
      <c r="O17" s="76"/>
      <c r="P17" s="77" t="str">
        <f t="shared" si="3"/>
        <v>NO PRESENTÓ DESCARGOS</v>
      </c>
      <c r="Q17" s="75"/>
      <c r="R17" s="76"/>
      <c r="S17" s="75"/>
      <c r="T17" s="75"/>
      <c r="U17" s="29" t="s">
        <v>152</v>
      </c>
      <c r="V17" s="76"/>
      <c r="W17" s="75"/>
      <c r="X17" s="76"/>
      <c r="Y17" s="29" t="str">
        <f t="shared" si="4"/>
        <v>ELABORAR MC</v>
      </c>
      <c r="Z17" s="29" t="str">
        <f t="shared" si="5"/>
        <v>SIN REGISTRO DE ETAPAS</v>
      </c>
      <c r="AA17" s="29" t="s">
        <v>224</v>
      </c>
      <c r="AB17" s="29" t="s">
        <v>226</v>
      </c>
      <c r="AC17" s="73">
        <v>46087.0</v>
      </c>
      <c r="AD17" s="73">
        <v>46090.0</v>
      </c>
      <c r="AE17" s="78">
        <f>IF(U17="","",IF(AD17="","",_xlfn.WORKDAY.INTL(AD17,7,1,FERIADOS)))</f>
        <v>46099</v>
      </c>
      <c r="AF17" s="79">
        <v>2.75</v>
      </c>
      <c r="AG17" s="80" t="str">
        <f t="array" ref="AG17">IF(A17="","",IF(AF17="","",AF17*INDEX(PARAMETROS!F$2:F1080,MATCH(YEAR(AC17),PARAMETROS!E$2:E1080,0),1)))</f>
        <v>#N/A</v>
      </c>
      <c r="AH17" s="81"/>
      <c r="AI17" s="82"/>
      <c r="AJ17" s="81"/>
      <c r="AK17" s="81"/>
      <c r="AL17" s="29" t="s">
        <v>154</v>
      </c>
      <c r="AM17" s="75"/>
      <c r="AN17" s="29" t="s">
        <v>227</v>
      </c>
      <c r="AO17" s="83">
        <v>46139.0</v>
      </c>
      <c r="AP17" s="84" t="s">
        <v>228</v>
      </c>
      <c r="AQ17" s="85" t="str">
        <f t="shared" si="6"/>
        <v>NO PAGÓ MULTA</v>
      </c>
      <c r="AR17" s="86">
        <f t="array" ref="AR17">IF(A17="","",IFERROR(INDEX('2) Etapas'!L$3:L923,MATCH(B17,'2) Etapas'!$A$4:$A923,0),1),-1))</f>
        <v>-1</v>
      </c>
      <c r="AS17" s="87" t="str">
        <f t="shared" si="7"/>
        <v>0033-2024-0037-2025-1-CAGR</v>
      </c>
      <c r="AT17" s="87" t="str">
        <f t="shared" si="8"/>
        <v>MULTA IMPUESTA</v>
      </c>
      <c r="AU17" s="87" t="str">
        <f t="shared" si="9"/>
        <v>00010-2026-OEFA/DSAP</v>
      </c>
      <c r="AV17" s="89">
        <f t="array" ref="AV17">IF(OR($A17="",$AB17="", $AC17=""),"",MAXA(IF($A17=$A$4:$A923,$AC$4:$AC923)))</f>
        <v>46087</v>
      </c>
    </row>
    <row r="18" ht="22.5" customHeight="1">
      <c r="A18" s="29" t="s">
        <v>229</v>
      </c>
      <c r="B18" s="68" t="str">
        <f t="shared" si="1"/>
        <v>MULTA COERCITIVA - 10/CÓDIGO DE EXPEDIENTE INVÁLIDO</v>
      </c>
      <c r="C18" s="69" t="s">
        <v>67</v>
      </c>
      <c r="D18" s="70" t="str">
        <f t="shared" si="2"/>
        <v>EN ETAPA DE COBRANZA</v>
      </c>
      <c r="E18" s="29">
        <v>10.0</v>
      </c>
      <c r="F18" s="68" t="str">
        <f t="array" ref="F18">IF($A18="","",IFERROR(INDEX(MA_INDIVIDUALES!C$2:C923, MATCH($A18,MA_INDIVIDUALES!$B$2:$B923,0),1),"CÓDIGO DE EXPEDIENTE INVÁLIDO"))</f>
        <v>CÓDIGO DE EXPEDIENTE INVÁLIDO</v>
      </c>
      <c r="G18" s="68" t="str">
        <f t="array" ref="G18">IF($A18="","",IFERROR(INDEX(MA_INDIVIDUALES!K$2:K923, MATCH($A18,MA_INDIVIDUALES!$B$2:$B923,0),1),"CÓDIGO DE EXPEDIENTE INVÁLIDO"))</f>
        <v>CÓDIGO DE EXPEDIENTE INVÁLIDO</v>
      </c>
      <c r="H18" s="68" t="str">
        <f t="array" ref="H18">IF($A18="","",IFERROR(INDEX(MA_INDIVIDUALES!L$2:L923, MATCH($A18,MA_INDIVIDUALES!$B$2:$B923,0),1),"CÓDIGO DE EXPEDIENTE INVÁLIDO"))</f>
        <v>CÓDIGO DE EXPEDIENTE INVÁLIDO</v>
      </c>
      <c r="I18" s="29" t="s">
        <v>224</v>
      </c>
      <c r="J18" s="29" t="s">
        <v>225</v>
      </c>
      <c r="K18" s="73">
        <v>46056.0</v>
      </c>
      <c r="L18" s="74">
        <f>IF(A18="","",IF(K18="","",_xlfn.WORKDAY.INTL(K18,5,1,FERIADOS)))</f>
        <v>46063</v>
      </c>
      <c r="M18" s="29" t="s">
        <v>151</v>
      </c>
      <c r="N18" s="75"/>
      <c r="O18" s="76"/>
      <c r="P18" s="77" t="str">
        <f t="shared" si="3"/>
        <v>NO PRESENTÓ DESCARGOS</v>
      </c>
      <c r="Q18" s="75"/>
      <c r="R18" s="76"/>
      <c r="S18" s="75"/>
      <c r="T18" s="75"/>
      <c r="U18" s="29" t="s">
        <v>152</v>
      </c>
      <c r="V18" s="76"/>
      <c r="W18" s="75"/>
      <c r="X18" s="76"/>
      <c r="Y18" s="29" t="str">
        <f t="shared" si="4"/>
        <v>ELABORAR MC</v>
      </c>
      <c r="Z18" s="29" t="str">
        <f t="shared" si="5"/>
        <v>SIN REGISTRO DE ETAPAS</v>
      </c>
      <c r="AA18" s="29" t="s">
        <v>224</v>
      </c>
      <c r="AB18" s="29" t="s">
        <v>226</v>
      </c>
      <c r="AC18" s="73">
        <v>46087.0</v>
      </c>
      <c r="AD18" s="73">
        <v>46090.0</v>
      </c>
      <c r="AE18" s="78">
        <f>IF(U18="","",IF(AD18="","",_xlfn.WORKDAY.INTL(AD18,7,1,FERIADOS)))</f>
        <v>46099</v>
      </c>
      <c r="AF18" s="79">
        <v>2.75</v>
      </c>
      <c r="AG18" s="80" t="str">
        <f t="array" ref="AG18">IF(A18="","",IF(AF18="","",AF18*INDEX(PARAMETROS!F$2:F1081,MATCH(YEAR(AC18),PARAMETROS!E$2:E1081,0),1)))</f>
        <v>#N/A</v>
      </c>
      <c r="AH18" s="81"/>
      <c r="AI18" s="82"/>
      <c r="AJ18" s="81"/>
      <c r="AK18" s="81"/>
      <c r="AL18" s="29" t="s">
        <v>154</v>
      </c>
      <c r="AM18" s="75"/>
      <c r="AN18" s="29" t="s">
        <v>227</v>
      </c>
      <c r="AO18" s="83">
        <v>46139.0</v>
      </c>
      <c r="AP18" s="84" t="s">
        <v>228</v>
      </c>
      <c r="AQ18" s="85" t="str">
        <f t="shared" si="6"/>
        <v>NO PAGÓ MULTA</v>
      </c>
      <c r="AR18" s="86">
        <f t="array" ref="AR18">IF(A18="","",IFERROR(INDEX('2) Etapas'!L$3:L923,MATCH(B18,'2) Etapas'!$A$4:$A923,0),1),-1))</f>
        <v>-1</v>
      </c>
      <c r="AS18" s="87" t="str">
        <f t="shared" si="7"/>
        <v>0033-2024-0037-2025-2-CAGR</v>
      </c>
      <c r="AT18" s="87" t="str">
        <f t="shared" si="8"/>
        <v>MULTA IMPUESTA</v>
      </c>
      <c r="AU18" s="87" t="str">
        <f t="shared" si="9"/>
        <v>00010-2026-OEFA/DSAP</v>
      </c>
      <c r="AV18" s="89">
        <f t="array" ref="AV18">IF(OR($A18="",$AB18="", $AC18=""),"",MAXA(IF($A18=$A$4:$A923,$AC$4:$AC923)))</f>
        <v>46087</v>
      </c>
    </row>
    <row r="19" ht="22.5" customHeight="1">
      <c r="A19" s="29" t="s">
        <v>213</v>
      </c>
      <c r="B19" s="68" t="str">
        <f t="shared" si="1"/>
        <v>MULTA COERCITIVA - 11/CÓDIGO DE EXPEDIENTE INVÁLIDO</v>
      </c>
      <c r="C19" s="69" t="s">
        <v>193</v>
      </c>
      <c r="D19" s="70" t="str">
        <f t="shared" si="2"/>
        <v>EN ETAPA DE COBRANZA</v>
      </c>
      <c r="E19" s="29">
        <v>11.0</v>
      </c>
      <c r="F19" s="68" t="str">
        <f t="array" ref="F19">IF($A19="","",IFERROR(INDEX(MA_INDIVIDUALES!C$2:C923, MATCH($A19,MA_INDIVIDUALES!$B$2:$B923,0),1),"CÓDIGO DE EXPEDIENTE INVÁLIDO"))</f>
        <v>CÓDIGO DE EXPEDIENTE INVÁLIDO</v>
      </c>
      <c r="G19" s="68" t="str">
        <f t="array" ref="G19">IF($A19="","",IFERROR(INDEX(MA_INDIVIDUALES!K$2:K923, MATCH($A19,MA_INDIVIDUALES!$B$2:$B923,0),1),"CÓDIGO DE EXPEDIENTE INVÁLIDO"))</f>
        <v>CÓDIGO DE EXPEDIENTE INVÁLIDO</v>
      </c>
      <c r="H19" s="68" t="str">
        <f t="array" ref="H19">IF($A19="","",IFERROR(INDEX(MA_INDIVIDUALES!L$2:L923, MATCH($A19,MA_INDIVIDUALES!$B$2:$B923,0),1),"CÓDIGO DE EXPEDIENTE INVÁLIDO"))</f>
        <v>CÓDIGO DE EXPEDIENTE INVÁLIDO</v>
      </c>
      <c r="I19" s="29" t="s">
        <v>214</v>
      </c>
      <c r="J19" s="29" t="s">
        <v>230</v>
      </c>
      <c r="K19" s="73">
        <v>46182.0</v>
      </c>
      <c r="L19" s="74">
        <f>IF(A19="","",IF(K19="","",_xlfn.WORKDAY.INTL(K19,5,1,FERIADOS)))</f>
        <v>46189</v>
      </c>
      <c r="M19" s="29" t="s">
        <v>151</v>
      </c>
      <c r="N19" s="75"/>
      <c r="O19" s="76"/>
      <c r="P19" s="77" t="str">
        <f t="shared" si="3"/>
        <v>NO PRESENTÓ DESCARGOS</v>
      </c>
      <c r="Q19" s="75"/>
      <c r="R19" s="76"/>
      <c r="S19" s="75"/>
      <c r="T19" s="75"/>
      <c r="U19" s="29" t="s">
        <v>152</v>
      </c>
      <c r="V19" s="76"/>
      <c r="W19" s="75"/>
      <c r="X19" s="76"/>
      <c r="Y19" s="29" t="str">
        <f t="shared" si="4"/>
        <v>ELABORAR MC</v>
      </c>
      <c r="Z19" s="29" t="str">
        <f t="shared" si="5"/>
        <v>SIN REGISTRO DE ETAPAS</v>
      </c>
      <c r="AA19" s="29" t="s">
        <v>214</v>
      </c>
      <c r="AB19" s="29" t="s">
        <v>231</v>
      </c>
      <c r="AC19" s="73">
        <v>46203.0</v>
      </c>
      <c r="AD19" s="73">
        <v>46203.0</v>
      </c>
      <c r="AE19" s="78">
        <f>IF(U19="","",IF(AD19="","",_xlfn.WORKDAY.INTL(AD19,7,1,FERIADOS)))</f>
        <v>46212</v>
      </c>
      <c r="AF19" s="79">
        <v>5.425</v>
      </c>
      <c r="AG19" s="80" t="str">
        <f t="array" ref="AG19">IF(A19="","",IF(AF19="","",AF19*INDEX(PARAMETROS!F$2:F1082,MATCH(YEAR(AC19),PARAMETROS!E$2:E1082,0),1)))</f>
        <v>#N/A</v>
      </c>
      <c r="AH19" s="81"/>
      <c r="AI19" s="82"/>
      <c r="AJ19" s="81"/>
      <c r="AK19" s="81"/>
      <c r="AL19" s="29" t="s">
        <v>232</v>
      </c>
      <c r="AM19" s="75"/>
      <c r="AN19" s="76"/>
      <c r="AO19" s="95"/>
      <c r="AP19" s="96"/>
      <c r="AQ19" s="85" t="str">
        <f t="shared" si="6"/>
        <v>EN PROCESO</v>
      </c>
      <c r="AR19" s="86">
        <f t="array" ref="AR19">IF(A19="","",IFERROR(INDEX('2) Etapas'!L$3:L923,MATCH(B19,'2) Etapas'!$A$4:$A923,0),1),-1))</f>
        <v>-1</v>
      </c>
      <c r="AS19" s="87" t="str">
        <f t="shared" si="7"/>
        <v>0184-2024-0019-2025-1-CAGR</v>
      </c>
      <c r="AT19" s="87" t="str">
        <f t="shared" si="8"/>
        <v>MULTA IMPUESTA</v>
      </c>
      <c r="AU19" s="87" t="str">
        <f t="shared" si="9"/>
        <v>0016-2026-OEFA/DSAP</v>
      </c>
      <c r="AV19" s="89">
        <f t="array" ref="AV19">IF(OR($A19="",$AB19="", $AC19=""),"",MAXA(IF($A19=$A$4:$A923,$AC$4:$AC923)))</f>
        <v>46203</v>
      </c>
    </row>
    <row r="20" ht="22.5" customHeight="1">
      <c r="A20" s="29"/>
      <c r="B20" s="68" t="str">
        <f t="shared" si="1"/>
        <v/>
      </c>
      <c r="C20" s="69"/>
      <c r="D20" s="70" t="str">
        <f t="shared" si="2"/>
        <v/>
      </c>
      <c r="E20" s="29"/>
      <c r="F20" s="68" t="str">
        <f t="array" ref="F20">IF($A20="","",IFERROR(INDEX(MA_INDIVIDUALES!C$2:C923, MATCH($A20,MA_INDIVIDUALES!$B$2:$B923,0),1),"CÓDIGO DE EXPEDIENTE INVÁLIDO"))</f>
        <v/>
      </c>
      <c r="G20" s="68" t="str">
        <f t="array" ref="G20">IF($A20="","",IFERROR(INDEX(MA_INDIVIDUALES!K$2:K923, MATCH($A20,MA_INDIVIDUALES!$B$2:$B923,0),1),"CÓDIGO DE EXPEDIENTE INVÁLIDO"))</f>
        <v/>
      </c>
      <c r="H20" s="68" t="str">
        <f t="array" ref="H20">IF($A20="","",IFERROR(INDEX(MA_INDIVIDUALES!L$2:L923, MATCH($A20,MA_INDIVIDUALES!$B$2:$B923,0),1),"CÓDIGO DE EXPEDIENTE INVÁLIDO"))</f>
        <v/>
      </c>
      <c r="I20" s="76"/>
      <c r="J20" s="29"/>
      <c r="K20" s="73"/>
      <c r="L20" s="74" t="str">
        <f>IF(A20="","",IF(K20="","",_xlfn.WORKDAY.INTL(K20,5,1,FERIADOS)))</f>
        <v/>
      </c>
      <c r="M20" s="76"/>
      <c r="N20" s="75"/>
      <c r="O20" s="76"/>
      <c r="P20" s="77" t="str">
        <f t="shared" si="3"/>
        <v/>
      </c>
      <c r="Q20" s="75"/>
      <c r="R20" s="76"/>
      <c r="S20" s="75"/>
      <c r="T20" s="75"/>
      <c r="U20" s="29"/>
      <c r="V20" s="76"/>
      <c r="W20" s="75"/>
      <c r="X20" s="76"/>
      <c r="Y20" s="29" t="str">
        <f t="shared" si="4"/>
        <v/>
      </c>
      <c r="Z20" s="29" t="str">
        <f t="shared" si="5"/>
        <v/>
      </c>
      <c r="AA20" s="76"/>
      <c r="AB20" s="29"/>
      <c r="AC20" s="73"/>
      <c r="AD20" s="73"/>
      <c r="AE20" s="78" t="str">
        <f>IF(U20="","",IF(AD20="","",_xlfn.WORKDAY.INTL(AD20,7,1,FERIADOS)))</f>
        <v/>
      </c>
      <c r="AF20" s="79"/>
      <c r="AG20" s="80" t="str">
        <f t="array" ref="AG20">IF(A20="","",IF(AF20="","",AF20*INDEX(PARAMETROS!F$2:F1083,MATCH(YEAR(AC20),PARAMETROS!E$2:E1083,0),1)))</f>
        <v/>
      </c>
      <c r="AH20" s="81"/>
      <c r="AI20" s="82"/>
      <c r="AJ20" s="81"/>
      <c r="AK20" s="81"/>
      <c r="AL20" s="29"/>
      <c r="AM20" s="75"/>
      <c r="AN20" s="76"/>
      <c r="AO20" s="95"/>
      <c r="AP20" s="96"/>
      <c r="AQ20" s="85" t="str">
        <f t="shared" si="6"/>
        <v/>
      </c>
      <c r="AR20" s="86" t="str">
        <f t="array" ref="AR20">IF(A20="","",IFERROR(INDEX('2) Etapas'!L$3:L923,MATCH(B20,'2) Etapas'!$A$4:$A923,0),1),-1))</f>
        <v/>
      </c>
      <c r="AS20" s="87" t="str">
        <f t="shared" si="7"/>
        <v/>
      </c>
      <c r="AT20" s="87" t="str">
        <f t="shared" si="8"/>
        <v/>
      </c>
      <c r="AU20" s="87" t="str">
        <f t="shared" si="9"/>
        <v/>
      </c>
      <c r="AV20" s="89" t="str">
        <f t="array" ref="AV20">IF(OR($A20="",$AB20="", $AC20=""),"",MAXA(IF($A20=$A$4:$A923,$AC$4:$AC923)))</f>
        <v/>
      </c>
    </row>
    <row r="21" ht="22.5" customHeight="1">
      <c r="A21" s="29"/>
      <c r="B21" s="68" t="str">
        <f t="shared" si="1"/>
        <v/>
      </c>
      <c r="C21" s="69"/>
      <c r="D21" s="70" t="str">
        <f t="shared" si="2"/>
        <v/>
      </c>
      <c r="E21" s="29"/>
      <c r="F21" s="68" t="str">
        <f t="array" ref="F21">IF($A21="","",IFERROR(INDEX(MA_INDIVIDUALES!C$2:C923, MATCH($A21,MA_INDIVIDUALES!$B$2:$B923,0),1),"CÓDIGO DE EXPEDIENTE INVÁLIDO"))</f>
        <v/>
      </c>
      <c r="G21" s="68" t="str">
        <f t="array" ref="G21">IF($A21="","",IFERROR(INDEX(MA_INDIVIDUALES!K$2:K923, MATCH($A21,MA_INDIVIDUALES!$B$2:$B923,0),1),"CÓDIGO DE EXPEDIENTE INVÁLIDO"))</f>
        <v/>
      </c>
      <c r="H21" s="68" t="str">
        <f t="array" ref="H21">IF($A21="","",IFERROR(INDEX(MA_INDIVIDUALES!L$2:L923, MATCH($A21,MA_INDIVIDUALES!$B$2:$B923,0),1),"CÓDIGO DE EXPEDIENTE INVÁLIDO"))</f>
        <v/>
      </c>
      <c r="I21" s="76"/>
      <c r="J21" s="29"/>
      <c r="K21" s="73"/>
      <c r="L21" s="74" t="str">
        <f>IF(A21="","",IF(K21="","",_xlfn.WORKDAY.INTL(K21,5,1,FERIADOS)))</f>
        <v/>
      </c>
      <c r="M21" s="76"/>
      <c r="N21" s="75"/>
      <c r="O21" s="76"/>
      <c r="P21" s="77" t="str">
        <f t="shared" si="3"/>
        <v/>
      </c>
      <c r="Q21" s="75"/>
      <c r="R21" s="76"/>
      <c r="S21" s="75"/>
      <c r="T21" s="75"/>
      <c r="U21" s="29"/>
      <c r="V21" s="76"/>
      <c r="W21" s="75"/>
      <c r="X21" s="76"/>
      <c r="Y21" s="29" t="str">
        <f t="shared" si="4"/>
        <v/>
      </c>
      <c r="Z21" s="29" t="str">
        <f t="shared" si="5"/>
        <v/>
      </c>
      <c r="AA21" s="76"/>
      <c r="AB21" s="29"/>
      <c r="AC21" s="73"/>
      <c r="AD21" s="73"/>
      <c r="AE21" s="78" t="str">
        <f>IF(U21="","",IF(AD21="","",_xlfn.WORKDAY.INTL(AD21,7,1,FERIADOS)))</f>
        <v/>
      </c>
      <c r="AF21" s="79"/>
      <c r="AG21" s="80" t="str">
        <f t="array" ref="AG21">IF(A21="","",IF(AF21="","",AF21*INDEX(PARAMETROS!F$2:F1084,MATCH(YEAR(AC21),PARAMETROS!E$2:E1084,0),1)))</f>
        <v/>
      </c>
      <c r="AH21" s="81"/>
      <c r="AI21" s="82"/>
      <c r="AJ21" s="81"/>
      <c r="AK21" s="81"/>
      <c r="AL21" s="29"/>
      <c r="AM21" s="75"/>
      <c r="AN21" s="76"/>
      <c r="AO21" s="95"/>
      <c r="AP21" s="96"/>
      <c r="AQ21" s="85" t="str">
        <f t="shared" si="6"/>
        <v/>
      </c>
      <c r="AR21" s="86" t="str">
        <f t="array" ref="AR21">IF(A21="","",IFERROR(INDEX('2) Etapas'!L$3:L923,MATCH(B21,'2) Etapas'!$A$4:$A923,0),1),-1))</f>
        <v/>
      </c>
      <c r="AS21" s="87" t="str">
        <f t="shared" si="7"/>
        <v/>
      </c>
      <c r="AT21" s="87" t="str">
        <f t="shared" si="8"/>
        <v/>
      </c>
      <c r="AU21" s="87" t="str">
        <f t="shared" si="9"/>
        <v/>
      </c>
      <c r="AV21" s="89" t="str">
        <f t="array" ref="AV21">IF(OR($A21="",$AB21="", $AC21=""),"",MAXA(IF($A21=$A$4:$A923,$AC$4:$AC923)))</f>
        <v/>
      </c>
    </row>
    <row r="22" ht="22.5" customHeight="1">
      <c r="A22" s="29"/>
      <c r="B22" s="68" t="str">
        <f t="shared" si="1"/>
        <v/>
      </c>
      <c r="C22" s="69"/>
      <c r="D22" s="70" t="str">
        <f t="shared" si="2"/>
        <v/>
      </c>
      <c r="E22" s="29"/>
      <c r="F22" s="68" t="str">
        <f t="array" ref="F22">IF($A22="","",IFERROR(INDEX(MA_INDIVIDUALES!C$2:C923, MATCH($A22,MA_INDIVIDUALES!$B$2:$B923,0),1),"CÓDIGO DE EXPEDIENTE INVÁLIDO"))</f>
        <v/>
      </c>
      <c r="G22" s="68" t="str">
        <f t="array" ref="G22">IF($A22="","",IFERROR(INDEX(MA_INDIVIDUALES!K$2:K923, MATCH($A22,MA_INDIVIDUALES!$B$2:$B923,0),1),"CÓDIGO DE EXPEDIENTE INVÁLIDO"))</f>
        <v/>
      </c>
      <c r="H22" s="68" t="str">
        <f t="array" ref="H22">IF($A22="","",IFERROR(INDEX(MA_INDIVIDUALES!L$2:L923, MATCH($A22,MA_INDIVIDUALES!$B$2:$B923,0),1),"CÓDIGO DE EXPEDIENTE INVÁLIDO"))</f>
        <v/>
      </c>
      <c r="I22" s="76"/>
      <c r="J22" s="29"/>
      <c r="K22" s="73"/>
      <c r="L22" s="74" t="str">
        <f>IF(A22="","",IF(K22="","",_xlfn.WORKDAY.INTL(K22,5,1,FERIADOS)))</f>
        <v/>
      </c>
      <c r="M22" s="76"/>
      <c r="N22" s="75"/>
      <c r="O22" s="76"/>
      <c r="P22" s="77" t="str">
        <f t="shared" si="3"/>
        <v/>
      </c>
      <c r="Q22" s="75"/>
      <c r="R22" s="76"/>
      <c r="S22" s="75"/>
      <c r="T22" s="75"/>
      <c r="U22" s="29"/>
      <c r="V22" s="76"/>
      <c r="W22" s="75"/>
      <c r="X22" s="76"/>
      <c r="Y22" s="29" t="str">
        <f t="shared" si="4"/>
        <v/>
      </c>
      <c r="Z22" s="29" t="str">
        <f t="shared" si="5"/>
        <v/>
      </c>
      <c r="AA22" s="76"/>
      <c r="AB22" s="29"/>
      <c r="AC22" s="73"/>
      <c r="AD22" s="73"/>
      <c r="AE22" s="78" t="str">
        <f>IF(U22="","",IF(AD22="","",_xlfn.WORKDAY.INTL(AD22,7,1,FERIADOS)))</f>
        <v/>
      </c>
      <c r="AF22" s="79"/>
      <c r="AG22" s="80" t="str">
        <f t="array" ref="AG22">IF(A22="","",IF(AF22="","",AF22*INDEX(PARAMETROS!F$2:F1085,MATCH(YEAR(AC22),PARAMETROS!E$2:E1085,0),1)))</f>
        <v/>
      </c>
      <c r="AH22" s="81"/>
      <c r="AI22" s="82"/>
      <c r="AJ22" s="81"/>
      <c r="AK22" s="81"/>
      <c r="AL22" s="29"/>
      <c r="AM22" s="75"/>
      <c r="AN22" s="76"/>
      <c r="AO22" s="95"/>
      <c r="AP22" s="96"/>
      <c r="AQ22" s="85" t="str">
        <f t="shared" si="6"/>
        <v/>
      </c>
      <c r="AR22" s="86" t="str">
        <f t="array" ref="AR22">IF(A22="","",IFERROR(INDEX('2) Etapas'!L$3:L923,MATCH(B22,'2) Etapas'!$A$4:$A923,0),1),-1))</f>
        <v/>
      </c>
      <c r="AS22" s="87" t="str">
        <f t="shared" si="7"/>
        <v/>
      </c>
      <c r="AT22" s="87" t="str">
        <f t="shared" si="8"/>
        <v/>
      </c>
      <c r="AU22" s="87" t="str">
        <f t="shared" si="9"/>
        <v/>
      </c>
      <c r="AV22" s="89" t="str">
        <f t="array" ref="AV22">IF(OR($A22="",$AB22="", $AC22=""),"",MAXA(IF($A22=$A$4:$A923,$AC$4:$AC923)))</f>
        <v/>
      </c>
    </row>
    <row r="23" ht="22.5" customHeight="1">
      <c r="A23" s="29"/>
      <c r="B23" s="68" t="str">
        <f t="shared" si="1"/>
        <v/>
      </c>
      <c r="C23" s="69"/>
      <c r="D23" s="70" t="str">
        <f t="shared" si="2"/>
        <v/>
      </c>
      <c r="E23" s="29"/>
      <c r="F23" s="68" t="str">
        <f t="array" ref="F23">IF($A23="","",IFERROR(INDEX(MA_INDIVIDUALES!C$2:C923, MATCH($A23,MA_INDIVIDUALES!$B$2:$B923,0),1),"CÓDIGO DE EXPEDIENTE INVÁLIDO"))</f>
        <v/>
      </c>
      <c r="G23" s="68" t="str">
        <f t="array" ref="G23">IF($A23="","",IFERROR(INDEX(MA_INDIVIDUALES!K$2:K923, MATCH($A23,MA_INDIVIDUALES!$B$2:$B923,0),1),"CÓDIGO DE EXPEDIENTE INVÁLIDO"))</f>
        <v/>
      </c>
      <c r="H23" s="68" t="str">
        <f t="array" ref="H23">IF($A23="","",IFERROR(INDEX(MA_INDIVIDUALES!L$2:L923, MATCH($A23,MA_INDIVIDUALES!$B$2:$B923,0),1),"CÓDIGO DE EXPEDIENTE INVÁLIDO"))</f>
        <v/>
      </c>
      <c r="I23" s="76"/>
      <c r="J23" s="29"/>
      <c r="K23" s="73"/>
      <c r="L23" s="74" t="str">
        <f>IF(A23="","",IF(K23="","",_xlfn.WORKDAY.INTL(K23,5,1,FERIADOS)))</f>
        <v/>
      </c>
      <c r="M23" s="76"/>
      <c r="N23" s="75"/>
      <c r="O23" s="76"/>
      <c r="P23" s="77" t="str">
        <f t="shared" si="3"/>
        <v/>
      </c>
      <c r="Q23" s="75"/>
      <c r="R23" s="76"/>
      <c r="S23" s="75"/>
      <c r="T23" s="75"/>
      <c r="U23" s="29"/>
      <c r="V23" s="76"/>
      <c r="W23" s="75"/>
      <c r="X23" s="76"/>
      <c r="Y23" s="29" t="str">
        <f t="shared" si="4"/>
        <v/>
      </c>
      <c r="Z23" s="29" t="str">
        <f t="shared" si="5"/>
        <v/>
      </c>
      <c r="AA23" s="76"/>
      <c r="AB23" s="29"/>
      <c r="AC23" s="73"/>
      <c r="AD23" s="73"/>
      <c r="AE23" s="78" t="str">
        <f>IF(U23="","",IF(AD23="","",_xlfn.WORKDAY.INTL(AD23,7,1,FERIADOS)))</f>
        <v/>
      </c>
      <c r="AF23" s="79"/>
      <c r="AG23" s="80" t="str">
        <f t="array" ref="AG23">IF(A23="","",IF(AF23="","",AF23*INDEX(PARAMETROS!F$2:F1086,MATCH(YEAR(AC23),PARAMETROS!E$2:E1086,0),1)))</f>
        <v/>
      </c>
      <c r="AH23" s="81"/>
      <c r="AI23" s="82"/>
      <c r="AJ23" s="81"/>
      <c r="AK23" s="81"/>
      <c r="AL23" s="29"/>
      <c r="AM23" s="75"/>
      <c r="AN23" s="76"/>
      <c r="AO23" s="95"/>
      <c r="AP23" s="96"/>
      <c r="AQ23" s="85" t="str">
        <f t="shared" si="6"/>
        <v/>
      </c>
      <c r="AR23" s="86" t="str">
        <f t="array" ref="AR23">IF(A23="","",IFERROR(INDEX('2) Etapas'!L$3:L923,MATCH(B23,'2) Etapas'!$A$4:$A923,0),1),-1))</f>
        <v/>
      </c>
      <c r="AS23" s="87" t="str">
        <f t="shared" si="7"/>
        <v/>
      </c>
      <c r="AT23" s="87" t="str">
        <f t="shared" si="8"/>
        <v/>
      </c>
      <c r="AU23" s="87" t="str">
        <f t="shared" si="9"/>
        <v/>
      </c>
      <c r="AV23" s="89" t="str">
        <f t="array" ref="AV23">IF(OR($A23="",$AB23="", $AC23=""),"",MAXA(IF($A23=$A$4:$A923,$AC$4:$AC923)))</f>
        <v/>
      </c>
    </row>
    <row r="24" ht="22.5" customHeight="1">
      <c r="A24" s="29"/>
      <c r="B24" s="68" t="str">
        <f t="shared" si="1"/>
        <v/>
      </c>
      <c r="C24" s="69"/>
      <c r="D24" s="70" t="str">
        <f t="shared" si="2"/>
        <v/>
      </c>
      <c r="E24" s="29"/>
      <c r="F24" s="68" t="str">
        <f t="array" ref="F24">IF($A24="","",IFERROR(INDEX(MA_INDIVIDUALES!C$2:C923, MATCH($A24,MA_INDIVIDUALES!$B$2:$B923,0),1),"CÓDIGO DE EXPEDIENTE INVÁLIDO"))</f>
        <v/>
      </c>
      <c r="G24" s="68" t="str">
        <f t="array" ref="G24">IF($A24="","",IFERROR(INDEX(MA_INDIVIDUALES!K$2:K923, MATCH($A24,MA_INDIVIDUALES!$B$2:$B923,0),1),"CÓDIGO DE EXPEDIENTE INVÁLIDO"))</f>
        <v/>
      </c>
      <c r="H24" s="68" t="str">
        <f t="array" ref="H24">IF($A24="","",IFERROR(INDEX(MA_INDIVIDUALES!L$2:L923, MATCH($A24,MA_INDIVIDUALES!$B$2:$B923,0),1),"CÓDIGO DE EXPEDIENTE INVÁLIDO"))</f>
        <v/>
      </c>
      <c r="I24" s="76"/>
      <c r="J24" s="29"/>
      <c r="K24" s="73"/>
      <c r="L24" s="74" t="str">
        <f>IF(A24="","",IF(K24="","",_xlfn.WORKDAY.INTL(K24,5,1,FERIADOS)))</f>
        <v/>
      </c>
      <c r="M24" s="76"/>
      <c r="N24" s="75"/>
      <c r="O24" s="76"/>
      <c r="P24" s="77" t="str">
        <f t="shared" si="3"/>
        <v/>
      </c>
      <c r="Q24" s="75"/>
      <c r="R24" s="76"/>
      <c r="S24" s="75"/>
      <c r="T24" s="75"/>
      <c r="U24" s="29"/>
      <c r="V24" s="76"/>
      <c r="W24" s="75"/>
      <c r="X24" s="76"/>
      <c r="Y24" s="29" t="str">
        <f t="shared" si="4"/>
        <v/>
      </c>
      <c r="Z24" s="29" t="str">
        <f t="shared" si="5"/>
        <v/>
      </c>
      <c r="AA24" s="76"/>
      <c r="AB24" s="29"/>
      <c r="AC24" s="73"/>
      <c r="AD24" s="73"/>
      <c r="AE24" s="78" t="str">
        <f>IF(U24="","",IF(AD24="","",_xlfn.WORKDAY.INTL(AD24,7,1,FERIADOS)))</f>
        <v/>
      </c>
      <c r="AF24" s="79"/>
      <c r="AG24" s="80" t="str">
        <f t="array" ref="AG24">IF(A24="","",IF(AF24="","",AF24*INDEX(PARAMETROS!F$2:F1087,MATCH(YEAR(AC24),PARAMETROS!E$2:E1087,0),1)))</f>
        <v/>
      </c>
      <c r="AH24" s="81"/>
      <c r="AI24" s="82"/>
      <c r="AJ24" s="81"/>
      <c r="AK24" s="81"/>
      <c r="AL24" s="29"/>
      <c r="AM24" s="75"/>
      <c r="AN24" s="76"/>
      <c r="AO24" s="95"/>
      <c r="AP24" s="96"/>
      <c r="AQ24" s="85" t="str">
        <f t="shared" si="6"/>
        <v/>
      </c>
      <c r="AR24" s="86" t="str">
        <f t="array" ref="AR24">IF(A24="","",IFERROR(INDEX('2) Etapas'!L$3:L923,MATCH(B24,'2) Etapas'!$A$4:$A923,0),1),-1))</f>
        <v/>
      </c>
      <c r="AS24" s="87" t="str">
        <f t="shared" si="7"/>
        <v/>
      </c>
      <c r="AT24" s="87" t="str">
        <f t="shared" si="8"/>
        <v/>
      </c>
      <c r="AU24" s="87" t="str">
        <f t="shared" si="9"/>
        <v/>
      </c>
      <c r="AV24" s="89" t="str">
        <f t="array" ref="AV24">IF(OR($A24="",$AB24="", $AC24=""),"",MAXA(IF($A24=$A$4:$A923,$AC$4:$AC923)))</f>
        <v/>
      </c>
    </row>
    <row r="25" ht="22.5" customHeight="1">
      <c r="A25" s="29"/>
      <c r="B25" s="68" t="str">
        <f t="shared" si="1"/>
        <v/>
      </c>
      <c r="C25" s="69"/>
      <c r="D25" s="70" t="str">
        <f t="shared" si="2"/>
        <v/>
      </c>
      <c r="E25" s="29"/>
      <c r="F25" s="68" t="str">
        <f t="array" ref="F25">IF($A25="","",IFERROR(INDEX(MA_INDIVIDUALES!C$2:C923, MATCH($A25,MA_INDIVIDUALES!$B$2:$B923,0),1),"CÓDIGO DE EXPEDIENTE INVÁLIDO"))</f>
        <v/>
      </c>
      <c r="G25" s="68" t="str">
        <f t="array" ref="G25">IF($A25="","",IFERROR(INDEX(MA_INDIVIDUALES!K$2:K923, MATCH($A25,MA_INDIVIDUALES!$B$2:$B923,0),1),"CÓDIGO DE EXPEDIENTE INVÁLIDO"))</f>
        <v/>
      </c>
      <c r="H25" s="68" t="str">
        <f t="array" ref="H25">IF($A25="","",IFERROR(INDEX(MA_INDIVIDUALES!L$2:L923, MATCH($A25,MA_INDIVIDUALES!$B$2:$B923,0),1),"CÓDIGO DE EXPEDIENTE INVÁLIDO"))</f>
        <v/>
      </c>
      <c r="I25" s="76"/>
      <c r="J25" s="29"/>
      <c r="K25" s="73"/>
      <c r="L25" s="74" t="str">
        <f>IF(A25="","",IF(K25="","",_xlfn.WORKDAY.INTL(K25,5,1,FERIADOS)))</f>
        <v/>
      </c>
      <c r="M25" s="76"/>
      <c r="N25" s="75"/>
      <c r="O25" s="76"/>
      <c r="P25" s="77" t="str">
        <f t="shared" si="3"/>
        <v/>
      </c>
      <c r="Q25" s="75"/>
      <c r="R25" s="76"/>
      <c r="S25" s="75"/>
      <c r="T25" s="75"/>
      <c r="U25" s="29"/>
      <c r="V25" s="76"/>
      <c r="W25" s="75"/>
      <c r="X25" s="76"/>
      <c r="Y25" s="29" t="str">
        <f t="shared" si="4"/>
        <v/>
      </c>
      <c r="Z25" s="29" t="str">
        <f t="shared" si="5"/>
        <v/>
      </c>
      <c r="AA25" s="76"/>
      <c r="AB25" s="29"/>
      <c r="AC25" s="73"/>
      <c r="AD25" s="73"/>
      <c r="AE25" s="78" t="str">
        <f>IF(U25="","",IF(AD25="","",_xlfn.WORKDAY.INTL(AD25,7,1,FERIADOS)))</f>
        <v/>
      </c>
      <c r="AF25" s="79"/>
      <c r="AG25" s="80" t="str">
        <f t="array" ref="AG25">IF(A25="","",IF(AF25="","",AF25*INDEX(PARAMETROS!F$2:F1088,MATCH(YEAR(AC25),PARAMETROS!E$2:E1088,0),1)))</f>
        <v/>
      </c>
      <c r="AH25" s="81"/>
      <c r="AI25" s="82"/>
      <c r="AJ25" s="81"/>
      <c r="AK25" s="81"/>
      <c r="AL25" s="29"/>
      <c r="AM25" s="75"/>
      <c r="AN25" s="76"/>
      <c r="AO25" s="95"/>
      <c r="AP25" s="96"/>
      <c r="AQ25" s="85" t="str">
        <f t="shared" si="6"/>
        <v/>
      </c>
      <c r="AR25" s="86" t="str">
        <f t="array" ref="AR25">IF(A25="","",IFERROR(INDEX('2) Etapas'!L$3:L923,MATCH(B25,'2) Etapas'!$A$4:$A923,0),1),-1))</f>
        <v/>
      </c>
      <c r="AS25" s="87" t="str">
        <f t="shared" si="7"/>
        <v/>
      </c>
      <c r="AT25" s="87" t="str">
        <f t="shared" si="8"/>
        <v/>
      </c>
      <c r="AU25" s="87" t="str">
        <f t="shared" si="9"/>
        <v/>
      </c>
      <c r="AV25" s="89" t="str">
        <f t="array" ref="AV25">IF(OR($A25="",$AB25="", $AC25=""),"",MAXA(IF($A25=$A$4:$A923,$AC$4:$AC923)))</f>
        <v/>
      </c>
    </row>
    <row r="26" ht="22.5" customHeight="1">
      <c r="A26" s="29"/>
      <c r="B26" s="68" t="str">
        <f t="shared" si="1"/>
        <v/>
      </c>
      <c r="C26" s="69"/>
      <c r="D26" s="70" t="str">
        <f t="shared" si="2"/>
        <v/>
      </c>
      <c r="E26" s="29"/>
      <c r="F26" s="68" t="str">
        <f t="array" ref="F26">IF($A26="","",IFERROR(INDEX(MA_INDIVIDUALES!C$2:C923, MATCH($A26,MA_INDIVIDUALES!$B$2:$B923,0),1),"CÓDIGO DE EXPEDIENTE INVÁLIDO"))</f>
        <v/>
      </c>
      <c r="G26" s="68" t="str">
        <f t="array" ref="G26">IF($A26="","",IFERROR(INDEX(MA_INDIVIDUALES!K$2:K923, MATCH($A26,MA_INDIVIDUALES!$B$2:$B923,0),1),"CÓDIGO DE EXPEDIENTE INVÁLIDO"))</f>
        <v/>
      </c>
      <c r="H26" s="68" t="str">
        <f t="array" ref="H26">IF($A26="","",IFERROR(INDEX(MA_INDIVIDUALES!L$2:L923, MATCH($A26,MA_INDIVIDUALES!$B$2:$B923,0),1),"CÓDIGO DE EXPEDIENTE INVÁLIDO"))</f>
        <v/>
      </c>
      <c r="I26" s="76"/>
      <c r="J26" s="29"/>
      <c r="K26" s="73"/>
      <c r="L26" s="74" t="str">
        <f>IF(A26="","",IF(K26="","",_xlfn.WORKDAY.INTL(K26,5,1,FERIADOS)))</f>
        <v/>
      </c>
      <c r="M26" s="76"/>
      <c r="N26" s="75"/>
      <c r="O26" s="76"/>
      <c r="P26" s="77" t="str">
        <f t="shared" si="3"/>
        <v/>
      </c>
      <c r="Q26" s="75"/>
      <c r="R26" s="76"/>
      <c r="S26" s="75"/>
      <c r="T26" s="75"/>
      <c r="U26" s="29"/>
      <c r="V26" s="76"/>
      <c r="W26" s="75"/>
      <c r="X26" s="76"/>
      <c r="Y26" s="29" t="str">
        <f t="shared" si="4"/>
        <v/>
      </c>
      <c r="Z26" s="29" t="str">
        <f t="shared" si="5"/>
        <v/>
      </c>
      <c r="AA26" s="76"/>
      <c r="AB26" s="29"/>
      <c r="AC26" s="73"/>
      <c r="AD26" s="73"/>
      <c r="AE26" s="78" t="str">
        <f>IF(U26="","",IF(AD26="","",_xlfn.WORKDAY.INTL(AD26,7,1,FERIADOS)))</f>
        <v/>
      </c>
      <c r="AF26" s="79"/>
      <c r="AG26" s="80" t="str">
        <f t="array" ref="AG26">IF(A26="","",IF(AF26="","",AF26*INDEX(PARAMETROS!F$2:F1089,MATCH(YEAR(AC26),PARAMETROS!E$2:E1089,0),1)))</f>
        <v/>
      </c>
      <c r="AH26" s="81"/>
      <c r="AI26" s="82"/>
      <c r="AJ26" s="81"/>
      <c r="AK26" s="81"/>
      <c r="AL26" s="29"/>
      <c r="AM26" s="75"/>
      <c r="AN26" s="76"/>
      <c r="AO26" s="95"/>
      <c r="AP26" s="96"/>
      <c r="AQ26" s="85" t="str">
        <f t="shared" si="6"/>
        <v/>
      </c>
      <c r="AR26" s="86" t="str">
        <f t="array" ref="AR26">IF(A26="","",IFERROR(INDEX('2) Etapas'!L$3:L923,MATCH(B26,'2) Etapas'!$A$4:$A923,0),1),-1))</f>
        <v/>
      </c>
      <c r="AS26" s="87" t="str">
        <f t="shared" si="7"/>
        <v/>
      </c>
      <c r="AT26" s="87" t="str">
        <f t="shared" si="8"/>
        <v/>
      </c>
      <c r="AU26" s="87" t="str">
        <f t="shared" si="9"/>
        <v/>
      </c>
      <c r="AV26" s="89" t="str">
        <f t="array" ref="AV26">IF(OR($A26="",$AB26="", $AC26=""),"",MAXA(IF($A26=$A$4:$A923,$AC$4:$AC923)))</f>
        <v/>
      </c>
    </row>
    <row r="27" ht="22.5" customHeight="1">
      <c r="A27" s="29"/>
      <c r="B27" s="68" t="str">
        <f t="shared" si="1"/>
        <v/>
      </c>
      <c r="C27" s="69"/>
      <c r="D27" s="70" t="str">
        <f t="shared" si="2"/>
        <v/>
      </c>
      <c r="E27" s="29"/>
      <c r="F27" s="68" t="str">
        <f t="array" ref="F27">IF($A27="","",IFERROR(INDEX(MA_INDIVIDUALES!C$2:C923, MATCH($A27,MA_INDIVIDUALES!$B$2:$B923,0),1),"CÓDIGO DE EXPEDIENTE INVÁLIDO"))</f>
        <v/>
      </c>
      <c r="G27" s="68" t="str">
        <f t="array" ref="G27">IF($A27="","",IFERROR(INDEX(MA_INDIVIDUALES!K$2:K923, MATCH($A27,MA_INDIVIDUALES!$B$2:$B923,0),1),"CÓDIGO DE EXPEDIENTE INVÁLIDO"))</f>
        <v/>
      </c>
      <c r="H27" s="68" t="str">
        <f t="array" ref="H27">IF($A27="","",IFERROR(INDEX(MA_INDIVIDUALES!L$2:L923, MATCH($A27,MA_INDIVIDUALES!$B$2:$B923,0),1),"CÓDIGO DE EXPEDIENTE INVÁLIDO"))</f>
        <v/>
      </c>
      <c r="I27" s="76"/>
      <c r="J27" s="29"/>
      <c r="K27" s="73"/>
      <c r="L27" s="74" t="str">
        <f>IF(A27="","",IF(K27="","",_xlfn.WORKDAY.INTL(K27,5,1,FERIADOS)))</f>
        <v/>
      </c>
      <c r="M27" s="76"/>
      <c r="N27" s="75"/>
      <c r="O27" s="76"/>
      <c r="P27" s="77" t="str">
        <f t="shared" si="3"/>
        <v/>
      </c>
      <c r="Q27" s="75"/>
      <c r="R27" s="76"/>
      <c r="S27" s="75"/>
      <c r="T27" s="75"/>
      <c r="U27" s="29"/>
      <c r="V27" s="76"/>
      <c r="W27" s="75"/>
      <c r="X27" s="76"/>
      <c r="Y27" s="29" t="str">
        <f t="shared" si="4"/>
        <v/>
      </c>
      <c r="Z27" s="29" t="str">
        <f t="shared" si="5"/>
        <v/>
      </c>
      <c r="AA27" s="76"/>
      <c r="AB27" s="29"/>
      <c r="AC27" s="73"/>
      <c r="AD27" s="73"/>
      <c r="AE27" s="78" t="str">
        <f>IF(U27="","",IF(AD27="","",_xlfn.WORKDAY.INTL(AD27,7,1,FERIADOS)))</f>
        <v/>
      </c>
      <c r="AF27" s="79"/>
      <c r="AG27" s="80" t="str">
        <f t="array" ref="AG27">IF(A27="","",IF(AF27="","",AF27*INDEX(PARAMETROS!F$2:F1090,MATCH(YEAR(AC27),PARAMETROS!E$2:E1090,0),1)))</f>
        <v/>
      </c>
      <c r="AH27" s="81"/>
      <c r="AI27" s="82"/>
      <c r="AJ27" s="81"/>
      <c r="AK27" s="81"/>
      <c r="AL27" s="29"/>
      <c r="AM27" s="75"/>
      <c r="AN27" s="76"/>
      <c r="AO27" s="95"/>
      <c r="AP27" s="96"/>
      <c r="AQ27" s="85" t="str">
        <f t="shared" si="6"/>
        <v/>
      </c>
      <c r="AR27" s="86" t="str">
        <f t="array" ref="AR27">IF(A27="","",IFERROR(INDEX('2) Etapas'!L$3:L923,MATCH(B27,'2) Etapas'!$A$4:$A923,0),1),-1))</f>
        <v/>
      </c>
      <c r="AS27" s="87" t="str">
        <f t="shared" si="7"/>
        <v/>
      </c>
      <c r="AT27" s="87" t="str">
        <f t="shared" si="8"/>
        <v/>
      </c>
      <c r="AU27" s="87" t="str">
        <f t="shared" si="9"/>
        <v/>
      </c>
      <c r="AV27" s="89" t="str">
        <f t="array" ref="AV27">IF(OR($A27="",$AB27="", $AC27=""),"",MAXA(IF($A27=$A$4:$A923,$AC$4:$AC923)))</f>
        <v/>
      </c>
    </row>
    <row r="28" ht="22.5" customHeight="1">
      <c r="A28" s="29"/>
      <c r="B28" s="68" t="str">
        <f t="shared" si="1"/>
        <v/>
      </c>
      <c r="C28" s="69"/>
      <c r="D28" s="70" t="str">
        <f t="shared" si="2"/>
        <v/>
      </c>
      <c r="E28" s="29"/>
      <c r="F28" s="68" t="str">
        <f t="array" ref="F28">IF($A28="","",IFERROR(INDEX(MA_INDIVIDUALES!C$2:C923, MATCH($A28,MA_INDIVIDUALES!$B$2:$B923,0),1),"CÓDIGO DE EXPEDIENTE INVÁLIDO"))</f>
        <v/>
      </c>
      <c r="G28" s="68" t="str">
        <f t="array" ref="G28">IF($A28="","",IFERROR(INDEX(MA_INDIVIDUALES!K$2:K923, MATCH($A28,MA_INDIVIDUALES!$B$2:$B923,0),1),"CÓDIGO DE EXPEDIENTE INVÁLIDO"))</f>
        <v/>
      </c>
      <c r="H28" s="68" t="str">
        <f t="array" ref="H28">IF($A28="","",IFERROR(INDEX(MA_INDIVIDUALES!L$2:L923, MATCH($A28,MA_INDIVIDUALES!$B$2:$B923,0),1),"CÓDIGO DE EXPEDIENTE INVÁLIDO"))</f>
        <v/>
      </c>
      <c r="I28" s="76"/>
      <c r="J28" s="29"/>
      <c r="K28" s="73"/>
      <c r="L28" s="74" t="str">
        <f>IF(A28="","",IF(K28="","",_xlfn.WORKDAY.INTL(K28,5,1,FERIADOS)))</f>
        <v/>
      </c>
      <c r="M28" s="76"/>
      <c r="N28" s="75"/>
      <c r="O28" s="76"/>
      <c r="P28" s="77" t="str">
        <f t="shared" si="3"/>
        <v/>
      </c>
      <c r="Q28" s="75"/>
      <c r="R28" s="76"/>
      <c r="S28" s="75"/>
      <c r="T28" s="75"/>
      <c r="U28" s="29"/>
      <c r="V28" s="76"/>
      <c r="W28" s="75"/>
      <c r="X28" s="76"/>
      <c r="Y28" s="29" t="str">
        <f t="shared" si="4"/>
        <v/>
      </c>
      <c r="Z28" s="29" t="str">
        <f t="shared" si="5"/>
        <v/>
      </c>
      <c r="AA28" s="76"/>
      <c r="AB28" s="29"/>
      <c r="AC28" s="73"/>
      <c r="AD28" s="73"/>
      <c r="AE28" s="78" t="str">
        <f>IF(U28="","",IF(AD28="","",_xlfn.WORKDAY.INTL(AD28,7,1,FERIADOS)))</f>
        <v/>
      </c>
      <c r="AF28" s="79"/>
      <c r="AG28" s="80" t="str">
        <f t="array" ref="AG28">IF(A28="","",IF(AF28="","",AF28*INDEX(PARAMETROS!F$2:F1091,MATCH(YEAR(AC28),PARAMETROS!E$2:E1091,0),1)))</f>
        <v/>
      </c>
      <c r="AH28" s="81"/>
      <c r="AI28" s="82"/>
      <c r="AJ28" s="81"/>
      <c r="AK28" s="81"/>
      <c r="AL28" s="29"/>
      <c r="AM28" s="75"/>
      <c r="AN28" s="76"/>
      <c r="AO28" s="95"/>
      <c r="AP28" s="96"/>
      <c r="AQ28" s="85" t="str">
        <f t="shared" si="6"/>
        <v/>
      </c>
      <c r="AR28" s="86" t="str">
        <f t="array" ref="AR28">IF(A28="","",IFERROR(INDEX('2) Etapas'!L$3:L923,MATCH(B28,'2) Etapas'!$A$4:$A923,0),1),-1))</f>
        <v/>
      </c>
      <c r="AS28" s="87" t="str">
        <f t="shared" si="7"/>
        <v/>
      </c>
      <c r="AT28" s="87" t="str">
        <f t="shared" si="8"/>
        <v/>
      </c>
      <c r="AU28" s="87" t="str">
        <f t="shared" si="9"/>
        <v/>
      </c>
      <c r="AV28" s="89" t="str">
        <f t="array" ref="AV28">IF(OR($A28="",$AB28="", $AC28=""),"",MAXA(IF($A28=$A$4:$A923,$AC$4:$AC923)))</f>
        <v/>
      </c>
    </row>
    <row r="29" ht="22.5" customHeight="1">
      <c r="A29" s="29"/>
      <c r="B29" s="68" t="str">
        <f t="shared" si="1"/>
        <v/>
      </c>
      <c r="C29" s="69"/>
      <c r="D29" s="70" t="str">
        <f t="shared" si="2"/>
        <v/>
      </c>
      <c r="E29" s="29"/>
      <c r="F29" s="68" t="str">
        <f t="array" ref="F29">IF($A29="","",IFERROR(INDEX(MA_INDIVIDUALES!C$2:C923, MATCH($A29,MA_INDIVIDUALES!$B$2:$B923,0),1),"CÓDIGO DE EXPEDIENTE INVÁLIDO"))</f>
        <v/>
      </c>
      <c r="G29" s="68" t="str">
        <f t="array" ref="G29">IF($A29="","",IFERROR(INDEX(MA_INDIVIDUALES!K$2:K923, MATCH($A29,MA_INDIVIDUALES!$B$2:$B923,0),1),"CÓDIGO DE EXPEDIENTE INVÁLIDO"))</f>
        <v/>
      </c>
      <c r="H29" s="68" t="str">
        <f t="array" ref="H29">IF($A29="","",IFERROR(INDEX(MA_INDIVIDUALES!L$2:L923, MATCH($A29,MA_INDIVIDUALES!$B$2:$B923,0),1),"CÓDIGO DE EXPEDIENTE INVÁLIDO"))</f>
        <v/>
      </c>
      <c r="I29" s="76"/>
      <c r="J29" s="29"/>
      <c r="K29" s="73"/>
      <c r="L29" s="74" t="str">
        <f>IF(A29="","",IF(K29="","",_xlfn.WORKDAY.INTL(K29,5,1,FERIADOS)))</f>
        <v/>
      </c>
      <c r="M29" s="76"/>
      <c r="N29" s="75"/>
      <c r="O29" s="76"/>
      <c r="P29" s="77" t="str">
        <f t="shared" si="3"/>
        <v/>
      </c>
      <c r="Q29" s="75"/>
      <c r="R29" s="76"/>
      <c r="S29" s="75"/>
      <c r="T29" s="75"/>
      <c r="U29" s="29"/>
      <c r="V29" s="76"/>
      <c r="W29" s="75"/>
      <c r="X29" s="76"/>
      <c r="Y29" s="29" t="str">
        <f t="shared" si="4"/>
        <v/>
      </c>
      <c r="Z29" s="29" t="str">
        <f t="shared" si="5"/>
        <v/>
      </c>
      <c r="AA29" s="76"/>
      <c r="AB29" s="29"/>
      <c r="AC29" s="73"/>
      <c r="AD29" s="73"/>
      <c r="AE29" s="78" t="str">
        <f>IF(U29="","",IF(AD29="","",_xlfn.WORKDAY.INTL(AD29,7,1,FERIADOS)))</f>
        <v/>
      </c>
      <c r="AF29" s="79"/>
      <c r="AG29" s="80" t="str">
        <f t="array" ref="AG29">IF(A29="","",IF(AF29="","",AF29*INDEX(PARAMETROS!F$2:F1092,MATCH(YEAR(AC29),PARAMETROS!E$2:E1092,0),1)))</f>
        <v/>
      </c>
      <c r="AH29" s="81"/>
      <c r="AI29" s="82"/>
      <c r="AJ29" s="81"/>
      <c r="AK29" s="81"/>
      <c r="AL29" s="29"/>
      <c r="AM29" s="75"/>
      <c r="AN29" s="76"/>
      <c r="AO29" s="95"/>
      <c r="AP29" s="96"/>
      <c r="AQ29" s="85" t="str">
        <f t="shared" si="6"/>
        <v/>
      </c>
      <c r="AR29" s="86" t="str">
        <f t="array" ref="AR29">IF(A29="","",IFERROR(INDEX('2) Etapas'!L$3:L923,MATCH(B29,'2) Etapas'!$A$4:$A923,0),1),-1))</f>
        <v/>
      </c>
      <c r="AS29" s="87" t="str">
        <f t="shared" si="7"/>
        <v/>
      </c>
      <c r="AT29" s="87" t="str">
        <f t="shared" si="8"/>
        <v/>
      </c>
      <c r="AU29" s="87" t="str">
        <f t="shared" si="9"/>
        <v/>
      </c>
      <c r="AV29" s="89" t="str">
        <f t="array" ref="AV29">IF(OR($A29="",$AB29="", $AC29=""),"",MAXA(IF($A29=$A$4:$A923,$AC$4:$AC923)))</f>
        <v/>
      </c>
    </row>
    <row r="30" ht="22.5" customHeight="1">
      <c r="A30" s="29"/>
      <c r="B30" s="68" t="str">
        <f t="shared" si="1"/>
        <v/>
      </c>
      <c r="C30" s="69"/>
      <c r="D30" s="70" t="str">
        <f t="shared" si="2"/>
        <v/>
      </c>
      <c r="E30" s="29"/>
      <c r="F30" s="68" t="str">
        <f t="array" ref="F30">IF($A30="","",IFERROR(INDEX(MA_INDIVIDUALES!C$2:C923, MATCH($A30,MA_INDIVIDUALES!$B$2:$B923,0),1),"CÓDIGO DE EXPEDIENTE INVÁLIDO"))</f>
        <v/>
      </c>
      <c r="G30" s="68" t="str">
        <f t="array" ref="G30">IF($A30="","",IFERROR(INDEX(MA_INDIVIDUALES!K$2:K923, MATCH($A30,MA_INDIVIDUALES!$B$2:$B923,0),1),"CÓDIGO DE EXPEDIENTE INVÁLIDO"))</f>
        <v/>
      </c>
      <c r="H30" s="68" t="str">
        <f t="array" ref="H30">IF($A30="","",IFERROR(INDEX(MA_INDIVIDUALES!L$2:L923, MATCH($A30,MA_INDIVIDUALES!$B$2:$B923,0),1),"CÓDIGO DE EXPEDIENTE INVÁLIDO"))</f>
        <v/>
      </c>
      <c r="I30" s="76"/>
      <c r="J30" s="29"/>
      <c r="K30" s="73"/>
      <c r="L30" s="74" t="str">
        <f>IF(A30="","",IF(K30="","",_xlfn.WORKDAY.INTL(K30,5,1,FERIADOS)))</f>
        <v/>
      </c>
      <c r="M30" s="76"/>
      <c r="N30" s="75"/>
      <c r="O30" s="76"/>
      <c r="P30" s="77" t="str">
        <f t="shared" si="3"/>
        <v/>
      </c>
      <c r="Q30" s="75"/>
      <c r="R30" s="76"/>
      <c r="S30" s="75"/>
      <c r="T30" s="75"/>
      <c r="U30" s="29"/>
      <c r="V30" s="76"/>
      <c r="W30" s="75"/>
      <c r="X30" s="76"/>
      <c r="Y30" s="29" t="str">
        <f t="shared" si="4"/>
        <v/>
      </c>
      <c r="Z30" s="29" t="str">
        <f t="shared" si="5"/>
        <v/>
      </c>
      <c r="AA30" s="76"/>
      <c r="AB30" s="29"/>
      <c r="AC30" s="73"/>
      <c r="AD30" s="73"/>
      <c r="AE30" s="78" t="str">
        <f>IF(U30="","",IF(AD30="","",_xlfn.WORKDAY.INTL(AD30,7,1,FERIADOS)))</f>
        <v/>
      </c>
      <c r="AF30" s="79"/>
      <c r="AG30" s="80" t="str">
        <f t="array" ref="AG30">IF(A30="","",IF(AF30="","",AF30*INDEX(PARAMETROS!F$2:F1093,MATCH(YEAR(AC30),PARAMETROS!E$2:E1093,0),1)))</f>
        <v/>
      </c>
      <c r="AH30" s="81"/>
      <c r="AI30" s="82"/>
      <c r="AJ30" s="81"/>
      <c r="AK30" s="81"/>
      <c r="AL30" s="29"/>
      <c r="AM30" s="75"/>
      <c r="AN30" s="76"/>
      <c r="AO30" s="95"/>
      <c r="AP30" s="96"/>
      <c r="AQ30" s="85" t="str">
        <f t="shared" si="6"/>
        <v/>
      </c>
      <c r="AR30" s="86" t="str">
        <f t="array" ref="AR30">IF(A30="","",IFERROR(INDEX('2) Etapas'!L$3:L923,MATCH(B30,'2) Etapas'!$A$4:$A923,0),1),-1))</f>
        <v/>
      </c>
      <c r="AS30" s="87" t="str">
        <f t="shared" si="7"/>
        <v/>
      </c>
      <c r="AT30" s="87" t="str">
        <f t="shared" si="8"/>
        <v/>
      </c>
      <c r="AU30" s="87" t="str">
        <f t="shared" si="9"/>
        <v/>
      </c>
      <c r="AV30" s="89" t="str">
        <f t="array" ref="AV30">IF(OR($A30="",$AB30="", $AC30=""),"",MAXA(IF($A30=$A$4:$A923,$AC$4:$AC923)))</f>
        <v/>
      </c>
    </row>
    <row r="31" ht="22.5" customHeight="1">
      <c r="A31" s="29"/>
      <c r="B31" s="68" t="str">
        <f t="shared" si="1"/>
        <v/>
      </c>
      <c r="C31" s="69"/>
      <c r="D31" s="70" t="str">
        <f t="shared" si="2"/>
        <v/>
      </c>
      <c r="E31" s="29"/>
      <c r="F31" s="68" t="str">
        <f t="array" ref="F31">IF($A31="","",IFERROR(INDEX(MA_INDIVIDUALES!C$2:C923, MATCH($A31,MA_INDIVIDUALES!$B$2:$B923,0),1),"CÓDIGO DE EXPEDIENTE INVÁLIDO"))</f>
        <v/>
      </c>
      <c r="G31" s="68" t="str">
        <f t="array" ref="G31">IF($A31="","",IFERROR(INDEX(MA_INDIVIDUALES!K$2:K923, MATCH($A31,MA_INDIVIDUALES!$B$2:$B923,0),1),"CÓDIGO DE EXPEDIENTE INVÁLIDO"))</f>
        <v/>
      </c>
      <c r="H31" s="68" t="str">
        <f t="array" ref="H31">IF($A31="","",IFERROR(INDEX(MA_INDIVIDUALES!L$2:L923, MATCH($A31,MA_INDIVIDUALES!$B$2:$B923,0),1),"CÓDIGO DE EXPEDIENTE INVÁLIDO"))</f>
        <v/>
      </c>
      <c r="I31" s="76"/>
      <c r="J31" s="29"/>
      <c r="K31" s="73"/>
      <c r="L31" s="74" t="str">
        <f>IF(A31="","",IF(K31="","",_xlfn.WORKDAY.INTL(K31,5,1,FERIADOS)))</f>
        <v/>
      </c>
      <c r="M31" s="76"/>
      <c r="N31" s="75"/>
      <c r="O31" s="76"/>
      <c r="P31" s="77" t="str">
        <f t="shared" si="3"/>
        <v/>
      </c>
      <c r="Q31" s="75"/>
      <c r="R31" s="29"/>
      <c r="S31" s="75"/>
      <c r="T31" s="75"/>
      <c r="U31" s="29"/>
      <c r="V31" s="76"/>
      <c r="W31" s="75"/>
      <c r="X31" s="76"/>
      <c r="Y31" s="29" t="str">
        <f t="shared" si="4"/>
        <v/>
      </c>
      <c r="Z31" s="29" t="str">
        <f t="shared" si="5"/>
        <v/>
      </c>
      <c r="AA31" s="76"/>
      <c r="AB31" s="29"/>
      <c r="AC31" s="73"/>
      <c r="AD31" s="73"/>
      <c r="AE31" s="78" t="str">
        <f>IF(U31="","",IF(AD31="","",_xlfn.WORKDAY.INTL(AD31,7,1,FERIADOS)))</f>
        <v/>
      </c>
      <c r="AF31" s="79"/>
      <c r="AG31" s="80" t="str">
        <f t="array" ref="AG31">IF(A31="","",IF(AF31="","",AF31*INDEX(PARAMETROS!F$2:F1094,MATCH(YEAR(AC31),PARAMETROS!E$2:E1094,0),1)))</f>
        <v/>
      </c>
      <c r="AH31" s="81"/>
      <c r="AI31" s="82"/>
      <c r="AJ31" s="81"/>
      <c r="AK31" s="81"/>
      <c r="AL31" s="29"/>
      <c r="AM31" s="75"/>
      <c r="AN31" s="76"/>
      <c r="AO31" s="95"/>
      <c r="AP31" s="96"/>
      <c r="AQ31" s="85" t="str">
        <f t="shared" si="6"/>
        <v/>
      </c>
      <c r="AR31" s="86" t="str">
        <f t="array" ref="AR31">IF(A31="","",IFERROR(INDEX('2) Etapas'!L$3:L923,MATCH(B31,'2) Etapas'!$A$4:$A923,0),1),-1))</f>
        <v/>
      </c>
      <c r="AS31" s="87" t="str">
        <f t="shared" si="7"/>
        <v/>
      </c>
      <c r="AT31" s="87" t="str">
        <f t="shared" si="8"/>
        <v/>
      </c>
      <c r="AU31" s="87" t="str">
        <f t="shared" si="9"/>
        <v/>
      </c>
      <c r="AV31" s="89" t="str">
        <f t="array" ref="AV31">IF(OR($A31="",$AB31="", $AC31=""),"",MAXA(IF($A31=$A$4:$A923,$AC$4:$AC923)))</f>
        <v/>
      </c>
    </row>
    <row r="32" ht="22.5" customHeight="1">
      <c r="A32" s="29"/>
      <c r="B32" s="68" t="str">
        <f t="shared" si="1"/>
        <v/>
      </c>
      <c r="C32" s="69"/>
      <c r="D32" s="70" t="str">
        <f t="shared" si="2"/>
        <v/>
      </c>
      <c r="E32" s="29"/>
      <c r="F32" s="68" t="str">
        <f t="array" ref="F32">IF($A32="","",IFERROR(INDEX(MA_INDIVIDUALES!C$2:C923, MATCH($A32,MA_INDIVIDUALES!$B$2:$B923,0),1),"CÓDIGO DE EXPEDIENTE INVÁLIDO"))</f>
        <v/>
      </c>
      <c r="G32" s="68" t="str">
        <f t="array" ref="G32">IF($A32="","",IFERROR(INDEX(MA_INDIVIDUALES!K$2:K923, MATCH($A32,MA_INDIVIDUALES!$B$2:$B923,0),1),"CÓDIGO DE EXPEDIENTE INVÁLIDO"))</f>
        <v/>
      </c>
      <c r="H32" s="68" t="str">
        <f t="array" ref="H32">IF($A32="","",IFERROR(INDEX(MA_INDIVIDUALES!L$2:L923, MATCH($A32,MA_INDIVIDUALES!$B$2:$B923,0),1),"CÓDIGO DE EXPEDIENTE INVÁLIDO"))</f>
        <v/>
      </c>
      <c r="I32" s="76"/>
      <c r="J32" s="29"/>
      <c r="K32" s="73"/>
      <c r="L32" s="74" t="str">
        <f>IF(A32="","",IF(K32="","",_xlfn.WORKDAY.INTL(K32,5,1,FERIADOS)))</f>
        <v/>
      </c>
      <c r="M32" s="29"/>
      <c r="N32" s="73"/>
      <c r="O32" s="29"/>
      <c r="P32" s="77" t="str">
        <f t="shared" si="3"/>
        <v/>
      </c>
      <c r="Q32" s="75"/>
      <c r="R32" s="29"/>
      <c r="S32" s="75"/>
      <c r="T32" s="75"/>
      <c r="U32" s="29"/>
      <c r="V32" s="76"/>
      <c r="W32" s="75"/>
      <c r="X32" s="76"/>
      <c r="Y32" s="29" t="str">
        <f t="shared" si="4"/>
        <v/>
      </c>
      <c r="Z32" s="29" t="str">
        <f t="shared" si="5"/>
        <v/>
      </c>
      <c r="AA32" s="76"/>
      <c r="AB32" s="29"/>
      <c r="AC32" s="73"/>
      <c r="AD32" s="73"/>
      <c r="AE32" s="78" t="str">
        <f>IF(U32="","",IF(AD32="","",_xlfn.WORKDAY.INTL(AD32,7,1,FERIADOS)))</f>
        <v/>
      </c>
      <c r="AF32" s="79"/>
      <c r="AG32" s="80" t="str">
        <f t="array" ref="AG32">IF(A32="","",IF(AF32="","",AF32*INDEX(PARAMETROS!F$2:F1095,MATCH(YEAR(AC32),PARAMETROS!E$2:E1095,0),1)))</f>
        <v/>
      </c>
      <c r="AH32" s="81"/>
      <c r="AI32" s="82"/>
      <c r="AJ32" s="81"/>
      <c r="AK32" s="81"/>
      <c r="AL32" s="29"/>
      <c r="AM32" s="75"/>
      <c r="AN32" s="76"/>
      <c r="AO32" s="95"/>
      <c r="AP32" s="96"/>
      <c r="AQ32" s="85" t="str">
        <f t="shared" si="6"/>
        <v/>
      </c>
      <c r="AR32" s="86" t="str">
        <f t="array" ref="AR32">IF(A32="","",IFERROR(INDEX('2) Etapas'!L$3:L923,MATCH(B32,'2) Etapas'!$A$4:$A923,0),1),-1))</f>
        <v/>
      </c>
      <c r="AS32" s="87" t="str">
        <f t="shared" si="7"/>
        <v/>
      </c>
      <c r="AT32" s="87" t="str">
        <f t="shared" si="8"/>
        <v/>
      </c>
      <c r="AU32" s="87" t="str">
        <f t="shared" si="9"/>
        <v/>
      </c>
      <c r="AV32" s="89" t="str">
        <f t="array" ref="AV32">IF(OR($A32="",$AB32="", $AC32=""),"",MAXA(IF($A32=$A$4:$A923,$AC$4:$AC923)))</f>
        <v/>
      </c>
    </row>
    <row r="33" ht="22.5" customHeight="1">
      <c r="A33" s="29"/>
      <c r="B33" s="68" t="str">
        <f t="shared" si="1"/>
        <v/>
      </c>
      <c r="C33" s="69"/>
      <c r="D33" s="70" t="str">
        <f t="shared" si="2"/>
        <v/>
      </c>
      <c r="E33" s="29"/>
      <c r="F33" s="68" t="str">
        <f t="array" ref="F33">IF($A33="","",IFERROR(INDEX(MA_INDIVIDUALES!C$2:C923, MATCH($A33,MA_INDIVIDUALES!$B$2:$B923,0),1),"CÓDIGO DE EXPEDIENTE INVÁLIDO"))</f>
        <v/>
      </c>
      <c r="G33" s="68" t="str">
        <f t="array" ref="G33">IF($A33="","",IFERROR(INDEX(MA_INDIVIDUALES!K$2:K923, MATCH($A33,MA_INDIVIDUALES!$B$2:$B923,0),1),"CÓDIGO DE EXPEDIENTE INVÁLIDO"))</f>
        <v/>
      </c>
      <c r="H33" s="68" t="str">
        <f t="array" ref="H33">IF($A33="","",IFERROR(INDEX(MA_INDIVIDUALES!L$2:L923, MATCH($A33,MA_INDIVIDUALES!$B$2:$B923,0),1),"CÓDIGO DE EXPEDIENTE INVÁLIDO"))</f>
        <v/>
      </c>
      <c r="I33" s="76"/>
      <c r="J33" s="29"/>
      <c r="K33" s="73"/>
      <c r="L33" s="74" t="str">
        <f>IF(A33="","",IF(K33="","",_xlfn.WORKDAY.INTL(K33,5,1,FERIADOS)))</f>
        <v/>
      </c>
      <c r="M33" s="29"/>
      <c r="N33" s="73"/>
      <c r="O33" s="29"/>
      <c r="P33" s="77" t="str">
        <f t="shared" si="3"/>
        <v/>
      </c>
      <c r="Q33" s="75"/>
      <c r="R33" s="29"/>
      <c r="S33" s="75"/>
      <c r="T33" s="75"/>
      <c r="U33" s="29"/>
      <c r="V33" s="76"/>
      <c r="W33" s="75"/>
      <c r="X33" s="76"/>
      <c r="Y33" s="29" t="str">
        <f t="shared" si="4"/>
        <v/>
      </c>
      <c r="Z33" s="29" t="str">
        <f t="shared" si="5"/>
        <v/>
      </c>
      <c r="AA33" s="76"/>
      <c r="AB33" s="29"/>
      <c r="AC33" s="73"/>
      <c r="AD33" s="73"/>
      <c r="AE33" s="78" t="str">
        <f>IF(U33="","",IF(AD33="","",_xlfn.WORKDAY.INTL(AD33,7,1,FERIADOS)))</f>
        <v/>
      </c>
      <c r="AF33" s="79"/>
      <c r="AG33" s="80" t="str">
        <f t="array" ref="AG33">IF(A33="","",IF(AF33="","",AF33*INDEX(PARAMETROS!F$2:F1096,MATCH(YEAR(AC33),PARAMETROS!E$2:E1096,0),1)))</f>
        <v/>
      </c>
      <c r="AH33" s="81"/>
      <c r="AI33" s="82"/>
      <c r="AJ33" s="81"/>
      <c r="AK33" s="81"/>
      <c r="AL33" s="29"/>
      <c r="AM33" s="75"/>
      <c r="AN33" s="76"/>
      <c r="AO33" s="95"/>
      <c r="AP33" s="96"/>
      <c r="AQ33" s="85" t="str">
        <f t="shared" si="6"/>
        <v/>
      </c>
      <c r="AR33" s="86" t="str">
        <f t="array" ref="AR33">IF(A33="","",IFERROR(INDEX('2) Etapas'!L$3:L923,MATCH(B33,'2) Etapas'!$A$4:$A923,0),1),-1))</f>
        <v/>
      </c>
      <c r="AS33" s="87" t="str">
        <f t="shared" si="7"/>
        <v/>
      </c>
      <c r="AT33" s="87" t="str">
        <f t="shared" si="8"/>
        <v/>
      </c>
      <c r="AU33" s="87" t="str">
        <f t="shared" si="9"/>
        <v/>
      </c>
      <c r="AV33" s="89" t="str">
        <f t="array" ref="AV33">IF(OR($A33="",$AB33="", $AC33=""),"",MAXA(IF($A33=$A$4:$A923,$AC$4:$AC923)))</f>
        <v/>
      </c>
    </row>
    <row r="34" ht="22.5" customHeight="1">
      <c r="A34" s="29"/>
      <c r="B34" s="68" t="str">
        <f t="shared" si="1"/>
        <v/>
      </c>
      <c r="C34" s="69"/>
      <c r="D34" s="70" t="str">
        <f t="shared" si="2"/>
        <v/>
      </c>
      <c r="E34" s="29"/>
      <c r="F34" s="68" t="str">
        <f t="array" ref="F34">IF($A34="","",IFERROR(INDEX(MA_INDIVIDUALES!C$2:C923, MATCH($A34,MA_INDIVIDUALES!$B$2:$B923,0),1),"CÓDIGO DE EXPEDIENTE INVÁLIDO"))</f>
        <v/>
      </c>
      <c r="G34" s="68" t="str">
        <f t="array" ref="G34">IF($A34="","",IFERROR(INDEX(MA_INDIVIDUALES!K$2:K923, MATCH($A34,MA_INDIVIDUALES!$B$2:$B923,0),1),"CÓDIGO DE EXPEDIENTE INVÁLIDO"))</f>
        <v/>
      </c>
      <c r="H34" s="68" t="str">
        <f t="array" ref="H34">IF($A34="","",IFERROR(INDEX(MA_INDIVIDUALES!L$2:L923, MATCH($A34,MA_INDIVIDUALES!$B$2:$B923,0),1),"CÓDIGO DE EXPEDIENTE INVÁLIDO"))</f>
        <v/>
      </c>
      <c r="I34" s="76"/>
      <c r="J34" s="29"/>
      <c r="K34" s="73"/>
      <c r="L34" s="74" t="str">
        <f>IF(A34="","",IF(K34="","",_xlfn.WORKDAY.INTL(K34,5,1,FERIADOS)))</f>
        <v/>
      </c>
      <c r="M34" s="29"/>
      <c r="N34" s="73"/>
      <c r="O34" s="29"/>
      <c r="P34" s="77" t="str">
        <f t="shared" si="3"/>
        <v/>
      </c>
      <c r="Q34" s="75"/>
      <c r="R34" s="29"/>
      <c r="S34" s="75"/>
      <c r="T34" s="75"/>
      <c r="U34" s="29"/>
      <c r="V34" s="76"/>
      <c r="W34" s="75"/>
      <c r="X34" s="76"/>
      <c r="Y34" s="29" t="str">
        <f t="shared" si="4"/>
        <v/>
      </c>
      <c r="Z34" s="29" t="str">
        <f t="shared" si="5"/>
        <v/>
      </c>
      <c r="AA34" s="76"/>
      <c r="AB34" s="29"/>
      <c r="AC34" s="73"/>
      <c r="AD34" s="73"/>
      <c r="AE34" s="78" t="str">
        <f>IF(U34="","",IF(AD34="","",_xlfn.WORKDAY.INTL(AD34,7,1,FERIADOS)))</f>
        <v/>
      </c>
      <c r="AF34" s="79"/>
      <c r="AG34" s="80" t="str">
        <f t="array" ref="AG34">IF(A34="","",IF(AF34="","",AF34*INDEX(PARAMETROS!F$2:F1097,MATCH(YEAR(AC34),PARAMETROS!E$2:E1097,0),1)))</f>
        <v/>
      </c>
      <c r="AH34" s="81"/>
      <c r="AI34" s="82"/>
      <c r="AJ34" s="81"/>
      <c r="AK34" s="81"/>
      <c r="AL34" s="29"/>
      <c r="AM34" s="75"/>
      <c r="AN34" s="76"/>
      <c r="AO34" s="95"/>
      <c r="AP34" s="96"/>
      <c r="AQ34" s="85" t="str">
        <f t="shared" si="6"/>
        <v/>
      </c>
      <c r="AR34" s="86" t="str">
        <f t="array" ref="AR34">IF(A34="","",IFERROR(INDEX('2) Etapas'!L$3:L923,MATCH(B34,'2) Etapas'!$A$4:$A923,0),1),-1))</f>
        <v/>
      </c>
      <c r="AS34" s="87" t="str">
        <f t="shared" si="7"/>
        <v/>
      </c>
      <c r="AT34" s="87" t="str">
        <f t="shared" si="8"/>
        <v/>
      </c>
      <c r="AU34" s="87" t="str">
        <f t="shared" si="9"/>
        <v/>
      </c>
      <c r="AV34" s="89" t="str">
        <f t="array" ref="AV34">IF(OR($A34="",$AB34="", $AC34=""),"",MAXA(IF($A34=$A$4:$A923,$AC$4:$AC923)))</f>
        <v/>
      </c>
    </row>
    <row r="35" ht="22.5" customHeight="1">
      <c r="A35" s="29"/>
      <c r="B35" s="68" t="str">
        <f t="shared" si="1"/>
        <v/>
      </c>
      <c r="C35" s="69"/>
      <c r="D35" s="70" t="str">
        <f t="shared" si="2"/>
        <v/>
      </c>
      <c r="E35" s="29"/>
      <c r="F35" s="68" t="str">
        <f t="array" ref="F35">IF($A35="","",IFERROR(INDEX(MA_INDIVIDUALES!C$2:C923, MATCH($A35,MA_INDIVIDUALES!$B$2:$B923,0),1),"CÓDIGO DE EXPEDIENTE INVÁLIDO"))</f>
        <v/>
      </c>
      <c r="G35" s="68" t="str">
        <f t="array" ref="G35">IF($A35="","",IFERROR(INDEX(MA_INDIVIDUALES!K$2:K923, MATCH($A35,MA_INDIVIDUALES!$B$2:$B923,0),1),"CÓDIGO DE EXPEDIENTE INVÁLIDO"))</f>
        <v/>
      </c>
      <c r="H35" s="68" t="str">
        <f t="array" ref="H35">IF($A35="","",IFERROR(INDEX(MA_INDIVIDUALES!L$2:L923, MATCH($A35,MA_INDIVIDUALES!$B$2:$B923,0),1),"CÓDIGO DE EXPEDIENTE INVÁLIDO"))</f>
        <v/>
      </c>
      <c r="I35" s="76"/>
      <c r="J35" s="29"/>
      <c r="K35" s="73"/>
      <c r="L35" s="74" t="str">
        <f>IF(A35="","",IF(K35="","",_xlfn.WORKDAY.INTL(K35,5,1,FERIADOS)))</f>
        <v/>
      </c>
      <c r="M35" s="29"/>
      <c r="N35" s="73"/>
      <c r="O35" s="29"/>
      <c r="P35" s="77" t="str">
        <f t="shared" si="3"/>
        <v/>
      </c>
      <c r="Q35" s="73"/>
      <c r="R35" s="29"/>
      <c r="S35" s="75"/>
      <c r="T35" s="73"/>
      <c r="U35" s="29"/>
      <c r="V35" s="76"/>
      <c r="W35" s="75"/>
      <c r="X35" s="76"/>
      <c r="Y35" s="29" t="str">
        <f t="shared" si="4"/>
        <v/>
      </c>
      <c r="Z35" s="29" t="str">
        <f t="shared" si="5"/>
        <v/>
      </c>
      <c r="AA35" s="76"/>
      <c r="AB35" s="29"/>
      <c r="AC35" s="73"/>
      <c r="AD35" s="73"/>
      <c r="AE35" s="78" t="str">
        <f>IF(U35="","",IF(AD35="","",_xlfn.WORKDAY.INTL(AD35,7,1,FERIADOS)))</f>
        <v/>
      </c>
      <c r="AF35" s="79"/>
      <c r="AG35" s="80" t="str">
        <f t="array" ref="AG35">IF(A35="","",IF(AF35="","",AF35*INDEX(PARAMETROS!F$2:F1098,MATCH(YEAR(AC35),PARAMETROS!E$2:E1098,0),1)))</f>
        <v/>
      </c>
      <c r="AH35" s="81"/>
      <c r="AI35" s="82"/>
      <c r="AJ35" s="81"/>
      <c r="AK35" s="81"/>
      <c r="AL35" s="29"/>
      <c r="AM35" s="73"/>
      <c r="AN35" s="76"/>
      <c r="AO35" s="95"/>
      <c r="AP35" s="84"/>
      <c r="AQ35" s="85" t="str">
        <f t="shared" si="6"/>
        <v/>
      </c>
      <c r="AR35" s="86" t="str">
        <f t="array" ref="AR35">IF(A35="","",IFERROR(INDEX('2) Etapas'!L$3:L923,MATCH(B35,'2) Etapas'!$A$4:$A923,0),1),-1))</f>
        <v/>
      </c>
      <c r="AS35" s="87" t="str">
        <f t="shared" si="7"/>
        <v/>
      </c>
      <c r="AT35" s="87" t="str">
        <f t="shared" si="8"/>
        <v/>
      </c>
      <c r="AU35" s="87" t="str">
        <f t="shared" si="9"/>
        <v/>
      </c>
      <c r="AV35" s="89" t="str">
        <f t="array" ref="AV35">IF(OR($A35="",$AB35="", $AC35=""),"",MAXA(IF($A35=$A$4:$A923,$AC$4:$AC923)))</f>
        <v/>
      </c>
    </row>
    <row r="36" ht="22.5" customHeight="1">
      <c r="A36" s="29"/>
      <c r="B36" s="68" t="str">
        <f t="shared" si="1"/>
        <v/>
      </c>
      <c r="C36" s="69"/>
      <c r="D36" s="70" t="str">
        <f t="shared" si="2"/>
        <v/>
      </c>
      <c r="E36" s="29"/>
      <c r="F36" s="68" t="str">
        <f t="array" ref="F36">IF($A36="","",IFERROR(INDEX(MA_INDIVIDUALES!C$2:C923, MATCH($A36,MA_INDIVIDUALES!$B$2:$B923,0),1),"CÓDIGO DE EXPEDIENTE INVÁLIDO"))</f>
        <v/>
      </c>
      <c r="G36" s="68" t="str">
        <f t="array" ref="G36">IF($A36="","",IFERROR(INDEX(MA_INDIVIDUALES!K$2:K923, MATCH($A36,MA_INDIVIDUALES!$B$2:$B923,0),1),"CÓDIGO DE EXPEDIENTE INVÁLIDO"))</f>
        <v/>
      </c>
      <c r="H36" s="68" t="str">
        <f t="array" ref="H36">IF($A36="","",IFERROR(INDEX(MA_INDIVIDUALES!L$2:L923, MATCH($A36,MA_INDIVIDUALES!$B$2:$B923,0),1),"CÓDIGO DE EXPEDIENTE INVÁLIDO"))</f>
        <v/>
      </c>
      <c r="I36" s="76"/>
      <c r="J36" s="29"/>
      <c r="K36" s="73"/>
      <c r="L36" s="74" t="str">
        <f>IF(A36="","",IF(K36="","",_xlfn.WORKDAY.INTL(K36,5,1,FERIADOS)))</f>
        <v/>
      </c>
      <c r="M36" s="29"/>
      <c r="N36" s="73"/>
      <c r="O36" s="29"/>
      <c r="P36" s="77" t="str">
        <f t="shared" si="3"/>
        <v/>
      </c>
      <c r="Q36" s="73"/>
      <c r="R36" s="29"/>
      <c r="S36" s="75"/>
      <c r="T36" s="73"/>
      <c r="U36" s="29"/>
      <c r="V36" s="76"/>
      <c r="W36" s="75"/>
      <c r="X36" s="76"/>
      <c r="Y36" s="29" t="str">
        <f t="shared" si="4"/>
        <v/>
      </c>
      <c r="Z36" s="29" t="str">
        <f t="shared" si="5"/>
        <v/>
      </c>
      <c r="AA36" s="76"/>
      <c r="AB36" s="29"/>
      <c r="AC36" s="73"/>
      <c r="AD36" s="73"/>
      <c r="AE36" s="78" t="str">
        <f>IF(U36="","",IF(AD36="","",_xlfn.WORKDAY.INTL(AD36,7,1,FERIADOS)))</f>
        <v/>
      </c>
      <c r="AF36" s="79"/>
      <c r="AG36" s="80" t="str">
        <f t="array" ref="AG36">IF(A36="","",IF(AF36="","",AF36*INDEX(PARAMETROS!F$2:F1099,MATCH(YEAR(AC36),PARAMETROS!E$2:E1099,0),1)))</f>
        <v/>
      </c>
      <c r="AH36" s="81"/>
      <c r="AI36" s="82"/>
      <c r="AJ36" s="81"/>
      <c r="AK36" s="81"/>
      <c r="AL36" s="29"/>
      <c r="AM36" s="73"/>
      <c r="AN36" s="76"/>
      <c r="AO36" s="95"/>
      <c r="AP36" s="84"/>
      <c r="AQ36" s="85" t="str">
        <f t="shared" si="6"/>
        <v/>
      </c>
      <c r="AR36" s="86" t="str">
        <f t="array" ref="AR36">IF(A36="","",IFERROR(INDEX('2) Etapas'!L$3:L923,MATCH(B36,'2) Etapas'!$A$4:$A923,0),1),-1))</f>
        <v/>
      </c>
      <c r="AS36" s="87" t="str">
        <f t="shared" si="7"/>
        <v/>
      </c>
      <c r="AT36" s="87" t="str">
        <f t="shared" si="8"/>
        <v/>
      </c>
      <c r="AU36" s="87" t="str">
        <f t="shared" si="9"/>
        <v/>
      </c>
      <c r="AV36" s="89" t="str">
        <f t="array" ref="AV36">IF(OR($A36="",$AB36="", $AC36=""),"",MAXA(IF($A36=$A$4:$A923,$AC$4:$AC923)))</f>
        <v/>
      </c>
    </row>
    <row r="37" ht="22.5" customHeight="1">
      <c r="A37" s="29"/>
      <c r="B37" s="68" t="str">
        <f t="shared" si="1"/>
        <v/>
      </c>
      <c r="C37" s="69"/>
      <c r="D37" s="70" t="str">
        <f t="shared" si="2"/>
        <v/>
      </c>
      <c r="E37" s="29"/>
      <c r="F37" s="68" t="str">
        <f t="array" ref="F37">IF($A37="","",IFERROR(INDEX(MA_INDIVIDUALES!C$2:C923, MATCH($A37,MA_INDIVIDUALES!$B$2:$B923,0),1),"CÓDIGO DE EXPEDIENTE INVÁLIDO"))</f>
        <v/>
      </c>
      <c r="G37" s="68" t="str">
        <f t="array" ref="G37">IF($A37="","",IFERROR(INDEX(MA_INDIVIDUALES!K$2:K923, MATCH($A37,MA_INDIVIDUALES!$B$2:$B923,0),1),"CÓDIGO DE EXPEDIENTE INVÁLIDO"))</f>
        <v/>
      </c>
      <c r="H37" s="68" t="str">
        <f t="array" ref="H37">IF($A37="","",IFERROR(INDEX(MA_INDIVIDUALES!L$2:L923, MATCH($A37,MA_INDIVIDUALES!$B$2:$B923,0),1),"CÓDIGO DE EXPEDIENTE INVÁLIDO"))</f>
        <v/>
      </c>
      <c r="I37" s="76"/>
      <c r="J37" s="29"/>
      <c r="K37" s="73"/>
      <c r="L37" s="74" t="str">
        <f>IF(A37="","",IF(K37="","",_xlfn.WORKDAY.INTL(K37,5,1,FERIADOS)))</f>
        <v/>
      </c>
      <c r="M37" s="29"/>
      <c r="N37" s="73"/>
      <c r="O37" s="29"/>
      <c r="P37" s="77" t="str">
        <f t="shared" si="3"/>
        <v/>
      </c>
      <c r="Q37" s="73"/>
      <c r="R37" s="29"/>
      <c r="S37" s="75"/>
      <c r="T37" s="73"/>
      <c r="U37" s="29"/>
      <c r="V37" s="76"/>
      <c r="W37" s="75"/>
      <c r="X37" s="76"/>
      <c r="Y37" s="29" t="str">
        <f t="shared" si="4"/>
        <v/>
      </c>
      <c r="Z37" s="29" t="str">
        <f t="shared" si="5"/>
        <v/>
      </c>
      <c r="AA37" s="76"/>
      <c r="AB37" s="29"/>
      <c r="AC37" s="73"/>
      <c r="AD37" s="73"/>
      <c r="AE37" s="78" t="str">
        <f>IF(U37="","",IF(AD37="","",_xlfn.WORKDAY.INTL(AD37,7,1,FERIADOS)))</f>
        <v/>
      </c>
      <c r="AF37" s="79"/>
      <c r="AG37" s="80" t="str">
        <f t="array" ref="AG37">IF(A37="","",IF(AF37="","",AF37*INDEX(PARAMETROS!F$2:F1100,MATCH(YEAR(AC37),PARAMETROS!E$2:E1100,0),1)))</f>
        <v/>
      </c>
      <c r="AH37" s="81"/>
      <c r="AI37" s="82"/>
      <c r="AJ37" s="81"/>
      <c r="AK37" s="81"/>
      <c r="AL37" s="29"/>
      <c r="AM37" s="75"/>
      <c r="AN37" s="76"/>
      <c r="AO37" s="95"/>
      <c r="AP37" s="96"/>
      <c r="AQ37" s="85" t="str">
        <f t="shared" si="6"/>
        <v/>
      </c>
      <c r="AR37" s="86" t="str">
        <f t="array" ref="AR37">IF(A37="","",IFERROR(INDEX('2) Etapas'!L$3:L923,MATCH(B37,'2) Etapas'!$A$4:$A923,0),1),-1))</f>
        <v/>
      </c>
      <c r="AS37" s="87" t="str">
        <f t="shared" si="7"/>
        <v/>
      </c>
      <c r="AT37" s="87" t="str">
        <f t="shared" si="8"/>
        <v/>
      </c>
      <c r="AU37" s="87" t="str">
        <f t="shared" si="9"/>
        <v/>
      </c>
      <c r="AV37" s="89" t="str">
        <f t="array" ref="AV37">IF(OR($A37="",$AB37="", $AC37=""),"",MAXA(IF($A37=$A$4:$A923,$AC$4:$AC923)))</f>
        <v/>
      </c>
    </row>
    <row r="38" ht="22.5" customHeight="1">
      <c r="A38" s="29"/>
      <c r="B38" s="68" t="str">
        <f t="shared" si="1"/>
        <v/>
      </c>
      <c r="C38" s="69"/>
      <c r="D38" s="70" t="str">
        <f t="shared" si="2"/>
        <v/>
      </c>
      <c r="E38" s="29"/>
      <c r="F38" s="68" t="str">
        <f t="array" ref="F38">IF($A38="","",IFERROR(INDEX(MA_INDIVIDUALES!C$2:C923, MATCH($A38,MA_INDIVIDUALES!$B$2:$B923,0),1),"CÓDIGO DE EXPEDIENTE INVÁLIDO"))</f>
        <v/>
      </c>
      <c r="G38" s="68" t="str">
        <f t="array" ref="G38">IF($A38="","",IFERROR(INDEX(MA_INDIVIDUALES!K$2:K923, MATCH($A38,MA_INDIVIDUALES!$B$2:$B923,0),1),"CÓDIGO DE EXPEDIENTE INVÁLIDO"))</f>
        <v/>
      </c>
      <c r="H38" s="68" t="str">
        <f t="array" ref="H38">IF($A38="","",IFERROR(INDEX(MA_INDIVIDUALES!L$2:L923, MATCH($A38,MA_INDIVIDUALES!$B$2:$B923,0),1),"CÓDIGO DE EXPEDIENTE INVÁLIDO"))</f>
        <v/>
      </c>
      <c r="I38" s="76"/>
      <c r="J38" s="29"/>
      <c r="K38" s="73"/>
      <c r="L38" s="74" t="str">
        <f>IF(A38="","",IF(K38="","",_xlfn.WORKDAY.INTL(K38,5,1,FERIADOS)))</f>
        <v/>
      </c>
      <c r="M38" s="29"/>
      <c r="N38" s="73"/>
      <c r="O38" s="29"/>
      <c r="P38" s="77" t="str">
        <f t="shared" si="3"/>
        <v/>
      </c>
      <c r="Q38" s="73"/>
      <c r="R38" s="29"/>
      <c r="S38" s="75"/>
      <c r="T38" s="73"/>
      <c r="U38" s="29"/>
      <c r="V38" s="76"/>
      <c r="W38" s="75"/>
      <c r="X38" s="76"/>
      <c r="Y38" s="29" t="str">
        <f t="shared" si="4"/>
        <v/>
      </c>
      <c r="Z38" s="29" t="str">
        <f t="shared" si="5"/>
        <v/>
      </c>
      <c r="AA38" s="76"/>
      <c r="AB38" s="29"/>
      <c r="AC38" s="73"/>
      <c r="AD38" s="73"/>
      <c r="AE38" s="78" t="str">
        <f>IF(U38="","",IF(AD38="","",_xlfn.WORKDAY.INTL(AD38,7,1,FERIADOS)))</f>
        <v/>
      </c>
      <c r="AF38" s="79"/>
      <c r="AG38" s="80" t="str">
        <f t="array" ref="AG38">IF(A38="","",IF(AF38="","",AF38*INDEX(PARAMETROS!F$2:F1101,MATCH(YEAR(AC38),PARAMETROS!E$2:E1101,0),1)))</f>
        <v/>
      </c>
      <c r="AH38" s="81"/>
      <c r="AI38" s="82"/>
      <c r="AJ38" s="81"/>
      <c r="AK38" s="81"/>
      <c r="AL38" s="29"/>
      <c r="AM38" s="75"/>
      <c r="AN38" s="76"/>
      <c r="AO38" s="95"/>
      <c r="AP38" s="96"/>
      <c r="AQ38" s="85" t="str">
        <f t="shared" si="6"/>
        <v/>
      </c>
      <c r="AR38" s="86" t="str">
        <f t="array" ref="AR38">IF(A38="","",IFERROR(INDEX('2) Etapas'!L$3:L923,MATCH(B38,'2) Etapas'!$A$4:$A923,0),1),-1))</f>
        <v/>
      </c>
      <c r="AS38" s="87" t="str">
        <f t="shared" si="7"/>
        <v/>
      </c>
      <c r="AT38" s="87" t="str">
        <f t="shared" si="8"/>
        <v/>
      </c>
      <c r="AU38" s="87" t="str">
        <f t="shared" si="9"/>
        <v/>
      </c>
      <c r="AV38" s="89" t="str">
        <f t="array" ref="AV38">IF(OR($A38="",$AB38="", $AC38=""),"",MAXA(IF($A38=$A$4:$A923,$AC$4:$AC923)))</f>
        <v/>
      </c>
    </row>
    <row r="39" ht="22.5" customHeight="1">
      <c r="A39" s="29"/>
      <c r="B39" s="68" t="str">
        <f t="shared" si="1"/>
        <v/>
      </c>
      <c r="C39" s="69"/>
      <c r="D39" s="70" t="str">
        <f t="shared" si="2"/>
        <v/>
      </c>
      <c r="E39" s="29"/>
      <c r="F39" s="68" t="str">
        <f t="array" ref="F39">IF($A39="","",IFERROR(INDEX(MA_INDIVIDUALES!C$2:C923, MATCH($A39,MA_INDIVIDUALES!$B$2:$B923,0),1),"CÓDIGO DE EXPEDIENTE INVÁLIDO"))</f>
        <v/>
      </c>
      <c r="G39" s="68" t="str">
        <f t="array" ref="G39">IF($A39="","",IFERROR(INDEX(MA_INDIVIDUALES!K$2:K923, MATCH($A39,MA_INDIVIDUALES!$B$2:$B923,0),1),"CÓDIGO DE EXPEDIENTE INVÁLIDO"))</f>
        <v/>
      </c>
      <c r="H39" s="68" t="str">
        <f t="array" ref="H39">IF($A39="","",IFERROR(INDEX(MA_INDIVIDUALES!L$2:L923, MATCH($A39,MA_INDIVIDUALES!$B$2:$B923,0),1),"CÓDIGO DE EXPEDIENTE INVÁLIDO"))</f>
        <v/>
      </c>
      <c r="I39" s="76"/>
      <c r="J39" s="29"/>
      <c r="K39" s="73"/>
      <c r="L39" s="74" t="str">
        <f>IF(A39="","",IF(K39="","",_xlfn.WORKDAY.INTL(K39,5,1,FERIADOS)))</f>
        <v/>
      </c>
      <c r="M39" s="29"/>
      <c r="N39" s="73"/>
      <c r="O39" s="29"/>
      <c r="P39" s="77" t="str">
        <f t="shared" si="3"/>
        <v/>
      </c>
      <c r="Q39" s="73"/>
      <c r="R39" s="29"/>
      <c r="S39" s="75"/>
      <c r="T39" s="73"/>
      <c r="U39" s="29"/>
      <c r="V39" s="76"/>
      <c r="W39" s="75"/>
      <c r="X39" s="76"/>
      <c r="Y39" s="29" t="str">
        <f t="shared" si="4"/>
        <v/>
      </c>
      <c r="Z39" s="29" t="str">
        <f t="shared" si="5"/>
        <v/>
      </c>
      <c r="AA39" s="76"/>
      <c r="AB39" s="29"/>
      <c r="AC39" s="73"/>
      <c r="AD39" s="73"/>
      <c r="AE39" s="78" t="str">
        <f>IF(U39="","",IF(AD39="","",_xlfn.WORKDAY.INTL(AD39,7,1,FERIADOS)))</f>
        <v/>
      </c>
      <c r="AF39" s="79"/>
      <c r="AG39" s="80" t="str">
        <f t="array" ref="AG39">IF(A39="","",IF(AF39="","",AF39*INDEX(PARAMETROS!F$2:F1102,MATCH(YEAR(AC39),PARAMETROS!E$2:E1102,0),1)))</f>
        <v/>
      </c>
      <c r="AH39" s="81"/>
      <c r="AI39" s="82"/>
      <c r="AJ39" s="81"/>
      <c r="AK39" s="81"/>
      <c r="AL39" s="29"/>
      <c r="AM39" s="75"/>
      <c r="AN39" s="76"/>
      <c r="AO39" s="95"/>
      <c r="AP39" s="96"/>
      <c r="AQ39" s="85" t="str">
        <f t="shared" si="6"/>
        <v/>
      </c>
      <c r="AR39" s="86" t="str">
        <f t="array" ref="AR39">IF(A39="","",IFERROR(INDEX('2) Etapas'!L$3:L923,MATCH(B39,'2) Etapas'!$A$4:$A923,0),1),-1))</f>
        <v/>
      </c>
      <c r="AS39" s="87" t="str">
        <f t="shared" si="7"/>
        <v/>
      </c>
      <c r="AT39" s="87" t="str">
        <f t="shared" si="8"/>
        <v/>
      </c>
      <c r="AU39" s="87" t="str">
        <f t="shared" si="9"/>
        <v/>
      </c>
      <c r="AV39" s="89" t="str">
        <f t="array" ref="AV39">IF(OR($A39="",$AB39="", $AC39=""),"",MAXA(IF($A39=$A$4:$A923,$AC$4:$AC923)))</f>
        <v/>
      </c>
    </row>
    <row r="40" ht="22.5" customHeight="1">
      <c r="A40" s="29"/>
      <c r="B40" s="68" t="str">
        <f t="shared" si="1"/>
        <v/>
      </c>
      <c r="C40" s="69"/>
      <c r="D40" s="70" t="str">
        <f t="shared" si="2"/>
        <v/>
      </c>
      <c r="E40" s="29"/>
      <c r="F40" s="68" t="str">
        <f t="array" ref="F40">IF($A40="","",IFERROR(INDEX(MA_INDIVIDUALES!C$2:C923, MATCH($A40,MA_INDIVIDUALES!$B$2:$B923,0),1),"CÓDIGO DE EXPEDIENTE INVÁLIDO"))</f>
        <v/>
      </c>
      <c r="G40" s="68" t="str">
        <f t="array" ref="G40">IF($A40="","",IFERROR(INDEX(MA_INDIVIDUALES!K$2:K923, MATCH($A40,MA_INDIVIDUALES!$B$2:$B923,0),1),"CÓDIGO DE EXPEDIENTE INVÁLIDO"))</f>
        <v/>
      </c>
      <c r="H40" s="68" t="str">
        <f t="array" ref="H40">IF($A40="","",IFERROR(INDEX(MA_INDIVIDUALES!L$2:L923, MATCH($A40,MA_INDIVIDUALES!$B$2:$B923,0),1),"CÓDIGO DE EXPEDIENTE INVÁLIDO"))</f>
        <v/>
      </c>
      <c r="I40" s="76"/>
      <c r="J40" s="29"/>
      <c r="K40" s="73"/>
      <c r="L40" s="74" t="str">
        <f>IF(A40="","",IF(K40="","",_xlfn.WORKDAY.INTL(K40,5,1,FERIADOS)))</f>
        <v/>
      </c>
      <c r="M40" s="29"/>
      <c r="N40" s="73"/>
      <c r="O40" s="29"/>
      <c r="P40" s="77" t="str">
        <f t="shared" si="3"/>
        <v/>
      </c>
      <c r="Q40" s="73"/>
      <c r="R40" s="29"/>
      <c r="S40" s="75"/>
      <c r="T40" s="73"/>
      <c r="U40" s="29"/>
      <c r="V40" s="76"/>
      <c r="W40" s="75"/>
      <c r="X40" s="76"/>
      <c r="Y40" s="29" t="str">
        <f t="shared" si="4"/>
        <v/>
      </c>
      <c r="Z40" s="29" t="str">
        <f t="shared" si="5"/>
        <v/>
      </c>
      <c r="AA40" s="76"/>
      <c r="AB40" s="29"/>
      <c r="AC40" s="73"/>
      <c r="AD40" s="73"/>
      <c r="AE40" s="78" t="str">
        <f>IF(U40="","",IF(AD40="","",_xlfn.WORKDAY.INTL(AD40,7,1,FERIADOS)))</f>
        <v/>
      </c>
      <c r="AF40" s="79"/>
      <c r="AG40" s="80" t="str">
        <f t="array" ref="AG40">IF(A40="","",IF(AF40="","",AF40*INDEX(PARAMETROS!F$2:F1103,MATCH(YEAR(AC40),PARAMETROS!E$2:E1103,0),1)))</f>
        <v/>
      </c>
      <c r="AH40" s="81"/>
      <c r="AI40" s="82"/>
      <c r="AJ40" s="81"/>
      <c r="AK40" s="81"/>
      <c r="AL40" s="29"/>
      <c r="AM40" s="75"/>
      <c r="AN40" s="76"/>
      <c r="AO40" s="95"/>
      <c r="AP40" s="96"/>
      <c r="AQ40" s="85" t="str">
        <f t="shared" si="6"/>
        <v/>
      </c>
      <c r="AR40" s="86" t="str">
        <f t="array" ref="AR40">IF(A40="","",IFERROR(INDEX('2) Etapas'!L$3:L923,MATCH(B40,'2) Etapas'!$A$4:$A923,0),1),-1))</f>
        <v/>
      </c>
      <c r="AS40" s="87" t="str">
        <f t="shared" si="7"/>
        <v/>
      </c>
      <c r="AT40" s="87" t="str">
        <f t="shared" si="8"/>
        <v/>
      </c>
      <c r="AU40" s="87" t="str">
        <f t="shared" si="9"/>
        <v/>
      </c>
      <c r="AV40" s="89" t="str">
        <f t="array" ref="AV40">IF(OR($A40="",$AB40="", $AC40=""),"",MAXA(IF($A40=$A$4:$A923,$AC$4:$AC923)))</f>
        <v/>
      </c>
    </row>
    <row r="41" ht="22.5" customHeight="1">
      <c r="A41" s="29"/>
      <c r="B41" s="68" t="str">
        <f t="shared" si="1"/>
        <v/>
      </c>
      <c r="C41" s="69"/>
      <c r="D41" s="70" t="str">
        <f t="shared" si="2"/>
        <v/>
      </c>
      <c r="E41" s="29"/>
      <c r="F41" s="68" t="str">
        <f t="array" ref="F41">IF($A41="","",IFERROR(INDEX(MA_INDIVIDUALES!C$2:C923, MATCH($A41,MA_INDIVIDUALES!$B$2:$B923,0),1),"CÓDIGO DE EXPEDIENTE INVÁLIDO"))</f>
        <v/>
      </c>
      <c r="G41" s="68" t="str">
        <f t="array" ref="G41">IF($A41="","",IFERROR(INDEX(MA_INDIVIDUALES!K$2:K923, MATCH($A41,MA_INDIVIDUALES!$B$2:$B923,0),1),"CÓDIGO DE EXPEDIENTE INVÁLIDO"))</f>
        <v/>
      </c>
      <c r="H41" s="68" t="str">
        <f t="array" ref="H41">IF($A41="","",IFERROR(INDEX(MA_INDIVIDUALES!L$2:L923, MATCH($A41,MA_INDIVIDUALES!$B$2:$B923,0),1),"CÓDIGO DE EXPEDIENTE INVÁLIDO"))</f>
        <v/>
      </c>
      <c r="I41" s="76"/>
      <c r="J41" s="29"/>
      <c r="K41" s="73"/>
      <c r="L41" s="74" t="str">
        <f>IF(A41="","",IF(K41="","",_xlfn.WORKDAY.INTL(K41,5,1,FERIADOS)))</f>
        <v/>
      </c>
      <c r="M41" s="29"/>
      <c r="N41" s="73"/>
      <c r="O41" s="29"/>
      <c r="P41" s="77" t="str">
        <f t="shared" si="3"/>
        <v/>
      </c>
      <c r="Q41" s="73"/>
      <c r="R41" s="29"/>
      <c r="S41" s="75"/>
      <c r="T41" s="75"/>
      <c r="U41" s="29"/>
      <c r="V41" s="76"/>
      <c r="W41" s="75"/>
      <c r="X41" s="76"/>
      <c r="Y41" s="29" t="str">
        <f t="shared" si="4"/>
        <v/>
      </c>
      <c r="Z41" s="29" t="str">
        <f t="shared" si="5"/>
        <v/>
      </c>
      <c r="AA41" s="76"/>
      <c r="AB41" s="29"/>
      <c r="AC41" s="73"/>
      <c r="AD41" s="73"/>
      <c r="AE41" s="78" t="str">
        <f>IF(U41="","",IF(AD41="","",_xlfn.WORKDAY.INTL(AD41,7,1,FERIADOS)))</f>
        <v/>
      </c>
      <c r="AF41" s="79"/>
      <c r="AG41" s="80" t="str">
        <f t="array" ref="AG41">IF(A41="","",IF(AF41="","",AF41*INDEX(PARAMETROS!F$2:F1104,MATCH(YEAR(AC41),PARAMETROS!E$2:E1104,0),1)))</f>
        <v/>
      </c>
      <c r="AH41" s="81"/>
      <c r="AI41" s="82"/>
      <c r="AJ41" s="81"/>
      <c r="AK41" s="81"/>
      <c r="AL41" s="29"/>
      <c r="AM41" s="75"/>
      <c r="AN41" s="76"/>
      <c r="AO41" s="95"/>
      <c r="AP41" s="96"/>
      <c r="AQ41" s="85" t="str">
        <f t="shared" si="6"/>
        <v/>
      </c>
      <c r="AR41" s="86" t="str">
        <f t="array" ref="AR41">IF(A41="","",IFERROR(INDEX('2) Etapas'!L$3:L923,MATCH(B41,'2) Etapas'!$A$4:$A923,0),1),-1))</f>
        <v/>
      </c>
      <c r="AS41" s="87" t="str">
        <f t="shared" si="7"/>
        <v/>
      </c>
      <c r="AT41" s="87" t="str">
        <f t="shared" si="8"/>
        <v/>
      </c>
      <c r="AU41" s="87" t="str">
        <f t="shared" si="9"/>
        <v/>
      </c>
      <c r="AV41" s="89" t="str">
        <f t="array" ref="AV41">IF(OR($A41="",$AB41="", $AC41=""),"",MAXA(IF($A41=$A$4:$A923,$AC$4:$AC923)))</f>
        <v/>
      </c>
    </row>
    <row r="42" ht="22.5" customHeight="1">
      <c r="A42" s="29"/>
      <c r="B42" s="68" t="str">
        <f t="shared" si="1"/>
        <v/>
      </c>
      <c r="C42" s="69"/>
      <c r="D42" s="70" t="str">
        <f t="shared" si="2"/>
        <v/>
      </c>
      <c r="E42" s="29"/>
      <c r="F42" s="68" t="str">
        <f t="array" ref="F42">IF($A42="","",IFERROR(INDEX(MA_INDIVIDUALES!C$2:C923, MATCH($A42,MA_INDIVIDUALES!$B$2:$B923,0),1),"CÓDIGO DE EXPEDIENTE INVÁLIDO"))</f>
        <v/>
      </c>
      <c r="G42" s="68" t="str">
        <f t="array" ref="G42">IF($A42="","",IFERROR(INDEX(MA_INDIVIDUALES!K$2:K923, MATCH($A42,MA_INDIVIDUALES!$B$2:$B923,0),1),"CÓDIGO DE EXPEDIENTE INVÁLIDO"))</f>
        <v/>
      </c>
      <c r="H42" s="68" t="str">
        <f t="array" ref="H42">IF($A42="","",IFERROR(INDEX(MA_INDIVIDUALES!L$2:L923, MATCH($A42,MA_INDIVIDUALES!$B$2:$B923,0),1),"CÓDIGO DE EXPEDIENTE INVÁLIDO"))</f>
        <v/>
      </c>
      <c r="I42" s="76"/>
      <c r="J42" s="29"/>
      <c r="K42" s="73"/>
      <c r="L42" s="74" t="str">
        <f>IF(A42="","",IF(K42="","",_xlfn.WORKDAY.INTL(K42,5,1,FERIADOS)))</f>
        <v/>
      </c>
      <c r="M42" s="29"/>
      <c r="N42" s="73"/>
      <c r="O42" s="29"/>
      <c r="P42" s="77" t="str">
        <f t="shared" si="3"/>
        <v/>
      </c>
      <c r="Q42" s="73"/>
      <c r="R42" s="29"/>
      <c r="S42" s="75"/>
      <c r="T42" s="73"/>
      <c r="U42" s="29"/>
      <c r="V42" s="76"/>
      <c r="W42" s="75"/>
      <c r="X42" s="76"/>
      <c r="Y42" s="29" t="str">
        <f t="shared" si="4"/>
        <v/>
      </c>
      <c r="Z42" s="29" t="str">
        <f t="shared" si="5"/>
        <v/>
      </c>
      <c r="AA42" s="29"/>
      <c r="AB42" s="29"/>
      <c r="AC42" s="73"/>
      <c r="AD42" s="73"/>
      <c r="AE42" s="78" t="str">
        <f>IF(U42="","",IF(AD42="","",_xlfn.WORKDAY.INTL(AD42,7,1,FERIADOS)))</f>
        <v/>
      </c>
      <c r="AF42" s="79"/>
      <c r="AG42" s="80" t="str">
        <f t="array" ref="AG42">IF(A42="","",IF(AF42="","",AF42*INDEX(PARAMETROS!F$2:F1105,MATCH(YEAR(AC42),PARAMETROS!E$2:E1105,0),1)))</f>
        <v/>
      </c>
      <c r="AH42" s="81"/>
      <c r="AI42" s="82"/>
      <c r="AJ42" s="81"/>
      <c r="AK42" s="81"/>
      <c r="AL42" s="29"/>
      <c r="AM42" s="75"/>
      <c r="AN42" s="76"/>
      <c r="AO42" s="95"/>
      <c r="AP42" s="96"/>
      <c r="AQ42" s="85" t="str">
        <f t="shared" si="6"/>
        <v/>
      </c>
      <c r="AR42" s="86" t="str">
        <f t="array" ref="AR42">IF(A42="","",IFERROR(INDEX('2) Etapas'!L$3:L923,MATCH(B42,'2) Etapas'!$A$4:$A923,0),1),-1))</f>
        <v/>
      </c>
      <c r="AS42" s="87" t="str">
        <f t="shared" si="7"/>
        <v/>
      </c>
      <c r="AT42" s="87" t="str">
        <f t="shared" si="8"/>
        <v/>
      </c>
      <c r="AU42" s="87" t="str">
        <f t="shared" si="9"/>
        <v/>
      </c>
      <c r="AV42" s="89" t="str">
        <f t="array" ref="AV42">IF(OR($A42="",$AB42="", $AC42=""),"",MAXA(IF($A42=$A$4:$A923,$AC$4:$AC923)))</f>
        <v/>
      </c>
    </row>
    <row r="43" ht="22.5" customHeight="1">
      <c r="A43" s="29"/>
      <c r="B43" s="68" t="str">
        <f t="shared" si="1"/>
        <v/>
      </c>
      <c r="C43" s="69"/>
      <c r="D43" s="70" t="str">
        <f t="shared" si="2"/>
        <v/>
      </c>
      <c r="E43" s="29"/>
      <c r="F43" s="68" t="str">
        <f t="array" ref="F43">IF($A43="","",IFERROR(INDEX(MA_INDIVIDUALES!C$2:C923, MATCH($A43,MA_INDIVIDUALES!$B$2:$B923,0),1),"CÓDIGO DE EXPEDIENTE INVÁLIDO"))</f>
        <v/>
      </c>
      <c r="G43" s="68" t="str">
        <f t="array" ref="G43">IF($A43="","",IFERROR(INDEX(MA_INDIVIDUALES!K$2:K923, MATCH($A43,MA_INDIVIDUALES!$B$2:$B923,0),1),"CÓDIGO DE EXPEDIENTE INVÁLIDO"))</f>
        <v/>
      </c>
      <c r="H43" s="68" t="str">
        <f t="array" ref="H43">IF($A43="","",IFERROR(INDEX(MA_INDIVIDUALES!L$2:L923, MATCH($A43,MA_INDIVIDUALES!$B$2:$B923,0),1),"CÓDIGO DE EXPEDIENTE INVÁLIDO"))</f>
        <v/>
      </c>
      <c r="I43" s="76"/>
      <c r="J43" s="29"/>
      <c r="K43" s="73"/>
      <c r="L43" s="74" t="str">
        <f>IF(A43="","",IF(K43="","",_xlfn.WORKDAY.INTL(K43,5,1,FERIADOS)))</f>
        <v/>
      </c>
      <c r="M43" s="29"/>
      <c r="N43" s="73"/>
      <c r="O43" s="29"/>
      <c r="P43" s="77" t="str">
        <f t="shared" si="3"/>
        <v/>
      </c>
      <c r="Q43" s="73"/>
      <c r="R43" s="29"/>
      <c r="S43" s="75"/>
      <c r="T43" s="73"/>
      <c r="U43" s="29"/>
      <c r="V43" s="76"/>
      <c r="W43" s="75"/>
      <c r="X43" s="76"/>
      <c r="Y43" s="29" t="str">
        <f t="shared" si="4"/>
        <v/>
      </c>
      <c r="Z43" s="29" t="str">
        <f t="shared" si="5"/>
        <v/>
      </c>
      <c r="AA43" s="29"/>
      <c r="AB43" s="29"/>
      <c r="AC43" s="73"/>
      <c r="AD43" s="73"/>
      <c r="AE43" s="78" t="str">
        <f>IF(U43="","",IF(AD43="","",_xlfn.WORKDAY.INTL(AD43,7,1,FERIADOS)))</f>
        <v/>
      </c>
      <c r="AF43" s="79"/>
      <c r="AG43" s="80" t="str">
        <f t="array" ref="AG43">IF(A43="","",IF(AF43="","",AF43*INDEX(PARAMETROS!F$2:F1106,MATCH(YEAR(AC43),PARAMETROS!E$2:E1106,0),1)))</f>
        <v/>
      </c>
      <c r="AH43" s="81"/>
      <c r="AI43" s="82"/>
      <c r="AJ43" s="81"/>
      <c r="AK43" s="81"/>
      <c r="AL43" s="29"/>
      <c r="AM43" s="75"/>
      <c r="AN43" s="76"/>
      <c r="AO43" s="95"/>
      <c r="AP43" s="96"/>
      <c r="AQ43" s="85" t="str">
        <f t="shared" si="6"/>
        <v/>
      </c>
      <c r="AR43" s="86" t="str">
        <f t="array" ref="AR43">IF(A43="","",IFERROR(INDEX('2) Etapas'!L$3:L923,MATCH(B43,'2) Etapas'!$A$4:$A923,0),1),-1))</f>
        <v/>
      </c>
      <c r="AS43" s="87" t="str">
        <f t="shared" si="7"/>
        <v/>
      </c>
      <c r="AT43" s="87" t="str">
        <f t="shared" si="8"/>
        <v/>
      </c>
      <c r="AU43" s="87" t="str">
        <f t="shared" si="9"/>
        <v/>
      </c>
      <c r="AV43" s="89" t="str">
        <f t="array" ref="AV43">IF(OR($A43="",$AB43="", $AC43=""),"",MAXA(IF($A43=$A$4:$A923,$AC$4:$AC923)))</f>
        <v/>
      </c>
    </row>
    <row r="44" ht="22.5" customHeight="1">
      <c r="A44" s="29"/>
      <c r="B44" s="68" t="str">
        <f t="shared" si="1"/>
        <v/>
      </c>
      <c r="C44" s="69"/>
      <c r="D44" s="70" t="str">
        <f t="shared" si="2"/>
        <v/>
      </c>
      <c r="E44" s="29"/>
      <c r="F44" s="68" t="str">
        <f t="array" ref="F44">IF($A44="","",IFERROR(INDEX(MA_INDIVIDUALES!C$2:C923, MATCH($A44,MA_INDIVIDUALES!$B$2:$B923,0),1),"CÓDIGO DE EXPEDIENTE INVÁLIDO"))</f>
        <v/>
      </c>
      <c r="G44" s="68" t="str">
        <f t="array" ref="G44">IF($A44="","",IFERROR(INDEX(MA_INDIVIDUALES!K$2:K923, MATCH($A44,MA_INDIVIDUALES!$B$2:$B923,0),1),"CÓDIGO DE EXPEDIENTE INVÁLIDO"))</f>
        <v/>
      </c>
      <c r="H44" s="68" t="str">
        <f t="array" ref="H44">IF($A44="","",IFERROR(INDEX(MA_INDIVIDUALES!L$2:L923, MATCH($A44,MA_INDIVIDUALES!$B$2:$B923,0),1),"CÓDIGO DE EXPEDIENTE INVÁLIDO"))</f>
        <v/>
      </c>
      <c r="I44" s="76"/>
      <c r="J44" s="29"/>
      <c r="K44" s="73"/>
      <c r="L44" s="74" t="str">
        <f>IF(A44="","",IF(K44="","",_xlfn.WORKDAY.INTL(K44,5,1,FERIADOS)))</f>
        <v/>
      </c>
      <c r="M44" s="29"/>
      <c r="N44" s="73"/>
      <c r="O44" s="29"/>
      <c r="P44" s="77" t="str">
        <f t="shared" si="3"/>
        <v/>
      </c>
      <c r="Q44" s="73"/>
      <c r="R44" s="29"/>
      <c r="S44" s="75"/>
      <c r="T44" s="73"/>
      <c r="U44" s="29"/>
      <c r="V44" s="76"/>
      <c r="W44" s="75"/>
      <c r="X44" s="76"/>
      <c r="Y44" s="29" t="str">
        <f t="shared" si="4"/>
        <v/>
      </c>
      <c r="Z44" s="29" t="str">
        <f t="shared" si="5"/>
        <v/>
      </c>
      <c r="AA44" s="29"/>
      <c r="AB44" s="29"/>
      <c r="AC44" s="73"/>
      <c r="AD44" s="73"/>
      <c r="AE44" s="78" t="str">
        <f>IF(U44="","",IF(AD44="","",_xlfn.WORKDAY.INTL(AD44,7,1,FERIADOS)))</f>
        <v/>
      </c>
      <c r="AF44" s="79"/>
      <c r="AG44" s="80" t="str">
        <f t="array" ref="AG44">IF(A44="","",IF(AF44="","",AF44*INDEX(PARAMETROS!F$2:F1107,MATCH(YEAR(AC44),PARAMETROS!E$2:E1107,0),1)))</f>
        <v/>
      </c>
      <c r="AH44" s="81"/>
      <c r="AI44" s="82"/>
      <c r="AJ44" s="81"/>
      <c r="AK44" s="81"/>
      <c r="AL44" s="29"/>
      <c r="AM44" s="75"/>
      <c r="AN44" s="76"/>
      <c r="AO44" s="95"/>
      <c r="AP44" s="96"/>
      <c r="AQ44" s="85" t="str">
        <f t="shared" si="6"/>
        <v/>
      </c>
      <c r="AR44" s="86" t="str">
        <f t="array" ref="AR44">IF(A44="","",IFERROR(INDEX('2) Etapas'!L$3:L923,MATCH(B44,'2) Etapas'!$A$4:$A923,0),1),-1))</f>
        <v/>
      </c>
      <c r="AS44" s="87" t="str">
        <f t="shared" si="7"/>
        <v/>
      </c>
      <c r="AT44" s="87" t="str">
        <f t="shared" si="8"/>
        <v/>
      </c>
      <c r="AU44" s="87" t="str">
        <f t="shared" si="9"/>
        <v/>
      </c>
      <c r="AV44" s="89" t="str">
        <f t="array" ref="AV44">IF(OR($A44="",$AB44="", $AC44=""),"",MAXA(IF($A44=$A$4:$A923,$AC$4:$AC923)))</f>
        <v/>
      </c>
    </row>
    <row r="45" ht="22.5" customHeight="1">
      <c r="A45" s="29"/>
      <c r="B45" s="68" t="str">
        <f t="shared" si="1"/>
        <v/>
      </c>
      <c r="C45" s="69"/>
      <c r="D45" s="70" t="str">
        <f t="shared" si="2"/>
        <v/>
      </c>
      <c r="E45" s="29"/>
      <c r="F45" s="68" t="str">
        <f t="array" ref="F45">IF($A45="","",IFERROR(INDEX(MA_INDIVIDUALES!C$2:C923, MATCH($A45,MA_INDIVIDUALES!$B$2:$B923,0),1),"CÓDIGO DE EXPEDIENTE INVÁLIDO"))</f>
        <v/>
      </c>
      <c r="G45" s="68" t="str">
        <f t="array" ref="G45">IF($A45="","",IFERROR(INDEX(MA_INDIVIDUALES!K$2:K923, MATCH($A45,MA_INDIVIDUALES!$B$2:$B923,0),1),"CÓDIGO DE EXPEDIENTE INVÁLIDO"))</f>
        <v/>
      </c>
      <c r="H45" s="68" t="str">
        <f t="array" ref="H45">IF($A45="","",IFERROR(INDEX(MA_INDIVIDUALES!L$2:L923, MATCH($A45,MA_INDIVIDUALES!$B$2:$B923,0),1),"CÓDIGO DE EXPEDIENTE INVÁLIDO"))</f>
        <v/>
      </c>
      <c r="I45" s="76"/>
      <c r="J45" s="29"/>
      <c r="K45" s="73"/>
      <c r="L45" s="74" t="str">
        <f>IF(A45="","",IF(K45="","",_xlfn.WORKDAY.INTL(K45,5,1,FERIADOS)))</f>
        <v/>
      </c>
      <c r="M45" s="29"/>
      <c r="N45" s="73"/>
      <c r="O45" s="29"/>
      <c r="P45" s="77" t="str">
        <f t="shared" si="3"/>
        <v/>
      </c>
      <c r="Q45" s="73"/>
      <c r="R45" s="29"/>
      <c r="S45" s="75"/>
      <c r="T45" s="73"/>
      <c r="U45" s="29"/>
      <c r="V45" s="76"/>
      <c r="W45" s="75"/>
      <c r="X45" s="76"/>
      <c r="Y45" s="29" t="str">
        <f t="shared" si="4"/>
        <v/>
      </c>
      <c r="Z45" s="29" t="str">
        <f t="shared" si="5"/>
        <v/>
      </c>
      <c r="AA45" s="29"/>
      <c r="AB45" s="29"/>
      <c r="AC45" s="73"/>
      <c r="AD45" s="73"/>
      <c r="AE45" s="78" t="str">
        <f>IF(U45="","",IF(AD45="","",_xlfn.WORKDAY.INTL(AD45,7,1,FERIADOS)))</f>
        <v/>
      </c>
      <c r="AF45" s="79"/>
      <c r="AG45" s="80" t="str">
        <f t="array" ref="AG45">IF(A45="","",IF(AF45="","",AF45*INDEX(PARAMETROS!F$2:F1108,MATCH(YEAR(AC45),PARAMETROS!E$2:E1108,0),1)))</f>
        <v/>
      </c>
      <c r="AH45" s="81"/>
      <c r="AI45" s="82"/>
      <c r="AJ45" s="81"/>
      <c r="AK45" s="81"/>
      <c r="AL45" s="29"/>
      <c r="AM45" s="75"/>
      <c r="AN45" s="76"/>
      <c r="AO45" s="95"/>
      <c r="AP45" s="96"/>
      <c r="AQ45" s="85" t="str">
        <f t="shared" si="6"/>
        <v/>
      </c>
      <c r="AR45" s="86" t="str">
        <f t="array" ref="AR45">IF(A45="","",IFERROR(INDEX('2) Etapas'!L$3:L923,MATCH(B45,'2) Etapas'!$A$4:$A923,0),1),-1))</f>
        <v/>
      </c>
      <c r="AS45" s="87" t="str">
        <f t="shared" si="7"/>
        <v/>
      </c>
      <c r="AT45" s="87" t="str">
        <f t="shared" si="8"/>
        <v/>
      </c>
      <c r="AU45" s="87" t="str">
        <f t="shared" si="9"/>
        <v/>
      </c>
      <c r="AV45" s="89" t="str">
        <f t="array" ref="AV45">IF(OR($A45="",$AB45="", $AC45=""),"",MAXA(IF($A45=$A$4:$A923,$AC$4:$AC923)))</f>
        <v/>
      </c>
    </row>
    <row r="46" ht="22.5" customHeight="1">
      <c r="A46" s="29"/>
      <c r="B46" s="68" t="str">
        <f t="shared" si="1"/>
        <v/>
      </c>
      <c r="C46" s="69"/>
      <c r="D46" s="70" t="str">
        <f t="shared" si="2"/>
        <v/>
      </c>
      <c r="E46" s="29"/>
      <c r="F46" s="68" t="str">
        <f t="array" ref="F46">IF($A46="","",IFERROR(INDEX(MA_INDIVIDUALES!C$2:C923, MATCH($A46,MA_INDIVIDUALES!$B$2:$B923,0),1),"CÓDIGO DE EXPEDIENTE INVÁLIDO"))</f>
        <v/>
      </c>
      <c r="G46" s="68" t="str">
        <f t="array" ref="G46">IF($A46="","",IFERROR(INDEX(MA_INDIVIDUALES!K$2:K923, MATCH($A46,MA_INDIVIDUALES!$B$2:$B923,0),1),"CÓDIGO DE EXPEDIENTE INVÁLIDO"))</f>
        <v/>
      </c>
      <c r="H46" s="68" t="str">
        <f t="array" ref="H46">IF($A46="","",IFERROR(INDEX(MA_INDIVIDUALES!L$2:L923, MATCH($A46,MA_INDIVIDUALES!$B$2:$B923,0),1),"CÓDIGO DE EXPEDIENTE INVÁLIDO"))</f>
        <v/>
      </c>
      <c r="I46" s="76"/>
      <c r="J46" s="29"/>
      <c r="K46" s="73"/>
      <c r="L46" s="74" t="str">
        <f>IF(A46="","",IF(K46="","",_xlfn.WORKDAY.INTL(K46,5,1,FERIADOS)))</f>
        <v/>
      </c>
      <c r="M46" s="29"/>
      <c r="N46" s="73"/>
      <c r="O46" s="29"/>
      <c r="P46" s="77" t="str">
        <f t="shared" si="3"/>
        <v/>
      </c>
      <c r="Q46" s="73"/>
      <c r="R46" s="29"/>
      <c r="S46" s="75"/>
      <c r="T46" s="73"/>
      <c r="U46" s="29"/>
      <c r="V46" s="76"/>
      <c r="W46" s="75"/>
      <c r="X46" s="76"/>
      <c r="Y46" s="29" t="str">
        <f t="shared" si="4"/>
        <v/>
      </c>
      <c r="Z46" s="29" t="str">
        <f t="shared" si="5"/>
        <v/>
      </c>
      <c r="AA46" s="29"/>
      <c r="AB46" s="29"/>
      <c r="AC46" s="73"/>
      <c r="AD46" s="73"/>
      <c r="AE46" s="78" t="str">
        <f>IF(U46="","",IF(AD46="","",_xlfn.WORKDAY.INTL(AD46,7,1,FERIADOS)))</f>
        <v/>
      </c>
      <c r="AF46" s="79"/>
      <c r="AG46" s="80" t="str">
        <f t="array" ref="AG46">IF(A46="","",IF(AF46="","",AF46*INDEX(PARAMETROS!F$2:F1109,MATCH(YEAR(AC46),PARAMETROS!E$2:E1109,0),1)))</f>
        <v/>
      </c>
      <c r="AH46" s="81"/>
      <c r="AI46" s="82"/>
      <c r="AJ46" s="81"/>
      <c r="AK46" s="81"/>
      <c r="AL46" s="29"/>
      <c r="AM46" s="75"/>
      <c r="AN46" s="76"/>
      <c r="AO46" s="95"/>
      <c r="AP46" s="96"/>
      <c r="AQ46" s="85" t="str">
        <f t="shared" si="6"/>
        <v/>
      </c>
      <c r="AR46" s="86" t="str">
        <f t="array" ref="AR46">IF(A46="","",IFERROR(INDEX('2) Etapas'!L$3:L923,MATCH(B46,'2) Etapas'!$A$4:$A923,0),1),-1))</f>
        <v/>
      </c>
      <c r="AS46" s="87" t="str">
        <f t="shared" si="7"/>
        <v/>
      </c>
      <c r="AT46" s="87" t="str">
        <f t="shared" si="8"/>
        <v/>
      </c>
      <c r="AU46" s="87" t="str">
        <f t="shared" si="9"/>
        <v/>
      </c>
      <c r="AV46" s="89" t="str">
        <f t="array" ref="AV46">IF(OR($A46="",$AB46="", $AC46=""),"",MAXA(IF($A46=$A$4:$A923,$AC$4:$AC923)))</f>
        <v/>
      </c>
    </row>
    <row r="47" ht="22.5" customHeight="1">
      <c r="A47" s="29"/>
      <c r="B47" s="68" t="str">
        <f t="shared" si="1"/>
        <v/>
      </c>
      <c r="C47" s="69"/>
      <c r="D47" s="70" t="str">
        <f t="shared" si="2"/>
        <v/>
      </c>
      <c r="E47" s="29"/>
      <c r="F47" s="68" t="str">
        <f t="array" ref="F47">IF($A47="","",IFERROR(INDEX(MA_INDIVIDUALES!C$2:C923, MATCH($A47,MA_INDIVIDUALES!$B$2:$B923,0),1),"CÓDIGO DE EXPEDIENTE INVÁLIDO"))</f>
        <v/>
      </c>
      <c r="G47" s="68" t="str">
        <f t="array" ref="G47">IF($A47="","",IFERROR(INDEX(MA_INDIVIDUALES!K$2:K923, MATCH($A47,MA_INDIVIDUALES!$B$2:$B923,0),1),"CÓDIGO DE EXPEDIENTE INVÁLIDO"))</f>
        <v/>
      </c>
      <c r="H47" s="68" t="str">
        <f t="array" ref="H47">IF($A47="","",IFERROR(INDEX(MA_INDIVIDUALES!L$2:L923, MATCH($A47,MA_INDIVIDUALES!$B$2:$B923,0),1),"CÓDIGO DE EXPEDIENTE INVÁLIDO"))</f>
        <v/>
      </c>
      <c r="I47" s="76"/>
      <c r="J47" s="29"/>
      <c r="K47" s="73"/>
      <c r="L47" s="74" t="str">
        <f>IF(A47="","",IF(K47="","",_xlfn.WORKDAY.INTL(K47,5,1,FERIADOS)))</f>
        <v/>
      </c>
      <c r="M47" s="29"/>
      <c r="N47" s="75"/>
      <c r="O47" s="76"/>
      <c r="P47" s="77" t="str">
        <f t="shared" si="3"/>
        <v/>
      </c>
      <c r="Q47" s="73"/>
      <c r="R47" s="29"/>
      <c r="S47" s="75"/>
      <c r="T47" s="73"/>
      <c r="U47" s="29"/>
      <c r="V47" s="76"/>
      <c r="W47" s="75"/>
      <c r="X47" s="76"/>
      <c r="Y47" s="29" t="str">
        <f t="shared" si="4"/>
        <v/>
      </c>
      <c r="Z47" s="29" t="str">
        <f t="shared" si="5"/>
        <v/>
      </c>
      <c r="AA47" s="76"/>
      <c r="AB47" s="29"/>
      <c r="AC47" s="73"/>
      <c r="AD47" s="73"/>
      <c r="AE47" s="78" t="str">
        <f>IF(U47="","",IF(AD47="","",_xlfn.WORKDAY.INTL(AD47,7,1,FERIADOS)))</f>
        <v/>
      </c>
      <c r="AF47" s="79"/>
      <c r="AG47" s="80" t="str">
        <f t="array" ref="AG47">IF(A47="","",IF(AF47="","",AF47*INDEX(PARAMETROS!F$2:F1110,MATCH(YEAR(AC47),PARAMETROS!E$2:E1110,0),1)))</f>
        <v/>
      </c>
      <c r="AH47" s="81"/>
      <c r="AI47" s="82"/>
      <c r="AJ47" s="81"/>
      <c r="AK47" s="81"/>
      <c r="AL47" s="29"/>
      <c r="AM47" s="75"/>
      <c r="AN47" s="76"/>
      <c r="AO47" s="95"/>
      <c r="AP47" s="96"/>
      <c r="AQ47" s="85" t="str">
        <f t="shared" si="6"/>
        <v/>
      </c>
      <c r="AR47" s="86" t="str">
        <f t="array" ref="AR47">IF(A47="","",IFERROR(INDEX('2) Etapas'!L$3:L923,MATCH(B47,'2) Etapas'!$A$4:$A923,0),1),-1))</f>
        <v/>
      </c>
      <c r="AS47" s="87" t="str">
        <f t="shared" si="7"/>
        <v/>
      </c>
      <c r="AT47" s="87" t="str">
        <f t="shared" si="8"/>
        <v/>
      </c>
      <c r="AU47" s="87" t="str">
        <f t="shared" si="9"/>
        <v/>
      </c>
      <c r="AV47" s="89" t="str">
        <f t="array" ref="AV47">IF(OR($A47="",$AB47="", $AC47=""),"",MAXA(IF($A47=$A$4:$A923,$AC$4:$AC923)))</f>
        <v/>
      </c>
    </row>
    <row r="48" ht="22.5" customHeight="1">
      <c r="A48" s="29"/>
      <c r="B48" s="68" t="str">
        <f t="shared" si="1"/>
        <v/>
      </c>
      <c r="C48" s="69"/>
      <c r="D48" s="70" t="str">
        <f t="shared" si="2"/>
        <v/>
      </c>
      <c r="E48" s="29"/>
      <c r="F48" s="68" t="str">
        <f t="array" ref="F48">IF($A48="","",IFERROR(INDEX(MA_INDIVIDUALES!C$2:C923, MATCH($A48,MA_INDIVIDUALES!$B$2:$B923,0),1),"CÓDIGO DE EXPEDIENTE INVÁLIDO"))</f>
        <v/>
      </c>
      <c r="G48" s="68" t="str">
        <f t="array" ref="G48">IF($A48="","",IFERROR(INDEX(MA_INDIVIDUALES!K$2:K923, MATCH($A48,MA_INDIVIDUALES!$B$2:$B923,0),1),"CÓDIGO DE EXPEDIENTE INVÁLIDO"))</f>
        <v/>
      </c>
      <c r="H48" s="68" t="str">
        <f t="array" ref="H48">IF($A48="","",IFERROR(INDEX(MA_INDIVIDUALES!L$2:L923, MATCH($A48,MA_INDIVIDUALES!$B$2:$B923,0),1),"CÓDIGO DE EXPEDIENTE INVÁLIDO"))</f>
        <v/>
      </c>
      <c r="I48" s="76"/>
      <c r="J48" s="29"/>
      <c r="K48" s="73"/>
      <c r="L48" s="74" t="str">
        <f>IF(A48="","",IF(K48="","",_xlfn.WORKDAY.INTL(K48,5,1,FERIADOS)))</f>
        <v/>
      </c>
      <c r="M48" s="29"/>
      <c r="N48" s="75"/>
      <c r="O48" s="76"/>
      <c r="P48" s="77" t="str">
        <f t="shared" si="3"/>
        <v/>
      </c>
      <c r="Q48" s="73"/>
      <c r="R48" s="29"/>
      <c r="S48" s="75"/>
      <c r="T48" s="73"/>
      <c r="U48" s="29"/>
      <c r="V48" s="76"/>
      <c r="W48" s="75"/>
      <c r="X48" s="76"/>
      <c r="Y48" s="29" t="str">
        <f t="shared" si="4"/>
        <v/>
      </c>
      <c r="Z48" s="29" t="str">
        <f t="shared" si="5"/>
        <v/>
      </c>
      <c r="AA48" s="29"/>
      <c r="AB48" s="29"/>
      <c r="AC48" s="73"/>
      <c r="AD48" s="73"/>
      <c r="AE48" s="78" t="str">
        <f>IF(U48="","",IF(AD48="","",_xlfn.WORKDAY.INTL(AD48,7,1,FERIADOS)))</f>
        <v/>
      </c>
      <c r="AF48" s="79"/>
      <c r="AG48" s="80" t="str">
        <f t="array" ref="AG48">IF(A48="","",IF(AF48="","",AF48*INDEX(PARAMETROS!F$2:F1111,MATCH(YEAR(AC48),PARAMETROS!E$2:E1111,0),1)))</f>
        <v/>
      </c>
      <c r="AH48" s="81"/>
      <c r="AI48" s="82"/>
      <c r="AJ48" s="81"/>
      <c r="AK48" s="81"/>
      <c r="AL48" s="29"/>
      <c r="AM48" s="75"/>
      <c r="AN48" s="76"/>
      <c r="AO48" s="95"/>
      <c r="AP48" s="96"/>
      <c r="AQ48" s="85" t="str">
        <f t="shared" si="6"/>
        <v/>
      </c>
      <c r="AR48" s="86" t="str">
        <f t="array" ref="AR48">IF(A48="","",IFERROR(INDEX('2) Etapas'!L$3:L923,MATCH(B48,'2) Etapas'!$A$4:$A923,0),1),-1))</f>
        <v/>
      </c>
      <c r="AS48" s="87" t="str">
        <f t="shared" si="7"/>
        <v/>
      </c>
      <c r="AT48" s="87" t="str">
        <f t="shared" si="8"/>
        <v/>
      </c>
      <c r="AU48" s="87" t="str">
        <f t="shared" si="9"/>
        <v/>
      </c>
      <c r="AV48" s="89" t="str">
        <f t="array" ref="AV48">IF(OR($A48="",$AB48="", $AC48=""),"",MAXA(IF($A48=$A$4:$A923,$AC$4:$AC923)))</f>
        <v/>
      </c>
    </row>
    <row r="49" ht="22.5" customHeight="1">
      <c r="A49" s="29"/>
      <c r="B49" s="68" t="str">
        <f t="shared" si="1"/>
        <v/>
      </c>
      <c r="C49" s="69"/>
      <c r="D49" s="70" t="str">
        <f t="shared" si="2"/>
        <v/>
      </c>
      <c r="E49" s="29"/>
      <c r="F49" s="68" t="str">
        <f t="array" ref="F49">IF($A49="","",IFERROR(INDEX(MA_INDIVIDUALES!C$2:C923, MATCH($A49,MA_INDIVIDUALES!$B$2:$B923,0),1),"CÓDIGO DE EXPEDIENTE INVÁLIDO"))</f>
        <v/>
      </c>
      <c r="G49" s="68" t="str">
        <f t="array" ref="G49">IF($A49="","",IFERROR(INDEX(MA_INDIVIDUALES!K$2:K923, MATCH($A49,MA_INDIVIDUALES!$B$2:$B923,0),1),"CÓDIGO DE EXPEDIENTE INVÁLIDO"))</f>
        <v/>
      </c>
      <c r="H49" s="68" t="str">
        <f t="array" ref="H49">IF($A49="","",IFERROR(INDEX(MA_INDIVIDUALES!L$2:L923, MATCH($A49,MA_INDIVIDUALES!$B$2:$B923,0),1),"CÓDIGO DE EXPEDIENTE INVÁLIDO"))</f>
        <v/>
      </c>
      <c r="I49" s="76"/>
      <c r="J49" s="29"/>
      <c r="K49" s="73"/>
      <c r="L49" s="74" t="str">
        <f>IF(A49="","",IF(K49="","",_xlfn.WORKDAY.INTL(K49,5,1,FERIADOS)))</f>
        <v/>
      </c>
      <c r="M49" s="29"/>
      <c r="N49" s="75"/>
      <c r="O49" s="76"/>
      <c r="P49" s="77" t="str">
        <f t="shared" si="3"/>
        <v/>
      </c>
      <c r="Q49" s="73"/>
      <c r="R49" s="29"/>
      <c r="S49" s="75"/>
      <c r="T49" s="73"/>
      <c r="U49" s="29"/>
      <c r="V49" s="76"/>
      <c r="W49" s="75"/>
      <c r="X49" s="76"/>
      <c r="Y49" s="29" t="str">
        <f t="shared" si="4"/>
        <v/>
      </c>
      <c r="Z49" s="29" t="str">
        <f t="shared" si="5"/>
        <v/>
      </c>
      <c r="AA49" s="76"/>
      <c r="AB49" s="29"/>
      <c r="AC49" s="73"/>
      <c r="AD49" s="73"/>
      <c r="AE49" s="78" t="str">
        <f>IF(U49="","",IF(AD49="","",_xlfn.WORKDAY.INTL(AD49,7,1,FERIADOS)))</f>
        <v/>
      </c>
      <c r="AF49" s="79"/>
      <c r="AG49" s="80" t="str">
        <f t="array" ref="AG49">IF(A49="","",IF(AF49="","",AF49*INDEX(PARAMETROS!F$2:F1112,MATCH(YEAR(AC49),PARAMETROS!E$2:E1112,0),1)))</f>
        <v/>
      </c>
      <c r="AH49" s="81"/>
      <c r="AI49" s="82"/>
      <c r="AJ49" s="81"/>
      <c r="AK49" s="81"/>
      <c r="AL49" s="29"/>
      <c r="AM49" s="75"/>
      <c r="AN49" s="76"/>
      <c r="AO49" s="95"/>
      <c r="AP49" s="96"/>
      <c r="AQ49" s="85" t="str">
        <f t="shared" si="6"/>
        <v/>
      </c>
      <c r="AR49" s="86" t="str">
        <f t="array" ref="AR49">IF(A49="","",IFERROR(INDEX('2) Etapas'!L$3:L923,MATCH(B49,'2) Etapas'!$A$4:$A923,0),1),-1))</f>
        <v/>
      </c>
      <c r="AS49" s="87" t="str">
        <f t="shared" si="7"/>
        <v/>
      </c>
      <c r="AT49" s="87" t="str">
        <f t="shared" si="8"/>
        <v/>
      </c>
      <c r="AU49" s="87" t="str">
        <f t="shared" si="9"/>
        <v/>
      </c>
      <c r="AV49" s="89" t="str">
        <f t="array" ref="AV49">IF(OR($A49="",$AB49="", $AC49=""),"",MAXA(IF($A49=$A$4:$A923,$AC$4:$AC923)))</f>
        <v/>
      </c>
    </row>
    <row r="50" ht="22.5" customHeight="1">
      <c r="A50" s="29"/>
      <c r="B50" s="68" t="str">
        <f t="shared" si="1"/>
        <v/>
      </c>
      <c r="C50" s="69"/>
      <c r="D50" s="70" t="str">
        <f t="shared" si="2"/>
        <v/>
      </c>
      <c r="E50" s="29"/>
      <c r="F50" s="68" t="str">
        <f t="array" ref="F50">IF($A50="","",IFERROR(INDEX(MA_INDIVIDUALES!C$2:C923, MATCH($A50,MA_INDIVIDUALES!$B$2:$B923,0),1),"CÓDIGO DE EXPEDIENTE INVÁLIDO"))</f>
        <v/>
      </c>
      <c r="G50" s="68" t="str">
        <f t="array" ref="G50">IF($A50="","",IFERROR(INDEX(MA_INDIVIDUALES!K$2:K923, MATCH($A50,MA_INDIVIDUALES!$B$2:$B923,0),1),"CÓDIGO DE EXPEDIENTE INVÁLIDO"))</f>
        <v/>
      </c>
      <c r="H50" s="68" t="str">
        <f t="array" ref="H50">IF($A50="","",IFERROR(INDEX(MA_INDIVIDUALES!L$2:L923, MATCH($A50,MA_INDIVIDUALES!$B$2:$B923,0),1),"CÓDIGO DE EXPEDIENTE INVÁLIDO"))</f>
        <v/>
      </c>
      <c r="I50" s="76"/>
      <c r="J50" s="29"/>
      <c r="K50" s="73"/>
      <c r="L50" s="74" t="str">
        <f>IF(A50="","",IF(K50="","",_xlfn.WORKDAY.INTL(K50,5,1,FERIADOS)))</f>
        <v/>
      </c>
      <c r="M50" s="29"/>
      <c r="N50" s="75"/>
      <c r="O50" s="76"/>
      <c r="P50" s="77" t="str">
        <f t="shared" si="3"/>
        <v/>
      </c>
      <c r="Q50" s="73"/>
      <c r="R50" s="29"/>
      <c r="S50" s="75"/>
      <c r="T50" s="73"/>
      <c r="U50" s="29"/>
      <c r="V50" s="76"/>
      <c r="W50" s="75"/>
      <c r="X50" s="76"/>
      <c r="Y50" s="29" t="str">
        <f t="shared" si="4"/>
        <v/>
      </c>
      <c r="Z50" s="29" t="str">
        <f t="shared" si="5"/>
        <v/>
      </c>
      <c r="AA50" s="76"/>
      <c r="AB50" s="29"/>
      <c r="AC50" s="73"/>
      <c r="AD50" s="73"/>
      <c r="AE50" s="78" t="str">
        <f>IF(U50="","",IF(AD50="","",_xlfn.WORKDAY.INTL(AD50,7,1,FERIADOS)))</f>
        <v/>
      </c>
      <c r="AF50" s="79"/>
      <c r="AG50" s="80" t="str">
        <f t="array" ref="AG50">IF(A50="","",IF(AF50="","",AF50*INDEX(PARAMETROS!F$2:F1113,MATCH(YEAR(AC50),PARAMETROS!E$2:E1113,0),1)))</f>
        <v/>
      </c>
      <c r="AH50" s="81"/>
      <c r="AI50" s="82"/>
      <c r="AJ50" s="81"/>
      <c r="AK50" s="81"/>
      <c r="AL50" s="29"/>
      <c r="AM50" s="75"/>
      <c r="AN50" s="76"/>
      <c r="AO50" s="95"/>
      <c r="AP50" s="96"/>
      <c r="AQ50" s="85" t="str">
        <f t="shared" si="6"/>
        <v/>
      </c>
      <c r="AR50" s="86" t="str">
        <f t="array" ref="AR50">IF(A50="","",IFERROR(INDEX('2) Etapas'!L$3:L923,MATCH(B50,'2) Etapas'!$A$4:$A923,0),1),-1))</f>
        <v/>
      </c>
      <c r="AS50" s="87" t="str">
        <f t="shared" si="7"/>
        <v/>
      </c>
      <c r="AT50" s="87" t="str">
        <f t="shared" si="8"/>
        <v/>
      </c>
      <c r="AU50" s="87" t="str">
        <f t="shared" si="9"/>
        <v/>
      </c>
      <c r="AV50" s="89" t="str">
        <f t="array" ref="AV50">IF(OR($A50="",$AB50="", $AC50=""),"",MAXA(IF($A50=$A$4:$A923,$AC$4:$AC923)))</f>
        <v/>
      </c>
    </row>
    <row r="51" ht="22.5" customHeight="1">
      <c r="A51" s="29"/>
      <c r="B51" s="68" t="str">
        <f t="shared" si="1"/>
        <v/>
      </c>
      <c r="C51" s="69"/>
      <c r="D51" s="70" t="str">
        <f t="shared" si="2"/>
        <v/>
      </c>
      <c r="E51" s="29"/>
      <c r="F51" s="68" t="str">
        <f t="array" ref="F51">IF($A51="","",IFERROR(INDEX(MA_INDIVIDUALES!C$2:C923, MATCH($A51,MA_INDIVIDUALES!$B$2:$B923,0),1),"CÓDIGO DE EXPEDIENTE INVÁLIDO"))</f>
        <v/>
      </c>
      <c r="G51" s="68" t="str">
        <f t="array" ref="G51">IF($A51="","",IFERROR(INDEX(MA_INDIVIDUALES!K$2:K923, MATCH($A51,MA_INDIVIDUALES!$B$2:$B923,0),1),"CÓDIGO DE EXPEDIENTE INVÁLIDO"))</f>
        <v/>
      </c>
      <c r="H51" s="68" t="str">
        <f t="array" ref="H51">IF($A51="","",IFERROR(INDEX(MA_INDIVIDUALES!L$2:L923, MATCH($A51,MA_INDIVIDUALES!$B$2:$B923,0),1),"CÓDIGO DE EXPEDIENTE INVÁLIDO"))</f>
        <v/>
      </c>
      <c r="I51" s="76"/>
      <c r="J51" s="29"/>
      <c r="K51" s="73"/>
      <c r="L51" s="74" t="str">
        <f>IF(A51="","",IF(K51="","",_xlfn.WORKDAY.INTL(K51,5,1,FERIADOS)))</f>
        <v/>
      </c>
      <c r="M51" s="29"/>
      <c r="N51" s="75"/>
      <c r="O51" s="76"/>
      <c r="P51" s="77" t="str">
        <f t="shared" si="3"/>
        <v/>
      </c>
      <c r="Q51" s="73"/>
      <c r="R51" s="29"/>
      <c r="S51" s="75"/>
      <c r="T51" s="73"/>
      <c r="U51" s="29"/>
      <c r="V51" s="76"/>
      <c r="W51" s="75"/>
      <c r="X51" s="76"/>
      <c r="Y51" s="29" t="str">
        <f t="shared" si="4"/>
        <v/>
      </c>
      <c r="Z51" s="29" t="str">
        <f t="shared" si="5"/>
        <v/>
      </c>
      <c r="AA51" s="76"/>
      <c r="AB51" s="29"/>
      <c r="AC51" s="73"/>
      <c r="AD51" s="73"/>
      <c r="AE51" s="78" t="str">
        <f>IF(U51="","",IF(AD51="","",_xlfn.WORKDAY.INTL(AD51,7,1,FERIADOS)))</f>
        <v/>
      </c>
      <c r="AF51" s="79"/>
      <c r="AG51" s="80" t="str">
        <f t="array" ref="AG51">IF(A51="","",IF(AF51="","",AF51*INDEX(PARAMETROS!F$2:F1114,MATCH(YEAR(AC51),PARAMETROS!E$2:E1114,0),1)))</f>
        <v/>
      </c>
      <c r="AH51" s="81"/>
      <c r="AI51" s="82"/>
      <c r="AJ51" s="81"/>
      <c r="AK51" s="81"/>
      <c r="AL51" s="29"/>
      <c r="AM51" s="75"/>
      <c r="AN51" s="76"/>
      <c r="AO51" s="95"/>
      <c r="AP51" s="96"/>
      <c r="AQ51" s="85" t="str">
        <f t="shared" si="6"/>
        <v/>
      </c>
      <c r="AR51" s="86" t="str">
        <f t="array" ref="AR51">IF(A51="","",IFERROR(INDEX('2) Etapas'!L$3:L923,MATCH(B51,'2) Etapas'!$A$4:$A923,0),1),-1))</f>
        <v/>
      </c>
      <c r="AS51" s="87" t="str">
        <f t="shared" si="7"/>
        <v/>
      </c>
      <c r="AT51" s="87" t="str">
        <f t="shared" si="8"/>
        <v/>
      </c>
      <c r="AU51" s="87" t="str">
        <f t="shared" si="9"/>
        <v/>
      </c>
      <c r="AV51" s="89" t="str">
        <f t="array" ref="AV51">IF(OR($A51="",$AB51="", $AC51=""),"",MAXA(IF($A51=$A$4:$A923,$AC$4:$AC923)))</f>
        <v/>
      </c>
    </row>
    <row r="52" ht="22.5" customHeight="1">
      <c r="A52" s="29"/>
      <c r="B52" s="68" t="str">
        <f t="shared" si="1"/>
        <v/>
      </c>
      <c r="C52" s="69"/>
      <c r="D52" s="70" t="str">
        <f t="shared" si="2"/>
        <v/>
      </c>
      <c r="E52" s="29"/>
      <c r="F52" s="68" t="str">
        <f t="array" ref="F52">IF($A52="","",IFERROR(INDEX(MA_INDIVIDUALES!C$2:C923, MATCH($A52,MA_INDIVIDUALES!$B$2:$B923,0),1),"CÓDIGO DE EXPEDIENTE INVÁLIDO"))</f>
        <v/>
      </c>
      <c r="G52" s="68" t="str">
        <f t="array" ref="G52">IF($A52="","",IFERROR(INDEX(MA_INDIVIDUALES!K$2:K923, MATCH($A52,MA_INDIVIDUALES!$B$2:$B923,0),1),"CÓDIGO DE EXPEDIENTE INVÁLIDO"))</f>
        <v/>
      </c>
      <c r="H52" s="68" t="str">
        <f t="array" ref="H52">IF($A52="","",IFERROR(INDEX(MA_INDIVIDUALES!L$2:L923, MATCH($A52,MA_INDIVIDUALES!$B$2:$B923,0),1),"CÓDIGO DE EXPEDIENTE INVÁLIDO"))</f>
        <v/>
      </c>
      <c r="I52" s="76"/>
      <c r="J52" s="29"/>
      <c r="K52" s="73"/>
      <c r="L52" s="74" t="str">
        <f>IF(A52="","",IF(K52="","",_xlfn.WORKDAY.INTL(K52,5,1,FERIADOS)))</f>
        <v/>
      </c>
      <c r="M52" s="29"/>
      <c r="N52" s="75"/>
      <c r="O52" s="76"/>
      <c r="P52" s="77" t="str">
        <f t="shared" si="3"/>
        <v/>
      </c>
      <c r="Q52" s="73"/>
      <c r="R52" s="29"/>
      <c r="S52" s="75"/>
      <c r="T52" s="73"/>
      <c r="U52" s="29"/>
      <c r="V52" s="76"/>
      <c r="W52" s="75"/>
      <c r="X52" s="76"/>
      <c r="Y52" s="29" t="str">
        <f t="shared" si="4"/>
        <v/>
      </c>
      <c r="Z52" s="29" t="str">
        <f t="shared" si="5"/>
        <v/>
      </c>
      <c r="AA52" s="76"/>
      <c r="AB52" s="29"/>
      <c r="AC52" s="73"/>
      <c r="AD52" s="73"/>
      <c r="AE52" s="78" t="str">
        <f>IF(U52="","",IF(AD52="","",_xlfn.WORKDAY.INTL(AD52,7,1,FERIADOS)))</f>
        <v/>
      </c>
      <c r="AF52" s="79"/>
      <c r="AG52" s="80" t="str">
        <f t="array" ref="AG52">IF(A52="","",IF(AF52="","",AF52*INDEX(PARAMETROS!F$2:F1115,MATCH(YEAR(AC52),PARAMETROS!E$2:E1115,0),1)))</f>
        <v/>
      </c>
      <c r="AH52" s="81"/>
      <c r="AI52" s="82"/>
      <c r="AJ52" s="81"/>
      <c r="AK52" s="81"/>
      <c r="AL52" s="29"/>
      <c r="AM52" s="75"/>
      <c r="AN52" s="76"/>
      <c r="AO52" s="95"/>
      <c r="AP52" s="96"/>
      <c r="AQ52" s="85" t="str">
        <f t="shared" si="6"/>
        <v/>
      </c>
      <c r="AR52" s="86" t="str">
        <f t="array" ref="AR52">IF(A52="","",IFERROR(INDEX('2) Etapas'!L$3:L923,MATCH(B52,'2) Etapas'!$A$4:$A923,0),1),-1))</f>
        <v/>
      </c>
      <c r="AS52" s="87" t="str">
        <f t="shared" si="7"/>
        <v/>
      </c>
      <c r="AT52" s="87" t="str">
        <f t="shared" si="8"/>
        <v/>
      </c>
      <c r="AU52" s="87" t="str">
        <f t="shared" si="9"/>
        <v/>
      </c>
      <c r="AV52" s="89" t="str">
        <f t="array" ref="AV52">IF(OR($A52="",$AB52="", $AC52=""),"",MAXA(IF($A52=$A$4:$A923,$AC$4:$AC923)))</f>
        <v/>
      </c>
    </row>
    <row r="53" ht="22.5" customHeight="1">
      <c r="A53" s="29"/>
      <c r="B53" s="68" t="str">
        <f t="shared" si="1"/>
        <v/>
      </c>
      <c r="C53" s="69"/>
      <c r="D53" s="70" t="str">
        <f t="shared" si="2"/>
        <v/>
      </c>
      <c r="E53" s="29"/>
      <c r="F53" s="68" t="str">
        <f t="array" ref="F53">IF($A53="","",IFERROR(INDEX(MA_INDIVIDUALES!C$2:C923, MATCH($A53,MA_INDIVIDUALES!$B$2:$B923,0),1),"CÓDIGO DE EXPEDIENTE INVÁLIDO"))</f>
        <v/>
      </c>
      <c r="G53" s="68" t="str">
        <f t="array" ref="G53">IF($A53="","",IFERROR(INDEX(MA_INDIVIDUALES!K$2:K923, MATCH($A53,MA_INDIVIDUALES!$B$2:$B923,0),1),"CÓDIGO DE EXPEDIENTE INVÁLIDO"))</f>
        <v/>
      </c>
      <c r="H53" s="68" t="str">
        <f t="array" ref="H53">IF($A53="","",IFERROR(INDEX(MA_INDIVIDUALES!L$2:L923, MATCH($A53,MA_INDIVIDUALES!$B$2:$B923,0),1),"CÓDIGO DE EXPEDIENTE INVÁLIDO"))</f>
        <v/>
      </c>
      <c r="I53" s="76"/>
      <c r="J53" s="29"/>
      <c r="K53" s="73"/>
      <c r="L53" s="74" t="str">
        <f>IF(A53="","",IF(K53="","",_xlfn.WORKDAY.INTL(K53,5,1,FERIADOS)))</f>
        <v/>
      </c>
      <c r="M53" s="29"/>
      <c r="N53" s="75"/>
      <c r="O53" s="76"/>
      <c r="P53" s="77" t="str">
        <f t="shared" si="3"/>
        <v/>
      </c>
      <c r="Q53" s="73"/>
      <c r="R53" s="29"/>
      <c r="S53" s="75"/>
      <c r="T53" s="73"/>
      <c r="U53" s="29"/>
      <c r="V53" s="76"/>
      <c r="W53" s="75"/>
      <c r="X53" s="76"/>
      <c r="Y53" s="29" t="str">
        <f t="shared" si="4"/>
        <v/>
      </c>
      <c r="Z53" s="29" t="str">
        <f t="shared" si="5"/>
        <v/>
      </c>
      <c r="AA53" s="76"/>
      <c r="AB53" s="29"/>
      <c r="AC53" s="73"/>
      <c r="AD53" s="73"/>
      <c r="AE53" s="78" t="str">
        <f>IF(U53="","",IF(AD53="","",_xlfn.WORKDAY.INTL(AD53,7,1,FERIADOS)))</f>
        <v/>
      </c>
      <c r="AF53" s="79"/>
      <c r="AG53" s="80" t="str">
        <f t="array" ref="AG53">IF(A53="","",IF(AF53="","",AF53*INDEX(PARAMETROS!F$2:F1116,MATCH(YEAR(AC53),PARAMETROS!E$2:E1116,0),1)))</f>
        <v/>
      </c>
      <c r="AH53" s="81"/>
      <c r="AI53" s="82"/>
      <c r="AJ53" s="81"/>
      <c r="AK53" s="81"/>
      <c r="AL53" s="29"/>
      <c r="AM53" s="75"/>
      <c r="AN53" s="76"/>
      <c r="AO53" s="95"/>
      <c r="AP53" s="96"/>
      <c r="AQ53" s="85" t="str">
        <f t="shared" si="6"/>
        <v/>
      </c>
      <c r="AR53" s="86" t="str">
        <f t="array" ref="AR53">IF(A53="","",IFERROR(INDEX('2) Etapas'!L$3:L923,MATCH(B53,'2) Etapas'!$A$4:$A923,0),1),-1))</f>
        <v/>
      </c>
      <c r="AS53" s="87" t="str">
        <f t="shared" si="7"/>
        <v/>
      </c>
      <c r="AT53" s="87" t="str">
        <f t="shared" si="8"/>
        <v/>
      </c>
      <c r="AU53" s="87" t="str">
        <f t="shared" si="9"/>
        <v/>
      </c>
      <c r="AV53" s="89" t="str">
        <f t="array" ref="AV53">IF(OR($A53="",$AB53="", $AC53=""),"",MAXA(IF($A53=$A$4:$A923,$AC$4:$AC923)))</f>
        <v/>
      </c>
    </row>
    <row r="54" ht="22.5" customHeight="1">
      <c r="A54" s="29"/>
      <c r="B54" s="68" t="str">
        <f t="shared" si="1"/>
        <v/>
      </c>
      <c r="C54" s="69"/>
      <c r="D54" s="70" t="str">
        <f t="shared" si="2"/>
        <v/>
      </c>
      <c r="E54" s="29"/>
      <c r="F54" s="68" t="str">
        <f t="array" ref="F54">IF($A54="","",IFERROR(INDEX(MA_INDIVIDUALES!C$2:C923, MATCH($A54,MA_INDIVIDUALES!$B$2:$B923,0),1),"CÓDIGO DE EXPEDIENTE INVÁLIDO"))</f>
        <v/>
      </c>
      <c r="G54" s="68" t="str">
        <f t="array" ref="G54">IF($A54="","",IFERROR(INDEX(MA_INDIVIDUALES!K$2:K923, MATCH($A54,MA_INDIVIDUALES!$B$2:$B923,0),1),"CÓDIGO DE EXPEDIENTE INVÁLIDO"))</f>
        <v/>
      </c>
      <c r="H54" s="68" t="str">
        <f t="array" ref="H54">IF($A54="","",IFERROR(INDEX(MA_INDIVIDUALES!L$2:L923, MATCH($A54,MA_INDIVIDUALES!$B$2:$B923,0),1),"CÓDIGO DE EXPEDIENTE INVÁLIDO"))</f>
        <v/>
      </c>
      <c r="I54" s="76"/>
      <c r="J54" s="29"/>
      <c r="K54" s="73"/>
      <c r="L54" s="74" t="str">
        <f>IF(A54="","",IF(K54="","",_xlfn.WORKDAY.INTL(K54,5,1,FERIADOS)))</f>
        <v/>
      </c>
      <c r="M54" s="29"/>
      <c r="N54" s="75"/>
      <c r="O54" s="76"/>
      <c r="P54" s="77" t="str">
        <f t="shared" si="3"/>
        <v/>
      </c>
      <c r="Q54" s="73"/>
      <c r="R54" s="29"/>
      <c r="S54" s="75"/>
      <c r="T54" s="73"/>
      <c r="U54" s="29"/>
      <c r="V54" s="76"/>
      <c r="W54" s="75"/>
      <c r="X54" s="76"/>
      <c r="Y54" s="29" t="str">
        <f t="shared" si="4"/>
        <v/>
      </c>
      <c r="Z54" s="29" t="str">
        <f t="shared" si="5"/>
        <v/>
      </c>
      <c r="AA54" s="76"/>
      <c r="AB54" s="29"/>
      <c r="AC54" s="73"/>
      <c r="AD54" s="73"/>
      <c r="AE54" s="78" t="str">
        <f>IF(U54="","",IF(AD54="","",_xlfn.WORKDAY.INTL(AD54,7,1,FERIADOS)))</f>
        <v/>
      </c>
      <c r="AF54" s="79"/>
      <c r="AG54" s="80" t="str">
        <f t="array" ref="AG54">IF(A54="","",IF(AF54="","",AF54*INDEX(PARAMETROS!F$2:F1117,MATCH(YEAR(AC54),PARAMETROS!E$2:E1117,0),1)))</f>
        <v/>
      </c>
      <c r="AH54" s="81"/>
      <c r="AI54" s="82"/>
      <c r="AJ54" s="81"/>
      <c r="AK54" s="81"/>
      <c r="AL54" s="29"/>
      <c r="AM54" s="75"/>
      <c r="AN54" s="76"/>
      <c r="AO54" s="95"/>
      <c r="AP54" s="96"/>
      <c r="AQ54" s="85" t="str">
        <f t="shared" si="6"/>
        <v/>
      </c>
      <c r="AR54" s="86" t="str">
        <f t="array" ref="AR54">IF(A54="","",IFERROR(INDEX('2) Etapas'!L$3:L923,MATCH(B54,'2) Etapas'!$A$4:$A923,0),1),-1))</f>
        <v/>
      </c>
      <c r="AS54" s="87" t="str">
        <f t="shared" si="7"/>
        <v/>
      </c>
      <c r="AT54" s="87" t="str">
        <f t="shared" si="8"/>
        <v/>
      </c>
      <c r="AU54" s="87" t="str">
        <f t="shared" si="9"/>
        <v/>
      </c>
      <c r="AV54" s="89" t="str">
        <f t="array" ref="AV54">IF(OR($A54="",$AB54="", $AC54=""),"",MAXA(IF($A54=$A$4:$A923,$AC$4:$AC923)))</f>
        <v/>
      </c>
    </row>
    <row r="55" ht="22.5" customHeight="1">
      <c r="A55" s="29"/>
      <c r="B55" s="68" t="str">
        <f t="shared" si="1"/>
        <v/>
      </c>
      <c r="C55" s="69"/>
      <c r="D55" s="70" t="str">
        <f t="shared" si="2"/>
        <v/>
      </c>
      <c r="E55" s="29"/>
      <c r="F55" s="68" t="str">
        <f t="array" ref="F55">IF($A55="","",IFERROR(INDEX(MA_INDIVIDUALES!C$2:C923, MATCH($A55,MA_INDIVIDUALES!$B$2:$B923,0),1),"CÓDIGO DE EXPEDIENTE INVÁLIDO"))</f>
        <v/>
      </c>
      <c r="G55" s="68" t="str">
        <f t="array" ref="G55">IF($A55="","",IFERROR(INDEX(MA_INDIVIDUALES!K$2:K923, MATCH($A55,MA_INDIVIDUALES!$B$2:$B923,0),1),"CÓDIGO DE EXPEDIENTE INVÁLIDO"))</f>
        <v/>
      </c>
      <c r="H55" s="68" t="str">
        <f t="array" ref="H55">IF($A55="","",IFERROR(INDEX(MA_INDIVIDUALES!L$2:L923, MATCH($A55,MA_INDIVIDUALES!$B$2:$B923,0),1),"CÓDIGO DE EXPEDIENTE INVÁLIDO"))</f>
        <v/>
      </c>
      <c r="I55" s="76"/>
      <c r="J55" s="29"/>
      <c r="K55" s="73"/>
      <c r="L55" s="74" t="str">
        <f>IF(A55="","",IF(K55="","",_xlfn.WORKDAY.INTL(K55,5,1,FERIADOS)))</f>
        <v/>
      </c>
      <c r="M55" s="29"/>
      <c r="N55" s="75"/>
      <c r="O55" s="76"/>
      <c r="P55" s="77" t="str">
        <f t="shared" si="3"/>
        <v/>
      </c>
      <c r="Q55" s="73"/>
      <c r="R55" s="29"/>
      <c r="S55" s="75"/>
      <c r="T55" s="73"/>
      <c r="U55" s="29"/>
      <c r="V55" s="76"/>
      <c r="W55" s="75"/>
      <c r="X55" s="76"/>
      <c r="Y55" s="29" t="str">
        <f t="shared" si="4"/>
        <v/>
      </c>
      <c r="Z55" s="29" t="str">
        <f t="shared" si="5"/>
        <v/>
      </c>
      <c r="AA55" s="76"/>
      <c r="AB55" s="29"/>
      <c r="AC55" s="73"/>
      <c r="AD55" s="73"/>
      <c r="AE55" s="78" t="str">
        <f>IF(U55="","",IF(AD55="","",_xlfn.WORKDAY.INTL(AD55,7,1,FERIADOS)))</f>
        <v/>
      </c>
      <c r="AF55" s="79"/>
      <c r="AG55" s="80" t="str">
        <f t="array" ref="AG55">IF(A55="","",IF(AF55="","",AF55*INDEX(PARAMETROS!F$2:F1118,MATCH(YEAR(AC55),PARAMETROS!E$2:E1118,0),1)))</f>
        <v/>
      </c>
      <c r="AH55" s="81"/>
      <c r="AI55" s="82"/>
      <c r="AJ55" s="81"/>
      <c r="AK55" s="81"/>
      <c r="AL55" s="29"/>
      <c r="AM55" s="75"/>
      <c r="AN55" s="76"/>
      <c r="AO55" s="95"/>
      <c r="AP55" s="96"/>
      <c r="AQ55" s="85" t="str">
        <f t="shared" si="6"/>
        <v/>
      </c>
      <c r="AR55" s="86" t="str">
        <f t="array" ref="AR55">IF(A55="","",IFERROR(INDEX('2) Etapas'!L$3:L923,MATCH(B55,'2) Etapas'!$A$4:$A923,0),1),-1))</f>
        <v/>
      </c>
      <c r="AS55" s="87" t="str">
        <f t="shared" si="7"/>
        <v/>
      </c>
      <c r="AT55" s="87" t="str">
        <f t="shared" si="8"/>
        <v/>
      </c>
      <c r="AU55" s="87" t="str">
        <f t="shared" si="9"/>
        <v/>
      </c>
      <c r="AV55" s="89" t="str">
        <f t="array" ref="AV55">IF(OR($A55="",$AB55="", $AC55=""),"",MAXA(IF($A55=$A$4:$A923,$AC$4:$AC923)))</f>
        <v/>
      </c>
    </row>
    <row r="56" ht="22.5" customHeight="1">
      <c r="A56" s="29"/>
      <c r="B56" s="68" t="str">
        <f t="shared" si="1"/>
        <v/>
      </c>
      <c r="C56" s="69"/>
      <c r="D56" s="70" t="str">
        <f t="shared" si="2"/>
        <v/>
      </c>
      <c r="E56" s="29"/>
      <c r="F56" s="68" t="str">
        <f t="array" ref="F56">IF($A56="","",IFERROR(INDEX(MA_INDIVIDUALES!C$2:C923, MATCH($A56,MA_INDIVIDUALES!$B$2:$B923,0),1),"CÓDIGO DE EXPEDIENTE INVÁLIDO"))</f>
        <v/>
      </c>
      <c r="G56" s="68" t="str">
        <f t="array" ref="G56">IF($A56="","",IFERROR(INDEX(MA_INDIVIDUALES!K$2:K923, MATCH($A56,MA_INDIVIDUALES!$B$2:$B923,0),1),"CÓDIGO DE EXPEDIENTE INVÁLIDO"))</f>
        <v/>
      </c>
      <c r="H56" s="68" t="str">
        <f t="array" ref="H56">IF($A56="","",IFERROR(INDEX(MA_INDIVIDUALES!L$2:L923, MATCH($A56,MA_INDIVIDUALES!$B$2:$B923,0),1),"CÓDIGO DE EXPEDIENTE INVÁLIDO"))</f>
        <v/>
      </c>
      <c r="I56" s="76"/>
      <c r="J56" s="29"/>
      <c r="K56" s="73"/>
      <c r="L56" s="74" t="str">
        <f>IF(A56="","",IF(K56="","",_xlfn.WORKDAY.INTL(K56,5,1,FERIADOS)))</f>
        <v/>
      </c>
      <c r="M56" s="29"/>
      <c r="N56" s="75"/>
      <c r="O56" s="76"/>
      <c r="P56" s="77" t="str">
        <f t="shared" si="3"/>
        <v/>
      </c>
      <c r="Q56" s="73"/>
      <c r="R56" s="29"/>
      <c r="S56" s="75"/>
      <c r="T56" s="73"/>
      <c r="U56" s="29"/>
      <c r="V56" s="76"/>
      <c r="W56" s="75"/>
      <c r="X56" s="76"/>
      <c r="Y56" s="29" t="str">
        <f t="shared" si="4"/>
        <v/>
      </c>
      <c r="Z56" s="29" t="str">
        <f t="shared" si="5"/>
        <v/>
      </c>
      <c r="AA56" s="76"/>
      <c r="AB56" s="29"/>
      <c r="AC56" s="73"/>
      <c r="AD56" s="73"/>
      <c r="AE56" s="78" t="str">
        <f>IF(U56="","",IF(AD56="","",_xlfn.WORKDAY.INTL(AD56,7,1,FERIADOS)))</f>
        <v/>
      </c>
      <c r="AF56" s="79"/>
      <c r="AG56" s="80" t="str">
        <f t="array" ref="AG56">IF(A56="","",IF(AF56="","",AF56*INDEX(PARAMETROS!F$2:F1119,MATCH(YEAR(AC56),PARAMETROS!E$2:E1119,0),1)))</f>
        <v/>
      </c>
      <c r="AH56" s="81"/>
      <c r="AI56" s="82"/>
      <c r="AJ56" s="81"/>
      <c r="AK56" s="81"/>
      <c r="AL56" s="29"/>
      <c r="AM56" s="75"/>
      <c r="AN56" s="76"/>
      <c r="AO56" s="95"/>
      <c r="AP56" s="96"/>
      <c r="AQ56" s="85" t="str">
        <f t="shared" si="6"/>
        <v/>
      </c>
      <c r="AR56" s="86" t="str">
        <f t="array" ref="AR56">IF(A56="","",IFERROR(INDEX('2) Etapas'!L$3:L923,MATCH(B56,'2) Etapas'!$A$4:$A923,0),1),-1))</f>
        <v/>
      </c>
      <c r="AS56" s="87" t="str">
        <f t="shared" si="7"/>
        <v/>
      </c>
      <c r="AT56" s="87" t="str">
        <f t="shared" si="8"/>
        <v/>
      </c>
      <c r="AU56" s="87" t="str">
        <f t="shared" si="9"/>
        <v/>
      </c>
      <c r="AV56" s="89" t="str">
        <f t="array" ref="AV56">IF(OR($A56="",$AB56="", $AC56=""),"",MAXA(IF($A56=$A$4:$A923,$AC$4:$AC923)))</f>
        <v/>
      </c>
    </row>
    <row r="57" ht="22.5" customHeight="1">
      <c r="A57" s="29"/>
      <c r="B57" s="68" t="str">
        <f t="shared" si="1"/>
        <v/>
      </c>
      <c r="C57" s="69"/>
      <c r="D57" s="70" t="str">
        <f t="shared" si="2"/>
        <v/>
      </c>
      <c r="E57" s="29"/>
      <c r="F57" s="68" t="str">
        <f t="array" ref="F57">IF($A57="","",IFERROR(INDEX(MA_INDIVIDUALES!C$2:C923, MATCH($A57,MA_INDIVIDUALES!$B$2:$B923,0),1),"CÓDIGO DE EXPEDIENTE INVÁLIDO"))</f>
        <v/>
      </c>
      <c r="G57" s="68" t="str">
        <f t="array" ref="G57">IF($A57="","",IFERROR(INDEX(MA_INDIVIDUALES!K$2:K923, MATCH($A57,MA_INDIVIDUALES!$B$2:$B923,0),1),"CÓDIGO DE EXPEDIENTE INVÁLIDO"))</f>
        <v/>
      </c>
      <c r="H57" s="68" t="str">
        <f t="array" ref="H57">IF($A57="","",IFERROR(INDEX(MA_INDIVIDUALES!L$2:L923, MATCH($A57,MA_INDIVIDUALES!$B$2:$B923,0),1),"CÓDIGO DE EXPEDIENTE INVÁLIDO"))</f>
        <v/>
      </c>
      <c r="I57" s="76"/>
      <c r="J57" s="29"/>
      <c r="K57" s="73"/>
      <c r="L57" s="74" t="str">
        <f>IF(A57="","",IF(K57="","",_xlfn.WORKDAY.INTL(K57,5,1,FERIADOS)))</f>
        <v/>
      </c>
      <c r="M57" s="29"/>
      <c r="N57" s="75"/>
      <c r="O57" s="76"/>
      <c r="P57" s="77" t="str">
        <f t="shared" si="3"/>
        <v/>
      </c>
      <c r="Q57" s="73"/>
      <c r="R57" s="29"/>
      <c r="S57" s="75"/>
      <c r="T57" s="73"/>
      <c r="U57" s="29"/>
      <c r="V57" s="76"/>
      <c r="W57" s="75"/>
      <c r="X57" s="76"/>
      <c r="Y57" s="29" t="str">
        <f t="shared" si="4"/>
        <v/>
      </c>
      <c r="Z57" s="29" t="str">
        <f t="shared" si="5"/>
        <v/>
      </c>
      <c r="AA57" s="76"/>
      <c r="AB57" s="29"/>
      <c r="AC57" s="73"/>
      <c r="AD57" s="73"/>
      <c r="AE57" s="78" t="str">
        <f>IF(U57="","",IF(AD57="","",_xlfn.WORKDAY.INTL(AD57,7,1,FERIADOS)))</f>
        <v/>
      </c>
      <c r="AF57" s="79"/>
      <c r="AG57" s="80" t="str">
        <f t="array" ref="AG57">IF(A57="","",IF(AF57="","",AF57*INDEX(PARAMETROS!F$2:F1120,MATCH(YEAR(AC57),PARAMETROS!E$2:E1120,0),1)))</f>
        <v/>
      </c>
      <c r="AH57" s="81"/>
      <c r="AI57" s="82"/>
      <c r="AJ57" s="81"/>
      <c r="AK57" s="81"/>
      <c r="AL57" s="29"/>
      <c r="AM57" s="75"/>
      <c r="AN57" s="76"/>
      <c r="AO57" s="95"/>
      <c r="AP57" s="96"/>
      <c r="AQ57" s="85" t="str">
        <f t="shared" si="6"/>
        <v/>
      </c>
      <c r="AR57" s="86" t="str">
        <f t="array" ref="AR57">IF(A57="","",IFERROR(INDEX('2) Etapas'!L$3:L923,MATCH(B57,'2) Etapas'!$A$4:$A923,0),1),-1))</f>
        <v/>
      </c>
      <c r="AS57" s="87" t="str">
        <f t="shared" si="7"/>
        <v/>
      </c>
      <c r="AT57" s="87" t="str">
        <f t="shared" si="8"/>
        <v/>
      </c>
      <c r="AU57" s="87" t="str">
        <f t="shared" si="9"/>
        <v/>
      </c>
      <c r="AV57" s="89" t="str">
        <f t="array" ref="AV57">IF(OR($A57="",$AB57="", $AC57=""),"",MAXA(IF($A57=$A$4:$A923,$AC$4:$AC923)))</f>
        <v/>
      </c>
    </row>
    <row r="58" ht="22.5" customHeight="1">
      <c r="A58" s="29"/>
      <c r="B58" s="68" t="str">
        <f t="shared" si="1"/>
        <v/>
      </c>
      <c r="C58" s="69"/>
      <c r="D58" s="70" t="str">
        <f t="shared" si="2"/>
        <v/>
      </c>
      <c r="E58" s="29"/>
      <c r="F58" s="68" t="str">
        <f t="array" ref="F58">IF($A58="","",IFERROR(INDEX(MA_INDIVIDUALES!C$2:C923, MATCH($A58,MA_INDIVIDUALES!$B$2:$B923,0),1),"CÓDIGO DE EXPEDIENTE INVÁLIDO"))</f>
        <v/>
      </c>
      <c r="G58" s="68" t="str">
        <f t="array" ref="G58">IF($A58="","",IFERROR(INDEX(MA_INDIVIDUALES!K$2:K923, MATCH($A58,MA_INDIVIDUALES!$B$2:$B923,0),1),"CÓDIGO DE EXPEDIENTE INVÁLIDO"))</f>
        <v/>
      </c>
      <c r="H58" s="68" t="str">
        <f t="array" ref="H58">IF($A58="","",IFERROR(INDEX(MA_INDIVIDUALES!L$2:L923, MATCH($A58,MA_INDIVIDUALES!$B$2:$B923,0),1),"CÓDIGO DE EXPEDIENTE INVÁLIDO"))</f>
        <v/>
      </c>
      <c r="I58" s="76"/>
      <c r="J58" s="29"/>
      <c r="K58" s="73"/>
      <c r="L58" s="74" t="str">
        <f>IF(A58="","",IF(K58="","",_xlfn.WORKDAY.INTL(K58,5,1,FERIADOS)))</f>
        <v/>
      </c>
      <c r="M58" s="29"/>
      <c r="N58" s="75"/>
      <c r="O58" s="76"/>
      <c r="P58" s="77" t="str">
        <f t="shared" si="3"/>
        <v/>
      </c>
      <c r="Q58" s="73"/>
      <c r="R58" s="29"/>
      <c r="S58" s="75"/>
      <c r="T58" s="73"/>
      <c r="U58" s="29"/>
      <c r="V58" s="76"/>
      <c r="W58" s="75"/>
      <c r="X58" s="76"/>
      <c r="Y58" s="29" t="str">
        <f t="shared" si="4"/>
        <v/>
      </c>
      <c r="Z58" s="29" t="str">
        <f t="shared" si="5"/>
        <v/>
      </c>
      <c r="AA58" s="76"/>
      <c r="AB58" s="29"/>
      <c r="AC58" s="73"/>
      <c r="AD58" s="73"/>
      <c r="AE58" s="78" t="str">
        <f>IF(U58="","",IF(AD58="","",_xlfn.WORKDAY.INTL(AD58,7,1,FERIADOS)))</f>
        <v/>
      </c>
      <c r="AF58" s="79"/>
      <c r="AG58" s="80" t="str">
        <f t="array" ref="AG58">IF(A58="","",IF(AF58="","",AF58*INDEX(PARAMETROS!F$2:F1121,MATCH(YEAR(AC58),PARAMETROS!E$2:E1121,0),1)))</f>
        <v/>
      </c>
      <c r="AH58" s="81"/>
      <c r="AI58" s="82"/>
      <c r="AJ58" s="81"/>
      <c r="AK58" s="81"/>
      <c r="AL58" s="29"/>
      <c r="AM58" s="75"/>
      <c r="AN58" s="76"/>
      <c r="AO58" s="95"/>
      <c r="AP58" s="96"/>
      <c r="AQ58" s="85" t="str">
        <f t="shared" si="6"/>
        <v/>
      </c>
      <c r="AR58" s="86" t="str">
        <f t="array" ref="AR58">IF(A58="","",IFERROR(INDEX('2) Etapas'!L$3:L923,MATCH(B58,'2) Etapas'!$A$4:$A923,0),1),-1))</f>
        <v/>
      </c>
      <c r="AS58" s="87" t="str">
        <f t="shared" si="7"/>
        <v/>
      </c>
      <c r="AT58" s="87" t="str">
        <f t="shared" si="8"/>
        <v/>
      </c>
      <c r="AU58" s="87" t="str">
        <f t="shared" si="9"/>
        <v/>
      </c>
      <c r="AV58" s="89" t="str">
        <f t="array" ref="AV58">IF(OR($A58="",$AB58="", $AC58=""),"",MAXA(IF($A58=$A$4:$A923,$AC$4:$AC923)))</f>
        <v/>
      </c>
    </row>
    <row r="59" ht="22.5" customHeight="1">
      <c r="A59" s="29"/>
      <c r="B59" s="68" t="str">
        <f t="shared" si="1"/>
        <v/>
      </c>
      <c r="C59" s="69"/>
      <c r="D59" s="70" t="str">
        <f t="shared" si="2"/>
        <v/>
      </c>
      <c r="E59" s="29"/>
      <c r="F59" s="68" t="str">
        <f t="array" ref="F59">IF($A59="","",IFERROR(INDEX(MA_INDIVIDUALES!C$2:C923, MATCH($A59,MA_INDIVIDUALES!$B$2:$B923,0),1),"CÓDIGO DE EXPEDIENTE INVÁLIDO"))</f>
        <v/>
      </c>
      <c r="G59" s="68" t="str">
        <f t="array" ref="G59">IF($A59="","",IFERROR(INDEX(MA_INDIVIDUALES!K$2:K923, MATCH($A59,MA_INDIVIDUALES!$B$2:$B923,0),1),"CÓDIGO DE EXPEDIENTE INVÁLIDO"))</f>
        <v/>
      </c>
      <c r="H59" s="68" t="str">
        <f t="array" ref="H59">IF($A59="","",IFERROR(INDEX(MA_INDIVIDUALES!L$2:L923, MATCH($A59,MA_INDIVIDUALES!$B$2:$B923,0),1),"CÓDIGO DE EXPEDIENTE INVÁLIDO"))</f>
        <v/>
      </c>
      <c r="I59" s="76"/>
      <c r="J59" s="29"/>
      <c r="K59" s="73"/>
      <c r="L59" s="74" t="str">
        <f>IF(A59="","",IF(K59="","",_xlfn.WORKDAY.INTL(K59,5,1,FERIADOS)))</f>
        <v/>
      </c>
      <c r="M59" s="29"/>
      <c r="N59" s="75"/>
      <c r="O59" s="76"/>
      <c r="P59" s="77" t="str">
        <f t="shared" si="3"/>
        <v/>
      </c>
      <c r="Q59" s="73"/>
      <c r="R59" s="29"/>
      <c r="S59" s="75"/>
      <c r="T59" s="73"/>
      <c r="U59" s="29"/>
      <c r="V59" s="76"/>
      <c r="W59" s="75"/>
      <c r="X59" s="76"/>
      <c r="Y59" s="29" t="str">
        <f t="shared" si="4"/>
        <v/>
      </c>
      <c r="Z59" s="29" t="str">
        <f t="shared" si="5"/>
        <v/>
      </c>
      <c r="AA59" s="76"/>
      <c r="AB59" s="29"/>
      <c r="AC59" s="73"/>
      <c r="AD59" s="73"/>
      <c r="AE59" s="78" t="str">
        <f>IF(U59="","",IF(AD59="","",_xlfn.WORKDAY.INTL(AD59,7,1,FERIADOS)))</f>
        <v/>
      </c>
      <c r="AF59" s="79"/>
      <c r="AG59" s="80" t="str">
        <f t="array" ref="AG59">IF(A59="","",IF(AF59="","",AF59*INDEX(PARAMETROS!F$2:F1122,MATCH(YEAR(AC59),PARAMETROS!E$2:E1122,0),1)))</f>
        <v/>
      </c>
      <c r="AH59" s="81"/>
      <c r="AI59" s="82"/>
      <c r="AJ59" s="81"/>
      <c r="AK59" s="81"/>
      <c r="AL59" s="29"/>
      <c r="AM59" s="75"/>
      <c r="AN59" s="76"/>
      <c r="AO59" s="95"/>
      <c r="AP59" s="96"/>
      <c r="AQ59" s="85" t="str">
        <f t="shared" si="6"/>
        <v/>
      </c>
      <c r="AR59" s="86" t="str">
        <f t="array" ref="AR59">IF(A59="","",IFERROR(INDEX('2) Etapas'!L$3:L923,MATCH(B59,'2) Etapas'!$A$4:$A923,0),1),-1))</f>
        <v/>
      </c>
      <c r="AS59" s="87" t="str">
        <f t="shared" si="7"/>
        <v/>
      </c>
      <c r="AT59" s="87" t="str">
        <f t="shared" si="8"/>
        <v/>
      </c>
      <c r="AU59" s="87" t="str">
        <f t="shared" si="9"/>
        <v/>
      </c>
      <c r="AV59" s="89" t="str">
        <f t="array" ref="AV59">IF(OR($A59="",$AB59="", $AC59=""),"",MAXA(IF($A59=$A$4:$A923,$AC$4:$AC923)))</f>
        <v/>
      </c>
    </row>
    <row r="60" ht="22.5" customHeight="1">
      <c r="A60" s="29"/>
      <c r="B60" s="68" t="str">
        <f t="shared" si="1"/>
        <v/>
      </c>
      <c r="C60" s="69"/>
      <c r="D60" s="70" t="str">
        <f t="shared" si="2"/>
        <v/>
      </c>
      <c r="E60" s="29"/>
      <c r="F60" s="68" t="str">
        <f t="array" ref="F60">IF($A60="","",IFERROR(INDEX(MA_INDIVIDUALES!C$2:C923, MATCH($A60,MA_INDIVIDUALES!$B$2:$B923,0),1),"CÓDIGO DE EXPEDIENTE INVÁLIDO"))</f>
        <v/>
      </c>
      <c r="G60" s="68" t="str">
        <f t="array" ref="G60">IF($A60="","",IFERROR(INDEX(MA_INDIVIDUALES!K$2:K923, MATCH($A60,MA_INDIVIDUALES!$B$2:$B923,0),1),"CÓDIGO DE EXPEDIENTE INVÁLIDO"))</f>
        <v/>
      </c>
      <c r="H60" s="68" t="str">
        <f t="array" ref="H60">IF($A60="","",IFERROR(INDEX(MA_INDIVIDUALES!L$2:L923, MATCH($A60,MA_INDIVIDUALES!$B$2:$B923,0),1),"CÓDIGO DE EXPEDIENTE INVÁLIDO"))</f>
        <v/>
      </c>
      <c r="I60" s="76"/>
      <c r="J60" s="29"/>
      <c r="K60" s="73"/>
      <c r="L60" s="74" t="str">
        <f>IF(A60="","",IF(K60="","",_xlfn.WORKDAY.INTL(K60,5,1,FERIADOS)))</f>
        <v/>
      </c>
      <c r="M60" s="29"/>
      <c r="N60" s="75"/>
      <c r="O60" s="76"/>
      <c r="P60" s="77" t="str">
        <f t="shared" si="3"/>
        <v/>
      </c>
      <c r="Q60" s="73"/>
      <c r="R60" s="29"/>
      <c r="S60" s="75"/>
      <c r="T60" s="73"/>
      <c r="U60" s="29"/>
      <c r="V60" s="76"/>
      <c r="W60" s="75"/>
      <c r="X60" s="76"/>
      <c r="Y60" s="29" t="str">
        <f t="shared" si="4"/>
        <v/>
      </c>
      <c r="Z60" s="29" t="str">
        <f t="shared" si="5"/>
        <v/>
      </c>
      <c r="AA60" s="76"/>
      <c r="AB60" s="29"/>
      <c r="AC60" s="73"/>
      <c r="AD60" s="73"/>
      <c r="AE60" s="78" t="str">
        <f>IF(U60="","",IF(AD60="","",_xlfn.WORKDAY.INTL(AD60,7,1,FERIADOS)))</f>
        <v/>
      </c>
      <c r="AF60" s="79"/>
      <c r="AG60" s="80" t="str">
        <f t="array" ref="AG60">IF(A60="","",IF(AF60="","",AF60*INDEX(PARAMETROS!F$2:F1123,MATCH(YEAR(AC60),PARAMETROS!E$2:E1123,0),1)))</f>
        <v/>
      </c>
      <c r="AH60" s="81"/>
      <c r="AI60" s="82"/>
      <c r="AJ60" s="81"/>
      <c r="AK60" s="81"/>
      <c r="AL60" s="29"/>
      <c r="AM60" s="75"/>
      <c r="AN60" s="76"/>
      <c r="AO60" s="95"/>
      <c r="AP60" s="96"/>
      <c r="AQ60" s="85" t="str">
        <f t="shared" si="6"/>
        <v/>
      </c>
      <c r="AR60" s="86" t="str">
        <f t="array" ref="AR60">IF(A60="","",IFERROR(INDEX('2) Etapas'!L$3:L923,MATCH(B60,'2) Etapas'!$A$4:$A923,0),1),-1))</f>
        <v/>
      </c>
      <c r="AS60" s="87" t="str">
        <f t="shared" si="7"/>
        <v/>
      </c>
      <c r="AT60" s="87" t="str">
        <f t="shared" si="8"/>
        <v/>
      </c>
      <c r="AU60" s="87" t="str">
        <f t="shared" si="9"/>
        <v/>
      </c>
      <c r="AV60" s="89" t="str">
        <f t="array" ref="AV60">IF(OR($A60="",$AB60="", $AC60=""),"",MAXA(IF($A60=$A$4:$A923,$AC$4:$AC923)))</f>
        <v/>
      </c>
    </row>
    <row r="61" ht="22.5" customHeight="1">
      <c r="A61" s="29"/>
      <c r="B61" s="68" t="str">
        <f t="shared" si="1"/>
        <v/>
      </c>
      <c r="C61" s="69"/>
      <c r="D61" s="70" t="str">
        <f t="shared" si="2"/>
        <v/>
      </c>
      <c r="E61" s="29"/>
      <c r="F61" s="68" t="str">
        <f t="array" ref="F61">IF($A61="","",IFERROR(INDEX(MA_INDIVIDUALES!C$2:C923, MATCH($A61,MA_INDIVIDUALES!$B$2:$B923,0),1),"CÓDIGO DE EXPEDIENTE INVÁLIDO"))</f>
        <v/>
      </c>
      <c r="G61" s="68" t="str">
        <f t="array" ref="G61">IF($A61="","",IFERROR(INDEX(MA_INDIVIDUALES!K$2:K923, MATCH($A61,MA_INDIVIDUALES!$B$2:$B923,0),1),"CÓDIGO DE EXPEDIENTE INVÁLIDO"))</f>
        <v/>
      </c>
      <c r="H61" s="68" t="str">
        <f t="array" ref="H61">IF($A61="","",IFERROR(INDEX(MA_INDIVIDUALES!L$2:L923, MATCH($A61,MA_INDIVIDUALES!$B$2:$B923,0),1),"CÓDIGO DE EXPEDIENTE INVÁLIDO"))</f>
        <v/>
      </c>
      <c r="I61" s="76"/>
      <c r="J61" s="29"/>
      <c r="K61" s="73"/>
      <c r="L61" s="74" t="str">
        <f>IF(A61="","",IF(K61="","",_xlfn.WORKDAY.INTL(K61,5,1,FERIADOS)))</f>
        <v/>
      </c>
      <c r="M61" s="29"/>
      <c r="N61" s="75"/>
      <c r="O61" s="76"/>
      <c r="P61" s="77" t="str">
        <f t="shared" si="3"/>
        <v/>
      </c>
      <c r="Q61" s="73"/>
      <c r="R61" s="29"/>
      <c r="S61" s="75"/>
      <c r="T61" s="73"/>
      <c r="U61" s="29"/>
      <c r="V61" s="76"/>
      <c r="W61" s="75"/>
      <c r="X61" s="76"/>
      <c r="Y61" s="29" t="str">
        <f t="shared" si="4"/>
        <v/>
      </c>
      <c r="Z61" s="29" t="str">
        <f t="shared" si="5"/>
        <v/>
      </c>
      <c r="AA61" s="76"/>
      <c r="AB61" s="29"/>
      <c r="AC61" s="73"/>
      <c r="AD61" s="73"/>
      <c r="AE61" s="78" t="str">
        <f>IF(U61="","",IF(AD61="","",_xlfn.WORKDAY.INTL(AD61,7,1,FERIADOS)))</f>
        <v/>
      </c>
      <c r="AF61" s="79"/>
      <c r="AG61" s="80" t="str">
        <f t="array" ref="AG61">IF(A61="","",IF(AF61="","",AF61*INDEX(PARAMETROS!F$2:F1124,MATCH(YEAR(AC61),PARAMETROS!E$2:E1124,0),1)))</f>
        <v/>
      </c>
      <c r="AH61" s="81"/>
      <c r="AI61" s="82"/>
      <c r="AJ61" s="81"/>
      <c r="AK61" s="81"/>
      <c r="AL61" s="29"/>
      <c r="AM61" s="75"/>
      <c r="AN61" s="76"/>
      <c r="AO61" s="95"/>
      <c r="AP61" s="96"/>
      <c r="AQ61" s="85" t="str">
        <f t="shared" si="6"/>
        <v/>
      </c>
      <c r="AR61" s="86" t="str">
        <f t="array" ref="AR61">IF(A61="","",IFERROR(INDEX('2) Etapas'!L$3:L923,MATCH(B61,'2) Etapas'!$A$4:$A923,0),1),-1))</f>
        <v/>
      </c>
      <c r="AS61" s="87" t="str">
        <f t="shared" si="7"/>
        <v/>
      </c>
      <c r="AT61" s="87" t="str">
        <f t="shared" si="8"/>
        <v/>
      </c>
      <c r="AU61" s="87" t="str">
        <f t="shared" si="9"/>
        <v/>
      </c>
      <c r="AV61" s="89" t="str">
        <f t="array" ref="AV61">IF(OR($A61="",$AB61="", $AC61=""),"",MAXA(IF($A61=$A$4:$A923,$AC$4:$AC923)))</f>
        <v/>
      </c>
    </row>
    <row r="62" ht="22.5" customHeight="1">
      <c r="A62" s="29"/>
      <c r="B62" s="68" t="str">
        <f t="shared" si="1"/>
        <v/>
      </c>
      <c r="C62" s="69"/>
      <c r="D62" s="70" t="str">
        <f t="shared" si="2"/>
        <v/>
      </c>
      <c r="E62" s="29"/>
      <c r="F62" s="68" t="str">
        <f t="array" ref="F62">IF($A62="","",IFERROR(INDEX(MA_INDIVIDUALES!C$2:C923, MATCH($A62,MA_INDIVIDUALES!$B$2:$B923,0),1),"CÓDIGO DE EXPEDIENTE INVÁLIDO"))</f>
        <v/>
      </c>
      <c r="G62" s="68" t="str">
        <f t="array" ref="G62">IF($A62="","",IFERROR(INDEX(MA_INDIVIDUALES!K$2:K923, MATCH($A62,MA_INDIVIDUALES!$B$2:$B923,0),1),"CÓDIGO DE EXPEDIENTE INVÁLIDO"))</f>
        <v/>
      </c>
      <c r="H62" s="68" t="str">
        <f t="array" ref="H62">IF($A62="","",IFERROR(INDEX(MA_INDIVIDUALES!L$2:L923, MATCH($A62,MA_INDIVIDUALES!$B$2:$B923,0),1),"CÓDIGO DE EXPEDIENTE INVÁLIDO"))</f>
        <v/>
      </c>
      <c r="I62" s="76"/>
      <c r="J62" s="29"/>
      <c r="K62" s="73"/>
      <c r="L62" s="74" t="str">
        <f>IF(A62="","",IF(K62="","",_xlfn.WORKDAY.INTL(K62,5,1,FERIADOS)))</f>
        <v/>
      </c>
      <c r="M62" s="29"/>
      <c r="N62" s="75"/>
      <c r="O62" s="76"/>
      <c r="P62" s="77" t="str">
        <f t="shared" si="3"/>
        <v/>
      </c>
      <c r="Q62" s="73"/>
      <c r="R62" s="29"/>
      <c r="S62" s="75"/>
      <c r="T62" s="73"/>
      <c r="U62" s="29"/>
      <c r="V62" s="76"/>
      <c r="W62" s="75"/>
      <c r="X62" s="76"/>
      <c r="Y62" s="29" t="str">
        <f t="shared" si="4"/>
        <v/>
      </c>
      <c r="Z62" s="29" t="str">
        <f t="shared" si="5"/>
        <v/>
      </c>
      <c r="AA62" s="76"/>
      <c r="AB62" s="29"/>
      <c r="AC62" s="73"/>
      <c r="AD62" s="73"/>
      <c r="AE62" s="78" t="str">
        <f>IF(U62="","",IF(AD62="","",_xlfn.WORKDAY.INTL(AD62,7,1,FERIADOS)))</f>
        <v/>
      </c>
      <c r="AF62" s="79"/>
      <c r="AG62" s="80" t="str">
        <f t="array" ref="AG62">IF(A62="","",IF(AF62="","",AF62*INDEX(PARAMETROS!F$2:F1125,MATCH(YEAR(AC62),PARAMETROS!E$2:E1125,0),1)))</f>
        <v/>
      </c>
      <c r="AH62" s="81"/>
      <c r="AI62" s="82"/>
      <c r="AJ62" s="81"/>
      <c r="AK62" s="81"/>
      <c r="AL62" s="29"/>
      <c r="AM62" s="75"/>
      <c r="AN62" s="76"/>
      <c r="AO62" s="95"/>
      <c r="AP62" s="96"/>
      <c r="AQ62" s="85" t="str">
        <f t="shared" si="6"/>
        <v/>
      </c>
      <c r="AR62" s="86" t="str">
        <f t="array" ref="AR62">IF(A62="","",IFERROR(INDEX('2) Etapas'!L$3:L923,MATCH(B62,'2) Etapas'!$A$4:$A923,0),1),-1))</f>
        <v/>
      </c>
      <c r="AS62" s="87" t="str">
        <f t="shared" si="7"/>
        <v/>
      </c>
      <c r="AT62" s="87" t="str">
        <f t="shared" si="8"/>
        <v/>
      </c>
      <c r="AU62" s="87" t="str">
        <f t="shared" si="9"/>
        <v/>
      </c>
      <c r="AV62" s="89" t="str">
        <f t="array" ref="AV62">IF(OR($A62="",$AB62="", $AC62=""),"",MAXA(IF($A62=$A$4:$A923,$AC$4:$AC923)))</f>
        <v/>
      </c>
    </row>
    <row r="63" ht="22.5" customHeight="1">
      <c r="A63" s="29"/>
      <c r="B63" s="68" t="str">
        <f t="shared" si="1"/>
        <v/>
      </c>
      <c r="C63" s="69"/>
      <c r="D63" s="70" t="str">
        <f t="shared" si="2"/>
        <v/>
      </c>
      <c r="E63" s="29"/>
      <c r="F63" s="68" t="str">
        <f t="array" ref="F63">IF($A63="","",IFERROR(INDEX(MA_INDIVIDUALES!C$2:C923, MATCH($A63,MA_INDIVIDUALES!$B$2:$B923,0),1),"CÓDIGO DE EXPEDIENTE INVÁLIDO"))</f>
        <v/>
      </c>
      <c r="G63" s="68" t="str">
        <f t="array" ref="G63">IF($A63="","",IFERROR(INDEX(MA_INDIVIDUALES!K$2:K923, MATCH($A63,MA_INDIVIDUALES!$B$2:$B923,0),1),"CÓDIGO DE EXPEDIENTE INVÁLIDO"))</f>
        <v/>
      </c>
      <c r="H63" s="68" t="str">
        <f t="array" ref="H63">IF($A63="","",IFERROR(INDEX(MA_INDIVIDUALES!L$2:L923, MATCH($A63,MA_INDIVIDUALES!$B$2:$B923,0),1),"CÓDIGO DE EXPEDIENTE INVÁLIDO"))</f>
        <v/>
      </c>
      <c r="I63" s="76"/>
      <c r="J63" s="29"/>
      <c r="K63" s="73"/>
      <c r="L63" s="74" t="str">
        <f>IF(A63="","",IF(K63="","",_xlfn.WORKDAY.INTL(K63,5,1,FERIADOS)))</f>
        <v/>
      </c>
      <c r="M63" s="29"/>
      <c r="N63" s="75"/>
      <c r="O63" s="76"/>
      <c r="P63" s="77" t="str">
        <f t="shared" si="3"/>
        <v/>
      </c>
      <c r="Q63" s="73"/>
      <c r="R63" s="29"/>
      <c r="S63" s="75"/>
      <c r="T63" s="73"/>
      <c r="U63" s="29"/>
      <c r="V63" s="76"/>
      <c r="W63" s="75"/>
      <c r="X63" s="76"/>
      <c r="Y63" s="29" t="str">
        <f t="shared" si="4"/>
        <v/>
      </c>
      <c r="Z63" s="29" t="str">
        <f t="shared" si="5"/>
        <v/>
      </c>
      <c r="AA63" s="76"/>
      <c r="AB63" s="29"/>
      <c r="AC63" s="73"/>
      <c r="AD63" s="73"/>
      <c r="AE63" s="78" t="str">
        <f>IF(U63="","",IF(AD63="","",_xlfn.WORKDAY.INTL(AD63,7,1,FERIADOS)))</f>
        <v/>
      </c>
      <c r="AF63" s="79"/>
      <c r="AG63" s="80" t="str">
        <f t="array" ref="AG63">IF(A63="","",IF(AF63="","",AF63*INDEX(PARAMETROS!F$2:F1126,MATCH(YEAR(AC63),PARAMETROS!E$2:E1126,0),1)))</f>
        <v/>
      </c>
      <c r="AH63" s="81"/>
      <c r="AI63" s="82"/>
      <c r="AJ63" s="81"/>
      <c r="AK63" s="81"/>
      <c r="AL63" s="29"/>
      <c r="AM63" s="75"/>
      <c r="AN63" s="76"/>
      <c r="AO63" s="95"/>
      <c r="AP63" s="96"/>
      <c r="AQ63" s="85" t="str">
        <f t="shared" si="6"/>
        <v/>
      </c>
      <c r="AR63" s="86" t="str">
        <f t="array" ref="AR63">IF(A63="","",IFERROR(INDEX('2) Etapas'!L$3:L923,MATCH(B63,'2) Etapas'!$A$4:$A923,0),1),-1))</f>
        <v/>
      </c>
      <c r="AS63" s="87" t="str">
        <f t="shared" si="7"/>
        <v/>
      </c>
      <c r="AT63" s="87" t="str">
        <f t="shared" si="8"/>
        <v/>
      </c>
      <c r="AU63" s="87" t="str">
        <f t="shared" si="9"/>
        <v/>
      </c>
      <c r="AV63" s="89" t="str">
        <f t="array" ref="AV63">IF(OR($A63="",$AB63="", $AC63=""),"",MAXA(IF($A63=$A$4:$A923,$AC$4:$AC923)))</f>
        <v/>
      </c>
    </row>
    <row r="64" ht="22.5" customHeight="1">
      <c r="A64" s="29"/>
      <c r="B64" s="68" t="str">
        <f t="shared" si="1"/>
        <v/>
      </c>
      <c r="C64" s="69"/>
      <c r="D64" s="70" t="str">
        <f t="shared" si="2"/>
        <v/>
      </c>
      <c r="E64" s="29"/>
      <c r="F64" s="68" t="str">
        <f t="array" ref="F64">IF($A64="","",IFERROR(INDEX(MA_INDIVIDUALES!C$2:C923, MATCH($A64,MA_INDIVIDUALES!$B$2:$B923,0),1),"CÓDIGO DE EXPEDIENTE INVÁLIDO"))</f>
        <v/>
      </c>
      <c r="G64" s="68" t="str">
        <f t="array" ref="G64">IF($A64="","",IFERROR(INDEX(MA_INDIVIDUALES!K$2:K923, MATCH($A64,MA_INDIVIDUALES!$B$2:$B923,0),1),"CÓDIGO DE EXPEDIENTE INVÁLIDO"))</f>
        <v/>
      </c>
      <c r="H64" s="68" t="str">
        <f t="array" ref="H64">IF($A64="","",IFERROR(INDEX(MA_INDIVIDUALES!L$2:L923, MATCH($A64,MA_INDIVIDUALES!$B$2:$B923,0),1),"CÓDIGO DE EXPEDIENTE INVÁLIDO"))</f>
        <v/>
      </c>
      <c r="I64" s="76"/>
      <c r="J64" s="29"/>
      <c r="K64" s="73"/>
      <c r="L64" s="74" t="str">
        <f>IF(A64="","",IF(K64="","",_xlfn.WORKDAY.INTL(K64,5,1,FERIADOS)))</f>
        <v/>
      </c>
      <c r="M64" s="29"/>
      <c r="N64" s="75"/>
      <c r="O64" s="76"/>
      <c r="P64" s="77" t="str">
        <f t="shared" si="3"/>
        <v/>
      </c>
      <c r="Q64" s="73"/>
      <c r="R64" s="29"/>
      <c r="S64" s="75"/>
      <c r="T64" s="73"/>
      <c r="U64" s="29"/>
      <c r="V64" s="76"/>
      <c r="W64" s="75"/>
      <c r="X64" s="76"/>
      <c r="Y64" s="29" t="str">
        <f t="shared" si="4"/>
        <v/>
      </c>
      <c r="Z64" s="29" t="str">
        <f t="shared" si="5"/>
        <v/>
      </c>
      <c r="AA64" s="76"/>
      <c r="AB64" s="29"/>
      <c r="AC64" s="73"/>
      <c r="AD64" s="73"/>
      <c r="AE64" s="78" t="str">
        <f>IF(U64="","",IF(AD64="","",_xlfn.WORKDAY.INTL(AD64,7,1,FERIADOS)))</f>
        <v/>
      </c>
      <c r="AF64" s="79"/>
      <c r="AG64" s="80" t="str">
        <f t="array" ref="AG64">IF(A64="","",IF(AF64="","",AF64*INDEX(PARAMETROS!F$2:F1127,MATCH(YEAR(AC64),PARAMETROS!E$2:E1127,0),1)))</f>
        <v/>
      </c>
      <c r="AH64" s="81"/>
      <c r="AI64" s="82"/>
      <c r="AJ64" s="81"/>
      <c r="AK64" s="81"/>
      <c r="AL64" s="29"/>
      <c r="AM64" s="75"/>
      <c r="AN64" s="76"/>
      <c r="AO64" s="95"/>
      <c r="AP64" s="96"/>
      <c r="AQ64" s="85" t="str">
        <f t="shared" si="6"/>
        <v/>
      </c>
      <c r="AR64" s="86" t="str">
        <f t="array" ref="AR64">IF(A64="","",IFERROR(INDEX('2) Etapas'!L$3:L923,MATCH(B64,'2) Etapas'!$A$4:$A923,0),1),-1))</f>
        <v/>
      </c>
      <c r="AS64" s="87" t="str">
        <f t="shared" si="7"/>
        <v/>
      </c>
      <c r="AT64" s="87" t="str">
        <f t="shared" si="8"/>
        <v/>
      </c>
      <c r="AU64" s="87" t="str">
        <f t="shared" si="9"/>
        <v/>
      </c>
      <c r="AV64" s="89" t="str">
        <f t="array" ref="AV64">IF(OR($A64="",$AB64="", $AC64=""),"",MAXA(IF($A64=$A$4:$A923,$AC$4:$AC923)))</f>
        <v/>
      </c>
    </row>
    <row r="65" ht="22.5" customHeight="1">
      <c r="A65" s="29"/>
      <c r="B65" s="68" t="str">
        <f t="shared" si="1"/>
        <v/>
      </c>
      <c r="C65" s="69"/>
      <c r="D65" s="70" t="str">
        <f t="shared" si="2"/>
        <v/>
      </c>
      <c r="E65" s="29"/>
      <c r="F65" s="68" t="str">
        <f t="array" ref="F65">IF($A65="","",IFERROR(INDEX(MA_INDIVIDUALES!C$2:C923, MATCH($A65,MA_INDIVIDUALES!$B$2:$B923,0),1),"CÓDIGO DE EXPEDIENTE INVÁLIDO"))</f>
        <v/>
      </c>
      <c r="G65" s="68" t="str">
        <f t="array" ref="G65">IF($A65="","",IFERROR(INDEX(MA_INDIVIDUALES!K$2:K923, MATCH($A65,MA_INDIVIDUALES!$B$2:$B923,0),1),"CÓDIGO DE EXPEDIENTE INVÁLIDO"))</f>
        <v/>
      </c>
      <c r="H65" s="68" t="str">
        <f t="array" ref="H65">IF($A65="","",IFERROR(INDEX(MA_INDIVIDUALES!L$2:L923, MATCH($A65,MA_INDIVIDUALES!$B$2:$B923,0),1),"CÓDIGO DE EXPEDIENTE INVÁLIDO"))</f>
        <v/>
      </c>
      <c r="I65" s="76"/>
      <c r="J65" s="29"/>
      <c r="K65" s="73"/>
      <c r="L65" s="74" t="str">
        <f>IF(A65="","",IF(K65="","",_xlfn.WORKDAY.INTL(K65,5,1,FERIADOS)))</f>
        <v/>
      </c>
      <c r="M65" s="29"/>
      <c r="N65" s="73"/>
      <c r="O65" s="29"/>
      <c r="P65" s="77" t="str">
        <f t="shared" si="3"/>
        <v/>
      </c>
      <c r="Q65" s="73"/>
      <c r="R65" s="29"/>
      <c r="S65" s="75"/>
      <c r="T65" s="73"/>
      <c r="U65" s="29"/>
      <c r="V65" s="76"/>
      <c r="W65" s="75"/>
      <c r="X65" s="76"/>
      <c r="Y65" s="29" t="str">
        <f t="shared" si="4"/>
        <v/>
      </c>
      <c r="Z65" s="29" t="str">
        <f t="shared" si="5"/>
        <v/>
      </c>
      <c r="AA65" s="29"/>
      <c r="AB65" s="29"/>
      <c r="AC65" s="73"/>
      <c r="AD65" s="73"/>
      <c r="AE65" s="78" t="str">
        <f>IF(U65="","",IF(AD65="","",_xlfn.WORKDAY.INTL(AD65,7,1,FERIADOS)))</f>
        <v/>
      </c>
      <c r="AF65" s="79"/>
      <c r="AG65" s="80" t="str">
        <f t="array" ref="AG65">IF(A65="","",IF(AF65="","",AF65*INDEX(PARAMETROS!F$2:F1128,MATCH(YEAR(AC65),PARAMETROS!E$2:E1128,0),1)))</f>
        <v/>
      </c>
      <c r="AH65" s="81"/>
      <c r="AI65" s="82"/>
      <c r="AJ65" s="81"/>
      <c r="AK65" s="81"/>
      <c r="AL65" s="29"/>
      <c r="AM65" s="75"/>
      <c r="AN65" s="76"/>
      <c r="AO65" s="95"/>
      <c r="AP65" s="96"/>
      <c r="AQ65" s="85" t="str">
        <f t="shared" si="6"/>
        <v/>
      </c>
      <c r="AR65" s="86" t="str">
        <f t="array" ref="AR65">IF(A65="","",IFERROR(INDEX('2) Etapas'!L$3:L923,MATCH(B65,'2) Etapas'!$A$4:$A923,0),1),-1))</f>
        <v/>
      </c>
      <c r="AS65" s="87" t="str">
        <f t="shared" si="7"/>
        <v/>
      </c>
      <c r="AT65" s="87" t="str">
        <f t="shared" si="8"/>
        <v/>
      </c>
      <c r="AU65" s="87" t="str">
        <f t="shared" si="9"/>
        <v/>
      </c>
      <c r="AV65" s="89" t="str">
        <f t="array" ref="AV65">IF(OR($A65="",$AB65="", $AC65=""),"",MAXA(IF($A65=$A$4:$A923,$AC$4:$AC923)))</f>
        <v/>
      </c>
    </row>
    <row r="66" ht="22.5" customHeight="1">
      <c r="A66" s="29"/>
      <c r="B66" s="68" t="str">
        <f t="shared" si="1"/>
        <v/>
      </c>
      <c r="C66" s="69"/>
      <c r="D66" s="70" t="str">
        <f t="shared" si="2"/>
        <v/>
      </c>
      <c r="E66" s="29"/>
      <c r="F66" s="68" t="str">
        <f t="array" ref="F66">IF($A66="","",IFERROR(INDEX(MA_INDIVIDUALES!C$2:C923, MATCH($A66,MA_INDIVIDUALES!$B$2:$B923,0),1),"CÓDIGO DE EXPEDIENTE INVÁLIDO"))</f>
        <v/>
      </c>
      <c r="G66" s="68" t="str">
        <f t="array" ref="G66">IF($A66="","",IFERROR(INDEX(MA_INDIVIDUALES!K$2:K923, MATCH($A66,MA_INDIVIDUALES!$B$2:$B923,0),1),"CÓDIGO DE EXPEDIENTE INVÁLIDO"))</f>
        <v/>
      </c>
      <c r="H66" s="68" t="str">
        <f t="array" ref="H66">IF($A66="","",IFERROR(INDEX(MA_INDIVIDUALES!L$2:L923, MATCH($A66,MA_INDIVIDUALES!$B$2:$B923,0),1),"CÓDIGO DE EXPEDIENTE INVÁLIDO"))</f>
        <v/>
      </c>
      <c r="I66" s="76"/>
      <c r="J66" s="29"/>
      <c r="K66" s="73"/>
      <c r="L66" s="74" t="str">
        <f>IF(A66="","",IF(K66="","",_xlfn.WORKDAY.INTL(K66,5,1,FERIADOS)))</f>
        <v/>
      </c>
      <c r="M66" s="29"/>
      <c r="N66" s="73"/>
      <c r="O66" s="29"/>
      <c r="P66" s="77" t="str">
        <f t="shared" si="3"/>
        <v/>
      </c>
      <c r="Q66" s="73"/>
      <c r="R66" s="29"/>
      <c r="S66" s="75"/>
      <c r="T66" s="73"/>
      <c r="U66" s="29"/>
      <c r="V66" s="76"/>
      <c r="W66" s="75"/>
      <c r="X66" s="76"/>
      <c r="Y66" s="29" t="str">
        <f t="shared" si="4"/>
        <v/>
      </c>
      <c r="Z66" s="29" t="str">
        <f t="shared" si="5"/>
        <v/>
      </c>
      <c r="AA66" s="29"/>
      <c r="AB66" s="29"/>
      <c r="AC66" s="73"/>
      <c r="AD66" s="73"/>
      <c r="AE66" s="78" t="str">
        <f>IF(U66="","",IF(AD66="","",_xlfn.WORKDAY.INTL(AD66,7,1,FERIADOS)))</f>
        <v/>
      </c>
      <c r="AF66" s="79"/>
      <c r="AG66" s="80" t="str">
        <f t="array" ref="AG66">IF(A66="","",IF(AF66="","",AF66*INDEX(PARAMETROS!F$2:F1129,MATCH(YEAR(AC66),PARAMETROS!E$2:E1129,0),1)))</f>
        <v/>
      </c>
      <c r="AH66" s="81"/>
      <c r="AI66" s="82"/>
      <c r="AJ66" s="81"/>
      <c r="AK66" s="81"/>
      <c r="AL66" s="29"/>
      <c r="AM66" s="75"/>
      <c r="AN66" s="76"/>
      <c r="AO66" s="95"/>
      <c r="AP66" s="96"/>
      <c r="AQ66" s="85" t="str">
        <f t="shared" si="6"/>
        <v/>
      </c>
      <c r="AR66" s="86" t="str">
        <f t="array" ref="AR66">IF(A66="","",IFERROR(INDEX('2) Etapas'!L$3:L923,MATCH(B66,'2) Etapas'!$A$4:$A923,0),1),-1))</f>
        <v/>
      </c>
      <c r="AS66" s="87" t="str">
        <f t="shared" si="7"/>
        <v/>
      </c>
      <c r="AT66" s="87" t="str">
        <f t="shared" si="8"/>
        <v/>
      </c>
      <c r="AU66" s="87" t="str">
        <f t="shared" si="9"/>
        <v/>
      </c>
      <c r="AV66" s="89" t="str">
        <f t="array" ref="AV66">IF(OR($A66="",$AB66="", $AC66=""),"",MAXA(IF($A66=$A$4:$A923,$AC$4:$AC923)))</f>
        <v/>
      </c>
    </row>
    <row r="67" ht="22.5" customHeight="1">
      <c r="A67" s="29"/>
      <c r="B67" s="68" t="str">
        <f t="shared" si="1"/>
        <v/>
      </c>
      <c r="C67" s="69"/>
      <c r="D67" s="70" t="str">
        <f t="shared" si="2"/>
        <v/>
      </c>
      <c r="E67" s="29"/>
      <c r="F67" s="68" t="str">
        <f t="array" ref="F67">IF($A67="","",IFERROR(INDEX(MA_INDIVIDUALES!C$2:C923, MATCH($A67,MA_INDIVIDUALES!$B$2:$B923,0),1),"CÓDIGO DE EXPEDIENTE INVÁLIDO"))</f>
        <v/>
      </c>
      <c r="G67" s="68" t="str">
        <f t="array" ref="G67">IF($A67="","",IFERROR(INDEX(MA_INDIVIDUALES!K$2:K923, MATCH($A67,MA_INDIVIDUALES!$B$2:$B923,0),1),"CÓDIGO DE EXPEDIENTE INVÁLIDO"))</f>
        <v/>
      </c>
      <c r="H67" s="68" t="str">
        <f t="array" ref="H67">IF($A67="","",IFERROR(INDEX(MA_INDIVIDUALES!L$2:L923, MATCH($A67,MA_INDIVIDUALES!$B$2:$B923,0),1),"CÓDIGO DE EXPEDIENTE INVÁLIDO"))</f>
        <v/>
      </c>
      <c r="I67" s="76"/>
      <c r="J67" s="29"/>
      <c r="K67" s="73"/>
      <c r="L67" s="74" t="str">
        <f>IF(A67="","",IF(K67="","",_xlfn.WORKDAY.INTL(K67,5,1,FERIADOS)))</f>
        <v/>
      </c>
      <c r="M67" s="29"/>
      <c r="N67" s="73"/>
      <c r="O67" s="29"/>
      <c r="P67" s="77" t="str">
        <f t="shared" si="3"/>
        <v/>
      </c>
      <c r="Q67" s="73"/>
      <c r="R67" s="29"/>
      <c r="S67" s="75"/>
      <c r="T67" s="73"/>
      <c r="U67" s="29"/>
      <c r="V67" s="76"/>
      <c r="W67" s="75"/>
      <c r="X67" s="76"/>
      <c r="Y67" s="29" t="str">
        <f t="shared" si="4"/>
        <v/>
      </c>
      <c r="Z67" s="29" t="str">
        <f t="shared" si="5"/>
        <v/>
      </c>
      <c r="AA67" s="29"/>
      <c r="AB67" s="29"/>
      <c r="AC67" s="73"/>
      <c r="AD67" s="73"/>
      <c r="AE67" s="78" t="str">
        <f>IF(U67="","",IF(AD67="","",_xlfn.WORKDAY.INTL(AD67,7,1,FERIADOS)))</f>
        <v/>
      </c>
      <c r="AF67" s="79"/>
      <c r="AG67" s="80" t="str">
        <f t="array" ref="AG67">IF(A67="","",IF(AF67="","",AF67*INDEX(PARAMETROS!F$2:F1130,MATCH(YEAR(AC67),PARAMETROS!E$2:E1130,0),1)))</f>
        <v/>
      </c>
      <c r="AH67" s="81"/>
      <c r="AI67" s="82"/>
      <c r="AJ67" s="81"/>
      <c r="AK67" s="81"/>
      <c r="AL67" s="29"/>
      <c r="AM67" s="75"/>
      <c r="AN67" s="76"/>
      <c r="AO67" s="95"/>
      <c r="AP67" s="96"/>
      <c r="AQ67" s="85" t="str">
        <f t="shared" si="6"/>
        <v/>
      </c>
      <c r="AR67" s="86" t="str">
        <f t="array" ref="AR67">IF(A67="","",IFERROR(INDEX('2) Etapas'!L$3:L923,MATCH(B67,'2) Etapas'!$A$4:$A923,0),1),-1))</f>
        <v/>
      </c>
      <c r="AS67" s="87" t="str">
        <f t="shared" si="7"/>
        <v/>
      </c>
      <c r="AT67" s="87" t="str">
        <f t="shared" si="8"/>
        <v/>
      </c>
      <c r="AU67" s="87" t="str">
        <f t="shared" si="9"/>
        <v/>
      </c>
      <c r="AV67" s="89" t="str">
        <f t="array" ref="AV67">IF(OR($A67="",$AB67="", $AC67=""),"",MAXA(IF($A67=$A$4:$A923,$AC$4:$AC923)))</f>
        <v/>
      </c>
    </row>
    <row r="68" ht="22.5" customHeight="1">
      <c r="A68" s="29"/>
      <c r="B68" s="68" t="str">
        <f t="shared" si="1"/>
        <v/>
      </c>
      <c r="C68" s="69"/>
      <c r="D68" s="70" t="str">
        <f t="shared" si="2"/>
        <v/>
      </c>
      <c r="E68" s="29"/>
      <c r="F68" s="68" t="str">
        <f t="array" ref="F68">IF($A68="","",IFERROR(INDEX(MA_INDIVIDUALES!C$2:C923, MATCH($A68,MA_INDIVIDUALES!$B$2:$B923,0),1),"CÓDIGO DE EXPEDIENTE INVÁLIDO"))</f>
        <v/>
      </c>
      <c r="G68" s="68" t="str">
        <f t="array" ref="G68">IF($A68="","",IFERROR(INDEX(MA_INDIVIDUALES!K$2:K923, MATCH($A68,MA_INDIVIDUALES!$B$2:$B923,0),1),"CÓDIGO DE EXPEDIENTE INVÁLIDO"))</f>
        <v/>
      </c>
      <c r="H68" s="68" t="str">
        <f t="array" ref="H68">IF($A68="","",IFERROR(INDEX(MA_INDIVIDUALES!L$2:L923, MATCH($A68,MA_INDIVIDUALES!$B$2:$B923,0),1),"CÓDIGO DE EXPEDIENTE INVÁLIDO"))</f>
        <v/>
      </c>
      <c r="I68" s="76"/>
      <c r="J68" s="29"/>
      <c r="K68" s="73"/>
      <c r="L68" s="74" t="str">
        <f>IF(A68="","",IF(K68="","",_xlfn.WORKDAY.INTL(K68,5,1,FERIADOS)))</f>
        <v/>
      </c>
      <c r="M68" s="29"/>
      <c r="N68" s="73"/>
      <c r="O68" s="29"/>
      <c r="P68" s="77" t="str">
        <f t="shared" si="3"/>
        <v/>
      </c>
      <c r="Q68" s="73"/>
      <c r="R68" s="29"/>
      <c r="S68" s="73"/>
      <c r="T68" s="73"/>
      <c r="U68" s="29"/>
      <c r="V68" s="76"/>
      <c r="W68" s="75"/>
      <c r="X68" s="76"/>
      <c r="Y68" s="29" t="str">
        <f t="shared" si="4"/>
        <v/>
      </c>
      <c r="Z68" s="29" t="str">
        <f t="shared" si="5"/>
        <v/>
      </c>
      <c r="AA68" s="76"/>
      <c r="AB68" s="29"/>
      <c r="AC68" s="73"/>
      <c r="AD68" s="73"/>
      <c r="AE68" s="78" t="str">
        <f>IF(U68="","",IF(AD68="","",_xlfn.WORKDAY.INTL(AD68,7,1,FERIADOS)))</f>
        <v/>
      </c>
      <c r="AF68" s="79"/>
      <c r="AG68" s="80" t="str">
        <f t="array" ref="AG68">IF(A68="","",IF(AF68="","",AF68*INDEX(PARAMETROS!F$2:F1131,MATCH(YEAR(AC68),PARAMETROS!E$2:E1131,0),1)))</f>
        <v/>
      </c>
      <c r="AH68" s="81"/>
      <c r="AI68" s="82"/>
      <c r="AJ68" s="81"/>
      <c r="AK68" s="81"/>
      <c r="AL68" s="29"/>
      <c r="AM68" s="75"/>
      <c r="AN68" s="76"/>
      <c r="AO68" s="95"/>
      <c r="AP68" s="96"/>
      <c r="AQ68" s="85" t="str">
        <f t="shared" si="6"/>
        <v/>
      </c>
      <c r="AR68" s="86" t="str">
        <f t="array" ref="AR68">IF(A68="","",IFERROR(INDEX('2) Etapas'!L$3:L923,MATCH(B68,'2) Etapas'!$A$4:$A923,0),1),-1))</f>
        <v/>
      </c>
      <c r="AS68" s="87" t="str">
        <f t="shared" si="7"/>
        <v/>
      </c>
      <c r="AT68" s="87" t="str">
        <f t="shared" si="8"/>
        <v/>
      </c>
      <c r="AU68" s="87" t="str">
        <f t="shared" si="9"/>
        <v/>
      </c>
      <c r="AV68" s="89" t="str">
        <f t="array" ref="AV68">IF(OR($A68="",$AB68="", $AC68=""),"",MAXA(IF($A68=$A$4:$A923,$AC$4:$AC923)))</f>
        <v/>
      </c>
    </row>
    <row r="69" ht="22.5" customHeight="1">
      <c r="A69" s="29"/>
      <c r="B69" s="68" t="str">
        <f t="shared" si="1"/>
        <v/>
      </c>
      <c r="C69" s="69"/>
      <c r="D69" s="70" t="str">
        <f t="shared" si="2"/>
        <v/>
      </c>
      <c r="E69" s="29"/>
      <c r="F69" s="68" t="str">
        <f t="array" ref="F69">IF($A69="","",IFERROR(INDEX(MA_INDIVIDUALES!C$2:C923, MATCH($A69,MA_INDIVIDUALES!$B$2:$B923,0),1),"CÓDIGO DE EXPEDIENTE INVÁLIDO"))</f>
        <v/>
      </c>
      <c r="G69" s="68" t="str">
        <f t="array" ref="G69">IF($A69="","",IFERROR(INDEX(MA_INDIVIDUALES!K$2:K923, MATCH($A69,MA_INDIVIDUALES!$B$2:$B923,0),1),"CÓDIGO DE EXPEDIENTE INVÁLIDO"))</f>
        <v/>
      </c>
      <c r="H69" s="68" t="str">
        <f t="array" ref="H69">IF($A69="","",IFERROR(INDEX(MA_INDIVIDUALES!L$2:L923, MATCH($A69,MA_INDIVIDUALES!$B$2:$B923,0),1),"CÓDIGO DE EXPEDIENTE INVÁLIDO"))</f>
        <v/>
      </c>
      <c r="I69" s="76"/>
      <c r="J69" s="29"/>
      <c r="K69" s="73"/>
      <c r="L69" s="74" t="str">
        <f>IF(A69="","",IF(K69="","",_xlfn.WORKDAY.INTL(K69,5,1,FERIADOS)))</f>
        <v/>
      </c>
      <c r="M69" s="29"/>
      <c r="N69" s="75"/>
      <c r="O69" s="76"/>
      <c r="P69" s="77" t="str">
        <f t="shared" si="3"/>
        <v/>
      </c>
      <c r="Q69" s="73"/>
      <c r="R69" s="29"/>
      <c r="S69" s="75"/>
      <c r="T69" s="73"/>
      <c r="U69" s="29"/>
      <c r="V69" s="76"/>
      <c r="W69" s="75"/>
      <c r="X69" s="76"/>
      <c r="Y69" s="29" t="str">
        <f t="shared" si="4"/>
        <v/>
      </c>
      <c r="Z69" s="29" t="str">
        <f t="shared" si="5"/>
        <v/>
      </c>
      <c r="AA69" s="76"/>
      <c r="AB69" s="29"/>
      <c r="AC69" s="73"/>
      <c r="AD69" s="73"/>
      <c r="AE69" s="78" t="str">
        <f>IF(U69="","",IF(AD69="","",_xlfn.WORKDAY.INTL(AD69,7,1,FERIADOS)))</f>
        <v/>
      </c>
      <c r="AF69" s="79"/>
      <c r="AG69" s="80" t="str">
        <f t="array" ref="AG69">IF(A69="","",IF(AF69="","",AF69*INDEX(PARAMETROS!F$2:F1132,MATCH(YEAR(AC69),PARAMETROS!E$2:E1132,0),1)))</f>
        <v/>
      </c>
      <c r="AH69" s="81"/>
      <c r="AI69" s="82"/>
      <c r="AJ69" s="81"/>
      <c r="AK69" s="81"/>
      <c r="AL69" s="29"/>
      <c r="AM69" s="75"/>
      <c r="AN69" s="76"/>
      <c r="AO69" s="95"/>
      <c r="AP69" s="96"/>
      <c r="AQ69" s="85" t="str">
        <f t="shared" si="6"/>
        <v/>
      </c>
      <c r="AR69" s="86" t="str">
        <f t="array" ref="AR69">IF(A69="","",IFERROR(INDEX('2) Etapas'!L$3:L923,MATCH(B69,'2) Etapas'!$A$4:$A923,0),1),-1))</f>
        <v/>
      </c>
      <c r="AS69" s="87" t="str">
        <f t="shared" si="7"/>
        <v/>
      </c>
      <c r="AT69" s="87" t="str">
        <f t="shared" si="8"/>
        <v/>
      </c>
      <c r="AU69" s="87" t="str">
        <f t="shared" si="9"/>
        <v/>
      </c>
      <c r="AV69" s="89" t="str">
        <f t="array" ref="AV69">IF(OR($A69="",$AB69="", $AC69=""),"",MAXA(IF($A69=$A$4:$A923,$AC$4:$AC923)))</f>
        <v/>
      </c>
    </row>
    <row r="70" ht="22.5" customHeight="1">
      <c r="A70" s="29"/>
      <c r="B70" s="68" t="str">
        <f t="shared" si="1"/>
        <v/>
      </c>
      <c r="C70" s="69"/>
      <c r="D70" s="70" t="str">
        <f t="shared" si="2"/>
        <v/>
      </c>
      <c r="E70" s="29"/>
      <c r="F70" s="68" t="str">
        <f t="array" ref="F70">IF($A70="","",IFERROR(INDEX(MA_INDIVIDUALES!C$2:C923, MATCH($A70,MA_INDIVIDUALES!$B$2:$B923,0),1),"CÓDIGO DE EXPEDIENTE INVÁLIDO"))</f>
        <v/>
      </c>
      <c r="G70" s="68" t="str">
        <f t="array" ref="G70">IF($A70="","",IFERROR(INDEX(MA_INDIVIDUALES!K$2:K923, MATCH($A70,MA_INDIVIDUALES!$B$2:$B923,0),1),"CÓDIGO DE EXPEDIENTE INVÁLIDO"))</f>
        <v/>
      </c>
      <c r="H70" s="68" t="str">
        <f t="array" ref="H70">IF($A70="","",IFERROR(INDEX(MA_INDIVIDUALES!L$2:L923, MATCH($A70,MA_INDIVIDUALES!$B$2:$B923,0),1),"CÓDIGO DE EXPEDIENTE INVÁLIDO"))</f>
        <v/>
      </c>
      <c r="I70" s="76"/>
      <c r="J70" s="29"/>
      <c r="K70" s="73"/>
      <c r="L70" s="74" t="str">
        <f>IF(A70="","",IF(K70="","",_xlfn.WORKDAY.INTL(K70,5,1,FERIADOS)))</f>
        <v/>
      </c>
      <c r="M70" s="29"/>
      <c r="N70" s="75"/>
      <c r="O70" s="76"/>
      <c r="P70" s="77" t="str">
        <f t="shared" si="3"/>
        <v/>
      </c>
      <c r="Q70" s="73"/>
      <c r="R70" s="29"/>
      <c r="S70" s="75"/>
      <c r="T70" s="73"/>
      <c r="U70" s="29"/>
      <c r="V70" s="76"/>
      <c r="W70" s="75"/>
      <c r="X70" s="76"/>
      <c r="Y70" s="29" t="str">
        <f t="shared" si="4"/>
        <v/>
      </c>
      <c r="Z70" s="29" t="str">
        <f t="shared" si="5"/>
        <v/>
      </c>
      <c r="AA70" s="76"/>
      <c r="AB70" s="29"/>
      <c r="AC70" s="73"/>
      <c r="AD70" s="73"/>
      <c r="AE70" s="78" t="str">
        <f>IF(U70="","",IF(AD70="","",_xlfn.WORKDAY.INTL(AD70,7,1,FERIADOS)))</f>
        <v/>
      </c>
      <c r="AF70" s="79"/>
      <c r="AG70" s="80" t="str">
        <f t="array" ref="AG70">IF(A70="","",IF(AF70="","",AF70*INDEX(PARAMETROS!F$2:F1133,MATCH(YEAR(AC70),PARAMETROS!E$2:E1133,0),1)))</f>
        <v/>
      </c>
      <c r="AH70" s="81"/>
      <c r="AI70" s="82"/>
      <c r="AJ70" s="81"/>
      <c r="AK70" s="81"/>
      <c r="AL70" s="29"/>
      <c r="AM70" s="75"/>
      <c r="AN70" s="76"/>
      <c r="AO70" s="95"/>
      <c r="AP70" s="96"/>
      <c r="AQ70" s="85" t="str">
        <f t="shared" si="6"/>
        <v/>
      </c>
      <c r="AR70" s="86" t="str">
        <f t="array" ref="AR70">IF(A70="","",IFERROR(INDEX('2) Etapas'!L$3:L923,MATCH(B70,'2) Etapas'!$A$4:$A923,0),1),-1))</f>
        <v/>
      </c>
      <c r="AS70" s="87" t="str">
        <f t="shared" si="7"/>
        <v/>
      </c>
      <c r="AT70" s="87" t="str">
        <f t="shared" si="8"/>
        <v/>
      </c>
      <c r="AU70" s="87" t="str">
        <f t="shared" si="9"/>
        <v/>
      </c>
      <c r="AV70" s="89" t="str">
        <f t="array" ref="AV70">IF(OR($A70="",$AB70="", $AC70=""),"",MAXA(IF($A70=$A$4:$A923,$AC$4:$AC923)))</f>
        <v/>
      </c>
    </row>
    <row r="71" ht="22.5" customHeight="1">
      <c r="A71" s="29"/>
      <c r="B71" s="68" t="str">
        <f t="shared" si="1"/>
        <v/>
      </c>
      <c r="C71" s="69"/>
      <c r="D71" s="70" t="str">
        <f t="shared" si="2"/>
        <v/>
      </c>
      <c r="E71" s="29"/>
      <c r="F71" s="68" t="str">
        <f t="array" ref="F71">IF($A71="","",IFERROR(INDEX(MA_INDIVIDUALES!C$2:C923, MATCH($A71,MA_INDIVIDUALES!$B$2:$B923,0),1),"CÓDIGO DE EXPEDIENTE INVÁLIDO"))</f>
        <v/>
      </c>
      <c r="G71" s="68" t="str">
        <f t="array" ref="G71">IF($A71="","",IFERROR(INDEX(MA_INDIVIDUALES!K$2:K923, MATCH($A71,MA_INDIVIDUALES!$B$2:$B923,0),1),"CÓDIGO DE EXPEDIENTE INVÁLIDO"))</f>
        <v/>
      </c>
      <c r="H71" s="68" t="str">
        <f t="array" ref="H71">IF($A71="","",IFERROR(INDEX(MA_INDIVIDUALES!L$2:L923, MATCH($A71,MA_INDIVIDUALES!$B$2:$B923,0),1),"CÓDIGO DE EXPEDIENTE INVÁLIDO"))</f>
        <v/>
      </c>
      <c r="I71" s="29"/>
      <c r="J71" s="29"/>
      <c r="K71" s="73"/>
      <c r="L71" s="74" t="str">
        <f>IF(A71="","",IF(K71="","",_xlfn.WORKDAY.INTL(K71,5,1,FERIADOS)))</f>
        <v/>
      </c>
      <c r="M71" s="29"/>
      <c r="N71" s="75"/>
      <c r="O71" s="76"/>
      <c r="P71" s="77" t="str">
        <f t="shared" si="3"/>
        <v/>
      </c>
      <c r="Q71" s="75"/>
      <c r="R71" s="76"/>
      <c r="S71" s="75"/>
      <c r="T71" s="75"/>
      <c r="U71" s="29"/>
      <c r="V71" s="76"/>
      <c r="W71" s="75"/>
      <c r="X71" s="76"/>
      <c r="Y71" s="29" t="str">
        <f t="shared" si="4"/>
        <v/>
      </c>
      <c r="Z71" s="29" t="str">
        <f t="shared" si="5"/>
        <v/>
      </c>
      <c r="AA71" s="29"/>
      <c r="AB71" s="29"/>
      <c r="AC71" s="73"/>
      <c r="AD71" s="73"/>
      <c r="AE71" s="78" t="str">
        <f>IF(U71="","",IF(AD71="","",_xlfn.WORKDAY.INTL(AD71,7,1,FERIADOS)))</f>
        <v/>
      </c>
      <c r="AF71" s="79"/>
      <c r="AG71" s="80" t="str">
        <f t="array" ref="AG71">IF(A71="","",IF(AF71="","",AF71*INDEX(PARAMETROS!F$2:F1134,MATCH(YEAR(AC71),PARAMETROS!E$2:E1134,0),1)))</f>
        <v/>
      </c>
      <c r="AH71" s="81"/>
      <c r="AI71" s="82"/>
      <c r="AJ71" s="81"/>
      <c r="AK71" s="81"/>
      <c r="AL71" s="29"/>
      <c r="AM71" s="75"/>
      <c r="AN71" s="29"/>
      <c r="AO71" s="83"/>
      <c r="AP71" s="84"/>
      <c r="AQ71" s="85" t="str">
        <f t="shared" si="6"/>
        <v/>
      </c>
      <c r="AR71" s="86" t="str">
        <f t="array" ref="AR71">IF(A71="","",IFERROR(INDEX('2) Etapas'!L$3:L923,MATCH(B71,'2) Etapas'!$A$4:$A923,0),1),-1))</f>
        <v/>
      </c>
      <c r="AS71" s="87" t="str">
        <f t="shared" si="7"/>
        <v/>
      </c>
      <c r="AT71" s="87" t="str">
        <f t="shared" si="8"/>
        <v/>
      </c>
      <c r="AU71" s="87" t="str">
        <f t="shared" si="9"/>
        <v/>
      </c>
      <c r="AV71" s="89" t="str">
        <f t="array" ref="AV71">IF(OR($A71="",$AB71="", $AC71=""),"",MAXA(IF($A71=$A$4:$A923,$AC$4:$AC923)))</f>
        <v/>
      </c>
    </row>
    <row r="72" ht="22.5" customHeight="1">
      <c r="A72" s="29"/>
      <c r="B72" s="68" t="str">
        <f t="shared" si="1"/>
        <v/>
      </c>
      <c r="C72" s="69"/>
      <c r="D72" s="70" t="str">
        <f t="shared" si="2"/>
        <v/>
      </c>
      <c r="E72" s="29"/>
      <c r="F72" s="68" t="str">
        <f t="array" ref="F72">IF($A72="","",IFERROR(INDEX(MA_INDIVIDUALES!C$2:C923, MATCH($A72,MA_INDIVIDUALES!$B$2:$B923,0),1),"CÓDIGO DE EXPEDIENTE INVÁLIDO"))</f>
        <v/>
      </c>
      <c r="G72" s="68" t="str">
        <f t="array" ref="G72">IF($A72="","",IFERROR(INDEX(MA_INDIVIDUALES!K$2:K923, MATCH($A72,MA_INDIVIDUALES!$B$2:$B923,0),1),"CÓDIGO DE EXPEDIENTE INVÁLIDO"))</f>
        <v/>
      </c>
      <c r="H72" s="68" t="str">
        <f t="array" ref="H72">IF($A72="","",IFERROR(INDEX(MA_INDIVIDUALES!L$2:L923, MATCH($A72,MA_INDIVIDUALES!$B$2:$B923,0),1),"CÓDIGO DE EXPEDIENTE INVÁLIDO"))</f>
        <v/>
      </c>
      <c r="I72" s="29"/>
      <c r="J72" s="29"/>
      <c r="K72" s="73"/>
      <c r="L72" s="74" t="str">
        <f>IF(A72="","",IF(K72="","",_xlfn.WORKDAY.INTL(K72,5,1,FERIADOS)))</f>
        <v/>
      </c>
      <c r="M72" s="29"/>
      <c r="N72" s="75"/>
      <c r="O72" s="76"/>
      <c r="P72" s="77" t="str">
        <f t="shared" si="3"/>
        <v/>
      </c>
      <c r="Q72" s="75"/>
      <c r="R72" s="76"/>
      <c r="S72" s="75"/>
      <c r="T72" s="75"/>
      <c r="U72" s="29"/>
      <c r="V72" s="76"/>
      <c r="W72" s="75"/>
      <c r="X72" s="76"/>
      <c r="Y72" s="29" t="str">
        <f t="shared" si="4"/>
        <v/>
      </c>
      <c r="Z72" s="29" t="str">
        <f t="shared" si="5"/>
        <v/>
      </c>
      <c r="AA72" s="29"/>
      <c r="AB72" s="29"/>
      <c r="AC72" s="73"/>
      <c r="AD72" s="73"/>
      <c r="AE72" s="78" t="str">
        <f>IF(U72="","",IF(AD72="","",_xlfn.WORKDAY.INTL(AD72,7,1,FERIADOS)))</f>
        <v/>
      </c>
      <c r="AF72" s="79"/>
      <c r="AG72" s="80" t="str">
        <f t="array" ref="AG72">IF(A72="","",IF(AF72="","",AF72*INDEX(PARAMETROS!F$2:F1135,MATCH(YEAR(AC72),PARAMETROS!E$2:E1135,0),1)))</f>
        <v/>
      </c>
      <c r="AH72" s="81"/>
      <c r="AI72" s="82"/>
      <c r="AJ72" s="81"/>
      <c r="AK72" s="81"/>
      <c r="AL72" s="29"/>
      <c r="AM72" s="75"/>
      <c r="AN72" s="29"/>
      <c r="AO72" s="83"/>
      <c r="AP72" s="84"/>
      <c r="AQ72" s="85" t="str">
        <f t="shared" si="6"/>
        <v/>
      </c>
      <c r="AR72" s="86" t="str">
        <f t="array" ref="AR72">IF(A72="","",IFERROR(INDEX('2) Etapas'!L$3:L923,MATCH(B72,'2) Etapas'!$A$4:$A923,0),1),-1))</f>
        <v/>
      </c>
      <c r="AS72" s="87" t="str">
        <f t="shared" si="7"/>
        <v/>
      </c>
      <c r="AT72" s="87" t="str">
        <f t="shared" si="8"/>
        <v/>
      </c>
      <c r="AU72" s="87" t="str">
        <f t="shared" si="9"/>
        <v/>
      </c>
      <c r="AV72" s="89" t="str">
        <f t="array" ref="AV72">IF(OR($A72="",$AB72="", $AC72=""),"",MAXA(IF($A72=$A$4:$A923,$AC$4:$AC923)))</f>
        <v/>
      </c>
    </row>
    <row r="73" ht="22.5" customHeight="1">
      <c r="A73" s="29"/>
      <c r="B73" s="68" t="str">
        <f t="shared" si="1"/>
        <v/>
      </c>
      <c r="C73" s="69"/>
      <c r="D73" s="70" t="str">
        <f t="shared" si="2"/>
        <v/>
      </c>
      <c r="E73" s="29"/>
      <c r="F73" s="68" t="str">
        <f t="array" ref="F73">IF($A73="","",IFERROR(INDEX(MA_INDIVIDUALES!C$2:C923, MATCH($A73,MA_INDIVIDUALES!$B$2:$B923,0),1),"CÓDIGO DE EXPEDIENTE INVÁLIDO"))</f>
        <v/>
      </c>
      <c r="G73" s="68" t="str">
        <f t="array" ref="G73">IF($A73="","",IFERROR(INDEX(MA_INDIVIDUALES!K$2:K923, MATCH($A73,MA_INDIVIDUALES!$B$2:$B923,0),1),"CÓDIGO DE EXPEDIENTE INVÁLIDO"))</f>
        <v/>
      </c>
      <c r="H73" s="68" t="str">
        <f t="array" ref="H73">IF($A73="","",IFERROR(INDEX(MA_INDIVIDUALES!L$2:L923, MATCH($A73,MA_INDIVIDUALES!$B$2:$B923,0),1),"CÓDIGO DE EXPEDIENTE INVÁLIDO"))</f>
        <v/>
      </c>
      <c r="I73" s="76"/>
      <c r="J73" s="76"/>
      <c r="K73" s="75"/>
      <c r="L73" s="74" t="str">
        <f>IF(A73="","",IF(K73="","",_xlfn.WORKDAY.INTL(K73,5,1,FERIADOS)))</f>
        <v/>
      </c>
      <c r="M73" s="76"/>
      <c r="N73" s="75"/>
      <c r="O73" s="76"/>
      <c r="P73" s="77" t="str">
        <f t="shared" si="3"/>
        <v/>
      </c>
      <c r="Q73" s="75"/>
      <c r="R73" s="76"/>
      <c r="S73" s="75"/>
      <c r="T73" s="75"/>
      <c r="U73" s="76"/>
      <c r="V73" s="76"/>
      <c r="W73" s="75"/>
      <c r="X73" s="76"/>
      <c r="Y73" s="29" t="str">
        <f t="shared" si="4"/>
        <v/>
      </c>
      <c r="Z73" s="29" t="str">
        <f t="shared" si="5"/>
        <v/>
      </c>
      <c r="AA73" s="76"/>
      <c r="AB73" s="76"/>
      <c r="AC73" s="75"/>
      <c r="AD73" s="75"/>
      <c r="AE73" s="78" t="str">
        <f>IF(U73="","",IF(AD73="","",_xlfn.WORKDAY.INTL(AD73,7,1,FERIADOS)))</f>
        <v/>
      </c>
      <c r="AF73" s="104"/>
      <c r="AG73" s="80" t="str">
        <f t="array" ref="AG73">IF(A73="","",IF(AF73="","",AF73*INDEX(PARAMETROS!F$2:F1136,MATCH(YEAR(AC73),PARAMETROS!E$2:E1136,0),1)))</f>
        <v/>
      </c>
      <c r="AH73" s="81"/>
      <c r="AI73" s="82"/>
      <c r="AJ73" s="81"/>
      <c r="AK73" s="81"/>
      <c r="AL73" s="76"/>
      <c r="AM73" s="75"/>
      <c r="AN73" s="76"/>
      <c r="AO73" s="95"/>
      <c r="AP73" s="96"/>
      <c r="AQ73" s="85" t="str">
        <f t="shared" si="6"/>
        <v/>
      </c>
      <c r="AR73" s="86" t="str">
        <f t="array" ref="AR73">IF(A73="","",IFERROR(INDEX('2) Etapas'!L$3:L923,MATCH(B73,'2) Etapas'!$A$4:$A923,0),1),-1))</f>
        <v/>
      </c>
      <c r="AS73" s="87" t="str">
        <f t="shared" si="7"/>
        <v/>
      </c>
      <c r="AT73" s="87" t="str">
        <f t="shared" si="8"/>
        <v/>
      </c>
      <c r="AU73" s="87" t="str">
        <f t="shared" si="9"/>
        <v/>
      </c>
      <c r="AV73" s="89" t="str">
        <f t="array" ref="AV73">IF(OR($A73="",$AB73="", $AC73=""),"",MAXA(IF($A73=$A$4:$A923,$AC$4:$AC923)))</f>
        <v/>
      </c>
    </row>
    <row r="74" ht="22.5" customHeight="1">
      <c r="A74" s="29"/>
      <c r="B74" s="68" t="str">
        <f t="shared" si="1"/>
        <v/>
      </c>
      <c r="C74" s="69"/>
      <c r="D74" s="70" t="str">
        <f t="shared" si="2"/>
        <v/>
      </c>
      <c r="E74" s="29"/>
      <c r="F74" s="68" t="str">
        <f t="array" ref="F74">IF($A74="","",IFERROR(INDEX(MA_INDIVIDUALES!C$2:C923, MATCH($A74,MA_INDIVIDUALES!$B$2:$B923,0),1),"CÓDIGO DE EXPEDIENTE INVÁLIDO"))</f>
        <v/>
      </c>
      <c r="G74" s="68" t="str">
        <f t="array" ref="G74">IF($A74="","",IFERROR(INDEX(MA_INDIVIDUALES!K$2:K923, MATCH($A74,MA_INDIVIDUALES!$B$2:$B923,0),1),"CÓDIGO DE EXPEDIENTE INVÁLIDO"))</f>
        <v/>
      </c>
      <c r="H74" s="68" t="str">
        <f t="array" ref="H74">IF($A74="","",IFERROR(INDEX(MA_INDIVIDUALES!L$2:L923, MATCH($A74,MA_INDIVIDUALES!$B$2:$B923,0),1),"CÓDIGO DE EXPEDIENTE INVÁLIDO"))</f>
        <v/>
      </c>
      <c r="I74" s="76"/>
      <c r="J74" s="76"/>
      <c r="K74" s="75"/>
      <c r="L74" s="74" t="str">
        <f>IF(A74="","",IF(K74="","",_xlfn.WORKDAY.INTL(K74,5,1,FERIADOS)))</f>
        <v/>
      </c>
      <c r="M74" s="76"/>
      <c r="N74" s="75"/>
      <c r="O74" s="76"/>
      <c r="P74" s="77" t="str">
        <f t="shared" si="3"/>
        <v/>
      </c>
      <c r="Q74" s="75"/>
      <c r="R74" s="76"/>
      <c r="S74" s="75"/>
      <c r="T74" s="75"/>
      <c r="U74" s="76"/>
      <c r="V74" s="76"/>
      <c r="W74" s="75"/>
      <c r="X74" s="76"/>
      <c r="Y74" s="29" t="str">
        <f t="shared" si="4"/>
        <v/>
      </c>
      <c r="Z74" s="29" t="str">
        <f t="shared" si="5"/>
        <v/>
      </c>
      <c r="AA74" s="76"/>
      <c r="AB74" s="76"/>
      <c r="AC74" s="75"/>
      <c r="AD74" s="75"/>
      <c r="AE74" s="78" t="str">
        <f>IF(U74="","",IF(AD74="","",_xlfn.WORKDAY.INTL(AD74,7,1,FERIADOS)))</f>
        <v/>
      </c>
      <c r="AF74" s="104"/>
      <c r="AG74" s="80" t="str">
        <f t="array" ref="AG74">IF(A74="","",IF(AF74="","",AF74*INDEX(PARAMETROS!F$2:F1137,MATCH(YEAR(AC74),PARAMETROS!E$2:E1137,0),1)))</f>
        <v/>
      </c>
      <c r="AH74" s="81"/>
      <c r="AI74" s="82"/>
      <c r="AJ74" s="81"/>
      <c r="AK74" s="81"/>
      <c r="AL74" s="76"/>
      <c r="AM74" s="75"/>
      <c r="AN74" s="76"/>
      <c r="AO74" s="95"/>
      <c r="AP74" s="96"/>
      <c r="AQ74" s="85" t="str">
        <f t="shared" si="6"/>
        <v/>
      </c>
      <c r="AR74" s="86" t="str">
        <f t="array" ref="AR74">IF(A74="","",IFERROR(INDEX('2) Etapas'!L$3:L923,MATCH(B74,'2) Etapas'!$A$4:$A923,0),1),-1))</f>
        <v/>
      </c>
      <c r="AS74" s="87" t="str">
        <f t="shared" si="7"/>
        <v/>
      </c>
      <c r="AT74" s="87" t="str">
        <f t="shared" si="8"/>
        <v/>
      </c>
      <c r="AU74" s="87" t="str">
        <f t="shared" si="9"/>
        <v/>
      </c>
      <c r="AV74" s="89" t="str">
        <f t="array" ref="AV74">IF(OR($A74="",$AB74="", $AC74=""),"",MAXA(IF($A74=$A$4:$A923,$AC$4:$AC923)))</f>
        <v/>
      </c>
    </row>
    <row r="75" ht="22.5" customHeight="1">
      <c r="A75" s="29"/>
      <c r="B75" s="68" t="str">
        <f t="shared" si="1"/>
        <v/>
      </c>
      <c r="C75" s="69"/>
      <c r="D75" s="70" t="str">
        <f t="shared" si="2"/>
        <v/>
      </c>
      <c r="E75" s="29"/>
      <c r="F75" s="68" t="str">
        <f t="array" ref="F75">IF($A75="","",IFERROR(INDEX(MA_INDIVIDUALES!C$2:C923, MATCH($A75,MA_INDIVIDUALES!$B$2:$B923,0),1),"CÓDIGO DE EXPEDIENTE INVÁLIDO"))</f>
        <v/>
      </c>
      <c r="G75" s="68" t="str">
        <f t="array" ref="G75">IF($A75="","",IFERROR(INDEX(MA_INDIVIDUALES!K$2:K923, MATCH($A75,MA_INDIVIDUALES!$B$2:$B923,0),1),"CÓDIGO DE EXPEDIENTE INVÁLIDO"))</f>
        <v/>
      </c>
      <c r="H75" s="68" t="str">
        <f t="array" ref="H75">IF($A75="","",IFERROR(INDEX(MA_INDIVIDUALES!L$2:L923, MATCH($A75,MA_INDIVIDUALES!$B$2:$B923,0),1),"CÓDIGO DE EXPEDIENTE INVÁLIDO"))</f>
        <v/>
      </c>
      <c r="I75" s="29"/>
      <c r="J75" s="29"/>
      <c r="K75" s="73"/>
      <c r="L75" s="74" t="str">
        <f>IF(A75="","",IF(K75="","",_xlfn.WORKDAY.INTL(K75,5,1,FERIADOS)))</f>
        <v/>
      </c>
      <c r="M75" s="29"/>
      <c r="N75" s="75"/>
      <c r="O75" s="76"/>
      <c r="P75" s="77" t="str">
        <f t="shared" si="3"/>
        <v/>
      </c>
      <c r="Q75" s="75"/>
      <c r="R75" s="76"/>
      <c r="S75" s="75"/>
      <c r="T75" s="75"/>
      <c r="U75" s="29"/>
      <c r="V75" s="76"/>
      <c r="W75" s="75"/>
      <c r="X75" s="76"/>
      <c r="Y75" s="29" t="str">
        <f t="shared" si="4"/>
        <v/>
      </c>
      <c r="Z75" s="29" t="str">
        <f t="shared" si="5"/>
        <v/>
      </c>
      <c r="AA75" s="29"/>
      <c r="AB75" s="29"/>
      <c r="AC75" s="73"/>
      <c r="AD75" s="73"/>
      <c r="AE75" s="78" t="str">
        <f>IF(U75="","",IF(AD75="","",_xlfn.WORKDAY.INTL(AD75,7,1,FERIADOS)))</f>
        <v/>
      </c>
      <c r="AF75" s="79"/>
      <c r="AG75" s="80" t="str">
        <f t="array" ref="AG75">IF(A75="","",IF(AF75="","",AF75*INDEX(PARAMETROS!F$2:F1138,MATCH(YEAR(AC75),PARAMETROS!E$2:E1138,0),1)))</f>
        <v/>
      </c>
      <c r="AH75" s="81"/>
      <c r="AI75" s="82"/>
      <c r="AJ75" s="81"/>
      <c r="AK75" s="81"/>
      <c r="AL75" s="29"/>
      <c r="AM75" s="75"/>
      <c r="AN75" s="29"/>
      <c r="AO75" s="83"/>
      <c r="AP75" s="84"/>
      <c r="AQ75" s="85" t="str">
        <f t="shared" si="6"/>
        <v/>
      </c>
      <c r="AR75" s="86" t="str">
        <f t="array" ref="AR75">IF(A75="","",IFERROR(INDEX('2) Etapas'!L$3:L923,MATCH(B75,'2) Etapas'!$A$4:$A923,0),1),-1))</f>
        <v/>
      </c>
      <c r="AS75" s="87" t="str">
        <f t="shared" si="7"/>
        <v/>
      </c>
      <c r="AT75" s="87" t="str">
        <f t="shared" si="8"/>
        <v/>
      </c>
      <c r="AU75" s="87" t="str">
        <f t="shared" si="9"/>
        <v/>
      </c>
      <c r="AV75" s="89" t="str">
        <f t="array" ref="AV75">IF(OR($A75="",$AB75="", $AC75=""),"",MAXA(IF($A75=$A$4:$A923,$AC$4:$AC923)))</f>
        <v/>
      </c>
    </row>
    <row r="76" ht="22.5" customHeight="1">
      <c r="A76" s="29"/>
      <c r="B76" s="68" t="str">
        <f t="shared" si="1"/>
        <v/>
      </c>
      <c r="C76" s="69"/>
      <c r="D76" s="70" t="str">
        <f t="shared" si="2"/>
        <v/>
      </c>
      <c r="E76" s="29"/>
      <c r="F76" s="68" t="str">
        <f t="array" ref="F76">IF($A76="","",IFERROR(INDEX(MA_INDIVIDUALES!C$2:C923, MATCH($A76,MA_INDIVIDUALES!$B$2:$B923,0),1),"CÓDIGO DE EXPEDIENTE INVÁLIDO"))</f>
        <v/>
      </c>
      <c r="G76" s="68" t="str">
        <f t="array" ref="G76">IF($A76="","",IFERROR(INDEX(MA_INDIVIDUALES!K$2:K923, MATCH($A76,MA_INDIVIDUALES!$B$2:$B923,0),1),"CÓDIGO DE EXPEDIENTE INVÁLIDO"))</f>
        <v/>
      </c>
      <c r="H76" s="68" t="str">
        <f t="array" ref="H76">IF($A76="","",IFERROR(INDEX(MA_INDIVIDUALES!L$2:L923, MATCH($A76,MA_INDIVIDUALES!$B$2:$B923,0),1),"CÓDIGO DE EXPEDIENTE INVÁLIDO"))</f>
        <v/>
      </c>
      <c r="I76" s="76"/>
      <c r="J76" s="76"/>
      <c r="K76" s="75"/>
      <c r="L76" s="74" t="str">
        <f>IF(A76="","",IF(K76="","",_xlfn.WORKDAY.INTL(K76,5,1,FERIADOS)))</f>
        <v/>
      </c>
      <c r="M76" s="76"/>
      <c r="N76" s="75"/>
      <c r="O76" s="76"/>
      <c r="P76" s="77" t="str">
        <f t="shared" si="3"/>
        <v/>
      </c>
      <c r="Q76" s="75"/>
      <c r="R76" s="76"/>
      <c r="S76" s="75"/>
      <c r="T76" s="75"/>
      <c r="U76" s="76"/>
      <c r="V76" s="76"/>
      <c r="W76" s="75"/>
      <c r="X76" s="76"/>
      <c r="Y76" s="29" t="str">
        <f t="shared" si="4"/>
        <v/>
      </c>
      <c r="Z76" s="29" t="str">
        <f t="shared" si="5"/>
        <v/>
      </c>
      <c r="AA76" s="76"/>
      <c r="AB76" s="76"/>
      <c r="AC76" s="75"/>
      <c r="AD76" s="75"/>
      <c r="AE76" s="78" t="str">
        <f>IF(U76="","",IF(AD76="","",_xlfn.WORKDAY.INTL(AD76,7,1,FERIADOS)))</f>
        <v/>
      </c>
      <c r="AF76" s="104"/>
      <c r="AG76" s="80" t="str">
        <f t="array" ref="AG76">IF(A76="","",IF(AF76="","",AF76*INDEX(PARAMETROS!F$2:F1139,MATCH(YEAR(AC76),PARAMETROS!E$2:E1139,0),1)))</f>
        <v/>
      </c>
      <c r="AH76" s="81"/>
      <c r="AI76" s="82"/>
      <c r="AJ76" s="81"/>
      <c r="AK76" s="81"/>
      <c r="AL76" s="76"/>
      <c r="AM76" s="75"/>
      <c r="AN76" s="76"/>
      <c r="AO76" s="95"/>
      <c r="AP76" s="96"/>
      <c r="AQ76" s="85" t="str">
        <f t="shared" si="6"/>
        <v/>
      </c>
      <c r="AR76" s="86" t="str">
        <f t="array" ref="AR76">IF(A76="","",IFERROR(INDEX('2) Etapas'!L$3:L923,MATCH(B76,'2) Etapas'!$A$4:$A923,0),1),-1))</f>
        <v/>
      </c>
      <c r="AS76" s="87" t="str">
        <f t="shared" si="7"/>
        <v/>
      </c>
      <c r="AT76" s="87" t="str">
        <f t="shared" si="8"/>
        <v/>
      </c>
      <c r="AU76" s="87" t="str">
        <f t="shared" si="9"/>
        <v/>
      </c>
      <c r="AV76" s="89" t="str">
        <f t="array" ref="AV76">IF(OR($A76="",$AB76="", $AC76=""),"",MAXA(IF($A76=$A$4:$A923,$AC$4:$AC923)))</f>
        <v/>
      </c>
    </row>
    <row r="77" ht="22.5" customHeight="1">
      <c r="A77" s="29"/>
      <c r="B77" s="68" t="str">
        <f t="shared" si="1"/>
        <v/>
      </c>
      <c r="C77" s="69"/>
      <c r="D77" s="70" t="str">
        <f t="shared" si="2"/>
        <v/>
      </c>
      <c r="E77" s="29"/>
      <c r="F77" s="68" t="str">
        <f t="array" ref="F77">IF($A77="","",IFERROR(INDEX(MA_INDIVIDUALES!C$2:C923, MATCH($A77,MA_INDIVIDUALES!$B$2:$B923,0),1),"CÓDIGO DE EXPEDIENTE INVÁLIDO"))</f>
        <v/>
      </c>
      <c r="G77" s="68" t="str">
        <f t="array" ref="G77">IF($A77="","",IFERROR(INDEX(MA_INDIVIDUALES!K$2:K923, MATCH($A77,MA_INDIVIDUALES!$B$2:$B923,0),1),"CÓDIGO DE EXPEDIENTE INVÁLIDO"))</f>
        <v/>
      </c>
      <c r="H77" s="68" t="str">
        <f t="array" ref="H77">IF($A77="","",IFERROR(INDEX(MA_INDIVIDUALES!L$2:L923, MATCH($A77,MA_INDIVIDUALES!$B$2:$B923,0),1),"CÓDIGO DE EXPEDIENTE INVÁLIDO"))</f>
        <v/>
      </c>
      <c r="I77" s="76"/>
      <c r="J77" s="76"/>
      <c r="K77" s="75"/>
      <c r="L77" s="74" t="str">
        <f>IF(A77="","",IF(K77="","",_xlfn.WORKDAY.INTL(K77,5,1,FERIADOS)))</f>
        <v/>
      </c>
      <c r="M77" s="76"/>
      <c r="N77" s="75"/>
      <c r="O77" s="76"/>
      <c r="P77" s="77" t="str">
        <f t="shared" si="3"/>
        <v/>
      </c>
      <c r="Q77" s="75"/>
      <c r="R77" s="76"/>
      <c r="S77" s="75"/>
      <c r="T77" s="75"/>
      <c r="U77" s="76"/>
      <c r="V77" s="76"/>
      <c r="W77" s="75"/>
      <c r="X77" s="76"/>
      <c r="Y77" s="29" t="str">
        <f t="shared" si="4"/>
        <v/>
      </c>
      <c r="Z77" s="29" t="str">
        <f t="shared" si="5"/>
        <v/>
      </c>
      <c r="AA77" s="76"/>
      <c r="AB77" s="76"/>
      <c r="AC77" s="75"/>
      <c r="AD77" s="75"/>
      <c r="AE77" s="78" t="str">
        <f>IF(U77="","",IF(AD77="","",_xlfn.WORKDAY.INTL(AD77,7,1,FERIADOS)))</f>
        <v/>
      </c>
      <c r="AF77" s="104"/>
      <c r="AG77" s="80" t="str">
        <f t="array" ref="AG77">IF(A77="","",IF(AF77="","",AF77*INDEX(PARAMETROS!F$2:F1140,MATCH(YEAR(AC77),PARAMETROS!E$2:E1140,0),1)))</f>
        <v/>
      </c>
      <c r="AH77" s="81"/>
      <c r="AI77" s="82"/>
      <c r="AJ77" s="81"/>
      <c r="AK77" s="81"/>
      <c r="AL77" s="76"/>
      <c r="AM77" s="75"/>
      <c r="AN77" s="76"/>
      <c r="AO77" s="95"/>
      <c r="AP77" s="96"/>
      <c r="AQ77" s="85" t="str">
        <f t="shared" si="6"/>
        <v/>
      </c>
      <c r="AR77" s="86" t="str">
        <f t="array" ref="AR77">IF(A77="","",IFERROR(INDEX('2) Etapas'!L$3:L923,MATCH(B77,'2) Etapas'!$A$4:$A923,0),1),-1))</f>
        <v/>
      </c>
      <c r="AS77" s="87" t="str">
        <f t="shared" si="7"/>
        <v/>
      </c>
      <c r="AT77" s="87" t="str">
        <f t="shared" si="8"/>
        <v/>
      </c>
      <c r="AU77" s="87" t="str">
        <f t="shared" si="9"/>
        <v/>
      </c>
      <c r="AV77" s="89" t="str">
        <f t="array" ref="AV77">IF(OR($A77="",$AB77="", $AC77=""),"",MAXA(IF($A77=$A$4:$A923,$AC$4:$AC923)))</f>
        <v/>
      </c>
    </row>
    <row r="78" ht="22.5" customHeight="1">
      <c r="A78" s="29"/>
      <c r="B78" s="68" t="str">
        <f t="shared" si="1"/>
        <v/>
      </c>
      <c r="C78" s="69"/>
      <c r="D78" s="70" t="str">
        <f t="shared" si="2"/>
        <v/>
      </c>
      <c r="E78" s="29"/>
      <c r="F78" s="68" t="str">
        <f t="array" ref="F78">IF($A78="","",IFERROR(INDEX(MA_INDIVIDUALES!C$2:C923, MATCH($A78,MA_INDIVIDUALES!$B$2:$B923,0),1),"CÓDIGO DE EXPEDIENTE INVÁLIDO"))</f>
        <v/>
      </c>
      <c r="G78" s="68" t="str">
        <f t="array" ref="G78">IF($A78="","",IFERROR(INDEX(MA_INDIVIDUALES!K$2:K923, MATCH($A78,MA_INDIVIDUALES!$B$2:$B923,0),1),"CÓDIGO DE EXPEDIENTE INVÁLIDO"))</f>
        <v/>
      </c>
      <c r="H78" s="68" t="str">
        <f t="array" ref="H78">IF($A78="","",IFERROR(INDEX(MA_INDIVIDUALES!L$2:L923, MATCH($A78,MA_INDIVIDUALES!$B$2:$B923,0),1),"CÓDIGO DE EXPEDIENTE INVÁLIDO"))</f>
        <v/>
      </c>
      <c r="I78" s="76"/>
      <c r="J78" s="76"/>
      <c r="K78" s="75"/>
      <c r="L78" s="74" t="str">
        <f>IF(A78="","",IF(K78="","",_xlfn.WORKDAY.INTL(K78,5,1,FERIADOS)))</f>
        <v/>
      </c>
      <c r="M78" s="76"/>
      <c r="N78" s="75"/>
      <c r="O78" s="76"/>
      <c r="P78" s="77" t="str">
        <f t="shared" si="3"/>
        <v/>
      </c>
      <c r="Q78" s="75"/>
      <c r="R78" s="76"/>
      <c r="S78" s="75"/>
      <c r="T78" s="75"/>
      <c r="U78" s="76"/>
      <c r="V78" s="76"/>
      <c r="W78" s="75"/>
      <c r="X78" s="76"/>
      <c r="Y78" s="29" t="str">
        <f t="shared" si="4"/>
        <v/>
      </c>
      <c r="Z78" s="29" t="str">
        <f t="shared" si="5"/>
        <v/>
      </c>
      <c r="AA78" s="76"/>
      <c r="AB78" s="76"/>
      <c r="AC78" s="75"/>
      <c r="AD78" s="75"/>
      <c r="AE78" s="78" t="str">
        <f>IF(U78="","",IF(AD78="","",_xlfn.WORKDAY.INTL(AD78,7,1,FERIADOS)))</f>
        <v/>
      </c>
      <c r="AF78" s="104"/>
      <c r="AG78" s="80" t="str">
        <f t="array" ref="AG78">IF(A78="","",IF(AF78="","",AF78*INDEX(PARAMETROS!F$2:F1141,MATCH(YEAR(AC78),PARAMETROS!E$2:E1141,0),1)))</f>
        <v/>
      </c>
      <c r="AH78" s="81"/>
      <c r="AI78" s="82"/>
      <c r="AJ78" s="81"/>
      <c r="AK78" s="81"/>
      <c r="AL78" s="76"/>
      <c r="AM78" s="75"/>
      <c r="AN78" s="76"/>
      <c r="AO78" s="95"/>
      <c r="AP78" s="96"/>
      <c r="AQ78" s="85" t="str">
        <f t="shared" si="6"/>
        <v/>
      </c>
      <c r="AR78" s="86" t="str">
        <f t="array" ref="AR78">IF(A78="","",IFERROR(INDEX('2) Etapas'!L$3:L923,MATCH(B78,'2) Etapas'!$A$4:$A923,0),1),-1))</f>
        <v/>
      </c>
      <c r="AS78" s="87" t="str">
        <f t="shared" si="7"/>
        <v/>
      </c>
      <c r="AT78" s="87" t="str">
        <f t="shared" si="8"/>
        <v/>
      </c>
      <c r="AU78" s="87" t="str">
        <f t="shared" si="9"/>
        <v/>
      </c>
      <c r="AV78" s="89" t="str">
        <f t="array" ref="AV78">IF(OR($A78="",$AB78="", $AC78=""),"",MAXA(IF($A78=$A$4:$A923,$AC$4:$AC923)))</f>
        <v/>
      </c>
    </row>
    <row r="79" ht="22.5" customHeight="1">
      <c r="A79" s="29"/>
      <c r="B79" s="68" t="str">
        <f t="shared" si="1"/>
        <v/>
      </c>
      <c r="C79" s="69"/>
      <c r="D79" s="70" t="str">
        <f t="shared" si="2"/>
        <v/>
      </c>
      <c r="E79" s="29"/>
      <c r="F79" s="68" t="str">
        <f t="array" ref="F79">IF($A79="","",IFERROR(INDEX(MA_INDIVIDUALES!C$2:C923, MATCH($A79,MA_INDIVIDUALES!$B$2:$B923,0),1),"CÓDIGO DE EXPEDIENTE INVÁLIDO"))</f>
        <v/>
      </c>
      <c r="G79" s="68" t="str">
        <f t="array" ref="G79">IF($A79="","",IFERROR(INDEX(MA_INDIVIDUALES!K$2:K923, MATCH($A79,MA_INDIVIDUALES!$B$2:$B923,0),1),"CÓDIGO DE EXPEDIENTE INVÁLIDO"))</f>
        <v/>
      </c>
      <c r="H79" s="68" t="str">
        <f t="array" ref="H79">IF($A79="","",IFERROR(INDEX(MA_INDIVIDUALES!L$2:L923, MATCH($A79,MA_INDIVIDUALES!$B$2:$B923,0),1),"CÓDIGO DE EXPEDIENTE INVÁLIDO"))</f>
        <v/>
      </c>
      <c r="I79" s="76"/>
      <c r="J79" s="76"/>
      <c r="K79" s="75"/>
      <c r="L79" s="74" t="str">
        <f>IF(A79="","",IF(K79="","",_xlfn.WORKDAY.INTL(K79,5,1,FERIADOS)))</f>
        <v/>
      </c>
      <c r="M79" s="76"/>
      <c r="N79" s="75"/>
      <c r="O79" s="76"/>
      <c r="P79" s="77" t="str">
        <f t="shared" si="3"/>
        <v/>
      </c>
      <c r="Q79" s="75"/>
      <c r="R79" s="76"/>
      <c r="S79" s="75"/>
      <c r="T79" s="75"/>
      <c r="U79" s="76"/>
      <c r="V79" s="76"/>
      <c r="W79" s="75"/>
      <c r="X79" s="76"/>
      <c r="Y79" s="29" t="str">
        <f t="shared" si="4"/>
        <v/>
      </c>
      <c r="Z79" s="29" t="str">
        <f t="shared" si="5"/>
        <v/>
      </c>
      <c r="AA79" s="76"/>
      <c r="AB79" s="76"/>
      <c r="AC79" s="75"/>
      <c r="AD79" s="75"/>
      <c r="AE79" s="78" t="str">
        <f>IF(U79="","",IF(AD79="","",_xlfn.WORKDAY.INTL(AD79,7,1,FERIADOS)))</f>
        <v/>
      </c>
      <c r="AF79" s="104"/>
      <c r="AG79" s="80" t="str">
        <f t="array" ref="AG79">IF(A79="","",IF(AF79="","",AF79*INDEX(PARAMETROS!F$2:F1142,MATCH(YEAR(AC79),PARAMETROS!E$2:E1142,0),1)))</f>
        <v/>
      </c>
      <c r="AH79" s="81"/>
      <c r="AI79" s="82"/>
      <c r="AJ79" s="81"/>
      <c r="AK79" s="81"/>
      <c r="AL79" s="76"/>
      <c r="AM79" s="75"/>
      <c r="AN79" s="76"/>
      <c r="AO79" s="95"/>
      <c r="AP79" s="96"/>
      <c r="AQ79" s="85" t="str">
        <f t="shared" si="6"/>
        <v/>
      </c>
      <c r="AR79" s="86" t="str">
        <f t="array" ref="AR79">IF(A79="","",IFERROR(INDEX('2) Etapas'!L$3:L923,MATCH(B79,'2) Etapas'!$A$4:$A923,0),1),-1))</f>
        <v/>
      </c>
      <c r="AS79" s="87" t="str">
        <f t="shared" si="7"/>
        <v/>
      </c>
      <c r="AT79" s="87" t="str">
        <f t="shared" si="8"/>
        <v/>
      </c>
      <c r="AU79" s="87" t="str">
        <f t="shared" si="9"/>
        <v/>
      </c>
      <c r="AV79" s="89" t="str">
        <f t="array" ref="AV79">IF(OR($A79="",$AB79="", $AC79=""),"",MAXA(IF($A79=$A$4:$A923,$AC$4:$AC923)))</f>
        <v/>
      </c>
    </row>
    <row r="80" ht="22.5" customHeight="1">
      <c r="A80" s="29"/>
      <c r="B80" s="68" t="str">
        <f t="shared" si="1"/>
        <v/>
      </c>
      <c r="C80" s="69"/>
      <c r="D80" s="70" t="str">
        <f t="shared" si="2"/>
        <v/>
      </c>
      <c r="E80" s="29"/>
      <c r="F80" s="68" t="str">
        <f t="array" ref="F80">IF($A80="","",IFERROR(INDEX(MA_INDIVIDUALES!C$2:C923, MATCH($A80,MA_INDIVIDUALES!$B$2:$B923,0),1),"CÓDIGO DE EXPEDIENTE INVÁLIDO"))</f>
        <v/>
      </c>
      <c r="G80" s="68" t="str">
        <f t="array" ref="G80">IF($A80="","",IFERROR(INDEX(MA_INDIVIDUALES!K$2:K923, MATCH($A80,MA_INDIVIDUALES!$B$2:$B923,0),1),"CÓDIGO DE EXPEDIENTE INVÁLIDO"))</f>
        <v/>
      </c>
      <c r="H80" s="68" t="str">
        <f t="array" ref="H80">IF($A80="","",IFERROR(INDEX(MA_INDIVIDUALES!L$2:L923, MATCH($A80,MA_INDIVIDUALES!$B$2:$B923,0),1),"CÓDIGO DE EXPEDIENTE INVÁLIDO"))</f>
        <v/>
      </c>
      <c r="I80" s="76"/>
      <c r="J80" s="76"/>
      <c r="K80" s="75"/>
      <c r="L80" s="74" t="str">
        <f>IF(A80="","",IF(K80="","",_xlfn.WORKDAY.INTL(K80,5,1,FERIADOS)))</f>
        <v/>
      </c>
      <c r="M80" s="76"/>
      <c r="N80" s="75"/>
      <c r="O80" s="76"/>
      <c r="P80" s="77" t="str">
        <f t="shared" si="3"/>
        <v/>
      </c>
      <c r="Q80" s="75"/>
      <c r="R80" s="76"/>
      <c r="S80" s="75"/>
      <c r="T80" s="75"/>
      <c r="U80" s="76"/>
      <c r="V80" s="76"/>
      <c r="W80" s="75"/>
      <c r="X80" s="76"/>
      <c r="Y80" s="29" t="str">
        <f t="shared" si="4"/>
        <v/>
      </c>
      <c r="Z80" s="29" t="str">
        <f t="shared" si="5"/>
        <v/>
      </c>
      <c r="AA80" s="76"/>
      <c r="AB80" s="76"/>
      <c r="AC80" s="75"/>
      <c r="AD80" s="75"/>
      <c r="AE80" s="78" t="str">
        <f>IF(U80="","",IF(AD80="","",_xlfn.WORKDAY.INTL(AD80,7,1,FERIADOS)))</f>
        <v/>
      </c>
      <c r="AF80" s="104"/>
      <c r="AG80" s="80" t="str">
        <f t="array" ref="AG80">IF(A80="","",IF(AF80="","",AF80*INDEX(PARAMETROS!F$2:F1143,MATCH(YEAR(AC80),PARAMETROS!E$2:E1143,0),1)))</f>
        <v/>
      </c>
      <c r="AH80" s="81"/>
      <c r="AI80" s="82"/>
      <c r="AJ80" s="81"/>
      <c r="AK80" s="81"/>
      <c r="AL80" s="76"/>
      <c r="AM80" s="75"/>
      <c r="AN80" s="76"/>
      <c r="AO80" s="95"/>
      <c r="AP80" s="96"/>
      <c r="AQ80" s="85" t="str">
        <f t="shared" si="6"/>
        <v/>
      </c>
      <c r="AR80" s="86" t="str">
        <f t="array" ref="AR80">IF(A80="","",IFERROR(INDEX('2) Etapas'!L$3:L923,MATCH(B80,'2) Etapas'!$A$4:$A923,0),1),-1))</f>
        <v/>
      </c>
      <c r="AS80" s="87" t="str">
        <f t="shared" si="7"/>
        <v/>
      </c>
      <c r="AT80" s="87" t="str">
        <f t="shared" si="8"/>
        <v/>
      </c>
      <c r="AU80" s="87" t="str">
        <f t="shared" si="9"/>
        <v/>
      </c>
      <c r="AV80" s="89" t="str">
        <f t="array" ref="AV80">IF(OR($A80="",$AB80="", $AC80=""),"",MAXA(IF($A80=$A$4:$A923,$AC$4:$AC923)))</f>
        <v/>
      </c>
    </row>
    <row r="81" ht="22.5" customHeight="1">
      <c r="A81" s="29"/>
      <c r="B81" s="68" t="str">
        <f t="shared" si="1"/>
        <v/>
      </c>
      <c r="C81" s="69"/>
      <c r="D81" s="70" t="str">
        <f t="shared" si="2"/>
        <v/>
      </c>
      <c r="E81" s="29"/>
      <c r="F81" s="68" t="str">
        <f t="array" ref="F81">IF($A81="","",IFERROR(INDEX(MA_INDIVIDUALES!C$2:C923, MATCH($A81,MA_INDIVIDUALES!$B$2:$B923,0),1),"CÓDIGO DE EXPEDIENTE INVÁLIDO"))</f>
        <v/>
      </c>
      <c r="G81" s="68" t="str">
        <f t="array" ref="G81">IF($A81="","",IFERROR(INDEX(MA_INDIVIDUALES!K$2:K923, MATCH($A81,MA_INDIVIDUALES!$B$2:$B923,0),1),"CÓDIGO DE EXPEDIENTE INVÁLIDO"))</f>
        <v/>
      </c>
      <c r="H81" s="68" t="str">
        <f t="array" ref="H81">IF($A81="","",IFERROR(INDEX(MA_INDIVIDUALES!L$2:L923, MATCH($A81,MA_INDIVIDUALES!$B$2:$B923,0),1),"CÓDIGO DE EXPEDIENTE INVÁLIDO"))</f>
        <v/>
      </c>
      <c r="I81" s="76"/>
      <c r="J81" s="76"/>
      <c r="K81" s="75"/>
      <c r="L81" s="74" t="str">
        <f>IF(A81="","",IF(K81="","",_xlfn.WORKDAY.INTL(K81,5,1,FERIADOS)))</f>
        <v/>
      </c>
      <c r="M81" s="76"/>
      <c r="N81" s="75"/>
      <c r="O81" s="76"/>
      <c r="P81" s="77" t="str">
        <f t="shared" si="3"/>
        <v/>
      </c>
      <c r="Q81" s="75"/>
      <c r="R81" s="76"/>
      <c r="S81" s="75"/>
      <c r="T81" s="75"/>
      <c r="U81" s="76"/>
      <c r="V81" s="76"/>
      <c r="W81" s="75"/>
      <c r="X81" s="76"/>
      <c r="Y81" s="29" t="str">
        <f t="shared" si="4"/>
        <v/>
      </c>
      <c r="Z81" s="29" t="str">
        <f t="shared" si="5"/>
        <v/>
      </c>
      <c r="AA81" s="76"/>
      <c r="AB81" s="76"/>
      <c r="AC81" s="75"/>
      <c r="AD81" s="75"/>
      <c r="AE81" s="78" t="str">
        <f>IF(U81="","",IF(AD81="","",_xlfn.WORKDAY.INTL(AD81,7,1,FERIADOS)))</f>
        <v/>
      </c>
      <c r="AF81" s="104"/>
      <c r="AG81" s="80" t="str">
        <f t="array" ref="AG81">IF(A81="","",IF(AF81="","",AF81*INDEX(PARAMETROS!F$2:F1144,MATCH(YEAR(AC81),PARAMETROS!E$2:E1144,0),1)))</f>
        <v/>
      </c>
      <c r="AH81" s="81"/>
      <c r="AI81" s="82"/>
      <c r="AJ81" s="81"/>
      <c r="AK81" s="81"/>
      <c r="AL81" s="76"/>
      <c r="AM81" s="75"/>
      <c r="AN81" s="76"/>
      <c r="AO81" s="95"/>
      <c r="AP81" s="96"/>
      <c r="AQ81" s="85" t="str">
        <f t="shared" si="6"/>
        <v/>
      </c>
      <c r="AR81" s="86" t="str">
        <f t="array" ref="AR81">IF(A81="","",IFERROR(INDEX('2) Etapas'!L$3:L923,MATCH(B81,'2) Etapas'!$A$4:$A923,0),1),-1))</f>
        <v/>
      </c>
      <c r="AS81" s="87" t="str">
        <f t="shared" si="7"/>
        <v/>
      </c>
      <c r="AT81" s="87" t="str">
        <f t="shared" si="8"/>
        <v/>
      </c>
      <c r="AU81" s="87" t="str">
        <f t="shared" si="9"/>
        <v/>
      </c>
      <c r="AV81" s="89" t="str">
        <f t="array" ref="AV81">IF(OR($A81="",$AB81="", $AC81=""),"",MAXA(IF($A81=$A$4:$A923,$AC$4:$AC923)))</f>
        <v/>
      </c>
    </row>
    <row r="82" ht="22.5" customHeight="1">
      <c r="A82" s="29"/>
      <c r="B82" s="68" t="str">
        <f t="shared" si="1"/>
        <v/>
      </c>
      <c r="C82" s="69"/>
      <c r="D82" s="70" t="str">
        <f t="shared" si="2"/>
        <v/>
      </c>
      <c r="E82" s="29"/>
      <c r="F82" s="68" t="str">
        <f t="array" ref="F82">IF($A82="","",IFERROR(INDEX(MA_INDIVIDUALES!C$2:C923, MATCH($A82,MA_INDIVIDUALES!$B$2:$B923,0),1),"CÓDIGO DE EXPEDIENTE INVÁLIDO"))</f>
        <v/>
      </c>
      <c r="G82" s="68" t="str">
        <f t="array" ref="G82">IF($A82="","",IFERROR(INDEX(MA_INDIVIDUALES!K$2:K923, MATCH($A82,MA_INDIVIDUALES!$B$2:$B923,0),1),"CÓDIGO DE EXPEDIENTE INVÁLIDO"))</f>
        <v/>
      </c>
      <c r="H82" s="68" t="str">
        <f t="array" ref="H82">IF($A82="","",IFERROR(INDEX(MA_INDIVIDUALES!L$2:L923, MATCH($A82,MA_INDIVIDUALES!$B$2:$B923,0),1),"CÓDIGO DE EXPEDIENTE INVÁLIDO"))</f>
        <v/>
      </c>
      <c r="I82" s="76"/>
      <c r="J82" s="76"/>
      <c r="K82" s="75"/>
      <c r="L82" s="74" t="str">
        <f>IF(A82="","",IF(K82="","",_xlfn.WORKDAY.INTL(K82,5,1,FERIADOS)))</f>
        <v/>
      </c>
      <c r="M82" s="76"/>
      <c r="N82" s="75"/>
      <c r="O82" s="76"/>
      <c r="P82" s="77" t="str">
        <f t="shared" si="3"/>
        <v/>
      </c>
      <c r="Q82" s="75"/>
      <c r="R82" s="76"/>
      <c r="S82" s="75"/>
      <c r="T82" s="75"/>
      <c r="U82" s="76"/>
      <c r="V82" s="76"/>
      <c r="W82" s="75"/>
      <c r="X82" s="76"/>
      <c r="Y82" s="29" t="str">
        <f t="shared" si="4"/>
        <v/>
      </c>
      <c r="Z82" s="29" t="str">
        <f t="shared" si="5"/>
        <v/>
      </c>
      <c r="AA82" s="76"/>
      <c r="AB82" s="76"/>
      <c r="AC82" s="75"/>
      <c r="AD82" s="75"/>
      <c r="AE82" s="78" t="str">
        <f>IF(U82="","",IF(AD82="","",_xlfn.WORKDAY.INTL(AD82,7,1,FERIADOS)))</f>
        <v/>
      </c>
      <c r="AF82" s="104"/>
      <c r="AG82" s="80" t="str">
        <f t="array" ref="AG82">IF(A82="","",IF(AF82="","",AF82*INDEX(PARAMETROS!F$2:F1145,MATCH(YEAR(AC82),PARAMETROS!E$2:E1145,0),1)))</f>
        <v/>
      </c>
      <c r="AH82" s="81"/>
      <c r="AI82" s="82"/>
      <c r="AJ82" s="81"/>
      <c r="AK82" s="81"/>
      <c r="AL82" s="76"/>
      <c r="AM82" s="75"/>
      <c r="AN82" s="76"/>
      <c r="AO82" s="95"/>
      <c r="AP82" s="96"/>
      <c r="AQ82" s="85" t="str">
        <f t="shared" si="6"/>
        <v/>
      </c>
      <c r="AR82" s="86" t="str">
        <f t="array" ref="AR82">IF(A82="","",IFERROR(INDEX('2) Etapas'!L$3:L923,MATCH(B82,'2) Etapas'!$A$4:$A923,0),1),-1))</f>
        <v/>
      </c>
      <c r="AS82" s="87" t="str">
        <f t="shared" si="7"/>
        <v/>
      </c>
      <c r="AT82" s="87" t="str">
        <f t="shared" si="8"/>
        <v/>
      </c>
      <c r="AU82" s="87" t="str">
        <f t="shared" si="9"/>
        <v/>
      </c>
      <c r="AV82" s="89" t="str">
        <f t="array" ref="AV82">IF(OR($A82="",$AB82="", $AC82=""),"",MAXA(IF($A82=$A$4:$A923,$AC$4:$AC923)))</f>
        <v/>
      </c>
    </row>
    <row r="83" ht="22.5" customHeight="1">
      <c r="A83" s="29"/>
      <c r="B83" s="68" t="str">
        <f t="shared" si="1"/>
        <v/>
      </c>
      <c r="C83" s="69"/>
      <c r="D83" s="70" t="str">
        <f t="shared" si="2"/>
        <v/>
      </c>
      <c r="E83" s="29"/>
      <c r="F83" s="68" t="str">
        <f t="array" ref="F83">IF($A83="","",IFERROR(INDEX(MA_INDIVIDUALES!C$2:C923, MATCH($A83,MA_INDIVIDUALES!$B$2:$B923,0),1),"CÓDIGO DE EXPEDIENTE INVÁLIDO"))</f>
        <v/>
      </c>
      <c r="G83" s="68" t="str">
        <f t="array" ref="G83">IF($A83="","",IFERROR(INDEX(MA_INDIVIDUALES!K$2:K923, MATCH($A83,MA_INDIVIDUALES!$B$2:$B923,0),1),"CÓDIGO DE EXPEDIENTE INVÁLIDO"))</f>
        <v/>
      </c>
      <c r="H83" s="68" t="str">
        <f t="array" ref="H83">IF($A83="","",IFERROR(INDEX(MA_INDIVIDUALES!L$2:L923, MATCH($A83,MA_INDIVIDUALES!$B$2:$B923,0),1),"CÓDIGO DE EXPEDIENTE INVÁLIDO"))</f>
        <v/>
      </c>
      <c r="I83" s="76"/>
      <c r="J83" s="76"/>
      <c r="K83" s="75"/>
      <c r="L83" s="74" t="str">
        <f>IF(A83="","",IF(K83="","",_xlfn.WORKDAY.INTL(K83,5,1,FERIADOS)))</f>
        <v/>
      </c>
      <c r="M83" s="76"/>
      <c r="N83" s="75"/>
      <c r="O83" s="76"/>
      <c r="P83" s="77" t="str">
        <f t="shared" si="3"/>
        <v/>
      </c>
      <c r="Q83" s="75"/>
      <c r="R83" s="76"/>
      <c r="S83" s="75"/>
      <c r="T83" s="75"/>
      <c r="U83" s="76"/>
      <c r="V83" s="76"/>
      <c r="W83" s="75"/>
      <c r="X83" s="76"/>
      <c r="Y83" s="29" t="str">
        <f t="shared" si="4"/>
        <v/>
      </c>
      <c r="Z83" s="29" t="str">
        <f t="shared" si="5"/>
        <v/>
      </c>
      <c r="AA83" s="76"/>
      <c r="AB83" s="76"/>
      <c r="AC83" s="75"/>
      <c r="AD83" s="75"/>
      <c r="AE83" s="78" t="str">
        <f>IF(U83="","",IF(AD83="","",_xlfn.WORKDAY.INTL(AD83,7,1,FERIADOS)))</f>
        <v/>
      </c>
      <c r="AF83" s="104"/>
      <c r="AG83" s="80" t="str">
        <f t="array" ref="AG83">IF(A83="","",IF(AF83="","",AF83*INDEX(PARAMETROS!F$2:F1146,MATCH(YEAR(AC83),PARAMETROS!E$2:E1146,0),1)))</f>
        <v/>
      </c>
      <c r="AH83" s="81"/>
      <c r="AI83" s="82"/>
      <c r="AJ83" s="81"/>
      <c r="AK83" s="81"/>
      <c r="AL83" s="76"/>
      <c r="AM83" s="75"/>
      <c r="AN83" s="76"/>
      <c r="AO83" s="95"/>
      <c r="AP83" s="96"/>
      <c r="AQ83" s="85" t="str">
        <f t="shared" si="6"/>
        <v/>
      </c>
      <c r="AR83" s="86" t="str">
        <f t="array" ref="AR83">IF(A83="","",IFERROR(INDEX('2) Etapas'!L$3:L923,MATCH(B83,'2) Etapas'!$A$4:$A923,0),1),-1))</f>
        <v/>
      </c>
      <c r="AS83" s="87" t="str">
        <f t="shared" si="7"/>
        <v/>
      </c>
      <c r="AT83" s="87" t="str">
        <f t="shared" si="8"/>
        <v/>
      </c>
      <c r="AU83" s="87" t="str">
        <f t="shared" si="9"/>
        <v/>
      </c>
      <c r="AV83" s="89" t="str">
        <f t="array" ref="AV83">IF(OR($A83="",$AB83="", $AC83=""),"",MAXA(IF($A83=$A$4:$A923,$AC$4:$AC923)))</f>
        <v/>
      </c>
    </row>
    <row r="84" ht="22.5" customHeight="1">
      <c r="A84" s="29"/>
      <c r="B84" s="68" t="str">
        <f t="shared" si="1"/>
        <v/>
      </c>
      <c r="C84" s="69"/>
      <c r="D84" s="70" t="str">
        <f t="shared" si="2"/>
        <v/>
      </c>
      <c r="E84" s="29"/>
      <c r="F84" s="68" t="str">
        <f t="array" ref="F84">IF($A84="","",IFERROR(INDEX(MA_INDIVIDUALES!C$2:C923, MATCH($A84,MA_INDIVIDUALES!$B$2:$B923,0),1),"CÓDIGO DE EXPEDIENTE INVÁLIDO"))</f>
        <v/>
      </c>
      <c r="G84" s="68" t="str">
        <f t="array" ref="G84">IF($A84="","",IFERROR(INDEX(MA_INDIVIDUALES!K$2:K923, MATCH($A84,MA_INDIVIDUALES!$B$2:$B923,0),1),"CÓDIGO DE EXPEDIENTE INVÁLIDO"))</f>
        <v/>
      </c>
      <c r="H84" s="68" t="str">
        <f t="array" ref="H84">IF($A84="","",IFERROR(INDEX(MA_INDIVIDUALES!L$2:L923, MATCH($A84,MA_INDIVIDUALES!$B$2:$B923,0),1),"CÓDIGO DE EXPEDIENTE INVÁLIDO"))</f>
        <v/>
      </c>
      <c r="I84" s="76"/>
      <c r="J84" s="76"/>
      <c r="K84" s="75"/>
      <c r="L84" s="74" t="str">
        <f>IF(A84="","",IF(K84="","",_xlfn.WORKDAY.INTL(K84,5,1,FERIADOS)))</f>
        <v/>
      </c>
      <c r="M84" s="76"/>
      <c r="N84" s="75"/>
      <c r="O84" s="76"/>
      <c r="P84" s="77" t="str">
        <f t="shared" si="3"/>
        <v/>
      </c>
      <c r="Q84" s="75"/>
      <c r="R84" s="76"/>
      <c r="S84" s="75"/>
      <c r="T84" s="75"/>
      <c r="U84" s="76"/>
      <c r="V84" s="76"/>
      <c r="W84" s="75"/>
      <c r="X84" s="76"/>
      <c r="Y84" s="29" t="str">
        <f t="shared" si="4"/>
        <v/>
      </c>
      <c r="Z84" s="29" t="str">
        <f t="shared" si="5"/>
        <v/>
      </c>
      <c r="AA84" s="76"/>
      <c r="AB84" s="76"/>
      <c r="AC84" s="75"/>
      <c r="AD84" s="75"/>
      <c r="AE84" s="78" t="str">
        <f>IF(U84="","",IF(AD84="","",_xlfn.WORKDAY.INTL(AD84,7,1,FERIADOS)))</f>
        <v/>
      </c>
      <c r="AF84" s="104"/>
      <c r="AG84" s="80" t="str">
        <f t="array" ref="AG84">IF(A84="","",IF(AF84="","",AF84*INDEX(PARAMETROS!F$2:F1147,MATCH(YEAR(AC84),PARAMETROS!E$2:E1147,0),1)))</f>
        <v/>
      </c>
      <c r="AH84" s="81"/>
      <c r="AI84" s="82"/>
      <c r="AJ84" s="81"/>
      <c r="AK84" s="81"/>
      <c r="AL84" s="76"/>
      <c r="AM84" s="75"/>
      <c r="AN84" s="76"/>
      <c r="AO84" s="95"/>
      <c r="AP84" s="96"/>
      <c r="AQ84" s="85" t="str">
        <f t="shared" si="6"/>
        <v/>
      </c>
      <c r="AR84" s="86" t="str">
        <f t="array" ref="AR84">IF(A84="","",IFERROR(INDEX('2) Etapas'!L$3:L923,MATCH(B84,'2) Etapas'!$A$4:$A923,0),1),-1))</f>
        <v/>
      </c>
      <c r="AS84" s="87" t="str">
        <f t="shared" si="7"/>
        <v/>
      </c>
      <c r="AT84" s="87" t="str">
        <f t="shared" si="8"/>
        <v/>
      </c>
      <c r="AU84" s="87" t="str">
        <f t="shared" si="9"/>
        <v/>
      </c>
      <c r="AV84" s="89" t="str">
        <f t="array" ref="AV84">IF(OR($A84="",$AB84="", $AC84=""),"",MAXA(IF($A84=$A$4:$A923,$AC$4:$AC923)))</f>
        <v/>
      </c>
    </row>
    <row r="85" ht="22.5" customHeight="1">
      <c r="A85" s="29"/>
      <c r="B85" s="68" t="str">
        <f t="shared" si="1"/>
        <v/>
      </c>
      <c r="C85" s="69"/>
      <c r="D85" s="70" t="str">
        <f t="shared" si="2"/>
        <v/>
      </c>
      <c r="E85" s="29"/>
      <c r="F85" s="68" t="str">
        <f t="array" ref="F85">IF($A85="","",IFERROR(INDEX(MA_INDIVIDUALES!C$2:C923, MATCH($A85,MA_INDIVIDUALES!$B$2:$B923,0),1),"CÓDIGO DE EXPEDIENTE INVÁLIDO"))</f>
        <v/>
      </c>
      <c r="G85" s="68" t="str">
        <f t="array" ref="G85">IF($A85="","",IFERROR(INDEX(MA_INDIVIDUALES!K$2:K923, MATCH($A85,MA_INDIVIDUALES!$B$2:$B923,0),1),"CÓDIGO DE EXPEDIENTE INVÁLIDO"))</f>
        <v/>
      </c>
      <c r="H85" s="68" t="str">
        <f t="array" ref="H85">IF($A85="","",IFERROR(INDEX(MA_INDIVIDUALES!L$2:L923, MATCH($A85,MA_INDIVIDUALES!$B$2:$B923,0),1),"CÓDIGO DE EXPEDIENTE INVÁLIDO"))</f>
        <v/>
      </c>
      <c r="I85" s="76"/>
      <c r="J85" s="76"/>
      <c r="K85" s="75"/>
      <c r="L85" s="74" t="str">
        <f>IF(A85="","",IF(K85="","",_xlfn.WORKDAY.INTL(K85,5,1,FERIADOS)))</f>
        <v/>
      </c>
      <c r="M85" s="76"/>
      <c r="N85" s="75"/>
      <c r="O85" s="76"/>
      <c r="P85" s="77" t="str">
        <f t="shared" si="3"/>
        <v/>
      </c>
      <c r="Q85" s="75"/>
      <c r="R85" s="76"/>
      <c r="S85" s="75"/>
      <c r="T85" s="75"/>
      <c r="U85" s="76"/>
      <c r="V85" s="76"/>
      <c r="W85" s="75"/>
      <c r="X85" s="76"/>
      <c r="Y85" s="29" t="str">
        <f t="shared" si="4"/>
        <v/>
      </c>
      <c r="Z85" s="29" t="str">
        <f t="shared" si="5"/>
        <v/>
      </c>
      <c r="AA85" s="76"/>
      <c r="AB85" s="76"/>
      <c r="AC85" s="75"/>
      <c r="AD85" s="75"/>
      <c r="AE85" s="78" t="str">
        <f>IF(U85="","",IF(AD85="","",_xlfn.WORKDAY.INTL(AD85,7,1,FERIADOS)))</f>
        <v/>
      </c>
      <c r="AF85" s="104"/>
      <c r="AG85" s="80" t="str">
        <f t="array" ref="AG85">IF(A85="","",IF(AF85="","",AF85*INDEX(PARAMETROS!F$2:F1148,MATCH(YEAR(AC85),PARAMETROS!E$2:E1148,0),1)))</f>
        <v/>
      </c>
      <c r="AH85" s="81"/>
      <c r="AI85" s="82"/>
      <c r="AJ85" s="81"/>
      <c r="AK85" s="81"/>
      <c r="AL85" s="76"/>
      <c r="AM85" s="75"/>
      <c r="AN85" s="76"/>
      <c r="AO85" s="95"/>
      <c r="AP85" s="96"/>
      <c r="AQ85" s="85" t="str">
        <f t="shared" si="6"/>
        <v/>
      </c>
      <c r="AR85" s="86" t="str">
        <f t="array" ref="AR85">IF(A85="","",IFERROR(INDEX('2) Etapas'!L$3:L923,MATCH(B85,'2) Etapas'!$A$4:$A923,0),1),-1))</f>
        <v/>
      </c>
      <c r="AS85" s="87" t="str">
        <f t="shared" si="7"/>
        <v/>
      </c>
      <c r="AT85" s="87" t="str">
        <f t="shared" si="8"/>
        <v/>
      </c>
      <c r="AU85" s="87" t="str">
        <f t="shared" si="9"/>
        <v/>
      </c>
      <c r="AV85" s="89" t="str">
        <f t="array" ref="AV85">IF(OR($A85="",$AB85="", $AC85=""),"",MAXA(IF($A85=$A$4:$A923,$AC$4:$AC923)))</f>
        <v/>
      </c>
    </row>
    <row r="86" ht="22.5" customHeight="1">
      <c r="A86" s="29"/>
      <c r="B86" s="68" t="str">
        <f t="shared" si="1"/>
        <v/>
      </c>
      <c r="C86" s="69"/>
      <c r="D86" s="70" t="str">
        <f t="shared" si="2"/>
        <v/>
      </c>
      <c r="E86" s="29"/>
      <c r="F86" s="68" t="str">
        <f t="array" ref="F86">IF($A86="","",IFERROR(INDEX(MA_INDIVIDUALES!C$2:C923, MATCH($A86,MA_INDIVIDUALES!$B$2:$B923,0),1),"CÓDIGO DE EXPEDIENTE INVÁLIDO"))</f>
        <v/>
      </c>
      <c r="G86" s="68" t="str">
        <f t="array" ref="G86">IF($A86="","",IFERROR(INDEX(MA_INDIVIDUALES!K$2:K923, MATCH($A86,MA_INDIVIDUALES!$B$2:$B923,0),1),"CÓDIGO DE EXPEDIENTE INVÁLIDO"))</f>
        <v/>
      </c>
      <c r="H86" s="68" t="str">
        <f t="array" ref="H86">IF($A86="","",IFERROR(INDEX(MA_INDIVIDUALES!L$2:L923, MATCH($A86,MA_INDIVIDUALES!$B$2:$B923,0),1),"CÓDIGO DE EXPEDIENTE INVÁLIDO"))</f>
        <v/>
      </c>
      <c r="I86" s="76"/>
      <c r="J86" s="76"/>
      <c r="K86" s="75"/>
      <c r="L86" s="74" t="str">
        <f>IF(A86="","",IF(K86="","",_xlfn.WORKDAY.INTL(K86,5,1,FERIADOS)))</f>
        <v/>
      </c>
      <c r="M86" s="76"/>
      <c r="N86" s="75"/>
      <c r="O86" s="76"/>
      <c r="P86" s="77" t="str">
        <f t="shared" si="3"/>
        <v/>
      </c>
      <c r="Q86" s="75"/>
      <c r="R86" s="76"/>
      <c r="S86" s="75"/>
      <c r="T86" s="75"/>
      <c r="U86" s="76"/>
      <c r="V86" s="76"/>
      <c r="W86" s="75"/>
      <c r="X86" s="76"/>
      <c r="Y86" s="29" t="str">
        <f t="shared" si="4"/>
        <v/>
      </c>
      <c r="Z86" s="29" t="str">
        <f t="shared" si="5"/>
        <v/>
      </c>
      <c r="AA86" s="76"/>
      <c r="AB86" s="76"/>
      <c r="AC86" s="75"/>
      <c r="AD86" s="75"/>
      <c r="AE86" s="78" t="str">
        <f>IF(U86="","",IF(AD86="","",_xlfn.WORKDAY.INTL(AD86,7,1,FERIADOS)))</f>
        <v/>
      </c>
      <c r="AF86" s="104"/>
      <c r="AG86" s="80" t="str">
        <f t="array" ref="AG86">IF(A86="","",IF(AF86="","",AF86*INDEX(PARAMETROS!F$2:F1149,MATCH(YEAR(AC86),PARAMETROS!E$2:E1149,0),1)))</f>
        <v/>
      </c>
      <c r="AH86" s="81"/>
      <c r="AI86" s="82"/>
      <c r="AJ86" s="81"/>
      <c r="AK86" s="81"/>
      <c r="AL86" s="76"/>
      <c r="AM86" s="75"/>
      <c r="AN86" s="76"/>
      <c r="AO86" s="95"/>
      <c r="AP86" s="96"/>
      <c r="AQ86" s="85" t="str">
        <f t="shared" si="6"/>
        <v/>
      </c>
      <c r="AR86" s="86" t="str">
        <f t="array" ref="AR86">IF(A86="","",IFERROR(INDEX('2) Etapas'!L$3:L923,MATCH(B86,'2) Etapas'!$A$4:$A923,0),1),-1))</f>
        <v/>
      </c>
      <c r="AS86" s="87" t="str">
        <f t="shared" si="7"/>
        <v/>
      </c>
      <c r="AT86" s="87" t="str">
        <f t="shared" si="8"/>
        <v/>
      </c>
      <c r="AU86" s="87" t="str">
        <f t="shared" si="9"/>
        <v/>
      </c>
      <c r="AV86" s="89" t="str">
        <f t="array" ref="AV86">IF(OR($A86="",$AB86="", $AC86=""),"",MAXA(IF($A86=$A$4:$A923,$AC$4:$AC923)))</f>
        <v/>
      </c>
    </row>
    <row r="87" ht="22.5" customHeight="1">
      <c r="A87" s="29"/>
      <c r="B87" s="68" t="str">
        <f t="shared" si="1"/>
        <v/>
      </c>
      <c r="C87" s="69"/>
      <c r="D87" s="70" t="str">
        <f t="shared" si="2"/>
        <v/>
      </c>
      <c r="E87" s="29"/>
      <c r="F87" s="68" t="str">
        <f t="array" ref="F87">IF($A87="","",IFERROR(INDEX(MA_INDIVIDUALES!C$2:C923, MATCH($A87,MA_INDIVIDUALES!$B$2:$B923,0),1),"CÓDIGO DE EXPEDIENTE INVÁLIDO"))</f>
        <v/>
      </c>
      <c r="G87" s="68" t="str">
        <f t="array" ref="G87">IF($A87="","",IFERROR(INDEX(MA_INDIVIDUALES!K$2:K923, MATCH($A87,MA_INDIVIDUALES!$B$2:$B923,0),1),"CÓDIGO DE EXPEDIENTE INVÁLIDO"))</f>
        <v/>
      </c>
      <c r="H87" s="68" t="str">
        <f t="array" ref="H87">IF($A87="","",IFERROR(INDEX(MA_INDIVIDUALES!L$2:L923, MATCH($A87,MA_INDIVIDUALES!$B$2:$B923,0),1),"CÓDIGO DE EXPEDIENTE INVÁLIDO"))</f>
        <v/>
      </c>
      <c r="I87" s="76"/>
      <c r="J87" s="76"/>
      <c r="K87" s="75"/>
      <c r="L87" s="74" t="str">
        <f>IF(A87="","",IF(K87="","",_xlfn.WORKDAY.INTL(K87,5,1,FERIADOS)))</f>
        <v/>
      </c>
      <c r="M87" s="76"/>
      <c r="N87" s="75"/>
      <c r="O87" s="76"/>
      <c r="P87" s="77" t="str">
        <f t="shared" si="3"/>
        <v/>
      </c>
      <c r="Q87" s="75"/>
      <c r="R87" s="76"/>
      <c r="S87" s="75"/>
      <c r="T87" s="75"/>
      <c r="U87" s="76"/>
      <c r="V87" s="76"/>
      <c r="W87" s="75"/>
      <c r="X87" s="76"/>
      <c r="Y87" s="29" t="str">
        <f t="shared" si="4"/>
        <v/>
      </c>
      <c r="Z87" s="29" t="str">
        <f t="shared" si="5"/>
        <v/>
      </c>
      <c r="AA87" s="76"/>
      <c r="AB87" s="76"/>
      <c r="AC87" s="75"/>
      <c r="AD87" s="75"/>
      <c r="AE87" s="78" t="str">
        <f>IF(U87="","",IF(AD87="","",_xlfn.WORKDAY.INTL(AD87,7,1,FERIADOS)))</f>
        <v/>
      </c>
      <c r="AF87" s="104"/>
      <c r="AG87" s="80" t="str">
        <f t="array" ref="AG87">IF(A87="","",IF(AF87="","",AF87*INDEX(PARAMETROS!F$2:F1150,MATCH(YEAR(AC87),PARAMETROS!E$2:E1150,0),1)))</f>
        <v/>
      </c>
      <c r="AH87" s="81"/>
      <c r="AI87" s="82"/>
      <c r="AJ87" s="81"/>
      <c r="AK87" s="81"/>
      <c r="AL87" s="76"/>
      <c r="AM87" s="75"/>
      <c r="AN87" s="76"/>
      <c r="AO87" s="95"/>
      <c r="AP87" s="96"/>
      <c r="AQ87" s="85" t="str">
        <f t="shared" si="6"/>
        <v/>
      </c>
      <c r="AR87" s="86" t="str">
        <f t="array" ref="AR87">IF(A87="","",IFERROR(INDEX('2) Etapas'!L$3:L923,MATCH(B87,'2) Etapas'!$A$4:$A923,0),1),-1))</f>
        <v/>
      </c>
      <c r="AS87" s="87" t="str">
        <f t="shared" si="7"/>
        <v/>
      </c>
      <c r="AT87" s="87" t="str">
        <f t="shared" si="8"/>
        <v/>
      </c>
      <c r="AU87" s="87" t="str">
        <f t="shared" si="9"/>
        <v/>
      </c>
      <c r="AV87" s="89" t="str">
        <f t="array" ref="AV87">IF(OR($A87="",$AB87="", $AC87=""),"",MAXA(IF($A87=$A$4:$A923,$AC$4:$AC923)))</f>
        <v/>
      </c>
    </row>
    <row r="88" ht="22.5" customHeight="1">
      <c r="A88" s="29"/>
      <c r="B88" s="68" t="str">
        <f t="shared" si="1"/>
        <v/>
      </c>
      <c r="C88" s="69"/>
      <c r="D88" s="70" t="str">
        <f t="shared" si="2"/>
        <v/>
      </c>
      <c r="E88" s="29"/>
      <c r="F88" s="68" t="str">
        <f t="array" ref="F88">IF($A88="","",IFERROR(INDEX(MA_INDIVIDUALES!C$2:C923, MATCH($A88,MA_INDIVIDUALES!$B$2:$B923,0),1),"CÓDIGO DE EXPEDIENTE INVÁLIDO"))</f>
        <v/>
      </c>
      <c r="G88" s="68" t="str">
        <f t="array" ref="G88">IF($A88="","",IFERROR(INDEX(MA_INDIVIDUALES!K$2:K923, MATCH($A88,MA_INDIVIDUALES!$B$2:$B923,0),1),"CÓDIGO DE EXPEDIENTE INVÁLIDO"))</f>
        <v/>
      </c>
      <c r="H88" s="68" t="str">
        <f t="array" ref="H88">IF($A88="","",IFERROR(INDEX(MA_INDIVIDUALES!L$2:L923, MATCH($A88,MA_INDIVIDUALES!$B$2:$B923,0),1),"CÓDIGO DE EXPEDIENTE INVÁLIDO"))</f>
        <v/>
      </c>
      <c r="I88" s="76"/>
      <c r="J88" s="76"/>
      <c r="K88" s="75"/>
      <c r="L88" s="74" t="str">
        <f>IF(A88="","",IF(K88="","",_xlfn.WORKDAY.INTL(K88,5,1,FERIADOS)))</f>
        <v/>
      </c>
      <c r="M88" s="76"/>
      <c r="N88" s="75"/>
      <c r="O88" s="76"/>
      <c r="P88" s="77" t="str">
        <f t="shared" si="3"/>
        <v/>
      </c>
      <c r="Q88" s="75"/>
      <c r="R88" s="76"/>
      <c r="S88" s="75"/>
      <c r="T88" s="75"/>
      <c r="U88" s="76"/>
      <c r="V88" s="76"/>
      <c r="W88" s="75"/>
      <c r="X88" s="76"/>
      <c r="Y88" s="29" t="str">
        <f t="shared" si="4"/>
        <v/>
      </c>
      <c r="Z88" s="29" t="str">
        <f t="shared" si="5"/>
        <v/>
      </c>
      <c r="AA88" s="76"/>
      <c r="AB88" s="76"/>
      <c r="AC88" s="75"/>
      <c r="AD88" s="75"/>
      <c r="AE88" s="78" t="str">
        <f>IF(U88="","",IF(AD88="","",_xlfn.WORKDAY.INTL(AD88,7,1,FERIADOS)))</f>
        <v/>
      </c>
      <c r="AF88" s="104"/>
      <c r="AG88" s="80" t="str">
        <f t="array" ref="AG88">IF(A88="","",IF(AF88="","",AF88*INDEX(PARAMETROS!F$2:F1151,MATCH(YEAR(AC88),PARAMETROS!E$2:E1151,0),1)))</f>
        <v/>
      </c>
      <c r="AH88" s="81"/>
      <c r="AI88" s="82"/>
      <c r="AJ88" s="81"/>
      <c r="AK88" s="81"/>
      <c r="AL88" s="76"/>
      <c r="AM88" s="75"/>
      <c r="AN88" s="76"/>
      <c r="AO88" s="95"/>
      <c r="AP88" s="96"/>
      <c r="AQ88" s="85" t="str">
        <f t="shared" si="6"/>
        <v/>
      </c>
      <c r="AR88" s="86" t="str">
        <f t="array" ref="AR88">IF(A88="","",IFERROR(INDEX('2) Etapas'!L$3:L923,MATCH(B88,'2) Etapas'!$A$4:$A923,0),1),-1))</f>
        <v/>
      </c>
      <c r="AS88" s="87" t="str">
        <f t="shared" si="7"/>
        <v/>
      </c>
      <c r="AT88" s="87" t="str">
        <f t="shared" si="8"/>
        <v/>
      </c>
      <c r="AU88" s="87" t="str">
        <f t="shared" si="9"/>
        <v/>
      </c>
      <c r="AV88" s="89" t="str">
        <f t="array" ref="AV88">IF(OR($A88="",$AB88="", $AC88=""),"",MAXA(IF($A88=$A$4:$A923,$AC$4:$AC923)))</f>
        <v/>
      </c>
    </row>
    <row r="89" ht="22.5" customHeight="1">
      <c r="A89" s="29"/>
      <c r="B89" s="68" t="str">
        <f t="shared" si="1"/>
        <v/>
      </c>
      <c r="C89" s="69"/>
      <c r="D89" s="70" t="str">
        <f t="shared" si="2"/>
        <v/>
      </c>
      <c r="E89" s="29"/>
      <c r="F89" s="68" t="str">
        <f t="array" ref="F89">IF($A89="","",IFERROR(INDEX(MA_INDIVIDUALES!C$2:C923, MATCH($A89,MA_INDIVIDUALES!$B$2:$B923,0),1),"CÓDIGO DE EXPEDIENTE INVÁLIDO"))</f>
        <v/>
      </c>
      <c r="G89" s="68" t="str">
        <f t="array" ref="G89">IF($A89="","",IFERROR(INDEX(MA_INDIVIDUALES!K$2:K923, MATCH($A89,MA_INDIVIDUALES!$B$2:$B923,0),1),"CÓDIGO DE EXPEDIENTE INVÁLIDO"))</f>
        <v/>
      </c>
      <c r="H89" s="68" t="str">
        <f t="array" ref="H89">IF($A89="","",IFERROR(INDEX(MA_INDIVIDUALES!L$2:L923, MATCH($A89,MA_INDIVIDUALES!$B$2:$B923,0),1),"CÓDIGO DE EXPEDIENTE INVÁLIDO"))</f>
        <v/>
      </c>
      <c r="I89" s="76"/>
      <c r="J89" s="76"/>
      <c r="K89" s="75"/>
      <c r="L89" s="74" t="str">
        <f>IF(A89="","",IF(K89="","",_xlfn.WORKDAY.INTL(K89,5,1,FERIADOS)))</f>
        <v/>
      </c>
      <c r="M89" s="76"/>
      <c r="N89" s="75"/>
      <c r="O89" s="76"/>
      <c r="P89" s="77" t="str">
        <f t="shared" si="3"/>
        <v/>
      </c>
      <c r="Q89" s="75"/>
      <c r="R89" s="76"/>
      <c r="S89" s="75"/>
      <c r="T89" s="75"/>
      <c r="U89" s="76"/>
      <c r="V89" s="76"/>
      <c r="W89" s="75"/>
      <c r="X89" s="76"/>
      <c r="Y89" s="29" t="str">
        <f t="shared" si="4"/>
        <v/>
      </c>
      <c r="Z89" s="29" t="str">
        <f t="shared" si="5"/>
        <v/>
      </c>
      <c r="AA89" s="76"/>
      <c r="AB89" s="76"/>
      <c r="AC89" s="75"/>
      <c r="AD89" s="75"/>
      <c r="AE89" s="78" t="str">
        <f>IF(U89="","",IF(AD89="","",_xlfn.WORKDAY.INTL(AD89,7,1,FERIADOS)))</f>
        <v/>
      </c>
      <c r="AF89" s="104"/>
      <c r="AG89" s="80" t="str">
        <f t="array" ref="AG89">IF(A89="","",IF(AF89="","",AF89*INDEX(PARAMETROS!F$2:F1152,MATCH(YEAR(AC89),PARAMETROS!E$2:E1152,0),1)))</f>
        <v/>
      </c>
      <c r="AH89" s="81"/>
      <c r="AI89" s="82"/>
      <c r="AJ89" s="81"/>
      <c r="AK89" s="81"/>
      <c r="AL89" s="76"/>
      <c r="AM89" s="75"/>
      <c r="AN89" s="76"/>
      <c r="AO89" s="95"/>
      <c r="AP89" s="96"/>
      <c r="AQ89" s="85" t="str">
        <f t="shared" si="6"/>
        <v/>
      </c>
      <c r="AR89" s="86" t="str">
        <f t="array" ref="AR89">IF(A89="","",IFERROR(INDEX('2) Etapas'!L$3:L923,MATCH(B89,'2) Etapas'!$A$4:$A923,0),1),-1))</f>
        <v/>
      </c>
      <c r="AS89" s="87" t="str">
        <f t="shared" si="7"/>
        <v/>
      </c>
      <c r="AT89" s="87" t="str">
        <f t="shared" si="8"/>
        <v/>
      </c>
      <c r="AU89" s="87" t="str">
        <f t="shared" si="9"/>
        <v/>
      </c>
      <c r="AV89" s="89" t="str">
        <f t="array" ref="AV89">IF(OR($A89="",$AB89="", $AC89=""),"",MAXA(IF($A89=$A$4:$A923,$AC$4:$AC923)))</f>
        <v/>
      </c>
    </row>
    <row r="90" ht="22.5" customHeight="1">
      <c r="A90" s="29"/>
      <c r="B90" s="68" t="str">
        <f t="shared" si="1"/>
        <v/>
      </c>
      <c r="C90" s="69"/>
      <c r="D90" s="70" t="str">
        <f t="shared" si="2"/>
        <v/>
      </c>
      <c r="E90" s="29"/>
      <c r="F90" s="68" t="str">
        <f t="array" ref="F90">IF($A90="","",IFERROR(INDEX(MA_INDIVIDUALES!C$2:C923, MATCH($A90,MA_INDIVIDUALES!$B$2:$B923,0),1),"CÓDIGO DE EXPEDIENTE INVÁLIDO"))</f>
        <v/>
      </c>
      <c r="G90" s="68" t="str">
        <f t="array" ref="G90">IF($A90="","",IFERROR(INDEX(MA_INDIVIDUALES!K$2:K923, MATCH($A90,MA_INDIVIDUALES!$B$2:$B923,0),1),"CÓDIGO DE EXPEDIENTE INVÁLIDO"))</f>
        <v/>
      </c>
      <c r="H90" s="68" t="str">
        <f t="array" ref="H90">IF($A90="","",IFERROR(INDEX(MA_INDIVIDUALES!L$2:L923, MATCH($A90,MA_INDIVIDUALES!$B$2:$B923,0),1),"CÓDIGO DE EXPEDIENTE INVÁLIDO"))</f>
        <v/>
      </c>
      <c r="I90" s="76"/>
      <c r="J90" s="76"/>
      <c r="K90" s="75"/>
      <c r="L90" s="74" t="str">
        <f>IF(A90="","",IF(K90="","",_xlfn.WORKDAY.INTL(K90,5,1,FERIADOS)))</f>
        <v/>
      </c>
      <c r="M90" s="76"/>
      <c r="N90" s="75"/>
      <c r="O90" s="76"/>
      <c r="P90" s="77" t="str">
        <f t="shared" si="3"/>
        <v/>
      </c>
      <c r="Q90" s="75"/>
      <c r="R90" s="76"/>
      <c r="S90" s="75"/>
      <c r="T90" s="75"/>
      <c r="U90" s="76"/>
      <c r="V90" s="76"/>
      <c r="W90" s="75"/>
      <c r="X90" s="76"/>
      <c r="Y90" s="29" t="str">
        <f t="shared" si="4"/>
        <v/>
      </c>
      <c r="Z90" s="29" t="str">
        <f t="shared" si="5"/>
        <v/>
      </c>
      <c r="AA90" s="76"/>
      <c r="AB90" s="76"/>
      <c r="AC90" s="75"/>
      <c r="AD90" s="75"/>
      <c r="AE90" s="78" t="str">
        <f>IF(U90="","",IF(AD90="","",_xlfn.WORKDAY.INTL(AD90,7,1,FERIADOS)))</f>
        <v/>
      </c>
      <c r="AF90" s="104"/>
      <c r="AG90" s="80" t="str">
        <f t="array" ref="AG90">IF(A90="","",IF(AF90="","",AF90*INDEX(PARAMETROS!F$2:F1153,MATCH(YEAR(AC90),PARAMETROS!E$2:E1153,0),1)))</f>
        <v/>
      </c>
      <c r="AH90" s="81"/>
      <c r="AI90" s="82"/>
      <c r="AJ90" s="81"/>
      <c r="AK90" s="81"/>
      <c r="AL90" s="76"/>
      <c r="AM90" s="75"/>
      <c r="AN90" s="76"/>
      <c r="AO90" s="95"/>
      <c r="AP90" s="96"/>
      <c r="AQ90" s="85" t="str">
        <f t="shared" si="6"/>
        <v/>
      </c>
      <c r="AR90" s="86" t="str">
        <f t="array" ref="AR90">IF(A90="","",IFERROR(INDEX('2) Etapas'!L$3:L923,MATCH(B90,'2) Etapas'!$A$4:$A923,0),1),-1))</f>
        <v/>
      </c>
      <c r="AS90" s="87" t="str">
        <f t="shared" si="7"/>
        <v/>
      </c>
      <c r="AT90" s="87" t="str">
        <f t="shared" si="8"/>
        <v/>
      </c>
      <c r="AU90" s="87" t="str">
        <f t="shared" si="9"/>
        <v/>
      </c>
      <c r="AV90" s="89" t="str">
        <f t="array" ref="AV90">IF(OR($A90="",$AB90="", $AC90=""),"",MAXA(IF($A90=$A$4:$A923,$AC$4:$AC923)))</f>
        <v/>
      </c>
    </row>
    <row r="91" ht="22.5" customHeight="1">
      <c r="A91" s="29"/>
      <c r="B91" s="68" t="str">
        <f t="shared" si="1"/>
        <v/>
      </c>
      <c r="C91" s="69"/>
      <c r="D91" s="70" t="str">
        <f t="shared" si="2"/>
        <v/>
      </c>
      <c r="E91" s="29"/>
      <c r="F91" s="68" t="str">
        <f t="array" ref="F91">IF($A91="","",IFERROR(INDEX(MA_INDIVIDUALES!C$2:C923, MATCH($A91,MA_INDIVIDUALES!$B$2:$B923,0),1),"CÓDIGO DE EXPEDIENTE INVÁLIDO"))</f>
        <v/>
      </c>
      <c r="G91" s="68" t="str">
        <f t="array" ref="G91">IF($A91="","",IFERROR(INDEX(MA_INDIVIDUALES!K$2:K923, MATCH($A91,MA_INDIVIDUALES!$B$2:$B923,0),1),"CÓDIGO DE EXPEDIENTE INVÁLIDO"))</f>
        <v/>
      </c>
      <c r="H91" s="68" t="str">
        <f t="array" ref="H91">IF($A91="","",IFERROR(INDEX(MA_INDIVIDUALES!L$2:L923, MATCH($A91,MA_INDIVIDUALES!$B$2:$B923,0),1),"CÓDIGO DE EXPEDIENTE INVÁLIDO"))</f>
        <v/>
      </c>
      <c r="I91" s="29"/>
      <c r="J91" s="29"/>
      <c r="K91" s="73"/>
      <c r="L91" s="74" t="str">
        <f>IF(A91="","",IF(K91="","",_xlfn.WORKDAY.INTL(K91,5,1,FERIADOS)))</f>
        <v/>
      </c>
      <c r="M91" s="29"/>
      <c r="N91" s="75"/>
      <c r="O91" s="76"/>
      <c r="P91" s="77" t="str">
        <f t="shared" si="3"/>
        <v/>
      </c>
      <c r="Q91" s="75"/>
      <c r="R91" s="76"/>
      <c r="S91" s="75"/>
      <c r="T91" s="75"/>
      <c r="U91" s="29"/>
      <c r="V91" s="76"/>
      <c r="W91" s="75"/>
      <c r="X91" s="76"/>
      <c r="Y91" s="29" t="str">
        <f t="shared" si="4"/>
        <v/>
      </c>
      <c r="Z91" s="29" t="str">
        <f t="shared" si="5"/>
        <v/>
      </c>
      <c r="AA91" s="29"/>
      <c r="AB91" s="29"/>
      <c r="AC91" s="73"/>
      <c r="AD91" s="73"/>
      <c r="AE91" s="78" t="str">
        <f>IF(U91="","",IF(AD91="","",_xlfn.WORKDAY.INTL(AD91,7,1,FERIADOS)))</f>
        <v/>
      </c>
      <c r="AF91" s="79"/>
      <c r="AG91" s="80" t="str">
        <f t="array" ref="AG91">IF(A91="","",IF(AF91="","",AF91*INDEX(PARAMETROS!F$2:F1154,MATCH(YEAR(AC91),PARAMETROS!E$2:E1154,0),1)))</f>
        <v/>
      </c>
      <c r="AH91" s="81"/>
      <c r="AI91" s="82"/>
      <c r="AJ91" s="81"/>
      <c r="AK91" s="81"/>
      <c r="AL91" s="29"/>
      <c r="AM91" s="75"/>
      <c r="AN91" s="29"/>
      <c r="AO91" s="83"/>
      <c r="AP91" s="84"/>
      <c r="AQ91" s="85" t="str">
        <f t="shared" si="6"/>
        <v/>
      </c>
      <c r="AR91" s="86" t="str">
        <f t="array" ref="AR91">IF(A91="","",IFERROR(INDEX('2) Etapas'!L$3:L923,MATCH(B91,'2) Etapas'!$A$4:$A923,0),1),-1))</f>
        <v/>
      </c>
      <c r="AS91" s="87" t="str">
        <f t="shared" si="7"/>
        <v/>
      </c>
      <c r="AT91" s="87" t="str">
        <f t="shared" si="8"/>
        <v/>
      </c>
      <c r="AU91" s="87" t="str">
        <f t="shared" si="9"/>
        <v/>
      </c>
      <c r="AV91" s="89" t="str">
        <f t="array" ref="AV91">IF(OR($A91="",$AB91="", $AC91=""),"",MAXA(IF($A91=$A$4:$A923,$AC$4:$AC923)))</f>
        <v/>
      </c>
    </row>
    <row r="92" ht="22.5" customHeight="1">
      <c r="A92" s="29"/>
      <c r="B92" s="68" t="str">
        <f t="shared" si="1"/>
        <v/>
      </c>
      <c r="C92" s="69"/>
      <c r="D92" s="70" t="str">
        <f t="shared" si="2"/>
        <v/>
      </c>
      <c r="E92" s="29"/>
      <c r="F92" s="68" t="str">
        <f t="array" ref="F92">IF($A92="","",IFERROR(INDEX(MA_INDIVIDUALES!C$2:C923, MATCH($A92,MA_INDIVIDUALES!$B$2:$B923,0),1),"CÓDIGO DE EXPEDIENTE INVÁLIDO"))</f>
        <v/>
      </c>
      <c r="G92" s="68" t="str">
        <f t="array" ref="G92">IF($A92="","",IFERROR(INDEX(MA_INDIVIDUALES!K$2:K923, MATCH($A92,MA_INDIVIDUALES!$B$2:$B923,0),1),"CÓDIGO DE EXPEDIENTE INVÁLIDO"))</f>
        <v/>
      </c>
      <c r="H92" s="68" t="str">
        <f t="array" ref="H92">IF($A92="","",IFERROR(INDEX(MA_INDIVIDUALES!L$2:L923, MATCH($A92,MA_INDIVIDUALES!$B$2:$B923,0),1),"CÓDIGO DE EXPEDIENTE INVÁLIDO"))</f>
        <v/>
      </c>
      <c r="I92" s="29"/>
      <c r="J92" s="29"/>
      <c r="K92" s="73"/>
      <c r="L92" s="74" t="str">
        <f>IF(A92="","",IF(K92="","",_xlfn.WORKDAY.INTL(K92,5,1,FERIADOS)))</f>
        <v/>
      </c>
      <c r="M92" s="29"/>
      <c r="N92" s="75"/>
      <c r="O92" s="76"/>
      <c r="P92" s="77" t="str">
        <f t="shared" si="3"/>
        <v/>
      </c>
      <c r="Q92" s="75"/>
      <c r="R92" s="76"/>
      <c r="S92" s="75"/>
      <c r="T92" s="75"/>
      <c r="U92" s="29"/>
      <c r="V92" s="76"/>
      <c r="W92" s="75"/>
      <c r="X92" s="76"/>
      <c r="Y92" s="29" t="str">
        <f t="shared" si="4"/>
        <v/>
      </c>
      <c r="Z92" s="29" t="str">
        <f t="shared" si="5"/>
        <v/>
      </c>
      <c r="AA92" s="29"/>
      <c r="AB92" s="29"/>
      <c r="AC92" s="73"/>
      <c r="AD92" s="73"/>
      <c r="AE92" s="78" t="str">
        <f>IF(U92="","",IF(AD92="","",_xlfn.WORKDAY.INTL(AD92,7,1,FERIADOS)))</f>
        <v/>
      </c>
      <c r="AF92" s="79"/>
      <c r="AG92" s="80" t="str">
        <f t="array" ref="AG92">IF(A92="","",IF(AF92="","",AF92*INDEX(PARAMETROS!F$2:F1155,MATCH(YEAR(AC92),PARAMETROS!E$2:E1155,0),1)))</f>
        <v/>
      </c>
      <c r="AH92" s="81"/>
      <c r="AI92" s="82"/>
      <c r="AJ92" s="81"/>
      <c r="AK92" s="81"/>
      <c r="AL92" s="29"/>
      <c r="AM92" s="75"/>
      <c r="AN92" s="29"/>
      <c r="AO92" s="83"/>
      <c r="AP92" s="84"/>
      <c r="AQ92" s="85" t="str">
        <f t="shared" si="6"/>
        <v/>
      </c>
      <c r="AR92" s="86" t="str">
        <f t="array" ref="AR92">IF(A92="","",IFERROR(INDEX('2) Etapas'!L$3:L923,MATCH(B92,'2) Etapas'!$A$4:$A923,0),1),-1))</f>
        <v/>
      </c>
      <c r="AS92" s="87" t="str">
        <f t="shared" si="7"/>
        <v/>
      </c>
      <c r="AT92" s="87" t="str">
        <f t="shared" si="8"/>
        <v/>
      </c>
      <c r="AU92" s="87" t="str">
        <f t="shared" si="9"/>
        <v/>
      </c>
      <c r="AV92" s="89" t="str">
        <f t="array" ref="AV92">IF(OR($A92="",$AB92="", $AC92=""),"",MAXA(IF($A92=$A$4:$A923,$AC$4:$AC923)))</f>
        <v/>
      </c>
    </row>
    <row r="93" ht="22.5" customHeight="1">
      <c r="A93" s="29"/>
      <c r="B93" s="68" t="str">
        <f t="shared" si="1"/>
        <v/>
      </c>
      <c r="C93" s="69"/>
      <c r="D93" s="70" t="str">
        <f t="shared" si="2"/>
        <v/>
      </c>
      <c r="E93" s="29"/>
      <c r="F93" s="68" t="str">
        <f t="array" ref="F93">IF($A93="","",IFERROR(INDEX(MA_INDIVIDUALES!C$2:C923, MATCH($A93,MA_INDIVIDUALES!$B$2:$B923,0),1),"CÓDIGO DE EXPEDIENTE INVÁLIDO"))</f>
        <v/>
      </c>
      <c r="G93" s="68" t="str">
        <f t="array" ref="G93">IF($A93="","",IFERROR(INDEX(MA_INDIVIDUALES!K$2:K923, MATCH($A93,MA_INDIVIDUALES!$B$2:$B923,0),1),"CÓDIGO DE EXPEDIENTE INVÁLIDO"))</f>
        <v/>
      </c>
      <c r="H93" s="68" t="str">
        <f t="array" ref="H93">IF($A93="","",IFERROR(INDEX(MA_INDIVIDUALES!L$2:L923, MATCH($A93,MA_INDIVIDUALES!$B$2:$B923,0),1),"CÓDIGO DE EXPEDIENTE INVÁLIDO"))</f>
        <v/>
      </c>
      <c r="I93" s="76"/>
      <c r="J93" s="76"/>
      <c r="K93" s="75"/>
      <c r="L93" s="74" t="str">
        <f>IF(A93="","",IF(K93="","",_xlfn.WORKDAY.INTL(K93,5,1,FERIADOS)))</f>
        <v/>
      </c>
      <c r="M93" s="76"/>
      <c r="N93" s="75"/>
      <c r="O93" s="76"/>
      <c r="P93" s="77" t="str">
        <f t="shared" si="3"/>
        <v/>
      </c>
      <c r="Q93" s="75"/>
      <c r="R93" s="76"/>
      <c r="S93" s="75"/>
      <c r="T93" s="75"/>
      <c r="U93" s="76"/>
      <c r="V93" s="76"/>
      <c r="W93" s="75"/>
      <c r="X93" s="76"/>
      <c r="Y93" s="29" t="str">
        <f t="shared" si="4"/>
        <v/>
      </c>
      <c r="Z93" s="29" t="str">
        <f t="shared" si="5"/>
        <v/>
      </c>
      <c r="AA93" s="76"/>
      <c r="AB93" s="76"/>
      <c r="AC93" s="75"/>
      <c r="AD93" s="75"/>
      <c r="AE93" s="78" t="str">
        <f>IF(U93="","",IF(AD93="","",_xlfn.WORKDAY.INTL(AD93,7,1,FERIADOS)))</f>
        <v/>
      </c>
      <c r="AF93" s="104"/>
      <c r="AG93" s="80" t="str">
        <f t="array" ref="AG93">IF(A93="","",IF(AF93="","",AF93*INDEX(PARAMETROS!F$2:F1156,MATCH(YEAR(AC93),PARAMETROS!E$2:E1156,0),1)))</f>
        <v/>
      </c>
      <c r="AH93" s="81"/>
      <c r="AI93" s="82"/>
      <c r="AJ93" s="81"/>
      <c r="AK93" s="81"/>
      <c r="AL93" s="76"/>
      <c r="AM93" s="75"/>
      <c r="AN93" s="76"/>
      <c r="AO93" s="95"/>
      <c r="AP93" s="96"/>
      <c r="AQ93" s="85" t="str">
        <f t="shared" si="6"/>
        <v/>
      </c>
      <c r="AR93" s="86" t="str">
        <f t="array" ref="AR93">IF(A93="","",IFERROR(INDEX('2) Etapas'!L$3:L923,MATCH(B93,'2) Etapas'!$A$4:$A923,0),1),-1))</f>
        <v/>
      </c>
      <c r="AS93" s="87" t="str">
        <f t="shared" si="7"/>
        <v/>
      </c>
      <c r="AT93" s="87" t="str">
        <f t="shared" si="8"/>
        <v/>
      </c>
      <c r="AU93" s="87" t="str">
        <f t="shared" si="9"/>
        <v/>
      </c>
      <c r="AV93" s="89" t="str">
        <f t="array" ref="AV93">IF(OR($A93="",$AB93="", $AC93=""),"",MAXA(IF($A93=$A$4:$A923,$AC$4:$AC923)))</f>
        <v/>
      </c>
    </row>
    <row r="94" ht="22.5" customHeight="1">
      <c r="A94" s="29"/>
      <c r="B94" s="68" t="str">
        <f t="shared" si="1"/>
        <v/>
      </c>
      <c r="C94" s="69"/>
      <c r="D94" s="70" t="str">
        <f t="shared" si="2"/>
        <v/>
      </c>
      <c r="E94" s="29"/>
      <c r="F94" s="68" t="str">
        <f t="array" ref="F94">IF($A94="","",IFERROR(INDEX(MA_INDIVIDUALES!C$2:C923, MATCH($A94,MA_INDIVIDUALES!$B$2:$B923,0),1),"CÓDIGO DE EXPEDIENTE INVÁLIDO"))</f>
        <v/>
      </c>
      <c r="G94" s="68" t="str">
        <f t="array" ref="G94">IF($A94="","",IFERROR(INDEX(MA_INDIVIDUALES!K$2:K923, MATCH($A94,MA_INDIVIDUALES!$B$2:$B923,0),1),"CÓDIGO DE EXPEDIENTE INVÁLIDO"))</f>
        <v/>
      </c>
      <c r="H94" s="68" t="str">
        <f t="array" ref="H94">IF($A94="","",IFERROR(INDEX(MA_INDIVIDUALES!L$2:L923, MATCH($A94,MA_INDIVIDUALES!$B$2:$B923,0),1),"CÓDIGO DE EXPEDIENTE INVÁLIDO"))</f>
        <v/>
      </c>
      <c r="I94" s="76"/>
      <c r="J94" s="76"/>
      <c r="K94" s="75"/>
      <c r="L94" s="74" t="str">
        <f>IF(A94="","",IF(K94="","",_xlfn.WORKDAY.INTL(K94,5,1,FERIADOS)))</f>
        <v/>
      </c>
      <c r="M94" s="76"/>
      <c r="N94" s="75"/>
      <c r="O94" s="76"/>
      <c r="P94" s="77" t="str">
        <f t="shared" si="3"/>
        <v/>
      </c>
      <c r="Q94" s="75"/>
      <c r="R94" s="76"/>
      <c r="S94" s="75"/>
      <c r="T94" s="75"/>
      <c r="U94" s="76"/>
      <c r="V94" s="76"/>
      <c r="W94" s="75"/>
      <c r="X94" s="76"/>
      <c r="Y94" s="29" t="str">
        <f t="shared" si="4"/>
        <v/>
      </c>
      <c r="Z94" s="29" t="str">
        <f t="shared" si="5"/>
        <v/>
      </c>
      <c r="AA94" s="76"/>
      <c r="AB94" s="76"/>
      <c r="AC94" s="75"/>
      <c r="AD94" s="75"/>
      <c r="AE94" s="78" t="str">
        <f>IF(U94="","",IF(AD94="","",_xlfn.WORKDAY.INTL(AD94,7,1,FERIADOS)))</f>
        <v/>
      </c>
      <c r="AF94" s="104"/>
      <c r="AG94" s="80" t="str">
        <f t="array" ref="AG94">IF(A94="","",IF(AF94="","",AF94*INDEX(PARAMETROS!F$2:F1157,MATCH(YEAR(AC94),PARAMETROS!E$2:E1157,0),1)))</f>
        <v/>
      </c>
      <c r="AH94" s="81"/>
      <c r="AI94" s="82"/>
      <c r="AJ94" s="81"/>
      <c r="AK94" s="81"/>
      <c r="AL94" s="76"/>
      <c r="AM94" s="75"/>
      <c r="AN94" s="76"/>
      <c r="AO94" s="95"/>
      <c r="AP94" s="96"/>
      <c r="AQ94" s="85" t="str">
        <f t="shared" si="6"/>
        <v/>
      </c>
      <c r="AR94" s="86" t="str">
        <f t="array" ref="AR94">IF(A94="","",IFERROR(INDEX('2) Etapas'!L$3:L923,MATCH(B94,'2) Etapas'!$A$4:$A923,0),1),-1))</f>
        <v/>
      </c>
      <c r="AS94" s="87" t="str">
        <f t="shared" si="7"/>
        <v/>
      </c>
      <c r="AT94" s="87" t="str">
        <f t="shared" si="8"/>
        <v/>
      </c>
      <c r="AU94" s="87" t="str">
        <f t="shared" si="9"/>
        <v/>
      </c>
      <c r="AV94" s="89" t="str">
        <f t="array" ref="AV94">IF(OR($A94="",$AB94="", $AC94=""),"",MAXA(IF($A94=$A$4:$A923,$AC$4:$AC923)))</f>
        <v/>
      </c>
    </row>
    <row r="95" ht="22.5" customHeight="1">
      <c r="A95" s="29"/>
      <c r="B95" s="68" t="str">
        <f t="shared" si="1"/>
        <v/>
      </c>
      <c r="C95" s="69"/>
      <c r="D95" s="70" t="str">
        <f t="shared" si="2"/>
        <v/>
      </c>
      <c r="E95" s="29"/>
      <c r="F95" s="68" t="str">
        <f t="array" ref="F95">IF($A95="","",IFERROR(INDEX(MA_INDIVIDUALES!C$2:C923, MATCH($A95,MA_INDIVIDUALES!$B$2:$B923,0),1),"CÓDIGO DE EXPEDIENTE INVÁLIDO"))</f>
        <v/>
      </c>
      <c r="G95" s="68" t="str">
        <f t="array" ref="G95">IF($A95="","",IFERROR(INDEX(MA_INDIVIDUALES!K$2:K923, MATCH($A95,MA_INDIVIDUALES!$B$2:$B923,0),1),"CÓDIGO DE EXPEDIENTE INVÁLIDO"))</f>
        <v/>
      </c>
      <c r="H95" s="68" t="str">
        <f t="array" ref="H95">IF($A95="","",IFERROR(INDEX(MA_INDIVIDUALES!L$2:L923, MATCH($A95,MA_INDIVIDUALES!$B$2:$B923,0),1),"CÓDIGO DE EXPEDIENTE INVÁLIDO"))</f>
        <v/>
      </c>
      <c r="I95" s="76"/>
      <c r="J95" s="76"/>
      <c r="K95" s="75"/>
      <c r="L95" s="74" t="str">
        <f>IF(A95="","",IF(K95="","",_xlfn.WORKDAY.INTL(K95,5,1,FERIADOS)))</f>
        <v/>
      </c>
      <c r="M95" s="76"/>
      <c r="N95" s="75"/>
      <c r="O95" s="76"/>
      <c r="P95" s="77" t="str">
        <f t="shared" si="3"/>
        <v/>
      </c>
      <c r="Q95" s="75"/>
      <c r="R95" s="76"/>
      <c r="S95" s="75"/>
      <c r="T95" s="75"/>
      <c r="U95" s="76"/>
      <c r="V95" s="76"/>
      <c r="W95" s="75"/>
      <c r="X95" s="76"/>
      <c r="Y95" s="29" t="str">
        <f t="shared" si="4"/>
        <v/>
      </c>
      <c r="Z95" s="29" t="str">
        <f t="shared" si="5"/>
        <v/>
      </c>
      <c r="AA95" s="76"/>
      <c r="AB95" s="76"/>
      <c r="AC95" s="75"/>
      <c r="AD95" s="75"/>
      <c r="AE95" s="78" t="str">
        <f>IF(U95="","",IF(AD95="","",_xlfn.WORKDAY.INTL(AD95,7,1,FERIADOS)))</f>
        <v/>
      </c>
      <c r="AF95" s="104"/>
      <c r="AG95" s="80" t="str">
        <f t="array" ref="AG95">IF(A95="","",IF(AF95="","",AF95*INDEX(PARAMETROS!F$2:F1158,MATCH(YEAR(AC95),PARAMETROS!E$2:E1158,0),1)))</f>
        <v/>
      </c>
      <c r="AH95" s="81"/>
      <c r="AI95" s="82"/>
      <c r="AJ95" s="81"/>
      <c r="AK95" s="81"/>
      <c r="AL95" s="76"/>
      <c r="AM95" s="75"/>
      <c r="AN95" s="76"/>
      <c r="AO95" s="95"/>
      <c r="AP95" s="96"/>
      <c r="AQ95" s="85" t="str">
        <f t="shared" si="6"/>
        <v/>
      </c>
      <c r="AR95" s="86" t="str">
        <f t="array" ref="AR95">IF(A95="","",IFERROR(INDEX('2) Etapas'!L$3:L923,MATCH(B95,'2) Etapas'!$A$4:$A923,0),1),-1))</f>
        <v/>
      </c>
      <c r="AS95" s="87" t="str">
        <f t="shared" si="7"/>
        <v/>
      </c>
      <c r="AT95" s="87" t="str">
        <f t="shared" si="8"/>
        <v/>
      </c>
      <c r="AU95" s="87" t="str">
        <f t="shared" si="9"/>
        <v/>
      </c>
      <c r="AV95" s="89" t="str">
        <f t="array" ref="AV95">IF(OR($A95="",$AB95="", $AC95=""),"",MAXA(IF($A95=$A$4:$A923,$AC$4:$AC923)))</f>
        <v/>
      </c>
    </row>
    <row r="96" ht="22.5" customHeight="1">
      <c r="A96" s="29"/>
      <c r="B96" s="68" t="str">
        <f t="shared" si="1"/>
        <v/>
      </c>
      <c r="C96" s="69"/>
      <c r="D96" s="70" t="str">
        <f t="shared" si="2"/>
        <v/>
      </c>
      <c r="E96" s="29"/>
      <c r="F96" s="68" t="str">
        <f t="array" ref="F96">IF($A96="","",IFERROR(INDEX(MA_INDIVIDUALES!C$2:C923, MATCH($A96,MA_INDIVIDUALES!$B$2:$B923,0),1),"CÓDIGO DE EXPEDIENTE INVÁLIDO"))</f>
        <v/>
      </c>
      <c r="G96" s="68" t="str">
        <f t="array" ref="G96">IF($A96="","",IFERROR(INDEX(MA_INDIVIDUALES!K$2:K923, MATCH($A96,MA_INDIVIDUALES!$B$2:$B923,0),1),"CÓDIGO DE EXPEDIENTE INVÁLIDO"))</f>
        <v/>
      </c>
      <c r="H96" s="68" t="str">
        <f t="array" ref="H96">IF($A96="","",IFERROR(INDEX(MA_INDIVIDUALES!L$2:L923, MATCH($A96,MA_INDIVIDUALES!$B$2:$B923,0),1),"CÓDIGO DE EXPEDIENTE INVÁLIDO"))</f>
        <v/>
      </c>
      <c r="I96" s="76"/>
      <c r="J96" s="76"/>
      <c r="K96" s="75"/>
      <c r="L96" s="74" t="str">
        <f>IF(A96="","",IF(K96="","",_xlfn.WORKDAY.INTL(K96,5,1,FERIADOS)))</f>
        <v/>
      </c>
      <c r="M96" s="76"/>
      <c r="N96" s="75"/>
      <c r="O96" s="76"/>
      <c r="P96" s="77" t="str">
        <f t="shared" si="3"/>
        <v/>
      </c>
      <c r="Q96" s="75"/>
      <c r="R96" s="76"/>
      <c r="S96" s="75"/>
      <c r="T96" s="75"/>
      <c r="U96" s="76"/>
      <c r="V96" s="76"/>
      <c r="W96" s="75"/>
      <c r="X96" s="76"/>
      <c r="Y96" s="29" t="str">
        <f t="shared" si="4"/>
        <v/>
      </c>
      <c r="Z96" s="29" t="str">
        <f t="shared" si="5"/>
        <v/>
      </c>
      <c r="AA96" s="76"/>
      <c r="AB96" s="76"/>
      <c r="AC96" s="75"/>
      <c r="AD96" s="75"/>
      <c r="AE96" s="78" t="str">
        <f>IF(U96="","",IF(AD96="","",_xlfn.WORKDAY.INTL(AD96,7,1,FERIADOS)))</f>
        <v/>
      </c>
      <c r="AF96" s="104"/>
      <c r="AG96" s="80" t="str">
        <f t="array" ref="AG96">IF(A96="","",IF(AF96="","",AF96*INDEX(PARAMETROS!F$2:F1159,MATCH(YEAR(AC96),PARAMETROS!E$2:E1159,0),1)))</f>
        <v/>
      </c>
      <c r="AH96" s="81"/>
      <c r="AI96" s="82"/>
      <c r="AJ96" s="81"/>
      <c r="AK96" s="81"/>
      <c r="AL96" s="76"/>
      <c r="AM96" s="75"/>
      <c r="AN96" s="76"/>
      <c r="AO96" s="95"/>
      <c r="AP96" s="96"/>
      <c r="AQ96" s="85" t="str">
        <f t="shared" si="6"/>
        <v/>
      </c>
      <c r="AR96" s="86" t="str">
        <f t="array" ref="AR96">IF(A96="","",IFERROR(INDEX('2) Etapas'!L$3:L923,MATCH(B96,'2) Etapas'!$A$4:$A923,0),1),-1))</f>
        <v/>
      </c>
      <c r="AS96" s="87" t="str">
        <f t="shared" si="7"/>
        <v/>
      </c>
      <c r="AT96" s="87" t="str">
        <f t="shared" si="8"/>
        <v/>
      </c>
      <c r="AU96" s="87" t="str">
        <f t="shared" si="9"/>
        <v/>
      </c>
      <c r="AV96" s="89" t="str">
        <f t="array" ref="AV96">IF(OR($A96="",$AB96="", $AC96=""),"",MAXA(IF($A96=$A$4:$A923,$AC$4:$AC923)))</f>
        <v/>
      </c>
    </row>
    <row r="97" ht="22.5" customHeight="1">
      <c r="A97" s="29"/>
      <c r="B97" s="68" t="str">
        <f t="shared" si="1"/>
        <v/>
      </c>
      <c r="C97" s="69"/>
      <c r="D97" s="70" t="str">
        <f t="shared" si="2"/>
        <v/>
      </c>
      <c r="E97" s="29"/>
      <c r="F97" s="68" t="str">
        <f t="array" ref="F97">IF($A97="","",IFERROR(INDEX(MA_INDIVIDUALES!C$2:C923, MATCH($A97,MA_INDIVIDUALES!$B$2:$B923,0),1),"CÓDIGO DE EXPEDIENTE INVÁLIDO"))</f>
        <v/>
      </c>
      <c r="G97" s="68" t="str">
        <f t="array" ref="G97">IF($A97="","",IFERROR(INDEX(MA_INDIVIDUALES!K$2:K923, MATCH($A97,MA_INDIVIDUALES!$B$2:$B923,0),1),"CÓDIGO DE EXPEDIENTE INVÁLIDO"))</f>
        <v/>
      </c>
      <c r="H97" s="68" t="str">
        <f t="array" ref="H97">IF($A97="","",IFERROR(INDEX(MA_INDIVIDUALES!L$2:L923, MATCH($A97,MA_INDIVIDUALES!$B$2:$B923,0),1),"CÓDIGO DE EXPEDIENTE INVÁLIDO"))</f>
        <v/>
      </c>
      <c r="I97" s="76"/>
      <c r="J97" s="76"/>
      <c r="K97" s="75"/>
      <c r="L97" s="74" t="str">
        <f>IF(A97="","",IF(K97="","",_xlfn.WORKDAY.INTL(K97,5,1,FERIADOS)))</f>
        <v/>
      </c>
      <c r="M97" s="76"/>
      <c r="N97" s="75"/>
      <c r="O97" s="76"/>
      <c r="P97" s="77" t="str">
        <f t="shared" si="3"/>
        <v/>
      </c>
      <c r="Q97" s="75"/>
      <c r="R97" s="76"/>
      <c r="S97" s="75"/>
      <c r="T97" s="75"/>
      <c r="U97" s="76"/>
      <c r="V97" s="76"/>
      <c r="W97" s="75"/>
      <c r="X97" s="76"/>
      <c r="Y97" s="29" t="str">
        <f t="shared" si="4"/>
        <v/>
      </c>
      <c r="Z97" s="29" t="str">
        <f t="shared" si="5"/>
        <v/>
      </c>
      <c r="AA97" s="76"/>
      <c r="AB97" s="76"/>
      <c r="AC97" s="75"/>
      <c r="AD97" s="75"/>
      <c r="AE97" s="78" t="str">
        <f>IF(U97="","",IF(AD97="","",_xlfn.WORKDAY.INTL(AD97,7,1,FERIADOS)))</f>
        <v/>
      </c>
      <c r="AF97" s="104"/>
      <c r="AG97" s="80" t="str">
        <f t="array" ref="AG97">IF(A97="","",IF(AF97="","",AF97*INDEX(PARAMETROS!F$2:F1160,MATCH(YEAR(AC97),PARAMETROS!E$2:E1160,0),1)))</f>
        <v/>
      </c>
      <c r="AH97" s="81"/>
      <c r="AI97" s="82"/>
      <c r="AJ97" s="81"/>
      <c r="AK97" s="81"/>
      <c r="AL97" s="76"/>
      <c r="AM97" s="75"/>
      <c r="AN97" s="76"/>
      <c r="AO97" s="95"/>
      <c r="AP97" s="96"/>
      <c r="AQ97" s="85" t="str">
        <f t="shared" si="6"/>
        <v/>
      </c>
      <c r="AR97" s="86" t="str">
        <f t="array" ref="AR97">IF(A97="","",IFERROR(INDEX('2) Etapas'!L$3:L923,MATCH(B97,'2) Etapas'!$A$4:$A923,0),1),-1))</f>
        <v/>
      </c>
      <c r="AS97" s="87" t="str">
        <f t="shared" si="7"/>
        <v/>
      </c>
      <c r="AT97" s="87" t="str">
        <f t="shared" si="8"/>
        <v/>
      </c>
      <c r="AU97" s="87" t="str">
        <f t="shared" si="9"/>
        <v/>
      </c>
      <c r="AV97" s="89" t="str">
        <f t="array" ref="AV97">IF(OR($A97="",$AB97="", $AC97=""),"",MAXA(IF($A97=$A$4:$A923,$AC$4:$AC923)))</f>
        <v/>
      </c>
    </row>
    <row r="98" ht="22.5" customHeight="1">
      <c r="A98" s="29"/>
      <c r="B98" s="68" t="str">
        <f t="shared" si="1"/>
        <v/>
      </c>
      <c r="C98" s="69"/>
      <c r="D98" s="70" t="str">
        <f t="shared" si="2"/>
        <v/>
      </c>
      <c r="E98" s="29"/>
      <c r="F98" s="68" t="str">
        <f t="array" ref="F98">IF($A98="","",IFERROR(INDEX(MA_INDIVIDUALES!C$2:C923, MATCH($A98,MA_INDIVIDUALES!$B$2:$B923,0),1),"CÓDIGO DE EXPEDIENTE INVÁLIDO"))</f>
        <v/>
      </c>
      <c r="G98" s="68" t="str">
        <f t="array" ref="G98">IF($A98="","",IFERROR(INDEX(MA_INDIVIDUALES!K$2:K923, MATCH($A98,MA_INDIVIDUALES!$B$2:$B923,0),1),"CÓDIGO DE EXPEDIENTE INVÁLIDO"))</f>
        <v/>
      </c>
      <c r="H98" s="68" t="str">
        <f t="array" ref="H98">IF($A98="","",IFERROR(INDEX(MA_INDIVIDUALES!L$2:L923, MATCH($A98,MA_INDIVIDUALES!$B$2:$B923,0),1),"CÓDIGO DE EXPEDIENTE INVÁLIDO"))</f>
        <v/>
      </c>
      <c r="I98" s="76"/>
      <c r="J98" s="76"/>
      <c r="K98" s="75"/>
      <c r="L98" s="74" t="str">
        <f>IF(A98="","",IF(K98="","",_xlfn.WORKDAY.INTL(K98,5,1,FERIADOS)))</f>
        <v/>
      </c>
      <c r="M98" s="76"/>
      <c r="N98" s="75"/>
      <c r="O98" s="76"/>
      <c r="P98" s="77" t="str">
        <f t="shared" si="3"/>
        <v/>
      </c>
      <c r="Q98" s="75"/>
      <c r="R98" s="76"/>
      <c r="S98" s="75"/>
      <c r="T98" s="75"/>
      <c r="U98" s="76"/>
      <c r="V98" s="76"/>
      <c r="W98" s="75"/>
      <c r="X98" s="76"/>
      <c r="Y98" s="29" t="str">
        <f t="shared" si="4"/>
        <v/>
      </c>
      <c r="Z98" s="29" t="str">
        <f t="shared" si="5"/>
        <v/>
      </c>
      <c r="AA98" s="76"/>
      <c r="AB98" s="76"/>
      <c r="AC98" s="75"/>
      <c r="AD98" s="75"/>
      <c r="AE98" s="78" t="str">
        <f>IF(U98="","",IF(AD98="","",_xlfn.WORKDAY.INTL(AD98,7,1,FERIADOS)))</f>
        <v/>
      </c>
      <c r="AF98" s="104"/>
      <c r="AG98" s="80" t="str">
        <f t="array" ref="AG98">IF(A98="","",IF(AF98="","",AF98*INDEX(PARAMETROS!F$2:F1161,MATCH(YEAR(AC98),PARAMETROS!E$2:E1161,0),1)))</f>
        <v/>
      </c>
      <c r="AH98" s="81"/>
      <c r="AI98" s="82"/>
      <c r="AJ98" s="81"/>
      <c r="AK98" s="81"/>
      <c r="AL98" s="76"/>
      <c r="AM98" s="75"/>
      <c r="AN98" s="76"/>
      <c r="AO98" s="95"/>
      <c r="AP98" s="96"/>
      <c r="AQ98" s="85" t="str">
        <f t="shared" si="6"/>
        <v/>
      </c>
      <c r="AR98" s="86" t="str">
        <f t="array" ref="AR98">IF(A98="","",IFERROR(INDEX('2) Etapas'!L$3:L923,MATCH(B98,'2) Etapas'!$A$4:$A923,0),1),-1))</f>
        <v/>
      </c>
      <c r="AS98" s="87" t="str">
        <f t="shared" si="7"/>
        <v/>
      </c>
      <c r="AT98" s="87" t="str">
        <f t="shared" si="8"/>
        <v/>
      </c>
      <c r="AU98" s="87" t="str">
        <f t="shared" si="9"/>
        <v/>
      </c>
      <c r="AV98" s="89" t="str">
        <f t="array" ref="AV98">IF(OR($A98="",$AB98="", $AC98=""),"",MAXA(IF($A98=$A$4:$A923,$AC$4:$AC923)))</f>
        <v/>
      </c>
    </row>
    <row r="99" ht="22.5" customHeight="1">
      <c r="A99" s="29"/>
      <c r="B99" s="68" t="str">
        <f t="shared" si="1"/>
        <v/>
      </c>
      <c r="C99" s="69"/>
      <c r="D99" s="70" t="str">
        <f t="shared" si="2"/>
        <v/>
      </c>
      <c r="E99" s="29"/>
      <c r="F99" s="68" t="str">
        <f t="array" ref="F99">IF($A99="","",IFERROR(INDEX(MA_INDIVIDUALES!C$2:C923, MATCH($A99,MA_INDIVIDUALES!$B$2:$B923,0),1),"CÓDIGO DE EXPEDIENTE INVÁLIDO"))</f>
        <v/>
      </c>
      <c r="G99" s="68" t="str">
        <f t="array" ref="G99">IF($A99="","",IFERROR(INDEX(MA_INDIVIDUALES!K$2:K923, MATCH($A99,MA_INDIVIDUALES!$B$2:$B923,0),1),"CÓDIGO DE EXPEDIENTE INVÁLIDO"))</f>
        <v/>
      </c>
      <c r="H99" s="68" t="str">
        <f t="array" ref="H99">IF($A99="","",IFERROR(INDEX(MA_INDIVIDUALES!L$2:L923, MATCH($A99,MA_INDIVIDUALES!$B$2:$B923,0),1),"CÓDIGO DE EXPEDIENTE INVÁLIDO"))</f>
        <v/>
      </c>
      <c r="I99" s="76"/>
      <c r="J99" s="76"/>
      <c r="K99" s="75"/>
      <c r="L99" s="74" t="str">
        <f>IF(A99="","",IF(K99="","",_xlfn.WORKDAY.INTL(K99,5,1,FERIADOS)))</f>
        <v/>
      </c>
      <c r="M99" s="76"/>
      <c r="N99" s="75"/>
      <c r="O99" s="76"/>
      <c r="P99" s="77" t="str">
        <f t="shared" si="3"/>
        <v/>
      </c>
      <c r="Q99" s="75"/>
      <c r="R99" s="76"/>
      <c r="S99" s="75"/>
      <c r="T99" s="75"/>
      <c r="U99" s="76"/>
      <c r="V99" s="76"/>
      <c r="W99" s="75"/>
      <c r="X99" s="76"/>
      <c r="Y99" s="29" t="str">
        <f t="shared" si="4"/>
        <v/>
      </c>
      <c r="Z99" s="29" t="str">
        <f t="shared" si="5"/>
        <v/>
      </c>
      <c r="AA99" s="76"/>
      <c r="AB99" s="76"/>
      <c r="AC99" s="75"/>
      <c r="AD99" s="75"/>
      <c r="AE99" s="78" t="str">
        <f>IF(U99="","",IF(AD99="","",_xlfn.WORKDAY.INTL(AD99,7,1,FERIADOS)))</f>
        <v/>
      </c>
      <c r="AF99" s="104"/>
      <c r="AG99" s="80" t="str">
        <f t="array" ref="AG99">IF(A99="","",IF(AF99="","",AF99*INDEX(PARAMETROS!F$2:F1162,MATCH(YEAR(AC99),PARAMETROS!E$2:E1162,0),1)))</f>
        <v/>
      </c>
      <c r="AH99" s="81"/>
      <c r="AI99" s="82"/>
      <c r="AJ99" s="81"/>
      <c r="AK99" s="81"/>
      <c r="AL99" s="76"/>
      <c r="AM99" s="75"/>
      <c r="AN99" s="76"/>
      <c r="AO99" s="95"/>
      <c r="AP99" s="96"/>
      <c r="AQ99" s="85" t="str">
        <f t="shared" si="6"/>
        <v/>
      </c>
      <c r="AR99" s="86" t="str">
        <f t="array" ref="AR99">IF(A99="","",IFERROR(INDEX('2) Etapas'!L$3:L923,MATCH(B99,'2) Etapas'!$A$4:$A923,0),1),-1))</f>
        <v/>
      </c>
      <c r="AS99" s="87" t="str">
        <f t="shared" si="7"/>
        <v/>
      </c>
      <c r="AT99" s="87" t="str">
        <f t="shared" si="8"/>
        <v/>
      </c>
      <c r="AU99" s="87" t="str">
        <f t="shared" si="9"/>
        <v/>
      </c>
      <c r="AV99" s="89" t="str">
        <f t="array" ref="AV99">IF(OR($A99="",$AB99="", $AC99=""),"",MAXA(IF($A99=$A$4:$A923,$AC$4:$AC923)))</f>
        <v/>
      </c>
    </row>
    <row r="100" ht="22.5" customHeight="1">
      <c r="A100" s="29"/>
      <c r="B100" s="68" t="str">
        <f t="shared" si="1"/>
        <v/>
      </c>
      <c r="C100" s="69"/>
      <c r="D100" s="70" t="str">
        <f t="shared" si="2"/>
        <v/>
      </c>
      <c r="E100" s="29"/>
      <c r="F100" s="68" t="str">
        <f t="array" ref="F100">IF($A100="","",IFERROR(INDEX(MA_INDIVIDUALES!C$2:C923, MATCH($A100,MA_INDIVIDUALES!$B$2:$B923,0),1),"CÓDIGO DE EXPEDIENTE INVÁLIDO"))</f>
        <v/>
      </c>
      <c r="G100" s="68" t="str">
        <f t="array" ref="G100">IF($A100="","",IFERROR(INDEX(MA_INDIVIDUALES!K$2:K923, MATCH($A100,MA_INDIVIDUALES!$B$2:$B923,0),1),"CÓDIGO DE EXPEDIENTE INVÁLIDO"))</f>
        <v/>
      </c>
      <c r="H100" s="68" t="str">
        <f t="array" ref="H100">IF($A100="","",IFERROR(INDEX(MA_INDIVIDUALES!L$2:L923, MATCH($A100,MA_INDIVIDUALES!$B$2:$B923,0),1),"CÓDIGO DE EXPEDIENTE INVÁLIDO"))</f>
        <v/>
      </c>
      <c r="I100" s="76"/>
      <c r="J100" s="76"/>
      <c r="K100" s="75"/>
      <c r="L100" s="74" t="str">
        <f>IF(A100="","",IF(K100="","",_xlfn.WORKDAY.INTL(K100,5,1,FERIADOS)))</f>
        <v/>
      </c>
      <c r="M100" s="76"/>
      <c r="N100" s="75"/>
      <c r="O100" s="76"/>
      <c r="P100" s="77" t="str">
        <f t="shared" si="3"/>
        <v/>
      </c>
      <c r="Q100" s="75"/>
      <c r="R100" s="76"/>
      <c r="S100" s="75"/>
      <c r="T100" s="75"/>
      <c r="U100" s="76"/>
      <c r="V100" s="76"/>
      <c r="W100" s="75"/>
      <c r="X100" s="76"/>
      <c r="Y100" s="29" t="str">
        <f t="shared" si="4"/>
        <v/>
      </c>
      <c r="Z100" s="29" t="str">
        <f t="shared" si="5"/>
        <v/>
      </c>
      <c r="AA100" s="76"/>
      <c r="AB100" s="76"/>
      <c r="AC100" s="75"/>
      <c r="AD100" s="75"/>
      <c r="AE100" s="78" t="str">
        <f>IF(U100="","",IF(AD100="","",_xlfn.WORKDAY.INTL(AD100,7,1,FERIADOS)))</f>
        <v/>
      </c>
      <c r="AF100" s="104"/>
      <c r="AG100" s="80" t="str">
        <f t="array" ref="AG100">IF(A100="","",IF(AF100="","",AF100*INDEX(PARAMETROS!F$2:F1163,MATCH(YEAR(AC100),PARAMETROS!E$2:E1163,0),1)))</f>
        <v/>
      </c>
      <c r="AH100" s="81"/>
      <c r="AI100" s="82"/>
      <c r="AJ100" s="81"/>
      <c r="AK100" s="81"/>
      <c r="AL100" s="76"/>
      <c r="AM100" s="75"/>
      <c r="AN100" s="76"/>
      <c r="AO100" s="95"/>
      <c r="AP100" s="96"/>
      <c r="AQ100" s="85" t="str">
        <f t="shared" si="6"/>
        <v/>
      </c>
      <c r="AR100" s="86" t="str">
        <f t="array" ref="AR100">IF(A100="","",IFERROR(INDEX('2) Etapas'!L$3:L923,MATCH(B100,'2) Etapas'!$A$4:$A923,0),1),-1))</f>
        <v/>
      </c>
      <c r="AS100" s="87" t="str">
        <f t="shared" si="7"/>
        <v/>
      </c>
      <c r="AT100" s="87" t="str">
        <f t="shared" si="8"/>
        <v/>
      </c>
      <c r="AU100" s="87" t="str">
        <f t="shared" si="9"/>
        <v/>
      </c>
      <c r="AV100" s="89" t="str">
        <f t="array" ref="AV100">IF(OR($A100="",$AB100="", $AC100=""),"",MAXA(IF($A100=$A$4:$A923,$AC$4:$AC923)))</f>
        <v/>
      </c>
    </row>
    <row r="101" ht="22.5" customHeight="1">
      <c r="A101" s="29"/>
      <c r="B101" s="68" t="str">
        <f t="shared" si="1"/>
        <v/>
      </c>
      <c r="C101" s="69"/>
      <c r="D101" s="70" t="str">
        <f t="shared" si="2"/>
        <v/>
      </c>
      <c r="E101" s="29"/>
      <c r="F101" s="68" t="str">
        <f t="array" ref="F101">IF($A101="","",IFERROR(INDEX(MA_INDIVIDUALES!C$2:C923, MATCH($A101,MA_INDIVIDUALES!$B$2:$B923,0),1),"CÓDIGO DE EXPEDIENTE INVÁLIDO"))</f>
        <v/>
      </c>
      <c r="G101" s="68" t="str">
        <f t="array" ref="G101">IF($A101="","",IFERROR(INDEX(MA_INDIVIDUALES!K$2:K923, MATCH($A101,MA_INDIVIDUALES!$B$2:$B923,0),1),"CÓDIGO DE EXPEDIENTE INVÁLIDO"))</f>
        <v/>
      </c>
      <c r="H101" s="68" t="str">
        <f t="array" ref="H101">IF($A101="","",IFERROR(INDEX(MA_INDIVIDUALES!L$2:L923, MATCH($A101,MA_INDIVIDUALES!$B$2:$B923,0),1),"CÓDIGO DE EXPEDIENTE INVÁLIDO"))</f>
        <v/>
      </c>
      <c r="I101" s="76"/>
      <c r="J101" s="76"/>
      <c r="K101" s="75"/>
      <c r="L101" s="74" t="str">
        <f>IF(A101="","",IF(K101="","",_xlfn.WORKDAY.INTL(K101,5,1,FERIADOS)))</f>
        <v/>
      </c>
      <c r="M101" s="76"/>
      <c r="N101" s="75"/>
      <c r="O101" s="76"/>
      <c r="P101" s="77" t="str">
        <f t="shared" si="3"/>
        <v/>
      </c>
      <c r="Q101" s="75"/>
      <c r="R101" s="76"/>
      <c r="S101" s="75"/>
      <c r="T101" s="75"/>
      <c r="U101" s="76"/>
      <c r="V101" s="76"/>
      <c r="W101" s="75"/>
      <c r="X101" s="76"/>
      <c r="Y101" s="29" t="str">
        <f t="shared" si="4"/>
        <v/>
      </c>
      <c r="Z101" s="29" t="str">
        <f t="shared" si="5"/>
        <v/>
      </c>
      <c r="AA101" s="76"/>
      <c r="AB101" s="76"/>
      <c r="AC101" s="75"/>
      <c r="AD101" s="75"/>
      <c r="AE101" s="78" t="str">
        <f>IF(U101="","",IF(AD101="","",_xlfn.WORKDAY.INTL(AD101,7,1,FERIADOS)))</f>
        <v/>
      </c>
      <c r="AF101" s="104"/>
      <c r="AG101" s="80" t="str">
        <f t="array" ref="AG101">IF(A101="","",IF(AF101="","",AF101*INDEX(PARAMETROS!F$2:F1164,MATCH(YEAR(AC101),PARAMETROS!E$2:E1164,0),1)))</f>
        <v/>
      </c>
      <c r="AH101" s="81"/>
      <c r="AI101" s="82"/>
      <c r="AJ101" s="81"/>
      <c r="AK101" s="81"/>
      <c r="AL101" s="76"/>
      <c r="AM101" s="75"/>
      <c r="AN101" s="76"/>
      <c r="AO101" s="95"/>
      <c r="AP101" s="96"/>
      <c r="AQ101" s="85" t="str">
        <f t="shared" si="6"/>
        <v/>
      </c>
      <c r="AR101" s="86" t="str">
        <f t="array" ref="AR101">IF(A101="","",IFERROR(INDEX('2) Etapas'!L$3:L923,MATCH(B101,'2) Etapas'!$A$4:$A923,0),1),-1))</f>
        <v/>
      </c>
      <c r="AS101" s="87" t="str">
        <f t="shared" si="7"/>
        <v/>
      </c>
      <c r="AT101" s="87" t="str">
        <f t="shared" si="8"/>
        <v/>
      </c>
      <c r="AU101" s="87" t="str">
        <f t="shared" si="9"/>
        <v/>
      </c>
      <c r="AV101" s="89" t="str">
        <f t="array" ref="AV101">IF(OR($A101="",$AB101="", $AC101=""),"",MAXA(IF($A101=$A$4:$A923,$AC$4:$AC923)))</f>
        <v/>
      </c>
    </row>
    <row r="102" ht="22.5" customHeight="1">
      <c r="A102" s="29"/>
      <c r="B102" s="68" t="str">
        <f t="shared" si="1"/>
        <v/>
      </c>
      <c r="C102" s="69"/>
      <c r="D102" s="70" t="str">
        <f t="shared" si="2"/>
        <v/>
      </c>
      <c r="E102" s="29"/>
      <c r="F102" s="68" t="str">
        <f t="array" ref="F102">IF($A102="","",IFERROR(INDEX(MA_INDIVIDUALES!C$2:C923, MATCH($A102,MA_INDIVIDUALES!$B$2:$B923,0),1),"CÓDIGO DE EXPEDIENTE INVÁLIDO"))</f>
        <v/>
      </c>
      <c r="G102" s="68" t="str">
        <f t="array" ref="G102">IF($A102="","",IFERROR(INDEX(MA_INDIVIDUALES!K$2:K923, MATCH($A102,MA_INDIVIDUALES!$B$2:$B923,0),1),"CÓDIGO DE EXPEDIENTE INVÁLIDO"))</f>
        <v/>
      </c>
      <c r="H102" s="68" t="str">
        <f t="array" ref="H102">IF($A102="","",IFERROR(INDEX(MA_INDIVIDUALES!L$2:L923, MATCH($A102,MA_INDIVIDUALES!$B$2:$B923,0),1),"CÓDIGO DE EXPEDIENTE INVÁLIDO"))</f>
        <v/>
      </c>
      <c r="I102" s="76"/>
      <c r="J102" s="76"/>
      <c r="K102" s="75"/>
      <c r="L102" s="74" t="str">
        <f>IF(A102="","",IF(K102="","",_xlfn.WORKDAY.INTL(K102,5,1,FERIADOS)))</f>
        <v/>
      </c>
      <c r="M102" s="76"/>
      <c r="N102" s="75"/>
      <c r="O102" s="76"/>
      <c r="P102" s="77" t="str">
        <f t="shared" si="3"/>
        <v/>
      </c>
      <c r="Q102" s="75"/>
      <c r="R102" s="76"/>
      <c r="S102" s="75"/>
      <c r="T102" s="75"/>
      <c r="U102" s="76"/>
      <c r="V102" s="76"/>
      <c r="W102" s="75"/>
      <c r="X102" s="76"/>
      <c r="Y102" s="29" t="str">
        <f t="shared" si="4"/>
        <v/>
      </c>
      <c r="Z102" s="29" t="str">
        <f t="shared" si="5"/>
        <v/>
      </c>
      <c r="AA102" s="76"/>
      <c r="AB102" s="76"/>
      <c r="AC102" s="75"/>
      <c r="AD102" s="75"/>
      <c r="AE102" s="78" t="str">
        <f>IF(U102="","",IF(AD102="","",_xlfn.WORKDAY.INTL(AD102,7,1,FERIADOS)))</f>
        <v/>
      </c>
      <c r="AF102" s="104"/>
      <c r="AG102" s="80" t="str">
        <f t="array" ref="AG102">IF(A102="","",IF(AF102="","",AF102*INDEX(PARAMETROS!F$2:F1165,MATCH(YEAR(AC102),PARAMETROS!E$2:E1165,0),1)))</f>
        <v/>
      </c>
      <c r="AH102" s="81"/>
      <c r="AI102" s="82"/>
      <c r="AJ102" s="81"/>
      <c r="AK102" s="81"/>
      <c r="AL102" s="76"/>
      <c r="AM102" s="75"/>
      <c r="AN102" s="76"/>
      <c r="AO102" s="95"/>
      <c r="AP102" s="96"/>
      <c r="AQ102" s="85" t="str">
        <f t="shared" si="6"/>
        <v/>
      </c>
      <c r="AR102" s="86" t="str">
        <f t="array" ref="AR102">IF(A102="","",IFERROR(INDEX('2) Etapas'!L$3:L923,MATCH(B102,'2) Etapas'!$A$4:$A923,0),1),-1))</f>
        <v/>
      </c>
      <c r="AS102" s="87" t="str">
        <f t="shared" si="7"/>
        <v/>
      </c>
      <c r="AT102" s="87" t="str">
        <f t="shared" si="8"/>
        <v/>
      </c>
      <c r="AU102" s="87" t="str">
        <f t="shared" si="9"/>
        <v/>
      </c>
      <c r="AV102" s="89" t="str">
        <f t="array" ref="AV102">IF(OR($A102="",$AB102="", $AC102=""),"",MAXA(IF($A102=$A$4:$A923,$AC$4:$AC923)))</f>
        <v/>
      </c>
    </row>
    <row r="103" ht="22.5" customHeight="1">
      <c r="A103" s="29"/>
      <c r="B103" s="68" t="str">
        <f t="shared" si="1"/>
        <v/>
      </c>
      <c r="C103" s="69"/>
      <c r="D103" s="70" t="str">
        <f t="shared" si="2"/>
        <v/>
      </c>
      <c r="E103" s="29"/>
      <c r="F103" s="68" t="str">
        <f t="array" ref="F103">IF($A103="","",IFERROR(INDEX(MA_INDIVIDUALES!C$2:C923, MATCH($A103,MA_INDIVIDUALES!$B$2:$B923,0),1),"CÓDIGO DE EXPEDIENTE INVÁLIDO"))</f>
        <v/>
      </c>
      <c r="G103" s="68" t="str">
        <f t="array" ref="G103">IF($A103="","",IFERROR(INDEX(MA_INDIVIDUALES!K$2:K923, MATCH($A103,MA_INDIVIDUALES!$B$2:$B923,0),1),"CÓDIGO DE EXPEDIENTE INVÁLIDO"))</f>
        <v/>
      </c>
      <c r="H103" s="68" t="str">
        <f t="array" ref="H103">IF($A103="","",IFERROR(INDEX(MA_INDIVIDUALES!L$2:L923, MATCH($A103,MA_INDIVIDUALES!$B$2:$B923,0),1),"CÓDIGO DE EXPEDIENTE INVÁLIDO"))</f>
        <v/>
      </c>
      <c r="I103" s="76"/>
      <c r="J103" s="76"/>
      <c r="K103" s="75"/>
      <c r="L103" s="74" t="str">
        <f>IF(A103="","",IF(K103="","",_xlfn.WORKDAY.INTL(K103,5,1,FERIADOS)))</f>
        <v/>
      </c>
      <c r="M103" s="76"/>
      <c r="N103" s="75"/>
      <c r="O103" s="76"/>
      <c r="P103" s="77" t="str">
        <f t="shared" si="3"/>
        <v/>
      </c>
      <c r="Q103" s="75"/>
      <c r="R103" s="76"/>
      <c r="S103" s="75"/>
      <c r="T103" s="75"/>
      <c r="U103" s="76"/>
      <c r="V103" s="76"/>
      <c r="W103" s="75"/>
      <c r="X103" s="76"/>
      <c r="Y103" s="29" t="str">
        <f t="shared" si="4"/>
        <v/>
      </c>
      <c r="Z103" s="29" t="str">
        <f t="shared" si="5"/>
        <v/>
      </c>
      <c r="AA103" s="76"/>
      <c r="AB103" s="76"/>
      <c r="AC103" s="75"/>
      <c r="AD103" s="75"/>
      <c r="AE103" s="78" t="str">
        <f>IF(U103="","",IF(AD103="","",_xlfn.WORKDAY.INTL(AD103,7,1,FERIADOS)))</f>
        <v/>
      </c>
      <c r="AF103" s="104"/>
      <c r="AG103" s="80" t="str">
        <f t="array" ref="AG103">IF(A103="","",IF(AF103="","",AF103*INDEX(PARAMETROS!F$2:F1166,MATCH(YEAR(AC103),PARAMETROS!E$2:E1166,0),1)))</f>
        <v/>
      </c>
      <c r="AH103" s="81"/>
      <c r="AI103" s="82"/>
      <c r="AJ103" s="81"/>
      <c r="AK103" s="81"/>
      <c r="AL103" s="76"/>
      <c r="AM103" s="75"/>
      <c r="AN103" s="76"/>
      <c r="AO103" s="95"/>
      <c r="AP103" s="96"/>
      <c r="AQ103" s="85" t="str">
        <f t="shared" si="6"/>
        <v/>
      </c>
      <c r="AR103" s="86" t="str">
        <f t="array" ref="AR103">IF(A103="","",IFERROR(INDEX('2) Etapas'!L$3:L923,MATCH(B103,'2) Etapas'!$A$4:$A923,0),1),-1))</f>
        <v/>
      </c>
      <c r="AS103" s="87" t="str">
        <f t="shared" si="7"/>
        <v/>
      </c>
      <c r="AT103" s="87" t="str">
        <f t="shared" si="8"/>
        <v/>
      </c>
      <c r="AU103" s="87" t="str">
        <f t="shared" si="9"/>
        <v/>
      </c>
      <c r="AV103" s="89" t="str">
        <f t="array" ref="AV103">IF(OR($A103="",$AB103="", $AC103=""),"",MAXA(IF($A103=$A$4:$A923,$AC$4:$AC923)))</f>
        <v/>
      </c>
    </row>
    <row r="104" ht="22.5" customHeight="1">
      <c r="A104" s="29"/>
      <c r="B104" s="68" t="str">
        <f t="shared" si="1"/>
        <v/>
      </c>
      <c r="C104" s="69"/>
      <c r="D104" s="70" t="str">
        <f t="shared" si="2"/>
        <v/>
      </c>
      <c r="E104" s="29"/>
      <c r="F104" s="68" t="str">
        <f t="array" ref="F104">IF($A104="","",IFERROR(INDEX(MA_INDIVIDUALES!C$2:C923, MATCH($A104,MA_INDIVIDUALES!$B$2:$B923,0),1),"CÓDIGO DE EXPEDIENTE INVÁLIDO"))</f>
        <v/>
      </c>
      <c r="G104" s="68" t="str">
        <f t="array" ref="G104">IF($A104="","",IFERROR(INDEX(MA_INDIVIDUALES!K$2:K923, MATCH($A104,MA_INDIVIDUALES!$B$2:$B923,0),1),"CÓDIGO DE EXPEDIENTE INVÁLIDO"))</f>
        <v/>
      </c>
      <c r="H104" s="68" t="str">
        <f t="array" ref="H104">IF($A104="","",IFERROR(INDEX(MA_INDIVIDUALES!L$2:L923, MATCH($A104,MA_INDIVIDUALES!$B$2:$B923,0),1),"CÓDIGO DE EXPEDIENTE INVÁLIDO"))</f>
        <v/>
      </c>
      <c r="I104" s="76"/>
      <c r="J104" s="76"/>
      <c r="K104" s="75"/>
      <c r="L104" s="74" t="str">
        <f>IF(A104="","",IF(K104="","",_xlfn.WORKDAY.INTL(K104,5,1,FERIADOS)))</f>
        <v/>
      </c>
      <c r="M104" s="76"/>
      <c r="N104" s="75"/>
      <c r="O104" s="76"/>
      <c r="P104" s="77" t="str">
        <f t="shared" si="3"/>
        <v/>
      </c>
      <c r="Q104" s="75"/>
      <c r="R104" s="76"/>
      <c r="S104" s="75"/>
      <c r="T104" s="75"/>
      <c r="U104" s="76"/>
      <c r="V104" s="76"/>
      <c r="W104" s="75"/>
      <c r="X104" s="76"/>
      <c r="Y104" s="29" t="str">
        <f t="shared" si="4"/>
        <v/>
      </c>
      <c r="Z104" s="29" t="str">
        <f t="shared" si="5"/>
        <v/>
      </c>
      <c r="AA104" s="76"/>
      <c r="AB104" s="76"/>
      <c r="AC104" s="75"/>
      <c r="AD104" s="75"/>
      <c r="AE104" s="78" t="str">
        <f>IF(U104="","",IF(AD104="","",_xlfn.WORKDAY.INTL(AD104,7,1,FERIADOS)))</f>
        <v/>
      </c>
      <c r="AF104" s="104"/>
      <c r="AG104" s="80" t="str">
        <f t="array" ref="AG104">IF(A104="","",IF(AF104="","",AF104*INDEX(PARAMETROS!F$2:F1167,MATCH(YEAR(AC104),PARAMETROS!E$2:E1167,0),1)))</f>
        <v/>
      </c>
      <c r="AH104" s="81"/>
      <c r="AI104" s="82"/>
      <c r="AJ104" s="81"/>
      <c r="AK104" s="81"/>
      <c r="AL104" s="76"/>
      <c r="AM104" s="75"/>
      <c r="AN104" s="76"/>
      <c r="AO104" s="95"/>
      <c r="AP104" s="96"/>
      <c r="AQ104" s="85" t="str">
        <f t="shared" si="6"/>
        <v/>
      </c>
      <c r="AR104" s="86" t="str">
        <f t="array" ref="AR104">IF(A104="","",IFERROR(INDEX('2) Etapas'!L$3:L923,MATCH(B104,'2) Etapas'!$A$4:$A923,0),1),-1))</f>
        <v/>
      </c>
      <c r="AS104" s="87" t="str">
        <f t="shared" si="7"/>
        <v/>
      </c>
      <c r="AT104" s="87" t="str">
        <f t="shared" si="8"/>
        <v/>
      </c>
      <c r="AU104" s="87" t="str">
        <f t="shared" si="9"/>
        <v/>
      </c>
      <c r="AV104" s="89" t="str">
        <f t="array" ref="AV104">IF(OR($A104="",$AB104="", $AC104=""),"",MAXA(IF($A104=$A$4:$A923,$AC$4:$AC923)))</f>
        <v/>
      </c>
    </row>
    <row r="105" ht="22.5" customHeight="1">
      <c r="A105" s="29"/>
      <c r="B105" s="68" t="str">
        <f t="shared" si="1"/>
        <v/>
      </c>
      <c r="C105" s="69"/>
      <c r="D105" s="70" t="str">
        <f t="shared" si="2"/>
        <v/>
      </c>
      <c r="E105" s="29"/>
      <c r="F105" s="68" t="str">
        <f t="array" ref="F105">IF($A105="","",IFERROR(INDEX(MA_INDIVIDUALES!C$2:C923, MATCH($A105,MA_INDIVIDUALES!$B$2:$B923,0),1),"CÓDIGO DE EXPEDIENTE INVÁLIDO"))</f>
        <v/>
      </c>
      <c r="G105" s="68" t="str">
        <f t="array" ref="G105">IF($A105="","",IFERROR(INDEX(MA_INDIVIDUALES!K$2:K923, MATCH($A105,MA_INDIVIDUALES!$B$2:$B923,0),1),"CÓDIGO DE EXPEDIENTE INVÁLIDO"))</f>
        <v/>
      </c>
      <c r="H105" s="68" t="str">
        <f t="array" ref="H105">IF($A105="","",IFERROR(INDEX(MA_INDIVIDUALES!L$2:L923, MATCH($A105,MA_INDIVIDUALES!$B$2:$B923,0),1),"CÓDIGO DE EXPEDIENTE INVÁLIDO"))</f>
        <v/>
      </c>
      <c r="I105" s="76"/>
      <c r="J105" s="76"/>
      <c r="K105" s="75"/>
      <c r="L105" s="74" t="str">
        <f>IF(A105="","",IF(K105="","",_xlfn.WORKDAY.INTL(K105,5,1,FERIADOS)))</f>
        <v/>
      </c>
      <c r="M105" s="76"/>
      <c r="N105" s="75"/>
      <c r="O105" s="76"/>
      <c r="P105" s="77" t="str">
        <f t="shared" si="3"/>
        <v/>
      </c>
      <c r="Q105" s="75"/>
      <c r="R105" s="76"/>
      <c r="S105" s="75"/>
      <c r="T105" s="75"/>
      <c r="U105" s="76"/>
      <c r="V105" s="76"/>
      <c r="W105" s="75"/>
      <c r="X105" s="76"/>
      <c r="Y105" s="29" t="str">
        <f t="shared" si="4"/>
        <v/>
      </c>
      <c r="Z105" s="29" t="str">
        <f t="shared" si="5"/>
        <v/>
      </c>
      <c r="AA105" s="76"/>
      <c r="AB105" s="76"/>
      <c r="AC105" s="75"/>
      <c r="AD105" s="75"/>
      <c r="AE105" s="78" t="str">
        <f>IF(U105="","",IF(AD105="","",_xlfn.WORKDAY.INTL(AD105,7,1,FERIADOS)))</f>
        <v/>
      </c>
      <c r="AF105" s="104"/>
      <c r="AG105" s="80" t="str">
        <f t="array" ref="AG105">IF(A105="","",IF(AF105="","",AF105*INDEX(PARAMETROS!F$2:F1168,MATCH(YEAR(AC105),PARAMETROS!E$2:E1168,0),1)))</f>
        <v/>
      </c>
      <c r="AH105" s="81"/>
      <c r="AI105" s="82"/>
      <c r="AJ105" s="81"/>
      <c r="AK105" s="81"/>
      <c r="AL105" s="76"/>
      <c r="AM105" s="75"/>
      <c r="AN105" s="76"/>
      <c r="AO105" s="95"/>
      <c r="AP105" s="96"/>
      <c r="AQ105" s="85" t="str">
        <f t="shared" si="6"/>
        <v/>
      </c>
      <c r="AR105" s="86" t="str">
        <f t="array" ref="AR105">IF(A105="","",IFERROR(INDEX('2) Etapas'!L$3:L923,MATCH(B105,'2) Etapas'!$A$4:$A923,0),1),-1))</f>
        <v/>
      </c>
      <c r="AS105" s="87" t="str">
        <f t="shared" si="7"/>
        <v/>
      </c>
      <c r="AT105" s="87" t="str">
        <f t="shared" si="8"/>
        <v/>
      </c>
      <c r="AU105" s="87" t="str">
        <f t="shared" si="9"/>
        <v/>
      </c>
      <c r="AV105" s="89" t="str">
        <f t="array" ref="AV105">IF(OR($A105="",$AB105="", $AC105=""),"",MAXA(IF($A105=$A$4:$A923,$AC$4:$AC923)))</f>
        <v/>
      </c>
    </row>
    <row r="106" ht="22.5" customHeight="1">
      <c r="A106" s="29"/>
      <c r="B106" s="68" t="str">
        <f t="shared" si="1"/>
        <v/>
      </c>
      <c r="C106" s="69"/>
      <c r="D106" s="70" t="str">
        <f t="shared" si="2"/>
        <v/>
      </c>
      <c r="E106" s="29"/>
      <c r="F106" s="68" t="str">
        <f t="array" ref="F106">IF($A106="","",IFERROR(INDEX(MA_INDIVIDUALES!C$2:C923, MATCH($A106,MA_INDIVIDUALES!$B$2:$B923,0),1),"CÓDIGO DE EXPEDIENTE INVÁLIDO"))</f>
        <v/>
      </c>
      <c r="G106" s="68" t="str">
        <f t="array" ref="G106">IF($A106="","",IFERROR(INDEX(MA_INDIVIDUALES!K$2:K923, MATCH($A106,MA_INDIVIDUALES!$B$2:$B923,0),1),"CÓDIGO DE EXPEDIENTE INVÁLIDO"))</f>
        <v/>
      </c>
      <c r="H106" s="68" t="str">
        <f t="array" ref="H106">IF($A106="","",IFERROR(INDEX(MA_INDIVIDUALES!L$2:L923, MATCH($A106,MA_INDIVIDUALES!$B$2:$B923,0),1),"CÓDIGO DE EXPEDIENTE INVÁLIDO"))</f>
        <v/>
      </c>
      <c r="I106" s="76"/>
      <c r="J106" s="76"/>
      <c r="K106" s="75"/>
      <c r="L106" s="74" t="str">
        <f>IF(A106="","",IF(K106="","",_xlfn.WORKDAY.INTL(K106,5,1,FERIADOS)))</f>
        <v/>
      </c>
      <c r="M106" s="76"/>
      <c r="N106" s="75"/>
      <c r="O106" s="76"/>
      <c r="P106" s="77" t="str">
        <f t="shared" si="3"/>
        <v/>
      </c>
      <c r="Q106" s="75"/>
      <c r="R106" s="76"/>
      <c r="S106" s="75"/>
      <c r="T106" s="75"/>
      <c r="U106" s="76"/>
      <c r="V106" s="76"/>
      <c r="W106" s="75"/>
      <c r="X106" s="76"/>
      <c r="Y106" s="29" t="str">
        <f t="shared" si="4"/>
        <v/>
      </c>
      <c r="Z106" s="29" t="str">
        <f t="shared" si="5"/>
        <v/>
      </c>
      <c r="AA106" s="76"/>
      <c r="AB106" s="76"/>
      <c r="AC106" s="75"/>
      <c r="AD106" s="75"/>
      <c r="AE106" s="78" t="str">
        <f>IF(U106="","",IF(AD106="","",_xlfn.WORKDAY.INTL(AD106,7,1,FERIADOS)))</f>
        <v/>
      </c>
      <c r="AF106" s="104"/>
      <c r="AG106" s="80" t="str">
        <f t="array" ref="AG106">IF(A106="","",IF(AF106="","",AF106*INDEX(PARAMETROS!F$2:F1169,MATCH(YEAR(AC106),PARAMETROS!E$2:E1169,0),1)))</f>
        <v/>
      </c>
      <c r="AH106" s="81"/>
      <c r="AI106" s="82"/>
      <c r="AJ106" s="81"/>
      <c r="AK106" s="81"/>
      <c r="AL106" s="76"/>
      <c r="AM106" s="75"/>
      <c r="AN106" s="76"/>
      <c r="AO106" s="95"/>
      <c r="AP106" s="96"/>
      <c r="AQ106" s="85" t="str">
        <f t="shared" si="6"/>
        <v/>
      </c>
      <c r="AR106" s="86" t="str">
        <f t="array" ref="AR106">IF(A106="","",IFERROR(INDEX('2) Etapas'!L$3:L923,MATCH(B106,'2) Etapas'!$A$4:$A923,0),1),-1))</f>
        <v/>
      </c>
      <c r="AS106" s="87" t="str">
        <f t="shared" si="7"/>
        <v/>
      </c>
      <c r="AT106" s="87" t="str">
        <f t="shared" si="8"/>
        <v/>
      </c>
      <c r="AU106" s="87" t="str">
        <f t="shared" si="9"/>
        <v/>
      </c>
      <c r="AV106" s="89" t="str">
        <f t="array" ref="AV106">IF(OR($A106="",$AB106="", $AC106=""),"",MAXA(IF($A106=$A$4:$A923,$AC$4:$AC923)))</f>
        <v/>
      </c>
    </row>
    <row r="107" ht="22.5" customHeight="1">
      <c r="A107" s="29"/>
      <c r="B107" s="68" t="str">
        <f t="shared" si="1"/>
        <v/>
      </c>
      <c r="C107" s="69"/>
      <c r="D107" s="70" t="str">
        <f t="shared" si="2"/>
        <v/>
      </c>
      <c r="E107" s="29"/>
      <c r="F107" s="68" t="str">
        <f t="array" ref="F107">IF($A107="","",IFERROR(INDEX(MA_INDIVIDUALES!C$2:C923, MATCH($A107,MA_INDIVIDUALES!$B$2:$B923,0),1),"CÓDIGO DE EXPEDIENTE INVÁLIDO"))</f>
        <v/>
      </c>
      <c r="G107" s="68" t="str">
        <f t="array" ref="G107">IF($A107="","",IFERROR(INDEX(MA_INDIVIDUALES!K$2:K923, MATCH($A107,MA_INDIVIDUALES!$B$2:$B923,0),1),"CÓDIGO DE EXPEDIENTE INVÁLIDO"))</f>
        <v/>
      </c>
      <c r="H107" s="68" t="str">
        <f t="array" ref="H107">IF($A107="","",IFERROR(INDEX(MA_INDIVIDUALES!L$2:L923, MATCH($A107,MA_INDIVIDUALES!$B$2:$B923,0),1),"CÓDIGO DE EXPEDIENTE INVÁLIDO"))</f>
        <v/>
      </c>
      <c r="I107" s="76"/>
      <c r="J107" s="76"/>
      <c r="K107" s="75"/>
      <c r="L107" s="74" t="str">
        <f>IF(A107="","",IF(K107="","",_xlfn.WORKDAY.INTL(K107,5,1,FERIADOS)))</f>
        <v/>
      </c>
      <c r="M107" s="76"/>
      <c r="N107" s="75"/>
      <c r="O107" s="76"/>
      <c r="P107" s="77" t="str">
        <f t="shared" si="3"/>
        <v/>
      </c>
      <c r="Q107" s="75"/>
      <c r="R107" s="76"/>
      <c r="S107" s="75"/>
      <c r="T107" s="75"/>
      <c r="U107" s="76"/>
      <c r="V107" s="76"/>
      <c r="W107" s="75"/>
      <c r="X107" s="76"/>
      <c r="Y107" s="29" t="str">
        <f t="shared" si="4"/>
        <v/>
      </c>
      <c r="Z107" s="29" t="str">
        <f t="shared" si="5"/>
        <v/>
      </c>
      <c r="AA107" s="76"/>
      <c r="AB107" s="76"/>
      <c r="AC107" s="75"/>
      <c r="AD107" s="75"/>
      <c r="AE107" s="78" t="str">
        <f>IF(U107="","",IF(AD107="","",_xlfn.WORKDAY.INTL(AD107,7,1,FERIADOS)))</f>
        <v/>
      </c>
      <c r="AF107" s="104"/>
      <c r="AG107" s="80" t="str">
        <f t="array" ref="AG107">IF(A107="","",IF(AF107="","",AF107*INDEX(PARAMETROS!F$2:F1170,MATCH(YEAR(AC107),PARAMETROS!E$2:E1170,0),1)))</f>
        <v/>
      </c>
      <c r="AH107" s="81"/>
      <c r="AI107" s="82"/>
      <c r="AJ107" s="81"/>
      <c r="AK107" s="81"/>
      <c r="AL107" s="76"/>
      <c r="AM107" s="75"/>
      <c r="AN107" s="76"/>
      <c r="AO107" s="95"/>
      <c r="AP107" s="96"/>
      <c r="AQ107" s="85" t="str">
        <f t="shared" si="6"/>
        <v/>
      </c>
      <c r="AR107" s="86" t="str">
        <f t="array" ref="AR107">IF(A107="","",IFERROR(INDEX('2) Etapas'!L$3:L923,MATCH(B107,'2) Etapas'!$A$4:$A923,0),1),-1))</f>
        <v/>
      </c>
      <c r="AS107" s="87" t="str">
        <f t="shared" si="7"/>
        <v/>
      </c>
      <c r="AT107" s="87" t="str">
        <f t="shared" si="8"/>
        <v/>
      </c>
      <c r="AU107" s="87" t="str">
        <f t="shared" si="9"/>
        <v/>
      </c>
      <c r="AV107" s="89" t="str">
        <f t="array" ref="AV107">IF(OR($A107="",$AB107="", $AC107=""),"",MAXA(IF($A107=$A$4:$A923,$AC$4:$AC923)))</f>
        <v/>
      </c>
    </row>
    <row r="108" ht="22.5" customHeight="1">
      <c r="A108" s="29"/>
      <c r="B108" s="68" t="str">
        <f t="shared" si="1"/>
        <v/>
      </c>
      <c r="C108" s="69"/>
      <c r="D108" s="70" t="str">
        <f t="shared" si="2"/>
        <v/>
      </c>
      <c r="E108" s="29"/>
      <c r="F108" s="68" t="str">
        <f t="array" ref="F108">IF($A108="","",IFERROR(INDEX(MA_INDIVIDUALES!C$2:C923, MATCH($A108,MA_INDIVIDUALES!$B$2:$B923,0),1),"CÓDIGO DE EXPEDIENTE INVÁLIDO"))</f>
        <v/>
      </c>
      <c r="G108" s="68" t="str">
        <f t="array" ref="G108">IF($A108="","",IFERROR(INDEX(MA_INDIVIDUALES!K$2:K923, MATCH($A108,MA_INDIVIDUALES!$B$2:$B923,0),1),"CÓDIGO DE EXPEDIENTE INVÁLIDO"))</f>
        <v/>
      </c>
      <c r="H108" s="68" t="str">
        <f t="array" ref="H108">IF($A108="","",IFERROR(INDEX(MA_INDIVIDUALES!L$2:L923, MATCH($A108,MA_INDIVIDUALES!$B$2:$B923,0),1),"CÓDIGO DE EXPEDIENTE INVÁLIDO"))</f>
        <v/>
      </c>
      <c r="I108" s="76"/>
      <c r="J108" s="76"/>
      <c r="K108" s="75"/>
      <c r="L108" s="74" t="str">
        <f>IF(A108="","",IF(K108="","",_xlfn.WORKDAY.INTL(K108,5,1,FERIADOS)))</f>
        <v/>
      </c>
      <c r="M108" s="76"/>
      <c r="N108" s="75"/>
      <c r="O108" s="76"/>
      <c r="P108" s="77" t="str">
        <f t="shared" si="3"/>
        <v/>
      </c>
      <c r="Q108" s="75"/>
      <c r="R108" s="76"/>
      <c r="S108" s="75"/>
      <c r="T108" s="75"/>
      <c r="U108" s="76"/>
      <c r="V108" s="76"/>
      <c r="W108" s="75"/>
      <c r="X108" s="76"/>
      <c r="Y108" s="29" t="str">
        <f t="shared" si="4"/>
        <v/>
      </c>
      <c r="Z108" s="29" t="str">
        <f t="shared" si="5"/>
        <v/>
      </c>
      <c r="AA108" s="76"/>
      <c r="AB108" s="76"/>
      <c r="AC108" s="75"/>
      <c r="AD108" s="75"/>
      <c r="AE108" s="78" t="str">
        <f>IF(U108="","",IF(AD108="","",_xlfn.WORKDAY.INTL(AD108,7,1,FERIADOS)))</f>
        <v/>
      </c>
      <c r="AF108" s="104"/>
      <c r="AG108" s="80" t="str">
        <f t="array" ref="AG108">IF(A108="","",IF(AF108="","",AF108*INDEX(PARAMETROS!F$2:F1171,MATCH(YEAR(AC108),PARAMETROS!E$2:E1171,0),1)))</f>
        <v/>
      </c>
      <c r="AH108" s="81"/>
      <c r="AI108" s="82"/>
      <c r="AJ108" s="81"/>
      <c r="AK108" s="81"/>
      <c r="AL108" s="76"/>
      <c r="AM108" s="75"/>
      <c r="AN108" s="76"/>
      <c r="AO108" s="95"/>
      <c r="AP108" s="96"/>
      <c r="AQ108" s="85" t="str">
        <f t="shared" si="6"/>
        <v/>
      </c>
      <c r="AR108" s="86" t="str">
        <f t="array" ref="AR108">IF(A108="","",IFERROR(INDEX('2) Etapas'!L$3:L923,MATCH(B108,'2) Etapas'!$A$4:$A923,0),1),-1))</f>
        <v/>
      </c>
      <c r="AS108" s="87" t="str">
        <f t="shared" si="7"/>
        <v/>
      </c>
      <c r="AT108" s="87" t="str">
        <f t="shared" si="8"/>
        <v/>
      </c>
      <c r="AU108" s="87" t="str">
        <f t="shared" si="9"/>
        <v/>
      </c>
      <c r="AV108" s="89" t="str">
        <f t="array" ref="AV108">IF(OR($A108="",$AB108="", $AC108=""),"",MAXA(IF($A108=$A$4:$A923,$AC$4:$AC923)))</f>
        <v/>
      </c>
    </row>
    <row r="109" ht="22.5" customHeight="1">
      <c r="A109" s="29"/>
      <c r="B109" s="68" t="str">
        <f t="shared" si="1"/>
        <v/>
      </c>
      <c r="C109" s="69"/>
      <c r="D109" s="70" t="str">
        <f t="shared" si="2"/>
        <v/>
      </c>
      <c r="E109" s="29"/>
      <c r="F109" s="68" t="str">
        <f t="array" ref="F109">IF($A109="","",IFERROR(INDEX(MA_INDIVIDUALES!C$2:C923, MATCH($A109,MA_INDIVIDUALES!$B$2:$B923,0),1),"CÓDIGO DE EXPEDIENTE INVÁLIDO"))</f>
        <v/>
      </c>
      <c r="G109" s="68" t="str">
        <f t="array" ref="G109">IF($A109="","",IFERROR(INDEX(MA_INDIVIDUALES!K$2:K923, MATCH($A109,MA_INDIVIDUALES!$B$2:$B923,0),1),"CÓDIGO DE EXPEDIENTE INVÁLIDO"))</f>
        <v/>
      </c>
      <c r="H109" s="68" t="str">
        <f t="array" ref="H109">IF($A109="","",IFERROR(INDEX(MA_INDIVIDUALES!L$2:L923, MATCH($A109,MA_INDIVIDUALES!$B$2:$B923,0),1),"CÓDIGO DE EXPEDIENTE INVÁLIDO"))</f>
        <v/>
      </c>
      <c r="I109" s="76"/>
      <c r="J109" s="76"/>
      <c r="K109" s="75"/>
      <c r="L109" s="74" t="str">
        <f>IF(A109="","",IF(K109="","",_xlfn.WORKDAY.INTL(K109,5,1,FERIADOS)))</f>
        <v/>
      </c>
      <c r="M109" s="76"/>
      <c r="N109" s="75"/>
      <c r="O109" s="76"/>
      <c r="P109" s="77" t="str">
        <f t="shared" si="3"/>
        <v/>
      </c>
      <c r="Q109" s="75"/>
      <c r="R109" s="76"/>
      <c r="S109" s="75"/>
      <c r="T109" s="75"/>
      <c r="U109" s="76"/>
      <c r="V109" s="76"/>
      <c r="W109" s="75"/>
      <c r="X109" s="76"/>
      <c r="Y109" s="29" t="str">
        <f t="shared" si="4"/>
        <v/>
      </c>
      <c r="Z109" s="29" t="str">
        <f t="shared" si="5"/>
        <v/>
      </c>
      <c r="AA109" s="76"/>
      <c r="AB109" s="76"/>
      <c r="AC109" s="75"/>
      <c r="AD109" s="75"/>
      <c r="AE109" s="78" t="str">
        <f>IF(U109="","",IF(AD109="","",_xlfn.WORKDAY.INTL(AD109,7,1,FERIADOS)))</f>
        <v/>
      </c>
      <c r="AF109" s="104"/>
      <c r="AG109" s="80" t="str">
        <f t="array" ref="AG109">IF(A109="","",IF(AF109="","",AF109*INDEX(PARAMETROS!F$2:F1172,MATCH(YEAR(AC109),PARAMETROS!E$2:E1172,0),1)))</f>
        <v/>
      </c>
      <c r="AH109" s="81"/>
      <c r="AI109" s="82"/>
      <c r="AJ109" s="81"/>
      <c r="AK109" s="81"/>
      <c r="AL109" s="76"/>
      <c r="AM109" s="75"/>
      <c r="AN109" s="76"/>
      <c r="AO109" s="95"/>
      <c r="AP109" s="96"/>
      <c r="AQ109" s="85" t="str">
        <f t="shared" si="6"/>
        <v/>
      </c>
      <c r="AR109" s="86" t="str">
        <f t="array" ref="AR109">IF(A109="","",IFERROR(INDEX('2) Etapas'!L$3:L923,MATCH(B109,'2) Etapas'!$A$4:$A923,0),1),-1))</f>
        <v/>
      </c>
      <c r="AS109" s="87" t="str">
        <f t="shared" si="7"/>
        <v/>
      </c>
      <c r="AT109" s="87" t="str">
        <f t="shared" si="8"/>
        <v/>
      </c>
      <c r="AU109" s="87" t="str">
        <f t="shared" si="9"/>
        <v/>
      </c>
      <c r="AV109" s="89" t="str">
        <f t="array" ref="AV109">IF(OR($A109="",$AB109="", $AC109=""),"",MAXA(IF($A109=$A$4:$A923,$AC$4:$AC923)))</f>
        <v/>
      </c>
    </row>
    <row r="110" ht="22.5" customHeight="1">
      <c r="A110" s="29"/>
      <c r="B110" s="68" t="str">
        <f t="shared" si="1"/>
        <v/>
      </c>
      <c r="C110" s="69"/>
      <c r="D110" s="70" t="str">
        <f t="shared" si="2"/>
        <v/>
      </c>
      <c r="E110" s="29"/>
      <c r="F110" s="68" t="str">
        <f t="array" ref="F110">IF($A110="","",IFERROR(INDEX(MA_INDIVIDUALES!C$2:C923, MATCH($A110,MA_INDIVIDUALES!$B$2:$B923,0),1),"CÓDIGO DE EXPEDIENTE INVÁLIDO"))</f>
        <v/>
      </c>
      <c r="G110" s="68" t="str">
        <f t="array" ref="G110">IF($A110="","",IFERROR(INDEX(MA_INDIVIDUALES!K$2:K923, MATCH($A110,MA_INDIVIDUALES!$B$2:$B923,0),1),"CÓDIGO DE EXPEDIENTE INVÁLIDO"))</f>
        <v/>
      </c>
      <c r="H110" s="68" t="str">
        <f t="array" ref="H110">IF($A110="","",IFERROR(INDEX(MA_INDIVIDUALES!L$2:L923, MATCH($A110,MA_INDIVIDUALES!$B$2:$B923,0),1),"CÓDIGO DE EXPEDIENTE INVÁLIDO"))</f>
        <v/>
      </c>
      <c r="I110" s="29"/>
      <c r="J110" s="29"/>
      <c r="K110" s="73"/>
      <c r="L110" s="74" t="str">
        <f>IF(A110="","",IF(K110="","",_xlfn.WORKDAY.INTL(K110,5,1,FERIADOS)))</f>
        <v/>
      </c>
      <c r="M110" s="29"/>
      <c r="N110" s="75"/>
      <c r="O110" s="76"/>
      <c r="P110" s="77" t="str">
        <f t="shared" si="3"/>
        <v/>
      </c>
      <c r="Q110" s="73"/>
      <c r="R110" s="29"/>
      <c r="S110" s="75"/>
      <c r="T110" s="73"/>
      <c r="U110" s="29"/>
      <c r="V110" s="76"/>
      <c r="W110" s="75"/>
      <c r="X110" s="76"/>
      <c r="Y110" s="29" t="str">
        <f t="shared" si="4"/>
        <v/>
      </c>
      <c r="Z110" s="29" t="str">
        <f t="shared" si="5"/>
        <v/>
      </c>
      <c r="AA110" s="29"/>
      <c r="AB110" s="29"/>
      <c r="AC110" s="73"/>
      <c r="AD110" s="73"/>
      <c r="AE110" s="78" t="str">
        <f>IF(U110="","",IF(AD110="","",_xlfn.WORKDAY.INTL(AD110,7,1,FERIADOS)))</f>
        <v/>
      </c>
      <c r="AF110" s="79"/>
      <c r="AG110" s="80" t="str">
        <f t="array" ref="AG110">IF(A110="","",IF(AF110="","",AF110*INDEX(PARAMETROS!F$2:F1173,MATCH(YEAR(AC110),PARAMETROS!E$2:E1173,0),1)))</f>
        <v/>
      </c>
      <c r="AH110" s="81"/>
      <c r="AI110" s="82"/>
      <c r="AJ110" s="81"/>
      <c r="AK110" s="81"/>
      <c r="AL110" s="29"/>
      <c r="AM110" s="73"/>
      <c r="AN110" s="29"/>
      <c r="AO110" s="83"/>
      <c r="AP110" s="84"/>
      <c r="AQ110" s="85" t="str">
        <f t="shared" si="6"/>
        <v/>
      </c>
      <c r="AR110" s="86" t="str">
        <f t="array" ref="AR110">IF(A110="","",IFERROR(INDEX('2) Etapas'!L$3:L923,MATCH(B110,'2) Etapas'!$A$4:$A923,0),1),-1))</f>
        <v/>
      </c>
      <c r="AS110" s="87" t="str">
        <f t="shared" si="7"/>
        <v/>
      </c>
      <c r="AT110" s="87" t="str">
        <f t="shared" si="8"/>
        <v/>
      </c>
      <c r="AU110" s="87" t="str">
        <f t="shared" si="9"/>
        <v/>
      </c>
      <c r="AV110" s="89" t="str">
        <f t="array" ref="AV110">IF(OR($A110="",$AB110="", $AC110=""),"",MAXA(IF($A110=$A$4:$A923,$AC$4:$AC923)))</f>
        <v/>
      </c>
    </row>
    <row r="111" ht="22.5" customHeight="1">
      <c r="A111" s="29"/>
      <c r="B111" s="68" t="str">
        <f t="shared" si="1"/>
        <v/>
      </c>
      <c r="C111" s="69"/>
      <c r="D111" s="70" t="str">
        <f t="shared" si="2"/>
        <v/>
      </c>
      <c r="E111" s="29"/>
      <c r="F111" s="68" t="str">
        <f t="array" ref="F111">IF($A111="","",IFERROR(INDEX(MA_INDIVIDUALES!C$2:C923, MATCH($A111,MA_INDIVIDUALES!$B$2:$B923,0),1),"CÓDIGO DE EXPEDIENTE INVÁLIDO"))</f>
        <v/>
      </c>
      <c r="G111" s="68" t="str">
        <f t="array" ref="G111">IF($A111="","",IFERROR(INDEX(MA_INDIVIDUALES!K$2:K923, MATCH($A111,MA_INDIVIDUALES!$B$2:$B923,0),1),"CÓDIGO DE EXPEDIENTE INVÁLIDO"))</f>
        <v/>
      </c>
      <c r="H111" s="68" t="str">
        <f t="array" ref="H111">IF($A111="","",IFERROR(INDEX(MA_INDIVIDUALES!L$2:L923, MATCH($A111,MA_INDIVIDUALES!$B$2:$B923,0),1),"CÓDIGO DE EXPEDIENTE INVÁLIDO"))</f>
        <v/>
      </c>
      <c r="I111" s="29"/>
      <c r="J111" s="29"/>
      <c r="K111" s="73"/>
      <c r="L111" s="74" t="str">
        <f>IF(A111="","",IF(K111="","",_xlfn.WORKDAY.INTL(K111,5,1,FERIADOS)))</f>
        <v/>
      </c>
      <c r="M111" s="29"/>
      <c r="N111" s="73"/>
      <c r="O111" s="29"/>
      <c r="P111" s="77" t="str">
        <f t="shared" si="3"/>
        <v/>
      </c>
      <c r="Q111" s="73"/>
      <c r="R111" s="29"/>
      <c r="S111" s="75"/>
      <c r="T111" s="73"/>
      <c r="U111" s="29"/>
      <c r="V111" s="76"/>
      <c r="W111" s="75"/>
      <c r="X111" s="76"/>
      <c r="Y111" s="29" t="str">
        <f t="shared" si="4"/>
        <v/>
      </c>
      <c r="Z111" s="29" t="str">
        <f t="shared" si="5"/>
        <v/>
      </c>
      <c r="AA111" s="29"/>
      <c r="AB111" s="29"/>
      <c r="AC111" s="73"/>
      <c r="AD111" s="73"/>
      <c r="AE111" s="78" t="str">
        <f>IF(U111="","",IF(AD111="","",_xlfn.WORKDAY.INTL(AD111,7,1,FERIADOS)))</f>
        <v/>
      </c>
      <c r="AF111" s="79"/>
      <c r="AG111" s="80" t="str">
        <f t="array" ref="AG111">IF(A111="","",IF(AF111="","",AF111*INDEX(PARAMETROS!F$2:F1174,MATCH(YEAR(AC111),PARAMETROS!E$2:E1174,0),1)))</f>
        <v/>
      </c>
      <c r="AH111" s="81"/>
      <c r="AI111" s="82"/>
      <c r="AJ111" s="81"/>
      <c r="AK111" s="81"/>
      <c r="AL111" s="29"/>
      <c r="AM111" s="75"/>
      <c r="AN111" s="76"/>
      <c r="AO111" s="95"/>
      <c r="AP111" s="96"/>
      <c r="AQ111" s="85" t="str">
        <f t="shared" si="6"/>
        <v/>
      </c>
      <c r="AR111" s="86" t="str">
        <f t="array" ref="AR111">IF(A111="","",IFERROR(INDEX('2) Etapas'!L$3:L923,MATCH(B111,'2) Etapas'!$A$4:$A923,0),1),-1))</f>
        <v/>
      </c>
      <c r="AS111" s="87" t="str">
        <f t="shared" si="7"/>
        <v/>
      </c>
      <c r="AT111" s="87" t="str">
        <f t="shared" si="8"/>
        <v/>
      </c>
      <c r="AU111" s="87" t="str">
        <f t="shared" si="9"/>
        <v/>
      </c>
      <c r="AV111" s="89" t="str">
        <f t="array" ref="AV111">IF(OR($A111="",$AB111="", $AC111=""),"",MAXA(IF($A111=$A$4:$A923,$AC$4:$AC923)))</f>
        <v/>
      </c>
    </row>
    <row r="112" ht="22.5" customHeight="1">
      <c r="A112" s="29"/>
      <c r="B112" s="68" t="str">
        <f t="shared" si="1"/>
        <v/>
      </c>
      <c r="C112" s="69"/>
      <c r="D112" s="70" t="str">
        <f t="shared" si="2"/>
        <v/>
      </c>
      <c r="E112" s="29"/>
      <c r="F112" s="68" t="str">
        <f t="array" ref="F112">IF($A112="","",IFERROR(INDEX(MA_INDIVIDUALES!C$2:C923, MATCH($A112,MA_INDIVIDUALES!$B$2:$B923,0),1),"CÓDIGO DE EXPEDIENTE INVÁLIDO"))</f>
        <v/>
      </c>
      <c r="G112" s="68" t="str">
        <f t="array" ref="G112">IF($A112="","",IFERROR(INDEX(MA_INDIVIDUALES!K$2:K923, MATCH($A112,MA_INDIVIDUALES!$B$2:$B923,0),1),"CÓDIGO DE EXPEDIENTE INVÁLIDO"))</f>
        <v/>
      </c>
      <c r="H112" s="68" t="str">
        <f t="array" ref="H112">IF($A112="","",IFERROR(INDEX(MA_INDIVIDUALES!L$2:L923, MATCH($A112,MA_INDIVIDUALES!$B$2:$B923,0),1),"CÓDIGO DE EXPEDIENTE INVÁLIDO"))</f>
        <v/>
      </c>
      <c r="I112" s="29"/>
      <c r="J112" s="29"/>
      <c r="K112" s="73"/>
      <c r="L112" s="74" t="str">
        <f>IF(A112="","",IF(K112="","",_xlfn.WORKDAY.INTL(K112,5,1,FERIADOS)))</f>
        <v/>
      </c>
      <c r="M112" s="29"/>
      <c r="N112" s="73"/>
      <c r="O112" s="29"/>
      <c r="P112" s="77" t="str">
        <f t="shared" si="3"/>
        <v/>
      </c>
      <c r="Q112" s="73"/>
      <c r="R112" s="29"/>
      <c r="S112" s="75"/>
      <c r="T112" s="73"/>
      <c r="U112" s="29"/>
      <c r="V112" s="76"/>
      <c r="W112" s="75"/>
      <c r="X112" s="76"/>
      <c r="Y112" s="29" t="str">
        <f t="shared" si="4"/>
        <v/>
      </c>
      <c r="Z112" s="29" t="str">
        <f t="shared" si="5"/>
        <v/>
      </c>
      <c r="AA112" s="29"/>
      <c r="AB112" s="29"/>
      <c r="AC112" s="73"/>
      <c r="AD112" s="73"/>
      <c r="AE112" s="78" t="str">
        <f>IF(U112="","",IF(AD112="","",_xlfn.WORKDAY.INTL(AD112,7,1,FERIADOS)))</f>
        <v/>
      </c>
      <c r="AF112" s="79"/>
      <c r="AG112" s="80" t="str">
        <f t="array" ref="AG112">IF(A112="","",IF(AF112="","",AF112*INDEX(PARAMETROS!F$2:F1175,MATCH(YEAR(AC112),PARAMETROS!E$2:E1175,0),1)))</f>
        <v/>
      </c>
      <c r="AH112" s="81"/>
      <c r="AI112" s="82"/>
      <c r="AJ112" s="81"/>
      <c r="AK112" s="81"/>
      <c r="AL112" s="29"/>
      <c r="AM112" s="75"/>
      <c r="AN112" s="76"/>
      <c r="AO112" s="95"/>
      <c r="AP112" s="96"/>
      <c r="AQ112" s="85" t="str">
        <f t="shared" si="6"/>
        <v/>
      </c>
      <c r="AR112" s="86" t="str">
        <f t="array" ref="AR112">IF(A112="","",IFERROR(INDEX('2) Etapas'!L$3:L923,MATCH(B112,'2) Etapas'!$A$4:$A923,0),1),-1))</f>
        <v/>
      </c>
      <c r="AS112" s="87" t="str">
        <f t="shared" si="7"/>
        <v/>
      </c>
      <c r="AT112" s="87" t="str">
        <f t="shared" si="8"/>
        <v/>
      </c>
      <c r="AU112" s="87" t="str">
        <f t="shared" si="9"/>
        <v/>
      </c>
      <c r="AV112" s="89" t="str">
        <f t="array" ref="AV112">IF(OR($A112="",$AB112="", $AC112=""),"",MAXA(IF($A112=$A$4:$A923,$AC$4:$AC923)))</f>
        <v/>
      </c>
    </row>
    <row r="113" ht="26.25" customHeight="1">
      <c r="A113" s="29"/>
      <c r="B113" s="68" t="str">
        <f t="shared" si="1"/>
        <v/>
      </c>
      <c r="C113" s="69"/>
      <c r="D113" s="70" t="str">
        <f t="shared" si="2"/>
        <v/>
      </c>
      <c r="E113" s="29"/>
      <c r="F113" s="68" t="str">
        <f t="array" ref="F113">IF($A113="","",IFERROR(INDEX(MA_INDIVIDUALES!C$2:C923, MATCH($A113,MA_INDIVIDUALES!$B$2:$B923,0),1),"CÓDIGO DE EXPEDIENTE INVÁLIDO"))</f>
        <v/>
      </c>
      <c r="G113" s="68" t="str">
        <f t="array" ref="G113">IF($A113="","",IFERROR(INDEX(MA_INDIVIDUALES!K$2:K923, MATCH($A113,MA_INDIVIDUALES!$B$2:$B923,0),1),"CÓDIGO DE EXPEDIENTE INVÁLIDO"))</f>
        <v/>
      </c>
      <c r="H113" s="68" t="str">
        <f t="array" ref="H113">IF($A113="","",IFERROR(INDEX(MA_INDIVIDUALES!L$2:L923, MATCH($A113,MA_INDIVIDUALES!$B$2:$B923,0),1),"CÓDIGO DE EXPEDIENTE INVÁLIDO"))</f>
        <v/>
      </c>
      <c r="I113" s="29"/>
      <c r="J113" s="29"/>
      <c r="K113" s="73"/>
      <c r="L113" s="74" t="str">
        <f>IF(A113="","",IF(K113="","",_xlfn.WORKDAY.INTL(K113,5,1,FERIADOS)))</f>
        <v/>
      </c>
      <c r="M113" s="29"/>
      <c r="N113" s="73"/>
      <c r="O113" s="29"/>
      <c r="P113" s="77" t="str">
        <f t="shared" si="3"/>
        <v/>
      </c>
      <c r="Q113" s="73"/>
      <c r="R113" s="29"/>
      <c r="S113" s="75"/>
      <c r="T113" s="73"/>
      <c r="U113" s="29"/>
      <c r="V113" s="76"/>
      <c r="W113" s="75"/>
      <c r="X113" s="76"/>
      <c r="Y113" s="29" t="str">
        <f t="shared" si="4"/>
        <v/>
      </c>
      <c r="Z113" s="29" t="str">
        <f t="shared" si="5"/>
        <v/>
      </c>
      <c r="AA113" s="29"/>
      <c r="AB113" s="29"/>
      <c r="AC113" s="73"/>
      <c r="AD113" s="73"/>
      <c r="AE113" s="78" t="str">
        <f>IF(U113="","",IF(AD113="","",_xlfn.WORKDAY.INTL(AD113,7,1,FERIADOS)))</f>
        <v/>
      </c>
      <c r="AF113" s="79"/>
      <c r="AG113" s="80" t="str">
        <f t="array" ref="AG113">IF(A113="","",IF(AF113="","",AF113*INDEX(PARAMETROS!F$2:F1176,MATCH(YEAR(AC113),PARAMETROS!E$2:E1176,0),1)))</f>
        <v/>
      </c>
      <c r="AH113" s="81"/>
      <c r="AI113" s="82"/>
      <c r="AJ113" s="81"/>
      <c r="AK113" s="81"/>
      <c r="AL113" s="29"/>
      <c r="AM113" s="75"/>
      <c r="AN113" s="76"/>
      <c r="AO113" s="95"/>
      <c r="AP113" s="96"/>
      <c r="AQ113" s="85" t="str">
        <f t="shared" si="6"/>
        <v/>
      </c>
      <c r="AR113" s="86" t="str">
        <f t="array" ref="AR113">IF(A113="","",IFERROR(INDEX('2) Etapas'!L$3:L923,MATCH(B113,'2) Etapas'!$A$4:$A923,0),1),-1))</f>
        <v/>
      </c>
      <c r="AS113" s="87" t="str">
        <f t="shared" si="7"/>
        <v/>
      </c>
      <c r="AT113" s="87" t="str">
        <f t="shared" si="8"/>
        <v/>
      </c>
      <c r="AU113" s="87" t="str">
        <f t="shared" si="9"/>
        <v/>
      </c>
      <c r="AV113" s="89" t="str">
        <f t="array" ref="AV113">IF(OR($A113="",$AB113="", $AC113=""),"",MAXA(IF($A113=$A$4:$A923,$AC$4:$AC923)))</f>
        <v/>
      </c>
    </row>
    <row r="114" ht="22.5" customHeight="1">
      <c r="A114" s="29"/>
      <c r="B114" s="68" t="str">
        <f t="shared" si="1"/>
        <v/>
      </c>
      <c r="C114" s="69"/>
      <c r="D114" s="70" t="str">
        <f t="shared" si="2"/>
        <v/>
      </c>
      <c r="E114" s="29"/>
      <c r="F114" s="68" t="str">
        <f t="array" ref="F114">IF($A114="","",IFERROR(INDEX(MA_INDIVIDUALES!C$2:C923, MATCH($A114,MA_INDIVIDUALES!$B$2:$B923,0),1),"CÓDIGO DE EXPEDIENTE INVÁLIDO"))</f>
        <v/>
      </c>
      <c r="G114" s="68" t="str">
        <f t="array" ref="G114">IF($A114="","",IFERROR(INDEX(MA_INDIVIDUALES!K$2:K923, MATCH($A114,MA_INDIVIDUALES!$B$2:$B923,0),1),"CÓDIGO DE EXPEDIENTE INVÁLIDO"))</f>
        <v/>
      </c>
      <c r="H114" s="68" t="str">
        <f t="array" ref="H114">IF($A114="","",IFERROR(INDEX(MA_INDIVIDUALES!L$2:L923, MATCH($A114,MA_INDIVIDUALES!$B$2:$B923,0),1),"CÓDIGO DE EXPEDIENTE INVÁLIDO"))</f>
        <v/>
      </c>
      <c r="I114" s="29"/>
      <c r="J114" s="29"/>
      <c r="K114" s="73"/>
      <c r="L114" s="74" t="str">
        <f>IF(A114="","",IF(K114="","",_xlfn.WORKDAY.INTL(K114,5,1,FERIADOS)))</f>
        <v/>
      </c>
      <c r="M114" s="29"/>
      <c r="N114" s="73"/>
      <c r="O114" s="29"/>
      <c r="P114" s="77" t="str">
        <f t="shared" si="3"/>
        <v/>
      </c>
      <c r="Q114" s="73"/>
      <c r="R114" s="29"/>
      <c r="S114" s="75"/>
      <c r="T114" s="73"/>
      <c r="U114" s="29"/>
      <c r="V114" s="76"/>
      <c r="W114" s="75"/>
      <c r="X114" s="76"/>
      <c r="Y114" s="29" t="str">
        <f t="shared" si="4"/>
        <v/>
      </c>
      <c r="Z114" s="29" t="str">
        <f t="shared" si="5"/>
        <v/>
      </c>
      <c r="AA114" s="29"/>
      <c r="AB114" s="29"/>
      <c r="AC114" s="73"/>
      <c r="AD114" s="73"/>
      <c r="AE114" s="78" t="str">
        <f>IF(U114="","",IF(AD114="","",_xlfn.WORKDAY.INTL(AD114,7,1,FERIADOS)))</f>
        <v/>
      </c>
      <c r="AF114" s="79"/>
      <c r="AG114" s="80" t="str">
        <f t="array" ref="AG114">IF(A114="","",IF(AF114="","",AF114*INDEX(PARAMETROS!F$2:F1177,MATCH(YEAR(AC114),PARAMETROS!E$2:E1177,0),1)))</f>
        <v/>
      </c>
      <c r="AH114" s="81"/>
      <c r="AI114" s="82"/>
      <c r="AJ114" s="81"/>
      <c r="AK114" s="81"/>
      <c r="AL114" s="29"/>
      <c r="AM114" s="75"/>
      <c r="AN114" s="76"/>
      <c r="AO114" s="95"/>
      <c r="AP114" s="96"/>
      <c r="AQ114" s="85" t="str">
        <f t="shared" si="6"/>
        <v/>
      </c>
      <c r="AR114" s="86" t="str">
        <f t="array" ref="AR114">IF(A114="","",IFERROR(INDEX('2) Etapas'!L$3:L923,MATCH(B114,'2) Etapas'!$A$4:$A923,0),1),-1))</f>
        <v/>
      </c>
      <c r="AS114" s="87" t="str">
        <f t="shared" si="7"/>
        <v/>
      </c>
      <c r="AT114" s="87" t="str">
        <f t="shared" si="8"/>
        <v/>
      </c>
      <c r="AU114" s="87" t="str">
        <f t="shared" si="9"/>
        <v/>
      </c>
      <c r="AV114" s="89" t="str">
        <f t="array" ref="AV114">IF(OR($A114="",$AB114="", $AC114=""),"",MAXA(IF($A114=$A$4:$A923,$AC$4:$AC923)))</f>
        <v/>
      </c>
    </row>
    <row r="115" ht="22.5" customHeight="1">
      <c r="A115" s="29"/>
      <c r="B115" s="68" t="str">
        <f t="shared" si="1"/>
        <v/>
      </c>
      <c r="C115" s="69"/>
      <c r="D115" s="70" t="str">
        <f t="shared" si="2"/>
        <v/>
      </c>
      <c r="E115" s="29"/>
      <c r="F115" s="68" t="str">
        <f t="array" ref="F115">IF($A115="","",IFERROR(INDEX(MA_INDIVIDUALES!C$2:C923, MATCH($A115,MA_INDIVIDUALES!$B$2:$B923,0),1),"CÓDIGO DE EXPEDIENTE INVÁLIDO"))</f>
        <v/>
      </c>
      <c r="G115" s="68" t="str">
        <f t="array" ref="G115">IF($A115="","",IFERROR(INDEX(MA_INDIVIDUALES!K$2:K923, MATCH($A115,MA_INDIVIDUALES!$B$2:$B923,0),1),"CÓDIGO DE EXPEDIENTE INVÁLIDO"))</f>
        <v/>
      </c>
      <c r="H115" s="68" t="str">
        <f t="array" ref="H115">IF($A115="","",IFERROR(INDEX(MA_INDIVIDUALES!L$2:L923, MATCH($A115,MA_INDIVIDUALES!$B$2:$B923,0),1),"CÓDIGO DE EXPEDIENTE INVÁLIDO"))</f>
        <v/>
      </c>
      <c r="I115" s="29"/>
      <c r="J115" s="29"/>
      <c r="K115" s="73"/>
      <c r="L115" s="74" t="str">
        <f>IF(A115="","",IF(K115="","",_xlfn.WORKDAY.INTL(K115,5,1,FERIADOS)))</f>
        <v/>
      </c>
      <c r="M115" s="29"/>
      <c r="N115" s="73"/>
      <c r="O115" s="29"/>
      <c r="P115" s="77" t="str">
        <f t="shared" si="3"/>
        <v/>
      </c>
      <c r="Q115" s="73"/>
      <c r="R115" s="29"/>
      <c r="S115" s="75"/>
      <c r="T115" s="73"/>
      <c r="U115" s="29"/>
      <c r="V115" s="76"/>
      <c r="W115" s="75"/>
      <c r="X115" s="76"/>
      <c r="Y115" s="29" t="str">
        <f t="shared" si="4"/>
        <v/>
      </c>
      <c r="Z115" s="29" t="str">
        <f t="shared" si="5"/>
        <v/>
      </c>
      <c r="AA115" s="29"/>
      <c r="AB115" s="29"/>
      <c r="AC115" s="73"/>
      <c r="AD115" s="73"/>
      <c r="AE115" s="78" t="str">
        <f>IF(U115="","",IF(AD115="","",_xlfn.WORKDAY.INTL(AD115,7,1,FERIADOS)))</f>
        <v/>
      </c>
      <c r="AF115" s="79"/>
      <c r="AG115" s="80" t="str">
        <f t="array" ref="AG115">IF(A115="","",IF(AF115="","",AF115*INDEX(PARAMETROS!F$2:F1178,MATCH(YEAR(AC115),PARAMETROS!E$2:E1178,0),1)))</f>
        <v/>
      </c>
      <c r="AH115" s="81"/>
      <c r="AI115" s="82"/>
      <c r="AJ115" s="81"/>
      <c r="AK115" s="81"/>
      <c r="AL115" s="29"/>
      <c r="AM115" s="75"/>
      <c r="AN115" s="76"/>
      <c r="AO115" s="95"/>
      <c r="AP115" s="96"/>
      <c r="AQ115" s="85" t="str">
        <f t="shared" si="6"/>
        <v/>
      </c>
      <c r="AR115" s="86" t="str">
        <f t="array" ref="AR115">IF(A115="","",IFERROR(INDEX('2) Etapas'!L$3:L923,MATCH(B115,'2) Etapas'!$A$4:$A923,0),1),-1))</f>
        <v/>
      </c>
      <c r="AS115" s="87" t="str">
        <f t="shared" si="7"/>
        <v/>
      </c>
      <c r="AT115" s="87" t="str">
        <f t="shared" si="8"/>
        <v/>
      </c>
      <c r="AU115" s="87" t="str">
        <f t="shared" si="9"/>
        <v/>
      </c>
      <c r="AV115" s="89" t="str">
        <f t="array" ref="AV115">IF(OR($A115="",$AB115="", $AC115=""),"",MAXA(IF($A115=$A$4:$A923,$AC$4:$AC923)))</f>
        <v/>
      </c>
    </row>
    <row r="116" ht="22.5" customHeight="1">
      <c r="A116" s="29"/>
      <c r="B116" s="68" t="str">
        <f t="shared" si="1"/>
        <v/>
      </c>
      <c r="C116" s="69"/>
      <c r="D116" s="70" t="str">
        <f t="shared" si="2"/>
        <v/>
      </c>
      <c r="E116" s="29"/>
      <c r="F116" s="68" t="str">
        <f t="array" ref="F116">IF($A116="","",IFERROR(INDEX(MA_INDIVIDUALES!C$2:C923, MATCH($A116,MA_INDIVIDUALES!$B$2:$B923,0),1),"CÓDIGO DE EXPEDIENTE INVÁLIDO"))</f>
        <v/>
      </c>
      <c r="G116" s="68" t="str">
        <f t="array" ref="G116">IF($A116="","",IFERROR(INDEX(MA_INDIVIDUALES!K$2:K923, MATCH($A116,MA_INDIVIDUALES!$B$2:$B923,0),1),"CÓDIGO DE EXPEDIENTE INVÁLIDO"))</f>
        <v/>
      </c>
      <c r="H116" s="68" t="str">
        <f t="array" ref="H116">IF($A116="","",IFERROR(INDEX(MA_INDIVIDUALES!L$2:L923, MATCH($A116,MA_INDIVIDUALES!$B$2:$B923,0),1),"CÓDIGO DE EXPEDIENTE INVÁLIDO"))</f>
        <v/>
      </c>
      <c r="I116" s="76"/>
      <c r="J116" s="29"/>
      <c r="K116" s="73"/>
      <c r="L116" s="74" t="str">
        <f>IF(A116="","",IF(K116="","",_xlfn.WORKDAY.INTL(K116,5,1,FERIADOS)))</f>
        <v/>
      </c>
      <c r="M116" s="29"/>
      <c r="N116" s="73"/>
      <c r="O116" s="29"/>
      <c r="P116" s="77" t="str">
        <f t="shared" si="3"/>
        <v/>
      </c>
      <c r="Q116" s="73"/>
      <c r="R116" s="29"/>
      <c r="S116" s="73"/>
      <c r="T116" s="73"/>
      <c r="U116" s="29"/>
      <c r="V116" s="76"/>
      <c r="W116" s="75"/>
      <c r="X116" s="76"/>
      <c r="Y116" s="29" t="str">
        <f t="shared" si="4"/>
        <v/>
      </c>
      <c r="Z116" s="29" t="str">
        <f t="shared" si="5"/>
        <v/>
      </c>
      <c r="AA116" s="29"/>
      <c r="AB116" s="29"/>
      <c r="AC116" s="73"/>
      <c r="AD116" s="73"/>
      <c r="AE116" s="78" t="str">
        <f>IF(U116="","",IF(AD116="","",_xlfn.WORKDAY.INTL(AD116,7,1,FERIADOS)))</f>
        <v/>
      </c>
      <c r="AF116" s="79"/>
      <c r="AG116" s="80" t="str">
        <f t="array" ref="AG116">IF(A116="","",IF(AF116="","",AF116*INDEX(PARAMETROS!F$2:F1179,MATCH(YEAR(AC116),PARAMETROS!E$2:E1179,0),1)))</f>
        <v/>
      </c>
      <c r="AH116" s="81"/>
      <c r="AI116" s="82"/>
      <c r="AJ116" s="81"/>
      <c r="AK116" s="81"/>
      <c r="AL116" s="29"/>
      <c r="AM116" s="75"/>
      <c r="AN116" s="76"/>
      <c r="AO116" s="95"/>
      <c r="AP116" s="96"/>
      <c r="AQ116" s="85" t="str">
        <f t="shared" si="6"/>
        <v/>
      </c>
      <c r="AR116" s="86" t="str">
        <f t="array" ref="AR116">IF(A116="","",IFERROR(INDEX('2) Etapas'!L$3:L923,MATCH(B116,'2) Etapas'!$A$4:$A923,0),1),-1))</f>
        <v/>
      </c>
      <c r="AS116" s="87" t="str">
        <f t="shared" si="7"/>
        <v/>
      </c>
      <c r="AT116" s="87" t="str">
        <f t="shared" si="8"/>
        <v/>
      </c>
      <c r="AU116" s="87" t="str">
        <f t="shared" si="9"/>
        <v/>
      </c>
      <c r="AV116" s="89" t="str">
        <f t="array" ref="AV116">IF(OR($A116="",$AB116="", $AC116=""),"",MAXA(IF($A116=$A$4:$A923,$AC$4:$AC923)))</f>
        <v/>
      </c>
    </row>
    <row r="117" ht="22.5" customHeight="1">
      <c r="A117" s="29"/>
      <c r="B117" s="68" t="str">
        <f t="shared" si="1"/>
        <v/>
      </c>
      <c r="C117" s="69"/>
      <c r="D117" s="70" t="str">
        <f t="shared" si="2"/>
        <v/>
      </c>
      <c r="E117" s="29"/>
      <c r="F117" s="68" t="str">
        <f t="array" ref="F117">IF($A117="","",IFERROR(INDEX(MA_INDIVIDUALES!C$2:C923, MATCH($A117,MA_INDIVIDUALES!$B$2:$B923,0),1),"CÓDIGO DE EXPEDIENTE INVÁLIDO"))</f>
        <v/>
      </c>
      <c r="G117" s="68" t="str">
        <f t="array" ref="G117">IF($A117="","",IFERROR(INDEX(MA_INDIVIDUALES!K$2:K923, MATCH($A117,MA_INDIVIDUALES!$B$2:$B923,0),1),"CÓDIGO DE EXPEDIENTE INVÁLIDO"))</f>
        <v/>
      </c>
      <c r="H117" s="68" t="str">
        <f t="array" ref="H117">IF($A117="","",IFERROR(INDEX(MA_INDIVIDUALES!L$2:L923, MATCH($A117,MA_INDIVIDUALES!$B$2:$B923,0),1),"CÓDIGO DE EXPEDIENTE INVÁLIDO"))</f>
        <v/>
      </c>
      <c r="I117" s="29"/>
      <c r="J117" s="29"/>
      <c r="K117" s="73"/>
      <c r="L117" s="74" t="str">
        <f>IF(A117="","",IF(K117="","",_xlfn.WORKDAY.INTL(K117,5,1,FERIADOS)))</f>
        <v/>
      </c>
      <c r="M117" s="29"/>
      <c r="N117" s="73"/>
      <c r="O117" s="29"/>
      <c r="P117" s="77" t="str">
        <f t="shared" si="3"/>
        <v/>
      </c>
      <c r="Q117" s="73"/>
      <c r="R117" s="29"/>
      <c r="S117" s="75"/>
      <c r="T117" s="73"/>
      <c r="U117" s="29"/>
      <c r="V117" s="76"/>
      <c r="W117" s="75"/>
      <c r="X117" s="76"/>
      <c r="Y117" s="29" t="str">
        <f t="shared" si="4"/>
        <v/>
      </c>
      <c r="Z117" s="29" t="str">
        <f t="shared" si="5"/>
        <v/>
      </c>
      <c r="AA117" s="29"/>
      <c r="AB117" s="29"/>
      <c r="AC117" s="73"/>
      <c r="AD117" s="73"/>
      <c r="AE117" s="78" t="str">
        <f>IF(U117="","",IF(AD117="","",_xlfn.WORKDAY.INTL(AD117,7,1,FERIADOS)))</f>
        <v/>
      </c>
      <c r="AF117" s="79"/>
      <c r="AG117" s="80" t="str">
        <f t="array" ref="AG117">IF(A117="","",IF(AF117="","",AF117*INDEX(PARAMETROS!F$2:F1180,MATCH(YEAR(AC117),PARAMETROS!E$2:E1180,0),1)))</f>
        <v/>
      </c>
      <c r="AH117" s="81"/>
      <c r="AI117" s="82"/>
      <c r="AJ117" s="81"/>
      <c r="AK117" s="81"/>
      <c r="AL117" s="29"/>
      <c r="AM117" s="75"/>
      <c r="AN117" s="76"/>
      <c r="AO117" s="95"/>
      <c r="AP117" s="96"/>
      <c r="AQ117" s="85" t="str">
        <f t="shared" si="6"/>
        <v/>
      </c>
      <c r="AR117" s="86" t="str">
        <f t="array" ref="AR117">IF(A117="","",IFERROR(INDEX('2) Etapas'!L$3:L923,MATCH(B117,'2) Etapas'!$A$4:$A923,0),1),-1))</f>
        <v/>
      </c>
      <c r="AS117" s="87" t="str">
        <f t="shared" si="7"/>
        <v/>
      </c>
      <c r="AT117" s="87" t="str">
        <f t="shared" si="8"/>
        <v/>
      </c>
      <c r="AU117" s="87" t="str">
        <f t="shared" si="9"/>
        <v/>
      </c>
      <c r="AV117" s="89" t="str">
        <f t="array" ref="AV117">IF(OR($A117="",$AB117="", $AC117=""),"",MAXA(IF($A117=$A$4:$A923,$AC$4:$AC923)))</f>
        <v/>
      </c>
    </row>
    <row r="118" ht="22.5" customHeight="1">
      <c r="A118" s="29"/>
      <c r="B118" s="68" t="str">
        <f t="shared" si="1"/>
        <v/>
      </c>
      <c r="C118" s="69"/>
      <c r="D118" s="70" t="str">
        <f t="shared" si="2"/>
        <v/>
      </c>
      <c r="E118" s="29"/>
      <c r="F118" s="68" t="str">
        <f t="array" ref="F118">IF($A118="","",IFERROR(INDEX(MA_INDIVIDUALES!C$2:C923, MATCH($A118,MA_INDIVIDUALES!$B$2:$B923,0),1),"CÓDIGO DE EXPEDIENTE INVÁLIDO"))</f>
        <v/>
      </c>
      <c r="G118" s="68" t="str">
        <f t="array" ref="G118">IF($A118="","",IFERROR(INDEX(MA_INDIVIDUALES!K$2:K923, MATCH($A118,MA_INDIVIDUALES!$B$2:$B923,0),1),"CÓDIGO DE EXPEDIENTE INVÁLIDO"))</f>
        <v/>
      </c>
      <c r="H118" s="68" t="str">
        <f t="array" ref="H118">IF($A118="","",IFERROR(INDEX(MA_INDIVIDUALES!L$2:L923, MATCH($A118,MA_INDIVIDUALES!$B$2:$B923,0),1),"CÓDIGO DE EXPEDIENTE INVÁLIDO"))</f>
        <v/>
      </c>
      <c r="I118" s="29"/>
      <c r="J118" s="29"/>
      <c r="K118" s="73"/>
      <c r="L118" s="74" t="str">
        <f>IF(A118="","",IF(K118="","",_xlfn.WORKDAY.INTL(K118,5,1,FERIADOS)))</f>
        <v/>
      </c>
      <c r="M118" s="29"/>
      <c r="N118" s="75"/>
      <c r="O118" s="76"/>
      <c r="P118" s="77" t="str">
        <f t="shared" si="3"/>
        <v/>
      </c>
      <c r="Q118" s="73"/>
      <c r="R118" s="29"/>
      <c r="S118" s="75"/>
      <c r="T118" s="75"/>
      <c r="U118" s="29"/>
      <c r="V118" s="76"/>
      <c r="W118" s="75"/>
      <c r="X118" s="76"/>
      <c r="Y118" s="29" t="str">
        <f t="shared" si="4"/>
        <v/>
      </c>
      <c r="Z118" s="29" t="str">
        <f t="shared" si="5"/>
        <v/>
      </c>
      <c r="AA118" s="29"/>
      <c r="AB118" s="29"/>
      <c r="AC118" s="73"/>
      <c r="AD118" s="73"/>
      <c r="AE118" s="78" t="str">
        <f>IF(U118="","",IF(AD118="","",_xlfn.WORKDAY.INTL(AD118,7,1,FERIADOS)))</f>
        <v/>
      </c>
      <c r="AF118" s="79"/>
      <c r="AG118" s="80" t="str">
        <f t="array" ref="AG118">IF(A118="","",IF(AF118="","",AF118*INDEX(PARAMETROS!F$2:F1181,MATCH(YEAR(AC118),PARAMETROS!E$2:E1181,0),1)))</f>
        <v/>
      </c>
      <c r="AH118" s="81"/>
      <c r="AI118" s="82"/>
      <c r="AJ118" s="81"/>
      <c r="AK118" s="81"/>
      <c r="AL118" s="29"/>
      <c r="AM118" s="75"/>
      <c r="AN118" s="76"/>
      <c r="AO118" s="95"/>
      <c r="AP118" s="96"/>
      <c r="AQ118" s="85" t="str">
        <f t="shared" si="6"/>
        <v/>
      </c>
      <c r="AR118" s="86" t="str">
        <f t="array" ref="AR118">IF(A118="","",IFERROR(INDEX('2) Etapas'!L$3:L923,MATCH(B118,'2) Etapas'!$A$4:$A923,0),1),-1))</f>
        <v/>
      </c>
      <c r="AS118" s="87" t="str">
        <f t="shared" si="7"/>
        <v/>
      </c>
      <c r="AT118" s="87" t="str">
        <f t="shared" si="8"/>
        <v/>
      </c>
      <c r="AU118" s="87" t="str">
        <f t="shared" si="9"/>
        <v/>
      </c>
      <c r="AV118" s="89" t="str">
        <f t="array" ref="AV118">IF(OR($A118="",$AB118="", $AC118=""),"",MAXA(IF($A118=$A$4:$A923,$AC$4:$AC923)))</f>
        <v/>
      </c>
    </row>
    <row r="119" ht="22.5" customHeight="1">
      <c r="A119" s="29"/>
      <c r="B119" s="68" t="str">
        <f t="shared" si="1"/>
        <v/>
      </c>
      <c r="C119" s="69"/>
      <c r="D119" s="70" t="str">
        <f t="shared" si="2"/>
        <v/>
      </c>
      <c r="E119" s="29"/>
      <c r="F119" s="68" t="str">
        <f t="array" ref="F119">IF($A119="","",IFERROR(INDEX(MA_INDIVIDUALES!C$2:C923, MATCH($A119,MA_INDIVIDUALES!$B$2:$B923,0),1),"CÓDIGO DE EXPEDIENTE INVÁLIDO"))</f>
        <v/>
      </c>
      <c r="G119" s="68" t="str">
        <f t="array" ref="G119">IF($A119="","",IFERROR(INDEX(MA_INDIVIDUALES!K$2:K923, MATCH($A119,MA_INDIVIDUALES!$B$2:$B923,0),1),"CÓDIGO DE EXPEDIENTE INVÁLIDO"))</f>
        <v/>
      </c>
      <c r="H119" s="68" t="str">
        <f t="array" ref="H119">IF($A119="","",IFERROR(INDEX(MA_INDIVIDUALES!L$2:L923, MATCH($A119,MA_INDIVIDUALES!$B$2:$B923,0),1),"CÓDIGO DE EXPEDIENTE INVÁLIDO"))</f>
        <v/>
      </c>
      <c r="I119" s="29"/>
      <c r="J119" s="29"/>
      <c r="K119" s="73"/>
      <c r="L119" s="74" t="str">
        <f>IF(A119="","",IF(K119="","",_xlfn.WORKDAY.INTL(K119,5,1,FERIADOS)))</f>
        <v/>
      </c>
      <c r="M119" s="29"/>
      <c r="N119" s="73"/>
      <c r="O119" s="29"/>
      <c r="P119" s="77" t="str">
        <f t="shared" si="3"/>
        <v/>
      </c>
      <c r="Q119" s="73"/>
      <c r="R119" s="29"/>
      <c r="S119" s="75"/>
      <c r="T119" s="73"/>
      <c r="U119" s="29"/>
      <c r="V119" s="76"/>
      <c r="W119" s="75"/>
      <c r="X119" s="76"/>
      <c r="Y119" s="29" t="str">
        <f t="shared" si="4"/>
        <v/>
      </c>
      <c r="Z119" s="29" t="str">
        <f t="shared" si="5"/>
        <v/>
      </c>
      <c r="AA119" s="29"/>
      <c r="AB119" s="29"/>
      <c r="AC119" s="73"/>
      <c r="AD119" s="73"/>
      <c r="AE119" s="78" t="str">
        <f>IF(U119="","",IF(AD119="","",_xlfn.WORKDAY.INTL(AD119,7,1,FERIADOS)))</f>
        <v/>
      </c>
      <c r="AF119" s="79"/>
      <c r="AG119" s="80" t="str">
        <f t="array" ref="AG119">IF(A119="","",IF(AF119="","",AF119*INDEX(PARAMETROS!F$2:F1182,MATCH(YEAR(AC119),PARAMETROS!E$2:E1182,0),1)))</f>
        <v/>
      </c>
      <c r="AH119" s="81"/>
      <c r="AI119" s="82"/>
      <c r="AJ119" s="81"/>
      <c r="AK119" s="81"/>
      <c r="AL119" s="29"/>
      <c r="AM119" s="75"/>
      <c r="AN119" s="76"/>
      <c r="AO119" s="95"/>
      <c r="AP119" s="96"/>
      <c r="AQ119" s="85" t="str">
        <f t="shared" si="6"/>
        <v/>
      </c>
      <c r="AR119" s="86" t="str">
        <f t="array" ref="AR119">IF(A119="","",IFERROR(INDEX('2) Etapas'!L$3:L923,MATCH(B119,'2) Etapas'!$A$4:$A923,0),1),-1))</f>
        <v/>
      </c>
      <c r="AS119" s="87" t="str">
        <f t="shared" si="7"/>
        <v/>
      </c>
      <c r="AT119" s="87" t="str">
        <f t="shared" si="8"/>
        <v/>
      </c>
      <c r="AU119" s="87" t="str">
        <f t="shared" si="9"/>
        <v/>
      </c>
      <c r="AV119" s="89" t="str">
        <f t="array" ref="AV119">IF(OR($A119="",$AB119="", $AC119=""),"",MAXA(IF($A119=$A$4:$A923,$AC$4:$AC923)))</f>
        <v/>
      </c>
    </row>
    <row r="120" ht="22.5" customHeight="1">
      <c r="A120" s="29"/>
      <c r="B120" s="68" t="str">
        <f t="shared" si="1"/>
        <v/>
      </c>
      <c r="C120" s="69"/>
      <c r="D120" s="70" t="str">
        <f t="shared" si="2"/>
        <v/>
      </c>
      <c r="E120" s="29"/>
      <c r="F120" s="68" t="str">
        <f t="array" ref="F120">IF($A120="","",IFERROR(INDEX(MA_INDIVIDUALES!C$2:C923, MATCH($A120,MA_INDIVIDUALES!$B$2:$B923,0),1),"CÓDIGO DE EXPEDIENTE INVÁLIDO"))</f>
        <v/>
      </c>
      <c r="G120" s="68" t="str">
        <f t="array" ref="G120">IF($A120="","",IFERROR(INDEX(MA_INDIVIDUALES!K$2:K923, MATCH($A120,MA_INDIVIDUALES!$B$2:$B923,0),1),"CÓDIGO DE EXPEDIENTE INVÁLIDO"))</f>
        <v/>
      </c>
      <c r="H120" s="68" t="str">
        <f t="array" ref="H120">IF($A120="","",IFERROR(INDEX(MA_INDIVIDUALES!L$2:L923, MATCH($A120,MA_INDIVIDUALES!$B$2:$B923,0),1),"CÓDIGO DE EXPEDIENTE INVÁLIDO"))</f>
        <v/>
      </c>
      <c r="I120" s="29"/>
      <c r="J120" s="29"/>
      <c r="K120" s="73"/>
      <c r="L120" s="74" t="str">
        <f>IF(A120="","",IF(K120="","",_xlfn.WORKDAY.INTL(K120,5,1,FERIADOS)))</f>
        <v/>
      </c>
      <c r="M120" s="29"/>
      <c r="N120" s="73"/>
      <c r="O120" s="29"/>
      <c r="P120" s="77" t="str">
        <f t="shared" si="3"/>
        <v/>
      </c>
      <c r="Q120" s="73"/>
      <c r="R120" s="29"/>
      <c r="S120" s="75"/>
      <c r="T120" s="73"/>
      <c r="U120" s="29"/>
      <c r="V120" s="76"/>
      <c r="W120" s="75"/>
      <c r="X120" s="76"/>
      <c r="Y120" s="29" t="str">
        <f t="shared" si="4"/>
        <v/>
      </c>
      <c r="Z120" s="29" t="str">
        <f t="shared" si="5"/>
        <v/>
      </c>
      <c r="AA120" s="29"/>
      <c r="AB120" s="29"/>
      <c r="AC120" s="73"/>
      <c r="AD120" s="73"/>
      <c r="AE120" s="78" t="str">
        <f>IF(U120="","",IF(AD120="","",_xlfn.WORKDAY.INTL(AD120,7,1,FERIADOS)))</f>
        <v/>
      </c>
      <c r="AF120" s="79"/>
      <c r="AG120" s="80" t="str">
        <f t="array" ref="AG120">IF(A120="","",IF(AF120="","",AF120*INDEX(PARAMETROS!F$2:F1183,MATCH(YEAR(AC120),PARAMETROS!E$2:E1183,0),1)))</f>
        <v/>
      </c>
      <c r="AH120" s="81"/>
      <c r="AI120" s="82"/>
      <c r="AJ120" s="81"/>
      <c r="AK120" s="81"/>
      <c r="AL120" s="29"/>
      <c r="AM120" s="73"/>
      <c r="AN120" s="76"/>
      <c r="AO120" s="95"/>
      <c r="AP120" s="84"/>
      <c r="AQ120" s="85" t="str">
        <f t="shared" si="6"/>
        <v/>
      </c>
      <c r="AR120" s="86" t="str">
        <f t="array" ref="AR120">IF(A120="","",IFERROR(INDEX('2) Etapas'!L$3:L923,MATCH(B120,'2) Etapas'!$A$4:$A923,0),1),-1))</f>
        <v/>
      </c>
      <c r="AS120" s="87" t="str">
        <f t="shared" si="7"/>
        <v/>
      </c>
      <c r="AT120" s="87" t="str">
        <f t="shared" si="8"/>
        <v/>
      </c>
      <c r="AU120" s="87" t="str">
        <f t="shared" si="9"/>
        <v/>
      </c>
      <c r="AV120" s="89" t="str">
        <f t="array" ref="AV120">IF(OR($A120="",$AB120="", $AC120=""),"",MAXA(IF($A120=$A$4:$A923,$AC$4:$AC923)))</f>
        <v/>
      </c>
    </row>
    <row r="121" ht="22.5" customHeight="1">
      <c r="A121" s="29"/>
      <c r="B121" s="68" t="str">
        <f t="shared" si="1"/>
        <v/>
      </c>
      <c r="C121" s="69"/>
      <c r="D121" s="70" t="str">
        <f t="shared" si="2"/>
        <v/>
      </c>
      <c r="E121" s="29"/>
      <c r="F121" s="68" t="str">
        <f t="array" ref="F121">IF($A121="","",IFERROR(INDEX(MA_INDIVIDUALES!C$2:C923, MATCH($A121,MA_INDIVIDUALES!$B$2:$B923,0),1),"CÓDIGO DE EXPEDIENTE INVÁLIDO"))</f>
        <v/>
      </c>
      <c r="G121" s="68" t="str">
        <f t="array" ref="G121">IF($A121="","",IFERROR(INDEX(MA_INDIVIDUALES!K$2:K923, MATCH($A121,MA_INDIVIDUALES!$B$2:$B923,0),1),"CÓDIGO DE EXPEDIENTE INVÁLIDO"))</f>
        <v/>
      </c>
      <c r="H121" s="68" t="str">
        <f t="array" ref="H121">IF($A121="","",IFERROR(INDEX(MA_INDIVIDUALES!L$2:L923, MATCH($A121,MA_INDIVIDUALES!$B$2:$B923,0),1),"CÓDIGO DE EXPEDIENTE INVÁLIDO"))</f>
        <v/>
      </c>
      <c r="I121" s="29"/>
      <c r="J121" s="29"/>
      <c r="K121" s="73"/>
      <c r="L121" s="74" t="str">
        <f>IF(A121="","",IF(K121="","",_xlfn.WORKDAY.INTL(K121,5,1,FERIADOS)))</f>
        <v/>
      </c>
      <c r="M121" s="29"/>
      <c r="N121" s="73"/>
      <c r="O121" s="29"/>
      <c r="P121" s="77" t="str">
        <f t="shared" si="3"/>
        <v/>
      </c>
      <c r="Q121" s="73"/>
      <c r="R121" s="29"/>
      <c r="S121" s="75"/>
      <c r="T121" s="73"/>
      <c r="U121" s="29"/>
      <c r="V121" s="76"/>
      <c r="W121" s="75"/>
      <c r="X121" s="76"/>
      <c r="Y121" s="29" t="str">
        <f t="shared" si="4"/>
        <v/>
      </c>
      <c r="Z121" s="29" t="str">
        <f t="shared" si="5"/>
        <v/>
      </c>
      <c r="AA121" s="29"/>
      <c r="AB121" s="29"/>
      <c r="AC121" s="73"/>
      <c r="AD121" s="73"/>
      <c r="AE121" s="78" t="str">
        <f>IF(U121="","",IF(AD121="","",_xlfn.WORKDAY.INTL(AD121,7,1,FERIADOS)))</f>
        <v/>
      </c>
      <c r="AF121" s="79"/>
      <c r="AG121" s="80" t="str">
        <f t="array" ref="AG121">IF(A121="","",IF(AF121="","",AF121*INDEX(PARAMETROS!F$2:F1184,MATCH(YEAR(AC121),PARAMETROS!E$2:E1184,0),1)))</f>
        <v/>
      </c>
      <c r="AH121" s="81"/>
      <c r="AI121" s="82"/>
      <c r="AJ121" s="81"/>
      <c r="AK121" s="81"/>
      <c r="AL121" s="29"/>
      <c r="AM121" s="73"/>
      <c r="AN121" s="76"/>
      <c r="AO121" s="95"/>
      <c r="AP121" s="84"/>
      <c r="AQ121" s="85" t="str">
        <f t="shared" si="6"/>
        <v/>
      </c>
      <c r="AR121" s="86" t="str">
        <f t="array" ref="AR121">IF(A121="","",IFERROR(INDEX('2) Etapas'!L$3:L923,MATCH(B121,'2) Etapas'!$A$4:$A923,0),1),-1))</f>
        <v/>
      </c>
      <c r="AS121" s="87" t="str">
        <f t="shared" si="7"/>
        <v/>
      </c>
      <c r="AT121" s="87" t="str">
        <f t="shared" si="8"/>
        <v/>
      </c>
      <c r="AU121" s="87" t="str">
        <f t="shared" si="9"/>
        <v/>
      </c>
      <c r="AV121" s="89" t="str">
        <f t="array" ref="AV121">IF(OR($A121="",$AB121="", $AC121=""),"",MAXA(IF($A121=$A$4:$A923,$AC$4:$AC923)))</f>
        <v/>
      </c>
    </row>
    <row r="122" ht="22.5" customHeight="1">
      <c r="A122" s="29"/>
      <c r="B122" s="68" t="str">
        <f t="shared" si="1"/>
        <v/>
      </c>
      <c r="C122" s="69"/>
      <c r="D122" s="70" t="str">
        <f t="shared" si="2"/>
        <v/>
      </c>
      <c r="E122" s="29"/>
      <c r="F122" s="68" t="str">
        <f t="array" ref="F122">IF($A122="","",IFERROR(INDEX(MA_INDIVIDUALES!C$2:C923, MATCH($A122,MA_INDIVIDUALES!$B$2:$B923,0),1),"CÓDIGO DE EXPEDIENTE INVÁLIDO"))</f>
        <v/>
      </c>
      <c r="G122" s="68" t="str">
        <f t="array" ref="G122">IF($A122="","",IFERROR(INDEX(MA_INDIVIDUALES!K$2:K923, MATCH($A122,MA_INDIVIDUALES!$B$2:$B923,0),1),"CÓDIGO DE EXPEDIENTE INVÁLIDO"))</f>
        <v/>
      </c>
      <c r="H122" s="68" t="str">
        <f t="array" ref="H122">IF($A122="","",IFERROR(INDEX(MA_INDIVIDUALES!L$2:L923, MATCH($A122,MA_INDIVIDUALES!$B$2:$B923,0),1),"CÓDIGO DE EXPEDIENTE INVÁLIDO"))</f>
        <v/>
      </c>
      <c r="I122" s="29"/>
      <c r="J122" s="29"/>
      <c r="K122" s="73"/>
      <c r="L122" s="74" t="str">
        <f>IF(A122="","",IF(K122="","",_xlfn.WORKDAY.INTL(K122,5,1,FERIADOS)))</f>
        <v/>
      </c>
      <c r="M122" s="29"/>
      <c r="N122" s="73"/>
      <c r="O122" s="29"/>
      <c r="P122" s="77" t="str">
        <f t="shared" si="3"/>
        <v/>
      </c>
      <c r="Q122" s="73"/>
      <c r="R122" s="29"/>
      <c r="S122" s="75"/>
      <c r="T122" s="75"/>
      <c r="U122" s="29"/>
      <c r="V122" s="76"/>
      <c r="W122" s="75"/>
      <c r="X122" s="76"/>
      <c r="Y122" s="29" t="str">
        <f t="shared" si="4"/>
        <v/>
      </c>
      <c r="Z122" s="29" t="str">
        <f t="shared" si="5"/>
        <v/>
      </c>
      <c r="AA122" s="29"/>
      <c r="AB122" s="29"/>
      <c r="AC122" s="73"/>
      <c r="AD122" s="73"/>
      <c r="AE122" s="78" t="str">
        <f>IF(U122="","",IF(AD122="","",_xlfn.WORKDAY.INTL(AD122,7,1,FERIADOS)))</f>
        <v/>
      </c>
      <c r="AF122" s="79"/>
      <c r="AG122" s="80" t="str">
        <f t="array" ref="AG122">IF(A122="","",IF(AF122="","",AF122*INDEX(PARAMETROS!F$2:F1185,MATCH(YEAR(AC122),PARAMETROS!E$2:E1185,0),1)))</f>
        <v/>
      </c>
      <c r="AH122" s="81"/>
      <c r="AI122" s="82"/>
      <c r="AJ122" s="81"/>
      <c r="AK122" s="81"/>
      <c r="AL122" s="29"/>
      <c r="AM122" s="75"/>
      <c r="AN122" s="29"/>
      <c r="AO122" s="83"/>
      <c r="AP122" s="84"/>
      <c r="AQ122" s="85" t="str">
        <f t="shared" si="6"/>
        <v/>
      </c>
      <c r="AR122" s="86" t="str">
        <f t="array" ref="AR122">IF(A122="","",IFERROR(INDEX('2) Etapas'!L$3:L923,MATCH(B122,'2) Etapas'!$A$4:$A923,0),1),-1))</f>
        <v/>
      </c>
      <c r="AS122" s="87" t="str">
        <f t="shared" si="7"/>
        <v/>
      </c>
      <c r="AT122" s="87" t="str">
        <f t="shared" si="8"/>
        <v/>
      </c>
      <c r="AU122" s="87" t="str">
        <f t="shared" si="9"/>
        <v/>
      </c>
      <c r="AV122" s="89" t="str">
        <f t="array" ref="AV122">IF(OR($A122="",$AB122="", $AC122=""),"",MAXA(IF($A122=$A$4:$A923,$AC$4:$AC923)))</f>
        <v/>
      </c>
    </row>
    <row r="123" ht="22.5" customHeight="1">
      <c r="A123" s="29"/>
      <c r="B123" s="68" t="str">
        <f t="shared" si="1"/>
        <v/>
      </c>
      <c r="C123" s="69"/>
      <c r="D123" s="70" t="str">
        <f t="shared" si="2"/>
        <v/>
      </c>
      <c r="E123" s="29"/>
      <c r="F123" s="68" t="str">
        <f t="array" ref="F123">IF($A123="","",IFERROR(INDEX(MA_INDIVIDUALES!C$2:C923, MATCH($A123,MA_INDIVIDUALES!$B$2:$B923,0),1),"CÓDIGO DE EXPEDIENTE INVÁLIDO"))</f>
        <v/>
      </c>
      <c r="G123" s="68" t="str">
        <f t="array" ref="G123">IF($A123="","",IFERROR(INDEX(MA_INDIVIDUALES!K$2:K923, MATCH($A123,MA_INDIVIDUALES!$B$2:$B923,0),1),"CÓDIGO DE EXPEDIENTE INVÁLIDO"))</f>
        <v/>
      </c>
      <c r="H123" s="68" t="str">
        <f t="array" ref="H123">IF($A123="","",IFERROR(INDEX(MA_INDIVIDUALES!L$2:L923, MATCH($A123,MA_INDIVIDUALES!$B$2:$B923,0),1),"CÓDIGO DE EXPEDIENTE INVÁLIDO"))</f>
        <v/>
      </c>
      <c r="I123" s="29"/>
      <c r="J123" s="29"/>
      <c r="K123" s="73"/>
      <c r="L123" s="74" t="str">
        <f>IF(A123="","",IF(K123="","",_xlfn.WORKDAY.INTL(K123,5,1,FERIADOS)))</f>
        <v/>
      </c>
      <c r="M123" s="29"/>
      <c r="N123" s="73"/>
      <c r="O123" s="29"/>
      <c r="P123" s="77" t="str">
        <f t="shared" si="3"/>
        <v/>
      </c>
      <c r="Q123" s="73"/>
      <c r="R123" s="29"/>
      <c r="S123" s="75"/>
      <c r="T123" s="73"/>
      <c r="U123" s="29"/>
      <c r="V123" s="76"/>
      <c r="W123" s="75"/>
      <c r="X123" s="76"/>
      <c r="Y123" s="29" t="str">
        <f t="shared" si="4"/>
        <v/>
      </c>
      <c r="Z123" s="29" t="str">
        <f t="shared" si="5"/>
        <v/>
      </c>
      <c r="AA123" s="29"/>
      <c r="AB123" s="29"/>
      <c r="AC123" s="73"/>
      <c r="AD123" s="73"/>
      <c r="AE123" s="78" t="str">
        <f>IF(U123="","",IF(AD123="","",_xlfn.WORKDAY.INTL(AD123,7,1,FERIADOS)))</f>
        <v/>
      </c>
      <c r="AF123" s="79"/>
      <c r="AG123" s="80" t="str">
        <f t="array" ref="AG123">IF(A123="","",IF(AF123="","",AF123*INDEX(PARAMETROS!F$2:F1186,MATCH(YEAR(AC123),PARAMETROS!E$2:E1186,0),1)))</f>
        <v/>
      </c>
      <c r="AH123" s="81"/>
      <c r="AI123" s="82"/>
      <c r="AJ123" s="81"/>
      <c r="AK123" s="81"/>
      <c r="AL123" s="29"/>
      <c r="AM123" s="75"/>
      <c r="AN123" s="29"/>
      <c r="AO123" s="83"/>
      <c r="AP123" s="84"/>
      <c r="AQ123" s="85" t="str">
        <f t="shared" si="6"/>
        <v/>
      </c>
      <c r="AR123" s="86" t="str">
        <f t="array" ref="AR123">IF(A123="","",IFERROR(INDEX('2) Etapas'!L$3:L923,MATCH(B123,'2) Etapas'!$A$4:$A923,0),1),-1))</f>
        <v/>
      </c>
      <c r="AS123" s="87" t="str">
        <f t="shared" si="7"/>
        <v/>
      </c>
      <c r="AT123" s="87" t="str">
        <f t="shared" si="8"/>
        <v/>
      </c>
      <c r="AU123" s="87" t="str">
        <f t="shared" si="9"/>
        <v/>
      </c>
      <c r="AV123" s="89" t="str">
        <f t="array" ref="AV123">IF(OR($A123="",$AB123="", $AC123=""),"",MAXA(IF($A123=$A$4:$A923,$AC$4:$AC923)))</f>
        <v/>
      </c>
    </row>
    <row r="124" ht="22.5" customHeight="1">
      <c r="A124" s="29"/>
      <c r="B124" s="68" t="str">
        <f t="shared" si="1"/>
        <v/>
      </c>
      <c r="C124" s="69"/>
      <c r="D124" s="70" t="str">
        <f t="shared" si="2"/>
        <v/>
      </c>
      <c r="E124" s="29"/>
      <c r="F124" s="68" t="str">
        <f t="array" ref="F124">IF($A124="","",IFERROR(INDEX(MA_INDIVIDUALES!C$2:C923, MATCH($A124,MA_INDIVIDUALES!$B$2:$B923,0),1),"CÓDIGO DE EXPEDIENTE INVÁLIDO"))</f>
        <v/>
      </c>
      <c r="G124" s="68" t="str">
        <f t="array" ref="G124">IF($A124="","",IFERROR(INDEX(MA_INDIVIDUALES!K$2:K923, MATCH($A124,MA_INDIVIDUALES!$B$2:$B923,0),1),"CÓDIGO DE EXPEDIENTE INVÁLIDO"))</f>
        <v/>
      </c>
      <c r="H124" s="68" t="str">
        <f t="array" ref="H124">IF($A124="","",IFERROR(INDEX(MA_INDIVIDUALES!L$2:L923, MATCH($A124,MA_INDIVIDUALES!$B$2:$B923,0),1),"CÓDIGO DE EXPEDIENTE INVÁLIDO"))</f>
        <v/>
      </c>
      <c r="I124" s="29"/>
      <c r="J124" s="29"/>
      <c r="K124" s="73"/>
      <c r="L124" s="74" t="str">
        <f>IF(A124="","",IF(K124="","",_xlfn.WORKDAY.INTL(K124,5,1,FERIADOS)))</f>
        <v/>
      </c>
      <c r="M124" s="29"/>
      <c r="N124" s="73"/>
      <c r="O124" s="29"/>
      <c r="P124" s="77" t="str">
        <f t="shared" si="3"/>
        <v/>
      </c>
      <c r="Q124" s="73"/>
      <c r="R124" s="29"/>
      <c r="S124" s="75"/>
      <c r="T124" s="73"/>
      <c r="U124" s="29"/>
      <c r="V124" s="76"/>
      <c r="W124" s="75"/>
      <c r="X124" s="76"/>
      <c r="Y124" s="29" t="str">
        <f t="shared" si="4"/>
        <v/>
      </c>
      <c r="Z124" s="29" t="str">
        <f t="shared" si="5"/>
        <v/>
      </c>
      <c r="AA124" s="29"/>
      <c r="AB124" s="29"/>
      <c r="AC124" s="73"/>
      <c r="AD124" s="73"/>
      <c r="AE124" s="78" t="str">
        <f>IF(U124="","",IF(AD124="","",_xlfn.WORKDAY.INTL(AD124,7,1,FERIADOS)))</f>
        <v/>
      </c>
      <c r="AF124" s="79"/>
      <c r="AG124" s="80" t="str">
        <f t="array" ref="AG124">IF(A124="","",IF(AF124="","",AF124*INDEX(PARAMETROS!F$2:F1187,MATCH(YEAR(AC124),PARAMETROS!E$2:E1187,0),1)))</f>
        <v/>
      </c>
      <c r="AH124" s="81"/>
      <c r="AI124" s="82"/>
      <c r="AJ124" s="81"/>
      <c r="AK124" s="81"/>
      <c r="AL124" s="29"/>
      <c r="AM124" s="75"/>
      <c r="AN124" s="29"/>
      <c r="AO124" s="83"/>
      <c r="AP124" s="84"/>
      <c r="AQ124" s="85" t="str">
        <f t="shared" si="6"/>
        <v/>
      </c>
      <c r="AR124" s="86" t="str">
        <f t="array" ref="AR124">IF(A124="","",IFERROR(INDEX('2) Etapas'!L$3:L923,MATCH(B124,'2) Etapas'!$A$4:$A923,0),1),-1))</f>
        <v/>
      </c>
      <c r="AS124" s="87" t="str">
        <f t="shared" si="7"/>
        <v/>
      </c>
      <c r="AT124" s="87" t="str">
        <f t="shared" si="8"/>
        <v/>
      </c>
      <c r="AU124" s="87" t="str">
        <f t="shared" si="9"/>
        <v/>
      </c>
      <c r="AV124" s="89" t="str">
        <f t="array" ref="AV124">IF(OR($A124="",$AB124="", $AC124=""),"",MAXA(IF($A124=$A$4:$A923,$AC$4:$AC923)))</f>
        <v/>
      </c>
    </row>
    <row r="125" ht="22.5" customHeight="1">
      <c r="A125" s="29"/>
      <c r="B125" s="68" t="str">
        <f t="shared" si="1"/>
        <v/>
      </c>
      <c r="C125" s="69"/>
      <c r="D125" s="70" t="str">
        <f t="shared" si="2"/>
        <v/>
      </c>
      <c r="E125" s="29"/>
      <c r="F125" s="68" t="str">
        <f t="array" ref="F125">IF($A125="","",IFERROR(INDEX(MA_INDIVIDUALES!C$2:C923, MATCH($A125,MA_INDIVIDUALES!$B$2:$B923,0),1),"CÓDIGO DE EXPEDIENTE INVÁLIDO"))</f>
        <v/>
      </c>
      <c r="G125" s="68" t="str">
        <f t="array" ref="G125">IF($A125="","",IFERROR(INDEX(MA_INDIVIDUALES!K$2:K923, MATCH($A125,MA_INDIVIDUALES!$B$2:$B923,0),1),"CÓDIGO DE EXPEDIENTE INVÁLIDO"))</f>
        <v/>
      </c>
      <c r="H125" s="68" t="str">
        <f t="array" ref="H125">IF($A125="","",IFERROR(INDEX(MA_INDIVIDUALES!L$2:L923, MATCH($A125,MA_INDIVIDUALES!$B$2:$B923,0),1),"CÓDIGO DE EXPEDIENTE INVÁLIDO"))</f>
        <v/>
      </c>
      <c r="I125" s="29"/>
      <c r="J125" s="29"/>
      <c r="K125" s="73"/>
      <c r="L125" s="74" t="str">
        <f>IF(A125="","",IF(K125="","",_xlfn.WORKDAY.INTL(K125,5,1,FERIADOS)))</f>
        <v/>
      </c>
      <c r="M125" s="29"/>
      <c r="N125" s="73"/>
      <c r="O125" s="29"/>
      <c r="P125" s="77" t="str">
        <f t="shared" si="3"/>
        <v/>
      </c>
      <c r="Q125" s="73"/>
      <c r="R125" s="29"/>
      <c r="S125" s="75"/>
      <c r="T125" s="73"/>
      <c r="U125" s="29"/>
      <c r="V125" s="76"/>
      <c r="W125" s="75"/>
      <c r="X125" s="76"/>
      <c r="Y125" s="29" t="str">
        <f t="shared" si="4"/>
        <v/>
      </c>
      <c r="Z125" s="29" t="str">
        <f t="shared" si="5"/>
        <v/>
      </c>
      <c r="AA125" s="29"/>
      <c r="AB125" s="29"/>
      <c r="AC125" s="73"/>
      <c r="AD125" s="73"/>
      <c r="AE125" s="78" t="str">
        <f>IF(U125="","",IF(AD125="","",_xlfn.WORKDAY.INTL(AD125,7,1,FERIADOS)))</f>
        <v/>
      </c>
      <c r="AF125" s="79"/>
      <c r="AG125" s="80" t="str">
        <f t="array" ref="AG125">IF(A125="","",IF(AF125="","",AF125*INDEX(PARAMETROS!F$2:F1188,MATCH(YEAR(AC125),PARAMETROS!E$2:E1188,0),1)))</f>
        <v/>
      </c>
      <c r="AH125" s="81"/>
      <c r="AI125" s="82"/>
      <c r="AJ125" s="81"/>
      <c r="AK125" s="81"/>
      <c r="AL125" s="29"/>
      <c r="AM125" s="75"/>
      <c r="AN125" s="29"/>
      <c r="AO125" s="83"/>
      <c r="AP125" s="84"/>
      <c r="AQ125" s="85" t="str">
        <f t="shared" si="6"/>
        <v/>
      </c>
      <c r="AR125" s="86" t="str">
        <f t="array" ref="AR125">IF(A125="","",IFERROR(INDEX('2) Etapas'!L$3:L923,MATCH(B125,'2) Etapas'!$A$4:$A923,0),1),-1))</f>
        <v/>
      </c>
      <c r="AS125" s="87" t="str">
        <f t="shared" si="7"/>
        <v/>
      </c>
      <c r="AT125" s="87" t="str">
        <f t="shared" si="8"/>
        <v/>
      </c>
      <c r="AU125" s="87" t="str">
        <f t="shared" si="9"/>
        <v/>
      </c>
      <c r="AV125" s="89" t="str">
        <f t="array" ref="AV125">IF(OR($A125="",$AB125="", $AC125=""),"",MAXA(IF($A125=$A$4:$A923,$AC$4:$AC923)))</f>
        <v/>
      </c>
    </row>
    <row r="126" ht="22.5" customHeight="1">
      <c r="A126" s="29"/>
      <c r="B126" s="68" t="str">
        <f t="shared" si="1"/>
        <v/>
      </c>
      <c r="C126" s="69"/>
      <c r="D126" s="70" t="str">
        <f t="shared" si="2"/>
        <v/>
      </c>
      <c r="E126" s="29"/>
      <c r="F126" s="68" t="str">
        <f t="array" ref="F126">IF($A126="","",IFERROR(INDEX(MA_INDIVIDUALES!C$2:C923, MATCH($A126,MA_INDIVIDUALES!$B$2:$B923,0),1),"CÓDIGO DE EXPEDIENTE INVÁLIDO"))</f>
        <v/>
      </c>
      <c r="G126" s="68" t="str">
        <f t="array" ref="G126">IF($A126="","",IFERROR(INDEX(MA_INDIVIDUALES!K$2:K923, MATCH($A126,MA_INDIVIDUALES!$B$2:$B923,0),1),"CÓDIGO DE EXPEDIENTE INVÁLIDO"))</f>
        <v/>
      </c>
      <c r="H126" s="68" t="str">
        <f t="array" ref="H126">IF($A126="","",IFERROR(INDEX(MA_INDIVIDUALES!L$2:L923, MATCH($A126,MA_INDIVIDUALES!$B$2:$B923,0),1),"CÓDIGO DE EXPEDIENTE INVÁLIDO"))</f>
        <v/>
      </c>
      <c r="I126" s="29"/>
      <c r="J126" s="29"/>
      <c r="K126" s="73"/>
      <c r="L126" s="74" t="str">
        <f>IF(A126="","",IF(K126="","",_xlfn.WORKDAY.INTL(K126,5,1,FERIADOS)))</f>
        <v/>
      </c>
      <c r="M126" s="29"/>
      <c r="N126" s="73"/>
      <c r="O126" s="29"/>
      <c r="P126" s="77" t="str">
        <f t="shared" si="3"/>
        <v/>
      </c>
      <c r="Q126" s="73"/>
      <c r="R126" s="29"/>
      <c r="S126" s="75"/>
      <c r="T126" s="73"/>
      <c r="U126" s="29"/>
      <c r="V126" s="76"/>
      <c r="W126" s="75"/>
      <c r="X126" s="76"/>
      <c r="Y126" s="29" t="str">
        <f t="shared" si="4"/>
        <v/>
      </c>
      <c r="Z126" s="29" t="str">
        <f t="shared" si="5"/>
        <v/>
      </c>
      <c r="AA126" s="29"/>
      <c r="AB126" s="29"/>
      <c r="AC126" s="73"/>
      <c r="AD126" s="73"/>
      <c r="AE126" s="78" t="str">
        <f>IF(U126="","",IF(AD126="","",_xlfn.WORKDAY.INTL(AD126,7,1,FERIADOS)))</f>
        <v/>
      </c>
      <c r="AF126" s="79"/>
      <c r="AG126" s="80" t="str">
        <f t="array" ref="AG126">IF(A126="","",IF(AF126="","",AF126*INDEX(PARAMETROS!F$2:F1189,MATCH(YEAR(AC126),PARAMETROS!E$2:E1189,0),1)))</f>
        <v/>
      </c>
      <c r="AH126" s="81"/>
      <c r="AI126" s="82"/>
      <c r="AJ126" s="81"/>
      <c r="AK126" s="81"/>
      <c r="AL126" s="29"/>
      <c r="AM126" s="75"/>
      <c r="AN126" s="29"/>
      <c r="AO126" s="83"/>
      <c r="AP126" s="84"/>
      <c r="AQ126" s="85" t="str">
        <f t="shared" si="6"/>
        <v/>
      </c>
      <c r="AR126" s="86" t="str">
        <f t="array" ref="AR126">IF(A126="","",IFERROR(INDEX('2) Etapas'!L$3:L923,MATCH(B126,'2) Etapas'!$A$4:$A923,0),1),-1))</f>
        <v/>
      </c>
      <c r="AS126" s="87" t="str">
        <f t="shared" si="7"/>
        <v/>
      </c>
      <c r="AT126" s="87" t="str">
        <f t="shared" si="8"/>
        <v/>
      </c>
      <c r="AU126" s="87" t="str">
        <f t="shared" si="9"/>
        <v/>
      </c>
      <c r="AV126" s="89" t="str">
        <f t="array" ref="AV126">IF(OR($A126="",$AB126="", $AC126=""),"",MAXA(IF($A126=$A$4:$A923,$AC$4:$AC923)))</f>
        <v/>
      </c>
    </row>
    <row r="127" ht="22.5" customHeight="1">
      <c r="A127" s="29"/>
      <c r="B127" s="68" t="str">
        <f t="shared" si="1"/>
        <v/>
      </c>
      <c r="C127" s="69"/>
      <c r="D127" s="70" t="str">
        <f t="shared" si="2"/>
        <v/>
      </c>
      <c r="E127" s="29"/>
      <c r="F127" s="68" t="str">
        <f t="array" ref="F127">IF($A127="","",IFERROR(INDEX(MA_INDIVIDUALES!C$2:C923, MATCH($A127,MA_INDIVIDUALES!$B$2:$B923,0),1),"CÓDIGO DE EXPEDIENTE INVÁLIDO"))</f>
        <v/>
      </c>
      <c r="G127" s="68" t="str">
        <f t="array" ref="G127">IF($A127="","",IFERROR(INDEX(MA_INDIVIDUALES!K$2:K923, MATCH($A127,MA_INDIVIDUALES!$B$2:$B923,0),1),"CÓDIGO DE EXPEDIENTE INVÁLIDO"))</f>
        <v/>
      </c>
      <c r="H127" s="68" t="str">
        <f t="array" ref="H127">IF($A127="","",IFERROR(INDEX(MA_INDIVIDUALES!L$2:L923, MATCH($A127,MA_INDIVIDUALES!$B$2:$B923,0),1),"CÓDIGO DE EXPEDIENTE INVÁLIDO"))</f>
        <v/>
      </c>
      <c r="I127" s="29"/>
      <c r="J127" s="29"/>
      <c r="K127" s="73"/>
      <c r="L127" s="74" t="str">
        <f>IF(A127="","",IF(K127="","",_xlfn.WORKDAY.INTL(K127,5,1,FERIADOS)))</f>
        <v/>
      </c>
      <c r="M127" s="29"/>
      <c r="N127" s="73"/>
      <c r="O127" s="29"/>
      <c r="P127" s="77" t="str">
        <f t="shared" si="3"/>
        <v/>
      </c>
      <c r="Q127" s="73"/>
      <c r="R127" s="29"/>
      <c r="S127" s="75"/>
      <c r="T127" s="73"/>
      <c r="U127" s="29"/>
      <c r="V127" s="76"/>
      <c r="W127" s="75"/>
      <c r="X127" s="76"/>
      <c r="Y127" s="29" t="str">
        <f t="shared" si="4"/>
        <v/>
      </c>
      <c r="Z127" s="29" t="str">
        <f t="shared" si="5"/>
        <v/>
      </c>
      <c r="AA127" s="29"/>
      <c r="AB127" s="29"/>
      <c r="AC127" s="73"/>
      <c r="AD127" s="73"/>
      <c r="AE127" s="78" t="str">
        <f>IF(U127="","",IF(AD127="","",_xlfn.WORKDAY.INTL(AD127,7,1,FERIADOS)))</f>
        <v/>
      </c>
      <c r="AF127" s="79"/>
      <c r="AG127" s="80" t="str">
        <f t="array" ref="AG127">IF(A127="","",IF(AF127="","",AF127*INDEX(PARAMETROS!F$2:F1190,MATCH(YEAR(AC127),PARAMETROS!E$2:E1190,0),1)))</f>
        <v/>
      </c>
      <c r="AH127" s="81"/>
      <c r="AI127" s="82"/>
      <c r="AJ127" s="81"/>
      <c r="AK127" s="81"/>
      <c r="AL127" s="29"/>
      <c r="AM127" s="75"/>
      <c r="AN127" s="29"/>
      <c r="AO127" s="83"/>
      <c r="AP127" s="84"/>
      <c r="AQ127" s="85" t="str">
        <f t="shared" si="6"/>
        <v/>
      </c>
      <c r="AR127" s="86" t="str">
        <f t="array" ref="AR127">IF(A127="","",IFERROR(INDEX('2) Etapas'!L$3:L923,MATCH(B127,'2) Etapas'!$A$4:$A923,0),1),-1))</f>
        <v/>
      </c>
      <c r="AS127" s="87" t="str">
        <f t="shared" si="7"/>
        <v/>
      </c>
      <c r="AT127" s="87" t="str">
        <f t="shared" si="8"/>
        <v/>
      </c>
      <c r="AU127" s="87" t="str">
        <f t="shared" si="9"/>
        <v/>
      </c>
      <c r="AV127" s="89" t="str">
        <f t="array" ref="AV127">IF(OR($A127="",$AB127="", $AC127=""),"",MAXA(IF($A127=$A$4:$A923,$AC$4:$AC923)))</f>
        <v/>
      </c>
    </row>
    <row r="128" ht="22.5" customHeight="1">
      <c r="A128" s="29"/>
      <c r="B128" s="68" t="str">
        <f t="shared" si="1"/>
        <v/>
      </c>
      <c r="C128" s="69"/>
      <c r="D128" s="70" t="str">
        <f t="shared" si="2"/>
        <v/>
      </c>
      <c r="E128" s="29"/>
      <c r="F128" s="68" t="str">
        <f t="array" ref="F128">IF($A128="","",IFERROR(INDEX(MA_INDIVIDUALES!C$2:C923, MATCH($A128,MA_INDIVIDUALES!$B$2:$B923,0),1),"CÓDIGO DE EXPEDIENTE INVÁLIDO"))</f>
        <v/>
      </c>
      <c r="G128" s="68" t="str">
        <f t="array" ref="G128">IF($A128="","",IFERROR(INDEX(MA_INDIVIDUALES!K$2:K923, MATCH($A128,MA_INDIVIDUALES!$B$2:$B923,0),1),"CÓDIGO DE EXPEDIENTE INVÁLIDO"))</f>
        <v/>
      </c>
      <c r="H128" s="68" t="str">
        <f t="array" ref="H128">IF($A128="","",IFERROR(INDEX(MA_INDIVIDUALES!L$2:L923, MATCH($A128,MA_INDIVIDUALES!$B$2:$B923,0),1),"CÓDIGO DE EXPEDIENTE INVÁLIDO"))</f>
        <v/>
      </c>
      <c r="I128" s="29"/>
      <c r="J128" s="29"/>
      <c r="K128" s="73"/>
      <c r="L128" s="74" t="str">
        <f>IF(A128="","",IF(K128="","",_xlfn.WORKDAY.INTL(K128,5,1,FERIADOS)))</f>
        <v/>
      </c>
      <c r="M128" s="29"/>
      <c r="N128" s="75"/>
      <c r="O128" s="76"/>
      <c r="P128" s="77" t="str">
        <f t="shared" si="3"/>
        <v/>
      </c>
      <c r="Q128" s="73"/>
      <c r="R128" s="29"/>
      <c r="S128" s="75"/>
      <c r="T128" s="73"/>
      <c r="U128" s="29"/>
      <c r="V128" s="76"/>
      <c r="W128" s="75"/>
      <c r="X128" s="76"/>
      <c r="Y128" s="29" t="str">
        <f t="shared" si="4"/>
        <v/>
      </c>
      <c r="Z128" s="29" t="str">
        <f t="shared" si="5"/>
        <v/>
      </c>
      <c r="AA128" s="29"/>
      <c r="AB128" s="29"/>
      <c r="AC128" s="73"/>
      <c r="AD128" s="73"/>
      <c r="AE128" s="78" t="str">
        <f>IF(U128="","",IF(AD128="","",_xlfn.WORKDAY.INTL(AD128,7,1,FERIADOS)))</f>
        <v/>
      </c>
      <c r="AF128" s="79"/>
      <c r="AG128" s="80" t="str">
        <f t="array" ref="AG128">IF(A128="","",IF(AF128="","",AF128*INDEX(PARAMETROS!F$2:F1191,MATCH(YEAR(AC128),PARAMETROS!E$2:E1191,0),1)))</f>
        <v/>
      </c>
      <c r="AH128" s="81"/>
      <c r="AI128" s="82"/>
      <c r="AJ128" s="81"/>
      <c r="AK128" s="81"/>
      <c r="AL128" s="29"/>
      <c r="AM128" s="75"/>
      <c r="AN128" s="29"/>
      <c r="AO128" s="83"/>
      <c r="AP128" s="84"/>
      <c r="AQ128" s="85" t="str">
        <f t="shared" si="6"/>
        <v/>
      </c>
      <c r="AR128" s="86" t="str">
        <f t="array" ref="AR128">IF(A128="","",IFERROR(INDEX('2) Etapas'!L$3:L923,MATCH(B128,'2) Etapas'!$A$4:$A923,0),1),-1))</f>
        <v/>
      </c>
      <c r="AS128" s="87" t="str">
        <f t="shared" si="7"/>
        <v/>
      </c>
      <c r="AT128" s="87" t="str">
        <f t="shared" si="8"/>
        <v/>
      </c>
      <c r="AU128" s="87" t="str">
        <f t="shared" si="9"/>
        <v/>
      </c>
      <c r="AV128" s="89" t="str">
        <f t="array" ref="AV128">IF(OR($A128="",$AB128="", $AC128=""),"",MAXA(IF($A128=$A$4:$A923,$AC$4:$AC923)))</f>
        <v/>
      </c>
    </row>
    <row r="129" ht="22.5" customHeight="1">
      <c r="A129" s="29"/>
      <c r="B129" s="68" t="str">
        <f t="shared" si="1"/>
        <v/>
      </c>
      <c r="C129" s="69"/>
      <c r="D129" s="70" t="str">
        <f t="shared" si="2"/>
        <v/>
      </c>
      <c r="E129" s="29"/>
      <c r="F129" s="68" t="str">
        <f t="array" ref="F129">IF($A129="","",IFERROR(INDEX(MA_INDIVIDUALES!C$2:C923, MATCH($A129,MA_INDIVIDUALES!$B$2:$B923,0),1),"CÓDIGO DE EXPEDIENTE INVÁLIDO"))</f>
        <v/>
      </c>
      <c r="G129" s="68" t="str">
        <f t="array" ref="G129">IF($A129="","",IFERROR(INDEX(MA_INDIVIDUALES!K$2:K923, MATCH($A129,MA_INDIVIDUALES!$B$2:$B923,0),1),"CÓDIGO DE EXPEDIENTE INVÁLIDO"))</f>
        <v/>
      </c>
      <c r="H129" s="68" t="str">
        <f t="array" ref="H129">IF($A129="","",IFERROR(INDEX(MA_INDIVIDUALES!L$2:L923, MATCH($A129,MA_INDIVIDUALES!$B$2:$B923,0),1),"CÓDIGO DE EXPEDIENTE INVÁLIDO"))</f>
        <v/>
      </c>
      <c r="I129" s="29"/>
      <c r="J129" s="29"/>
      <c r="K129" s="73"/>
      <c r="L129" s="74" t="str">
        <f>IF(A129="","",IF(K129="","",_xlfn.WORKDAY.INTL(K129,5,1,FERIADOS)))</f>
        <v/>
      </c>
      <c r="M129" s="29"/>
      <c r="N129" s="75"/>
      <c r="O129" s="76"/>
      <c r="P129" s="77" t="str">
        <f t="shared" si="3"/>
        <v/>
      </c>
      <c r="Q129" s="73"/>
      <c r="R129" s="29"/>
      <c r="S129" s="75"/>
      <c r="T129" s="73"/>
      <c r="U129" s="29"/>
      <c r="V129" s="76"/>
      <c r="W129" s="75"/>
      <c r="X129" s="76"/>
      <c r="Y129" s="29" t="str">
        <f t="shared" si="4"/>
        <v/>
      </c>
      <c r="Z129" s="29" t="str">
        <f t="shared" si="5"/>
        <v/>
      </c>
      <c r="AA129" s="29"/>
      <c r="AB129" s="29"/>
      <c r="AC129" s="73"/>
      <c r="AD129" s="73"/>
      <c r="AE129" s="78" t="str">
        <f>IF(U129="","",IF(AD129="","",_xlfn.WORKDAY.INTL(AD129,7,1,FERIADOS)))</f>
        <v/>
      </c>
      <c r="AF129" s="79"/>
      <c r="AG129" s="80" t="str">
        <f t="array" ref="AG129">IF(A129="","",IF(AF129="","",AF129*INDEX(PARAMETROS!F$2:F1192,MATCH(YEAR(AC129),PARAMETROS!E$2:E1192,0),1)))</f>
        <v/>
      </c>
      <c r="AH129" s="81"/>
      <c r="AI129" s="82"/>
      <c r="AJ129" s="81"/>
      <c r="AK129" s="81"/>
      <c r="AL129" s="29"/>
      <c r="AM129" s="75"/>
      <c r="AN129" s="29"/>
      <c r="AO129" s="83"/>
      <c r="AP129" s="84"/>
      <c r="AQ129" s="85" t="str">
        <f t="shared" si="6"/>
        <v/>
      </c>
      <c r="AR129" s="86" t="str">
        <f t="array" ref="AR129">IF(A129="","",IFERROR(INDEX('2) Etapas'!L$3:L923,MATCH(B129,'2) Etapas'!$A$4:$A923,0),1),-1))</f>
        <v/>
      </c>
      <c r="AS129" s="87" t="str">
        <f t="shared" si="7"/>
        <v/>
      </c>
      <c r="AT129" s="87" t="str">
        <f t="shared" si="8"/>
        <v/>
      </c>
      <c r="AU129" s="87" t="str">
        <f t="shared" si="9"/>
        <v/>
      </c>
      <c r="AV129" s="89" t="str">
        <f t="array" ref="AV129">IF(OR($A129="",$AB129="", $AC129=""),"",MAXA(IF($A129=$A$4:$A923,$AC$4:$AC923)))</f>
        <v/>
      </c>
    </row>
    <row r="130" ht="22.5" customHeight="1">
      <c r="A130" s="29"/>
      <c r="B130" s="68" t="str">
        <f t="shared" si="1"/>
        <v/>
      </c>
      <c r="C130" s="69"/>
      <c r="D130" s="70" t="str">
        <f t="shared" si="2"/>
        <v/>
      </c>
      <c r="E130" s="29"/>
      <c r="F130" s="68" t="str">
        <f t="array" ref="F130">IF($A130="","",IFERROR(INDEX(MA_INDIVIDUALES!C$2:C923, MATCH($A130,MA_INDIVIDUALES!$B$2:$B923,0),1),"CÓDIGO DE EXPEDIENTE INVÁLIDO"))</f>
        <v/>
      </c>
      <c r="G130" s="68" t="str">
        <f t="array" ref="G130">IF($A130="","",IFERROR(INDEX(MA_INDIVIDUALES!K$2:K923, MATCH($A130,MA_INDIVIDUALES!$B$2:$B923,0),1),"CÓDIGO DE EXPEDIENTE INVÁLIDO"))</f>
        <v/>
      </c>
      <c r="H130" s="68" t="str">
        <f t="array" ref="H130">IF($A130="","",IFERROR(INDEX(MA_INDIVIDUALES!L$2:L923, MATCH($A130,MA_INDIVIDUALES!$B$2:$B923,0),1),"CÓDIGO DE EXPEDIENTE INVÁLIDO"))</f>
        <v/>
      </c>
      <c r="I130" s="29"/>
      <c r="J130" s="29"/>
      <c r="K130" s="73"/>
      <c r="L130" s="74" t="str">
        <f>IF(A130="","",IF(K130="","",_xlfn.WORKDAY.INTL(K130,5,1,FERIADOS)))</f>
        <v/>
      </c>
      <c r="M130" s="29"/>
      <c r="N130" s="75"/>
      <c r="O130" s="76"/>
      <c r="P130" s="77" t="str">
        <f t="shared" si="3"/>
        <v/>
      </c>
      <c r="Q130" s="73"/>
      <c r="R130" s="29"/>
      <c r="S130" s="75"/>
      <c r="T130" s="73"/>
      <c r="U130" s="29"/>
      <c r="V130" s="76"/>
      <c r="W130" s="75"/>
      <c r="X130" s="76"/>
      <c r="Y130" s="29" t="str">
        <f t="shared" si="4"/>
        <v/>
      </c>
      <c r="Z130" s="29" t="str">
        <f t="shared" si="5"/>
        <v/>
      </c>
      <c r="AA130" s="29"/>
      <c r="AB130" s="29"/>
      <c r="AC130" s="73"/>
      <c r="AD130" s="73"/>
      <c r="AE130" s="78" t="str">
        <f>IF(U130="","",IF(AD130="","",_xlfn.WORKDAY.INTL(AD130,7,1,FERIADOS)))</f>
        <v/>
      </c>
      <c r="AF130" s="79"/>
      <c r="AG130" s="80" t="str">
        <f t="array" ref="AG130">IF(A130="","",IF(AF130="","",AF130*INDEX(PARAMETROS!F$2:F1193,MATCH(YEAR(AC130),PARAMETROS!E$2:E1193,0),1)))</f>
        <v/>
      </c>
      <c r="AH130" s="81"/>
      <c r="AI130" s="82"/>
      <c r="AJ130" s="81"/>
      <c r="AK130" s="81"/>
      <c r="AL130" s="29"/>
      <c r="AM130" s="75"/>
      <c r="AN130" s="29"/>
      <c r="AO130" s="83"/>
      <c r="AP130" s="84"/>
      <c r="AQ130" s="85" t="str">
        <f t="shared" si="6"/>
        <v/>
      </c>
      <c r="AR130" s="86" t="str">
        <f t="array" ref="AR130">IF(A130="","",IFERROR(INDEX('2) Etapas'!L$3:L923,MATCH(B130,'2) Etapas'!$A$4:$A923,0),1),-1))</f>
        <v/>
      </c>
      <c r="AS130" s="87" t="str">
        <f t="shared" si="7"/>
        <v/>
      </c>
      <c r="AT130" s="87" t="str">
        <f t="shared" si="8"/>
        <v/>
      </c>
      <c r="AU130" s="87" t="str">
        <f t="shared" si="9"/>
        <v/>
      </c>
      <c r="AV130" s="89" t="str">
        <f t="array" ref="AV130">IF(OR($A130="",$AB130="", $AC130=""),"",MAXA(IF($A130=$A$4:$A923,$AC$4:$AC923)))</f>
        <v/>
      </c>
    </row>
    <row r="131" ht="22.5" customHeight="1">
      <c r="A131" s="29"/>
      <c r="B131" s="68" t="str">
        <f t="shared" si="1"/>
        <v/>
      </c>
      <c r="C131" s="69"/>
      <c r="D131" s="70" t="str">
        <f t="shared" si="2"/>
        <v/>
      </c>
      <c r="E131" s="29"/>
      <c r="F131" s="68" t="str">
        <f t="array" ref="F131">IF($A131="","",IFERROR(INDEX(MA_INDIVIDUALES!C$2:C923, MATCH($A131,MA_INDIVIDUALES!$B$2:$B923,0),1),"CÓDIGO DE EXPEDIENTE INVÁLIDO"))</f>
        <v/>
      </c>
      <c r="G131" s="68" t="str">
        <f t="array" ref="G131">IF($A131="","",IFERROR(INDEX(MA_INDIVIDUALES!K$2:K923, MATCH($A131,MA_INDIVIDUALES!$B$2:$B923,0),1),"CÓDIGO DE EXPEDIENTE INVÁLIDO"))</f>
        <v/>
      </c>
      <c r="H131" s="68" t="str">
        <f t="array" ref="H131">IF($A131="","",IFERROR(INDEX(MA_INDIVIDUALES!L$2:L923, MATCH($A131,MA_INDIVIDUALES!$B$2:$B923,0),1),"CÓDIGO DE EXPEDIENTE INVÁLIDO"))</f>
        <v/>
      </c>
      <c r="I131" s="29"/>
      <c r="J131" s="29"/>
      <c r="K131" s="73"/>
      <c r="L131" s="74" t="str">
        <f>IF(A131="","",IF(K131="","",_xlfn.WORKDAY.INTL(K131,5,1,FERIADOS)))</f>
        <v/>
      </c>
      <c r="M131" s="29"/>
      <c r="N131" s="75"/>
      <c r="O131" s="76"/>
      <c r="P131" s="77" t="str">
        <f t="shared" si="3"/>
        <v/>
      </c>
      <c r="Q131" s="73"/>
      <c r="R131" s="29"/>
      <c r="S131" s="75"/>
      <c r="T131" s="73"/>
      <c r="U131" s="29"/>
      <c r="V131" s="76"/>
      <c r="W131" s="75"/>
      <c r="X131" s="76"/>
      <c r="Y131" s="29" t="str">
        <f t="shared" si="4"/>
        <v/>
      </c>
      <c r="Z131" s="29" t="str">
        <f t="shared" si="5"/>
        <v/>
      </c>
      <c r="AA131" s="29"/>
      <c r="AB131" s="29"/>
      <c r="AC131" s="73"/>
      <c r="AD131" s="73"/>
      <c r="AE131" s="78" t="str">
        <f>IF(U131="","",IF(AD131="","",_xlfn.WORKDAY.INTL(AD131,7,1,FERIADOS)))</f>
        <v/>
      </c>
      <c r="AF131" s="79"/>
      <c r="AG131" s="80" t="str">
        <f t="array" ref="AG131">IF(A131="","",IF(AF131="","",AF131*INDEX(PARAMETROS!F$2:F1194,MATCH(YEAR(AC131),PARAMETROS!E$2:E1194,0),1)))</f>
        <v/>
      </c>
      <c r="AH131" s="81"/>
      <c r="AI131" s="82"/>
      <c r="AJ131" s="81"/>
      <c r="AK131" s="81"/>
      <c r="AL131" s="29"/>
      <c r="AM131" s="75"/>
      <c r="AN131" s="29"/>
      <c r="AO131" s="83"/>
      <c r="AP131" s="84"/>
      <c r="AQ131" s="85" t="str">
        <f t="shared" si="6"/>
        <v/>
      </c>
      <c r="AR131" s="86" t="str">
        <f t="array" ref="AR131">IF(A131="","",IFERROR(INDEX('2) Etapas'!L$3:L923,MATCH(B131,'2) Etapas'!$A$4:$A923,0),1),-1))</f>
        <v/>
      </c>
      <c r="AS131" s="87" t="str">
        <f t="shared" si="7"/>
        <v/>
      </c>
      <c r="AT131" s="87" t="str">
        <f t="shared" si="8"/>
        <v/>
      </c>
      <c r="AU131" s="87" t="str">
        <f t="shared" si="9"/>
        <v/>
      </c>
      <c r="AV131" s="89" t="str">
        <f t="array" ref="AV131">IF(OR($A131="",$AB131="", $AC131=""),"",MAXA(IF($A131=$A$4:$A923,$AC$4:$AC923)))</f>
        <v/>
      </c>
    </row>
    <row r="132" ht="22.5" customHeight="1">
      <c r="A132" s="29"/>
      <c r="B132" s="68" t="str">
        <f t="shared" si="1"/>
        <v/>
      </c>
      <c r="C132" s="69"/>
      <c r="D132" s="70" t="str">
        <f t="shared" si="2"/>
        <v/>
      </c>
      <c r="E132" s="29"/>
      <c r="F132" s="68" t="str">
        <f t="array" ref="F132">IF($A132="","",IFERROR(INDEX(MA_INDIVIDUALES!C$2:C923, MATCH($A132,MA_INDIVIDUALES!$B$2:$B923,0),1),"CÓDIGO DE EXPEDIENTE INVÁLIDO"))</f>
        <v/>
      </c>
      <c r="G132" s="68" t="str">
        <f t="array" ref="G132">IF($A132="","",IFERROR(INDEX(MA_INDIVIDUALES!K$2:K923, MATCH($A132,MA_INDIVIDUALES!$B$2:$B923,0),1),"CÓDIGO DE EXPEDIENTE INVÁLIDO"))</f>
        <v/>
      </c>
      <c r="H132" s="68" t="str">
        <f t="array" ref="H132">IF($A132="","",IFERROR(INDEX(MA_INDIVIDUALES!L$2:L923, MATCH($A132,MA_INDIVIDUALES!$B$2:$B923,0),1),"CÓDIGO DE EXPEDIENTE INVÁLIDO"))</f>
        <v/>
      </c>
      <c r="I132" s="29"/>
      <c r="J132" s="29"/>
      <c r="K132" s="73"/>
      <c r="L132" s="74" t="str">
        <f>IF(A132="","",IF(K132="","",_xlfn.WORKDAY.INTL(K132,5,1,FERIADOS)))</f>
        <v/>
      </c>
      <c r="M132" s="29"/>
      <c r="N132" s="75"/>
      <c r="O132" s="76"/>
      <c r="P132" s="77" t="str">
        <f t="shared" si="3"/>
        <v/>
      </c>
      <c r="Q132" s="73"/>
      <c r="R132" s="29"/>
      <c r="S132" s="75"/>
      <c r="T132" s="73"/>
      <c r="U132" s="29"/>
      <c r="V132" s="76"/>
      <c r="W132" s="75"/>
      <c r="X132" s="76"/>
      <c r="Y132" s="29" t="str">
        <f t="shared" si="4"/>
        <v/>
      </c>
      <c r="Z132" s="29" t="str">
        <f t="shared" si="5"/>
        <v/>
      </c>
      <c r="AA132" s="29"/>
      <c r="AB132" s="29"/>
      <c r="AC132" s="73"/>
      <c r="AD132" s="73"/>
      <c r="AE132" s="78" t="str">
        <f>IF(U132="","",IF(AD132="","",_xlfn.WORKDAY.INTL(AD132,7,1,FERIADOS)))</f>
        <v/>
      </c>
      <c r="AF132" s="79"/>
      <c r="AG132" s="80" t="str">
        <f t="array" ref="AG132">IF(A132="","",IF(AF132="","",AF132*INDEX(PARAMETROS!F$2:F1195,MATCH(YEAR(AC132),PARAMETROS!E$2:E1195,0),1)))</f>
        <v/>
      </c>
      <c r="AH132" s="81"/>
      <c r="AI132" s="82"/>
      <c r="AJ132" s="81"/>
      <c r="AK132" s="81"/>
      <c r="AL132" s="29"/>
      <c r="AM132" s="75"/>
      <c r="AN132" s="29"/>
      <c r="AO132" s="83"/>
      <c r="AP132" s="84"/>
      <c r="AQ132" s="85" t="str">
        <f t="shared" si="6"/>
        <v/>
      </c>
      <c r="AR132" s="86" t="str">
        <f t="array" ref="AR132">IF(A132="","",IFERROR(INDEX('2) Etapas'!L$3:L923,MATCH(B132,'2) Etapas'!$A$4:$A923,0),1),-1))</f>
        <v/>
      </c>
      <c r="AS132" s="87" t="str">
        <f t="shared" si="7"/>
        <v/>
      </c>
      <c r="AT132" s="87" t="str">
        <f t="shared" si="8"/>
        <v/>
      </c>
      <c r="AU132" s="87" t="str">
        <f t="shared" si="9"/>
        <v/>
      </c>
      <c r="AV132" s="89" t="str">
        <f t="array" ref="AV132">IF(OR($A132="",$AB132="", $AC132=""),"",MAXA(IF($A132=$A$4:$A923,$AC$4:$AC923)))</f>
        <v/>
      </c>
    </row>
    <row r="133" ht="22.5" customHeight="1">
      <c r="A133" s="29"/>
      <c r="B133" s="68" t="str">
        <f t="shared" si="1"/>
        <v/>
      </c>
      <c r="C133" s="69"/>
      <c r="D133" s="70" t="str">
        <f t="shared" si="2"/>
        <v/>
      </c>
      <c r="E133" s="29"/>
      <c r="F133" s="68" t="str">
        <f t="array" ref="F133">IF($A133="","",IFERROR(INDEX(MA_INDIVIDUALES!C$2:C923, MATCH($A133,MA_INDIVIDUALES!$B$2:$B923,0),1),"CÓDIGO DE EXPEDIENTE INVÁLIDO"))</f>
        <v/>
      </c>
      <c r="G133" s="68" t="str">
        <f t="array" ref="G133">IF($A133="","",IFERROR(INDEX(MA_INDIVIDUALES!K$2:K923, MATCH($A133,MA_INDIVIDUALES!$B$2:$B923,0),1),"CÓDIGO DE EXPEDIENTE INVÁLIDO"))</f>
        <v/>
      </c>
      <c r="H133" s="68" t="str">
        <f t="array" ref="H133">IF($A133="","",IFERROR(INDEX(MA_INDIVIDUALES!L$2:L923, MATCH($A133,MA_INDIVIDUALES!$B$2:$B923,0),1),"CÓDIGO DE EXPEDIENTE INVÁLIDO"))</f>
        <v/>
      </c>
      <c r="I133" s="29"/>
      <c r="J133" s="29"/>
      <c r="K133" s="73"/>
      <c r="L133" s="74" t="str">
        <f>IF(A133="","",IF(K133="","",_xlfn.WORKDAY.INTL(K133,5,1,FERIADOS)))</f>
        <v/>
      </c>
      <c r="M133" s="29"/>
      <c r="N133" s="75"/>
      <c r="O133" s="76"/>
      <c r="P133" s="77" t="str">
        <f t="shared" si="3"/>
        <v/>
      </c>
      <c r="Q133" s="73"/>
      <c r="R133" s="29"/>
      <c r="S133" s="75"/>
      <c r="T133" s="73"/>
      <c r="U133" s="29"/>
      <c r="V133" s="76"/>
      <c r="W133" s="75"/>
      <c r="X133" s="76"/>
      <c r="Y133" s="29" t="str">
        <f t="shared" si="4"/>
        <v/>
      </c>
      <c r="Z133" s="29" t="str">
        <f t="shared" si="5"/>
        <v/>
      </c>
      <c r="AA133" s="29"/>
      <c r="AB133" s="29"/>
      <c r="AC133" s="73"/>
      <c r="AD133" s="73"/>
      <c r="AE133" s="78" t="str">
        <f>IF(U133="","",IF(AD133="","",_xlfn.WORKDAY.INTL(AD133,7,1,FERIADOS)))</f>
        <v/>
      </c>
      <c r="AF133" s="79"/>
      <c r="AG133" s="80" t="str">
        <f t="array" ref="AG133">IF(A133="","",IF(AF133="","",AF133*INDEX(PARAMETROS!F$2:F1196,MATCH(YEAR(AC133),PARAMETROS!E$2:E1196,0),1)))</f>
        <v/>
      </c>
      <c r="AH133" s="81"/>
      <c r="AI133" s="82"/>
      <c r="AJ133" s="81"/>
      <c r="AK133" s="81"/>
      <c r="AL133" s="29"/>
      <c r="AM133" s="75"/>
      <c r="AN133" s="29"/>
      <c r="AO133" s="83"/>
      <c r="AP133" s="84"/>
      <c r="AQ133" s="85" t="str">
        <f t="shared" si="6"/>
        <v/>
      </c>
      <c r="AR133" s="86" t="str">
        <f t="array" ref="AR133">IF(A133="","",IFERROR(INDEX('2) Etapas'!L$3:L923,MATCH(B133,'2) Etapas'!$A$4:$A923,0),1),-1))</f>
        <v/>
      </c>
      <c r="AS133" s="87" t="str">
        <f t="shared" si="7"/>
        <v/>
      </c>
      <c r="AT133" s="87" t="str">
        <f t="shared" si="8"/>
        <v/>
      </c>
      <c r="AU133" s="87" t="str">
        <f t="shared" si="9"/>
        <v/>
      </c>
      <c r="AV133" s="89" t="str">
        <f t="array" ref="AV133">IF(OR($A133="",$AB133="", $AC133=""),"",MAXA(IF($A133=$A$4:$A923,$AC$4:$AC923)))</f>
        <v/>
      </c>
    </row>
    <row r="134" ht="22.5" customHeight="1">
      <c r="A134" s="29"/>
      <c r="B134" s="68" t="str">
        <f t="shared" si="1"/>
        <v/>
      </c>
      <c r="C134" s="69"/>
      <c r="D134" s="70" t="str">
        <f t="shared" si="2"/>
        <v/>
      </c>
      <c r="E134" s="29"/>
      <c r="F134" s="68" t="str">
        <f t="array" ref="F134">IF($A134="","",IFERROR(INDEX(MA_INDIVIDUALES!C$2:C923, MATCH($A134,MA_INDIVIDUALES!$B$2:$B923,0),1),"CÓDIGO DE EXPEDIENTE INVÁLIDO"))</f>
        <v/>
      </c>
      <c r="G134" s="68" t="str">
        <f t="array" ref="G134">IF($A134="","",IFERROR(INDEX(MA_INDIVIDUALES!K$2:K923, MATCH($A134,MA_INDIVIDUALES!$B$2:$B923,0),1),"CÓDIGO DE EXPEDIENTE INVÁLIDO"))</f>
        <v/>
      </c>
      <c r="H134" s="68" t="str">
        <f t="array" ref="H134">IF($A134="","",IFERROR(INDEX(MA_INDIVIDUALES!L$2:L923, MATCH($A134,MA_INDIVIDUALES!$B$2:$B923,0),1),"CÓDIGO DE EXPEDIENTE INVÁLIDO"))</f>
        <v/>
      </c>
      <c r="I134" s="29"/>
      <c r="J134" s="29"/>
      <c r="K134" s="73"/>
      <c r="L134" s="74" t="str">
        <f>IF(A134="","",IF(K134="","",_xlfn.WORKDAY.INTL(K134,5,1,FERIADOS)))</f>
        <v/>
      </c>
      <c r="M134" s="29"/>
      <c r="N134" s="75"/>
      <c r="O134" s="76"/>
      <c r="P134" s="77" t="str">
        <f t="shared" si="3"/>
        <v/>
      </c>
      <c r="Q134" s="73"/>
      <c r="R134" s="29"/>
      <c r="S134" s="75"/>
      <c r="T134" s="73"/>
      <c r="U134" s="29"/>
      <c r="V134" s="76"/>
      <c r="W134" s="75"/>
      <c r="X134" s="76"/>
      <c r="Y134" s="29" t="str">
        <f t="shared" si="4"/>
        <v/>
      </c>
      <c r="Z134" s="29" t="str">
        <f t="shared" si="5"/>
        <v/>
      </c>
      <c r="AA134" s="29"/>
      <c r="AB134" s="29"/>
      <c r="AC134" s="73"/>
      <c r="AD134" s="73"/>
      <c r="AE134" s="78" t="str">
        <f>IF(U134="","",IF(AD134="","",_xlfn.WORKDAY.INTL(AD134,7,1,FERIADOS)))</f>
        <v/>
      </c>
      <c r="AF134" s="79"/>
      <c r="AG134" s="80" t="str">
        <f t="array" ref="AG134">IF(A134="","",IF(AF134="","",AF134*INDEX(PARAMETROS!F$2:F1197,MATCH(YEAR(AC134),PARAMETROS!E$2:E1197,0),1)))</f>
        <v/>
      </c>
      <c r="AH134" s="81"/>
      <c r="AI134" s="82"/>
      <c r="AJ134" s="81"/>
      <c r="AK134" s="81"/>
      <c r="AL134" s="29"/>
      <c r="AM134" s="75"/>
      <c r="AN134" s="29"/>
      <c r="AO134" s="83"/>
      <c r="AP134" s="84"/>
      <c r="AQ134" s="85" t="str">
        <f t="shared" si="6"/>
        <v/>
      </c>
      <c r="AR134" s="86" t="str">
        <f t="array" ref="AR134">IF(A134="","",IFERROR(INDEX('2) Etapas'!L$3:L923,MATCH(B134,'2) Etapas'!$A$4:$A923,0),1),-1))</f>
        <v/>
      </c>
      <c r="AS134" s="87" t="str">
        <f t="shared" si="7"/>
        <v/>
      </c>
      <c r="AT134" s="87" t="str">
        <f t="shared" si="8"/>
        <v/>
      </c>
      <c r="AU134" s="87" t="str">
        <f t="shared" si="9"/>
        <v/>
      </c>
      <c r="AV134" s="89" t="str">
        <f t="array" ref="AV134">IF(OR($A134="",$AB134="", $AC134=""),"",MAXA(IF($A134=$A$4:$A923,$AC$4:$AC923)))</f>
        <v/>
      </c>
    </row>
    <row r="135" ht="22.5" customHeight="1">
      <c r="A135" s="29"/>
      <c r="B135" s="68" t="str">
        <f t="shared" si="1"/>
        <v/>
      </c>
      <c r="C135" s="69"/>
      <c r="D135" s="70" t="str">
        <f t="shared" si="2"/>
        <v/>
      </c>
      <c r="E135" s="29"/>
      <c r="F135" s="68" t="str">
        <f t="array" ref="F135">IF($A135="","",IFERROR(INDEX(MA_INDIVIDUALES!C$2:C923, MATCH($A135,MA_INDIVIDUALES!$B$2:$B923,0),1),"CÓDIGO DE EXPEDIENTE INVÁLIDO"))</f>
        <v/>
      </c>
      <c r="G135" s="68" t="str">
        <f t="array" ref="G135">IF($A135="","",IFERROR(INDEX(MA_INDIVIDUALES!K$2:K923, MATCH($A135,MA_INDIVIDUALES!$B$2:$B923,0),1),"CÓDIGO DE EXPEDIENTE INVÁLIDO"))</f>
        <v/>
      </c>
      <c r="H135" s="68" t="str">
        <f t="array" ref="H135">IF($A135="","",IFERROR(INDEX(MA_INDIVIDUALES!L$2:L923, MATCH($A135,MA_INDIVIDUALES!$B$2:$B923,0),1),"CÓDIGO DE EXPEDIENTE INVÁLIDO"))</f>
        <v/>
      </c>
      <c r="I135" s="29"/>
      <c r="J135" s="29"/>
      <c r="K135" s="73"/>
      <c r="L135" s="74" t="str">
        <f>IF(A135="","",IF(K135="","",_xlfn.WORKDAY.INTL(K135,5,1,FERIADOS)))</f>
        <v/>
      </c>
      <c r="M135" s="29"/>
      <c r="N135" s="75"/>
      <c r="O135" s="76"/>
      <c r="P135" s="77" t="str">
        <f t="shared" si="3"/>
        <v/>
      </c>
      <c r="Q135" s="73"/>
      <c r="R135" s="29"/>
      <c r="S135" s="75"/>
      <c r="T135" s="73"/>
      <c r="U135" s="29"/>
      <c r="V135" s="76"/>
      <c r="W135" s="75"/>
      <c r="X135" s="76"/>
      <c r="Y135" s="29" t="str">
        <f t="shared" si="4"/>
        <v/>
      </c>
      <c r="Z135" s="29" t="str">
        <f t="shared" si="5"/>
        <v/>
      </c>
      <c r="AA135" s="29"/>
      <c r="AB135" s="29"/>
      <c r="AC135" s="73"/>
      <c r="AD135" s="73"/>
      <c r="AE135" s="78" t="str">
        <f>IF(U135="","",IF(AD135="","",_xlfn.WORKDAY.INTL(AD135,7,1,FERIADOS)))</f>
        <v/>
      </c>
      <c r="AF135" s="79"/>
      <c r="AG135" s="80" t="str">
        <f t="array" ref="AG135">IF(A135="","",IF(AF135="","",AF135*INDEX(PARAMETROS!F$2:F1198,MATCH(YEAR(AC135),PARAMETROS!E$2:E1198,0),1)))</f>
        <v/>
      </c>
      <c r="AH135" s="81"/>
      <c r="AI135" s="82"/>
      <c r="AJ135" s="81"/>
      <c r="AK135" s="81"/>
      <c r="AL135" s="29"/>
      <c r="AM135" s="75"/>
      <c r="AN135" s="29"/>
      <c r="AO135" s="83"/>
      <c r="AP135" s="84"/>
      <c r="AQ135" s="85" t="str">
        <f t="shared" si="6"/>
        <v/>
      </c>
      <c r="AR135" s="86" t="str">
        <f t="array" ref="AR135">IF(A135="","",IFERROR(INDEX('2) Etapas'!L$3:L923,MATCH(B135,'2) Etapas'!$A$4:$A923,0),1),-1))</f>
        <v/>
      </c>
      <c r="AS135" s="87" t="str">
        <f t="shared" si="7"/>
        <v/>
      </c>
      <c r="AT135" s="87" t="str">
        <f t="shared" si="8"/>
        <v/>
      </c>
      <c r="AU135" s="87" t="str">
        <f t="shared" si="9"/>
        <v/>
      </c>
      <c r="AV135" s="89" t="str">
        <f t="array" ref="AV135">IF(OR($A135="",$AB135="", $AC135=""),"",MAXA(IF($A135=$A$4:$A923,$AC$4:$AC923)))</f>
        <v/>
      </c>
    </row>
    <row r="136" ht="22.5" customHeight="1">
      <c r="A136" s="29"/>
      <c r="B136" s="68" t="str">
        <f t="shared" si="1"/>
        <v/>
      </c>
      <c r="C136" s="69"/>
      <c r="D136" s="70" t="str">
        <f t="shared" si="2"/>
        <v/>
      </c>
      <c r="E136" s="29"/>
      <c r="F136" s="68" t="str">
        <f t="array" ref="F136">IF($A136="","",IFERROR(INDEX(MA_INDIVIDUALES!C$2:C923, MATCH($A136,MA_INDIVIDUALES!$B$2:$B923,0),1),"CÓDIGO DE EXPEDIENTE INVÁLIDO"))</f>
        <v/>
      </c>
      <c r="G136" s="68" t="str">
        <f t="array" ref="G136">IF($A136="","",IFERROR(INDEX(MA_INDIVIDUALES!K$2:K923, MATCH($A136,MA_INDIVIDUALES!$B$2:$B923,0),1),"CÓDIGO DE EXPEDIENTE INVÁLIDO"))</f>
        <v/>
      </c>
      <c r="H136" s="68" t="str">
        <f t="array" ref="H136">IF($A136="","",IFERROR(INDEX(MA_INDIVIDUALES!L$2:L923, MATCH($A136,MA_INDIVIDUALES!$B$2:$B923,0),1),"CÓDIGO DE EXPEDIENTE INVÁLIDO"))</f>
        <v/>
      </c>
      <c r="I136" s="29"/>
      <c r="J136" s="29"/>
      <c r="K136" s="73"/>
      <c r="L136" s="74" t="str">
        <f>IF(A136="","",IF(K136="","",_xlfn.WORKDAY.INTL(K136,5,1,FERIADOS)))</f>
        <v/>
      </c>
      <c r="M136" s="29"/>
      <c r="N136" s="73"/>
      <c r="O136" s="29"/>
      <c r="P136" s="77" t="str">
        <f t="shared" si="3"/>
        <v/>
      </c>
      <c r="Q136" s="73"/>
      <c r="R136" s="29"/>
      <c r="S136" s="75"/>
      <c r="T136" s="73"/>
      <c r="U136" s="29"/>
      <c r="V136" s="76"/>
      <c r="W136" s="75"/>
      <c r="X136" s="76"/>
      <c r="Y136" s="29" t="str">
        <f t="shared" si="4"/>
        <v/>
      </c>
      <c r="Z136" s="29" t="str">
        <f t="shared" si="5"/>
        <v/>
      </c>
      <c r="AA136" s="29"/>
      <c r="AB136" s="29"/>
      <c r="AC136" s="73"/>
      <c r="AD136" s="73"/>
      <c r="AE136" s="78" t="str">
        <f>IF(U136="","",IF(AD136="","",_xlfn.WORKDAY.INTL(AD136,7,1,FERIADOS)))</f>
        <v/>
      </c>
      <c r="AF136" s="79"/>
      <c r="AG136" s="80" t="str">
        <f t="array" ref="AG136">IF(A136="","",IF(AF136="","",AF136*INDEX(PARAMETROS!F$2:F1199,MATCH(YEAR(AC136),PARAMETROS!E$2:E1199,0),1)))</f>
        <v/>
      </c>
      <c r="AH136" s="81"/>
      <c r="AI136" s="82"/>
      <c r="AJ136" s="81"/>
      <c r="AK136" s="81"/>
      <c r="AL136" s="29"/>
      <c r="AM136" s="75"/>
      <c r="AN136" s="29"/>
      <c r="AO136" s="83"/>
      <c r="AP136" s="84"/>
      <c r="AQ136" s="85" t="str">
        <f t="shared" si="6"/>
        <v/>
      </c>
      <c r="AR136" s="86" t="str">
        <f t="array" ref="AR136">IF(A136="","",IFERROR(INDEX('2) Etapas'!L$3:L923,MATCH(B136,'2) Etapas'!$A$4:$A923,0),1),-1))</f>
        <v/>
      </c>
      <c r="AS136" s="87" t="str">
        <f t="shared" si="7"/>
        <v/>
      </c>
      <c r="AT136" s="87" t="str">
        <f t="shared" si="8"/>
        <v/>
      </c>
      <c r="AU136" s="87" t="str">
        <f t="shared" si="9"/>
        <v/>
      </c>
      <c r="AV136" s="89" t="str">
        <f t="array" ref="AV136">IF(OR($A136="",$AB136="", $AC136=""),"",MAXA(IF($A136=$A$4:$A923,$AC$4:$AC923)))</f>
        <v/>
      </c>
    </row>
    <row r="137" ht="22.5" customHeight="1">
      <c r="A137" s="29"/>
      <c r="B137" s="68" t="str">
        <f t="shared" si="1"/>
        <v/>
      </c>
      <c r="C137" s="69"/>
      <c r="D137" s="70" t="str">
        <f t="shared" si="2"/>
        <v/>
      </c>
      <c r="E137" s="29"/>
      <c r="F137" s="68" t="str">
        <f t="array" ref="F137">IF($A137="","",IFERROR(INDEX(MA_INDIVIDUALES!C$2:C923, MATCH($A137,MA_INDIVIDUALES!$B$2:$B923,0),1),"CÓDIGO DE EXPEDIENTE INVÁLIDO"))</f>
        <v/>
      </c>
      <c r="G137" s="68" t="str">
        <f t="array" ref="G137">IF($A137="","",IFERROR(INDEX(MA_INDIVIDUALES!K$2:K923, MATCH($A137,MA_INDIVIDUALES!$B$2:$B923,0),1),"CÓDIGO DE EXPEDIENTE INVÁLIDO"))</f>
        <v/>
      </c>
      <c r="H137" s="68" t="str">
        <f t="array" ref="H137">IF($A137="","",IFERROR(INDEX(MA_INDIVIDUALES!L$2:L923, MATCH($A137,MA_INDIVIDUALES!$B$2:$B923,0),1),"CÓDIGO DE EXPEDIENTE INVÁLIDO"))</f>
        <v/>
      </c>
      <c r="I137" s="29"/>
      <c r="J137" s="29"/>
      <c r="K137" s="73"/>
      <c r="L137" s="74" t="str">
        <f>IF(A137="","",IF(K137="","",_xlfn.WORKDAY.INTL(K137,5,1,FERIADOS)))</f>
        <v/>
      </c>
      <c r="M137" s="29"/>
      <c r="N137" s="75"/>
      <c r="O137" s="76"/>
      <c r="P137" s="77" t="str">
        <f t="shared" si="3"/>
        <v/>
      </c>
      <c r="Q137" s="73"/>
      <c r="R137" s="29"/>
      <c r="S137" s="75"/>
      <c r="T137" s="73"/>
      <c r="U137" s="29"/>
      <c r="V137" s="76"/>
      <c r="W137" s="75"/>
      <c r="X137" s="76"/>
      <c r="Y137" s="29" t="str">
        <f t="shared" si="4"/>
        <v/>
      </c>
      <c r="Z137" s="29" t="str">
        <f t="shared" si="5"/>
        <v/>
      </c>
      <c r="AA137" s="29"/>
      <c r="AB137" s="29"/>
      <c r="AC137" s="73"/>
      <c r="AD137" s="73"/>
      <c r="AE137" s="78" t="str">
        <f>IF(U137="","",IF(AD137="","",_xlfn.WORKDAY.INTL(AD137,7,1,FERIADOS)))</f>
        <v/>
      </c>
      <c r="AF137" s="79"/>
      <c r="AG137" s="80" t="str">
        <f t="array" ref="AG137">IF(A137="","",IF(AF137="","",AF137*INDEX(PARAMETROS!F$2:F1200,MATCH(YEAR(AC137),PARAMETROS!E$2:E1200,0),1)))</f>
        <v/>
      </c>
      <c r="AH137" s="81"/>
      <c r="AI137" s="82"/>
      <c r="AJ137" s="81"/>
      <c r="AK137" s="81"/>
      <c r="AL137" s="29"/>
      <c r="AM137" s="75"/>
      <c r="AN137" s="29"/>
      <c r="AO137" s="83"/>
      <c r="AP137" s="84"/>
      <c r="AQ137" s="85" t="str">
        <f t="shared" si="6"/>
        <v/>
      </c>
      <c r="AR137" s="86" t="str">
        <f t="array" ref="AR137">IF(A137="","",IFERROR(INDEX('2) Etapas'!L$3:L923,MATCH(B137,'2) Etapas'!$A$4:$A923,0),1),-1))</f>
        <v/>
      </c>
      <c r="AS137" s="87" t="str">
        <f t="shared" si="7"/>
        <v/>
      </c>
      <c r="AT137" s="87" t="str">
        <f t="shared" si="8"/>
        <v/>
      </c>
      <c r="AU137" s="87" t="str">
        <f t="shared" si="9"/>
        <v/>
      </c>
      <c r="AV137" s="89" t="str">
        <f t="array" ref="AV137">IF(OR($A137="",$AB137="", $AC137=""),"",MAXA(IF($A137=$A$4:$A923,$AC$4:$AC923)))</f>
        <v/>
      </c>
    </row>
    <row r="138" ht="22.5" customHeight="1">
      <c r="A138" s="29"/>
      <c r="B138" s="68" t="str">
        <f t="shared" si="1"/>
        <v/>
      </c>
      <c r="C138" s="69"/>
      <c r="D138" s="70" t="str">
        <f t="shared" si="2"/>
        <v/>
      </c>
      <c r="E138" s="29"/>
      <c r="F138" s="68" t="str">
        <f t="array" ref="F138">IF($A138="","",IFERROR(INDEX(MA_INDIVIDUALES!C$2:C923, MATCH($A138,MA_INDIVIDUALES!$B$2:$B923,0),1),"CÓDIGO DE EXPEDIENTE INVÁLIDO"))</f>
        <v/>
      </c>
      <c r="G138" s="68" t="str">
        <f t="array" ref="G138">IF($A138="","",IFERROR(INDEX(MA_INDIVIDUALES!K$2:K923, MATCH($A138,MA_INDIVIDUALES!$B$2:$B923,0),1),"CÓDIGO DE EXPEDIENTE INVÁLIDO"))</f>
        <v/>
      </c>
      <c r="H138" s="68" t="str">
        <f t="array" ref="H138">IF($A138="","",IFERROR(INDEX(MA_INDIVIDUALES!L$2:L923, MATCH($A138,MA_INDIVIDUALES!$B$2:$B923,0),1),"CÓDIGO DE EXPEDIENTE INVÁLIDO"))</f>
        <v/>
      </c>
      <c r="I138" s="29"/>
      <c r="J138" s="29"/>
      <c r="K138" s="73"/>
      <c r="L138" s="74" t="str">
        <f>IF(A138="","",IF(K138="","",_xlfn.WORKDAY.INTL(K138,5,1,FERIADOS)))</f>
        <v/>
      </c>
      <c r="M138" s="29"/>
      <c r="N138" s="75"/>
      <c r="O138" s="76"/>
      <c r="P138" s="77" t="str">
        <f t="shared" si="3"/>
        <v/>
      </c>
      <c r="Q138" s="73"/>
      <c r="R138" s="29"/>
      <c r="S138" s="75"/>
      <c r="T138" s="73"/>
      <c r="U138" s="29"/>
      <c r="V138" s="76"/>
      <c r="W138" s="75"/>
      <c r="X138" s="76"/>
      <c r="Y138" s="29" t="str">
        <f t="shared" si="4"/>
        <v/>
      </c>
      <c r="Z138" s="29" t="str">
        <f t="shared" si="5"/>
        <v/>
      </c>
      <c r="AA138" s="29"/>
      <c r="AB138" s="29"/>
      <c r="AC138" s="73"/>
      <c r="AD138" s="73"/>
      <c r="AE138" s="78" t="str">
        <f>IF(U138="","",IF(AD138="","",_xlfn.WORKDAY.INTL(AD138,7,1,FERIADOS)))</f>
        <v/>
      </c>
      <c r="AF138" s="79"/>
      <c r="AG138" s="80" t="str">
        <f t="array" ref="AG138">IF(A138="","",IF(AF138="","",AF138*INDEX(PARAMETROS!F$2:F1201,MATCH(YEAR(AC138),PARAMETROS!E$2:E1201,0),1)))</f>
        <v/>
      </c>
      <c r="AH138" s="81"/>
      <c r="AI138" s="82"/>
      <c r="AJ138" s="81"/>
      <c r="AK138" s="81"/>
      <c r="AL138" s="29"/>
      <c r="AM138" s="75"/>
      <c r="AN138" s="29"/>
      <c r="AO138" s="83"/>
      <c r="AP138" s="84"/>
      <c r="AQ138" s="85" t="str">
        <f t="shared" si="6"/>
        <v/>
      </c>
      <c r="AR138" s="86" t="str">
        <f t="array" ref="AR138">IF(A138="","",IFERROR(INDEX('2) Etapas'!L$3:L923,MATCH(B138,'2) Etapas'!$A$4:$A923,0),1),-1))</f>
        <v/>
      </c>
      <c r="AS138" s="87" t="str">
        <f t="shared" si="7"/>
        <v/>
      </c>
      <c r="AT138" s="87" t="str">
        <f t="shared" si="8"/>
        <v/>
      </c>
      <c r="AU138" s="87" t="str">
        <f t="shared" si="9"/>
        <v/>
      </c>
      <c r="AV138" s="89" t="str">
        <f t="array" ref="AV138">IF(OR($A138="",$AB138="", $AC138=""),"",MAXA(IF($A138=$A$4:$A923,$AC$4:$AC923)))</f>
        <v/>
      </c>
    </row>
    <row r="139" ht="22.5" customHeight="1">
      <c r="A139" s="29"/>
      <c r="B139" s="68" t="str">
        <f t="shared" si="1"/>
        <v/>
      </c>
      <c r="C139" s="69"/>
      <c r="D139" s="70" t="str">
        <f t="shared" si="2"/>
        <v/>
      </c>
      <c r="E139" s="29"/>
      <c r="F139" s="68" t="str">
        <f t="array" ref="F139">IF($A139="","",IFERROR(INDEX(MA_INDIVIDUALES!C$2:C923, MATCH($A139,MA_INDIVIDUALES!$B$2:$B923,0),1),"CÓDIGO DE EXPEDIENTE INVÁLIDO"))</f>
        <v/>
      </c>
      <c r="G139" s="68" t="str">
        <f t="array" ref="G139">IF($A139="","",IFERROR(INDEX(MA_INDIVIDUALES!K$2:K923, MATCH($A139,MA_INDIVIDUALES!$B$2:$B923,0),1),"CÓDIGO DE EXPEDIENTE INVÁLIDO"))</f>
        <v/>
      </c>
      <c r="H139" s="68" t="str">
        <f t="array" ref="H139">IF($A139="","",IFERROR(INDEX(MA_INDIVIDUALES!L$2:L923, MATCH($A139,MA_INDIVIDUALES!$B$2:$B923,0),1),"CÓDIGO DE EXPEDIENTE INVÁLIDO"))</f>
        <v/>
      </c>
      <c r="I139" s="29"/>
      <c r="J139" s="29"/>
      <c r="K139" s="73"/>
      <c r="L139" s="74" t="str">
        <f>IF(A139="","",IF(K139="","",_xlfn.WORKDAY.INTL(K139,5,1,FERIADOS)))</f>
        <v/>
      </c>
      <c r="M139" s="29"/>
      <c r="N139" s="73"/>
      <c r="O139" s="29"/>
      <c r="P139" s="77" t="str">
        <f t="shared" si="3"/>
        <v/>
      </c>
      <c r="Q139" s="73"/>
      <c r="R139" s="29"/>
      <c r="S139" s="75"/>
      <c r="T139" s="73"/>
      <c r="U139" s="29"/>
      <c r="V139" s="76"/>
      <c r="W139" s="75"/>
      <c r="X139" s="76"/>
      <c r="Y139" s="29" t="str">
        <f t="shared" si="4"/>
        <v/>
      </c>
      <c r="Z139" s="29" t="str">
        <f t="shared" si="5"/>
        <v/>
      </c>
      <c r="AA139" s="29"/>
      <c r="AB139" s="29"/>
      <c r="AC139" s="73"/>
      <c r="AD139" s="73"/>
      <c r="AE139" s="78" t="str">
        <f>IF(U139="","",IF(AD139="","",_xlfn.WORKDAY.INTL(AD139,7,1,FERIADOS)))</f>
        <v/>
      </c>
      <c r="AF139" s="79"/>
      <c r="AG139" s="80" t="str">
        <f t="array" ref="AG139">IF(A139="","",IF(AF139="","",AF139*INDEX(PARAMETROS!F$2:F1202,MATCH(YEAR(AC139),PARAMETROS!E$2:E1202,0),1)))</f>
        <v/>
      </c>
      <c r="AH139" s="81"/>
      <c r="AI139" s="82"/>
      <c r="AJ139" s="81"/>
      <c r="AK139" s="81"/>
      <c r="AL139" s="29"/>
      <c r="AM139" s="73"/>
      <c r="AN139" s="76"/>
      <c r="AO139" s="95"/>
      <c r="AP139" s="84"/>
      <c r="AQ139" s="85" t="str">
        <f t="shared" si="6"/>
        <v/>
      </c>
      <c r="AR139" s="86" t="str">
        <f t="array" ref="AR139">IF(A139="","",IFERROR(INDEX('2) Etapas'!L$3:L923,MATCH(B139,'2) Etapas'!$A$4:$A923,0),1),-1))</f>
        <v/>
      </c>
      <c r="AS139" s="87" t="str">
        <f t="shared" si="7"/>
        <v/>
      </c>
      <c r="AT139" s="87" t="str">
        <f t="shared" si="8"/>
        <v/>
      </c>
      <c r="AU139" s="87" t="str">
        <f t="shared" si="9"/>
        <v/>
      </c>
      <c r="AV139" s="89" t="str">
        <f t="array" ref="AV139">IF(OR($A139="",$AB139="", $AC139=""),"",MAXA(IF($A139=$A$4:$A923,$AC$4:$AC923)))</f>
        <v/>
      </c>
    </row>
    <row r="140" ht="22.5" customHeight="1">
      <c r="A140" s="29"/>
      <c r="B140" s="68" t="str">
        <f t="shared" si="1"/>
        <v/>
      </c>
      <c r="C140" s="69"/>
      <c r="D140" s="70" t="str">
        <f t="shared" si="2"/>
        <v/>
      </c>
      <c r="E140" s="29"/>
      <c r="F140" s="68" t="str">
        <f t="array" ref="F140">IF($A140="","",IFERROR(INDEX(MA_INDIVIDUALES!C$2:C923, MATCH($A140,MA_INDIVIDUALES!$B$2:$B923,0),1),"CÓDIGO DE EXPEDIENTE INVÁLIDO"))</f>
        <v/>
      </c>
      <c r="G140" s="68" t="str">
        <f t="array" ref="G140">IF($A140="","",IFERROR(INDEX(MA_INDIVIDUALES!K$2:K923, MATCH($A140,MA_INDIVIDUALES!$B$2:$B923,0),1),"CÓDIGO DE EXPEDIENTE INVÁLIDO"))</f>
        <v/>
      </c>
      <c r="H140" s="68" t="str">
        <f t="array" ref="H140">IF($A140="","",IFERROR(INDEX(MA_INDIVIDUALES!L$2:L923, MATCH($A140,MA_INDIVIDUALES!$B$2:$B923,0),1),"CÓDIGO DE EXPEDIENTE INVÁLIDO"))</f>
        <v/>
      </c>
      <c r="I140" s="29"/>
      <c r="J140" s="29"/>
      <c r="K140" s="73"/>
      <c r="L140" s="74" t="str">
        <f>IF(A140="","",IF(K140="","",_xlfn.WORKDAY.INTL(K140,5,1,FERIADOS)))</f>
        <v/>
      </c>
      <c r="M140" s="29"/>
      <c r="N140" s="73"/>
      <c r="O140" s="29"/>
      <c r="P140" s="77" t="str">
        <f t="shared" si="3"/>
        <v/>
      </c>
      <c r="Q140" s="73"/>
      <c r="R140" s="29"/>
      <c r="S140" s="75"/>
      <c r="T140" s="73"/>
      <c r="U140" s="29"/>
      <c r="V140" s="76"/>
      <c r="W140" s="75"/>
      <c r="X140" s="76"/>
      <c r="Y140" s="29" t="str">
        <f t="shared" si="4"/>
        <v/>
      </c>
      <c r="Z140" s="29" t="str">
        <f t="shared" si="5"/>
        <v/>
      </c>
      <c r="AA140" s="29"/>
      <c r="AB140" s="29"/>
      <c r="AC140" s="73"/>
      <c r="AD140" s="73"/>
      <c r="AE140" s="78" t="str">
        <f>IF(U140="","",IF(AD140="","",_xlfn.WORKDAY.INTL(AD140,7,1,FERIADOS)))</f>
        <v/>
      </c>
      <c r="AF140" s="79"/>
      <c r="AG140" s="80" t="str">
        <f t="array" ref="AG140">IF(A140="","",IF(AF140="","",AF140*INDEX(PARAMETROS!F$2:F1203,MATCH(YEAR(AC140),PARAMETROS!E$2:E1203,0),1)))</f>
        <v/>
      </c>
      <c r="AH140" s="81"/>
      <c r="AI140" s="82"/>
      <c r="AJ140" s="81"/>
      <c r="AK140" s="81"/>
      <c r="AL140" s="29"/>
      <c r="AM140" s="73"/>
      <c r="AN140" s="76"/>
      <c r="AO140" s="95"/>
      <c r="AP140" s="84"/>
      <c r="AQ140" s="85" t="str">
        <f t="shared" si="6"/>
        <v/>
      </c>
      <c r="AR140" s="86" t="str">
        <f t="array" ref="AR140">IF(A140="","",IFERROR(INDEX('2) Etapas'!L$3:L923,MATCH(B140,'2) Etapas'!$A$4:$A923,0),1),-1))</f>
        <v/>
      </c>
      <c r="AS140" s="87" t="str">
        <f t="shared" si="7"/>
        <v/>
      </c>
      <c r="AT140" s="87" t="str">
        <f t="shared" si="8"/>
        <v/>
      </c>
      <c r="AU140" s="87" t="str">
        <f t="shared" si="9"/>
        <v/>
      </c>
      <c r="AV140" s="89" t="str">
        <f t="array" ref="AV140">IF(OR($A140="",$AB140="", $AC140=""),"",MAXA(IF($A140=$A$4:$A923,$AC$4:$AC923)))</f>
        <v/>
      </c>
    </row>
    <row r="141" ht="22.5" customHeight="1">
      <c r="A141" s="29"/>
      <c r="B141" s="68" t="str">
        <f t="shared" si="1"/>
        <v/>
      </c>
      <c r="C141" s="69"/>
      <c r="D141" s="70" t="str">
        <f t="shared" si="2"/>
        <v/>
      </c>
      <c r="E141" s="29"/>
      <c r="F141" s="68" t="str">
        <f t="array" ref="F141">IF($A141="","",IFERROR(INDEX(MA_INDIVIDUALES!C$2:C923, MATCH($A141,MA_INDIVIDUALES!$B$2:$B923,0),1),"CÓDIGO DE EXPEDIENTE INVÁLIDO"))</f>
        <v/>
      </c>
      <c r="G141" s="68" t="str">
        <f t="array" ref="G141">IF($A141="","",IFERROR(INDEX(MA_INDIVIDUALES!K$2:K923, MATCH($A141,MA_INDIVIDUALES!$B$2:$B923,0),1),"CÓDIGO DE EXPEDIENTE INVÁLIDO"))</f>
        <v/>
      </c>
      <c r="H141" s="68" t="str">
        <f t="array" ref="H141">IF($A141="","",IFERROR(INDEX(MA_INDIVIDUALES!L$2:L923, MATCH($A141,MA_INDIVIDUALES!$B$2:$B923,0),1),"CÓDIGO DE EXPEDIENTE INVÁLIDO"))</f>
        <v/>
      </c>
      <c r="I141" s="29"/>
      <c r="J141" s="29"/>
      <c r="K141" s="73"/>
      <c r="L141" s="74" t="str">
        <f>IF(A141="","",IF(K141="","",_xlfn.WORKDAY.INTL(K141,5,1,FERIADOS)))</f>
        <v/>
      </c>
      <c r="M141" s="29"/>
      <c r="N141" s="73"/>
      <c r="O141" s="29"/>
      <c r="P141" s="77" t="str">
        <f t="shared" si="3"/>
        <v/>
      </c>
      <c r="Q141" s="73"/>
      <c r="R141" s="29"/>
      <c r="S141" s="75"/>
      <c r="T141" s="73"/>
      <c r="U141" s="29"/>
      <c r="V141" s="76"/>
      <c r="W141" s="75"/>
      <c r="X141" s="76"/>
      <c r="Y141" s="29" t="str">
        <f t="shared" si="4"/>
        <v/>
      </c>
      <c r="Z141" s="29" t="str">
        <f t="shared" si="5"/>
        <v/>
      </c>
      <c r="AA141" s="29"/>
      <c r="AB141" s="29"/>
      <c r="AC141" s="73"/>
      <c r="AD141" s="73"/>
      <c r="AE141" s="78" t="str">
        <f>IF(U141="","",IF(AD141="","",_xlfn.WORKDAY.INTL(AD141,7,1,FERIADOS)))</f>
        <v/>
      </c>
      <c r="AF141" s="79"/>
      <c r="AG141" s="80" t="str">
        <f t="array" ref="AG141">IF(A141="","",IF(AF141="","",AF141*INDEX(PARAMETROS!F$2:F1204,MATCH(YEAR(AC141),PARAMETROS!E$2:E1204,0),1)))</f>
        <v/>
      </c>
      <c r="AH141" s="81"/>
      <c r="AI141" s="82"/>
      <c r="AJ141" s="81"/>
      <c r="AK141" s="81"/>
      <c r="AL141" s="29"/>
      <c r="AM141" s="73"/>
      <c r="AN141" s="76"/>
      <c r="AO141" s="95"/>
      <c r="AP141" s="84"/>
      <c r="AQ141" s="85" t="str">
        <f t="shared" si="6"/>
        <v/>
      </c>
      <c r="AR141" s="86" t="str">
        <f t="array" ref="AR141">IF(A141="","",IFERROR(INDEX('2) Etapas'!L$3:L923,MATCH(B141,'2) Etapas'!$A$4:$A923,0),1),-1))</f>
        <v/>
      </c>
      <c r="AS141" s="87" t="str">
        <f t="shared" si="7"/>
        <v/>
      </c>
      <c r="AT141" s="87" t="str">
        <f t="shared" si="8"/>
        <v/>
      </c>
      <c r="AU141" s="87" t="str">
        <f t="shared" si="9"/>
        <v/>
      </c>
      <c r="AV141" s="89" t="str">
        <f t="array" ref="AV141">IF(OR($A141="",$AB141="", $AC141=""),"",MAXA(IF($A141=$A$4:$A923,$AC$4:$AC923)))</f>
        <v/>
      </c>
    </row>
    <row r="142" ht="22.5" customHeight="1">
      <c r="A142" s="29"/>
      <c r="B142" s="68" t="str">
        <f t="shared" si="1"/>
        <v/>
      </c>
      <c r="C142" s="69"/>
      <c r="D142" s="70" t="str">
        <f t="shared" si="2"/>
        <v/>
      </c>
      <c r="E142" s="29"/>
      <c r="F142" s="68" t="str">
        <f t="array" ref="F142">IF($A142="","",IFERROR(INDEX(MA_INDIVIDUALES!C$2:C923, MATCH($A142,MA_INDIVIDUALES!$B$2:$B923,0),1),"CÓDIGO DE EXPEDIENTE INVÁLIDO"))</f>
        <v/>
      </c>
      <c r="G142" s="68" t="str">
        <f t="array" ref="G142">IF($A142="","",IFERROR(INDEX(MA_INDIVIDUALES!K$2:K923, MATCH($A142,MA_INDIVIDUALES!$B$2:$B923,0),1),"CÓDIGO DE EXPEDIENTE INVÁLIDO"))</f>
        <v/>
      </c>
      <c r="H142" s="68" t="str">
        <f t="array" ref="H142">IF($A142="","",IFERROR(INDEX(MA_INDIVIDUALES!L$2:L923, MATCH($A142,MA_INDIVIDUALES!$B$2:$B923,0),1),"CÓDIGO DE EXPEDIENTE INVÁLIDO"))</f>
        <v/>
      </c>
      <c r="I142" s="29"/>
      <c r="J142" s="29"/>
      <c r="K142" s="73"/>
      <c r="L142" s="74" t="str">
        <f>IF(A142="","",IF(K142="","",_xlfn.WORKDAY.INTL(K142,5,1,FERIADOS)))</f>
        <v/>
      </c>
      <c r="M142" s="29"/>
      <c r="N142" s="75"/>
      <c r="O142" s="76"/>
      <c r="P142" s="77" t="str">
        <f t="shared" si="3"/>
        <v/>
      </c>
      <c r="Q142" s="73"/>
      <c r="R142" s="29"/>
      <c r="S142" s="75"/>
      <c r="T142" s="73"/>
      <c r="U142" s="29"/>
      <c r="V142" s="76"/>
      <c r="W142" s="75"/>
      <c r="X142" s="76"/>
      <c r="Y142" s="29" t="str">
        <f t="shared" si="4"/>
        <v/>
      </c>
      <c r="Z142" s="29" t="str">
        <f t="shared" si="5"/>
        <v/>
      </c>
      <c r="AA142" s="29"/>
      <c r="AB142" s="29"/>
      <c r="AC142" s="73"/>
      <c r="AD142" s="73"/>
      <c r="AE142" s="78" t="str">
        <f>IF(U142="","",IF(AD142="","",_xlfn.WORKDAY.INTL(AD142,7,1,FERIADOS)))</f>
        <v/>
      </c>
      <c r="AF142" s="79"/>
      <c r="AG142" s="80" t="str">
        <f t="array" ref="AG142">IF(A142="","",IF(AF142="","",AF142*INDEX(PARAMETROS!F$2:F1205,MATCH(YEAR(AC142),PARAMETROS!E$2:E1205,0),1)))</f>
        <v/>
      </c>
      <c r="AH142" s="81"/>
      <c r="AI142" s="82"/>
      <c r="AJ142" s="81"/>
      <c r="AK142" s="81"/>
      <c r="AL142" s="29"/>
      <c r="AM142" s="75"/>
      <c r="AN142" s="29"/>
      <c r="AO142" s="83"/>
      <c r="AP142" s="84"/>
      <c r="AQ142" s="85" t="str">
        <f t="shared" si="6"/>
        <v/>
      </c>
      <c r="AR142" s="86" t="str">
        <f t="array" ref="AR142">IF(A142="","",IFERROR(INDEX('2) Etapas'!L$3:L923,MATCH(B142,'2) Etapas'!$A$4:$A923,0),1),-1))</f>
        <v/>
      </c>
      <c r="AS142" s="87" t="str">
        <f t="shared" si="7"/>
        <v/>
      </c>
      <c r="AT142" s="87" t="str">
        <f t="shared" si="8"/>
        <v/>
      </c>
      <c r="AU142" s="87" t="str">
        <f t="shared" si="9"/>
        <v/>
      </c>
      <c r="AV142" s="89" t="str">
        <f t="array" ref="AV142">IF(OR($A142="",$AB142="", $AC142=""),"",MAXA(IF($A142=$A$4:$A923,$AC$4:$AC923)))</f>
        <v/>
      </c>
    </row>
    <row r="143" ht="22.5" customHeight="1">
      <c r="A143" s="29"/>
      <c r="B143" s="68" t="str">
        <f t="shared" si="1"/>
        <v/>
      </c>
      <c r="C143" s="69"/>
      <c r="D143" s="70" t="str">
        <f t="shared" si="2"/>
        <v/>
      </c>
      <c r="E143" s="29"/>
      <c r="F143" s="68" t="str">
        <f t="array" ref="F143">IF($A143="","",IFERROR(INDEX(MA_INDIVIDUALES!C$2:C923, MATCH($A143,MA_INDIVIDUALES!$B$2:$B923,0),1),"CÓDIGO DE EXPEDIENTE INVÁLIDO"))</f>
        <v/>
      </c>
      <c r="G143" s="68" t="str">
        <f t="array" ref="G143">IF($A143="","",IFERROR(INDEX(MA_INDIVIDUALES!K$2:K923, MATCH($A143,MA_INDIVIDUALES!$B$2:$B923,0),1),"CÓDIGO DE EXPEDIENTE INVÁLIDO"))</f>
        <v/>
      </c>
      <c r="H143" s="68" t="str">
        <f t="array" ref="H143">IF($A143="","",IFERROR(INDEX(MA_INDIVIDUALES!L$2:L923, MATCH($A143,MA_INDIVIDUALES!$B$2:$B923,0),1),"CÓDIGO DE EXPEDIENTE INVÁLIDO"))</f>
        <v/>
      </c>
      <c r="I143" s="29"/>
      <c r="J143" s="29"/>
      <c r="K143" s="73"/>
      <c r="L143" s="74" t="str">
        <f>IF(A143="","",IF(K143="","",_xlfn.WORKDAY.INTL(K143,5,1,FERIADOS)))</f>
        <v/>
      </c>
      <c r="M143" s="29"/>
      <c r="N143" s="75"/>
      <c r="O143" s="76"/>
      <c r="P143" s="77" t="str">
        <f t="shared" si="3"/>
        <v/>
      </c>
      <c r="Q143" s="73"/>
      <c r="R143" s="29"/>
      <c r="S143" s="75"/>
      <c r="T143" s="73"/>
      <c r="U143" s="29"/>
      <c r="V143" s="76"/>
      <c r="W143" s="75"/>
      <c r="X143" s="76"/>
      <c r="Y143" s="29" t="str">
        <f t="shared" si="4"/>
        <v/>
      </c>
      <c r="Z143" s="29" t="str">
        <f t="shared" si="5"/>
        <v/>
      </c>
      <c r="AA143" s="29"/>
      <c r="AB143" s="29"/>
      <c r="AC143" s="73"/>
      <c r="AD143" s="73"/>
      <c r="AE143" s="78" t="str">
        <f>IF(U143="","",IF(AD143="","",_xlfn.WORKDAY.INTL(AD143,7,1,FERIADOS)))</f>
        <v/>
      </c>
      <c r="AF143" s="79"/>
      <c r="AG143" s="80" t="str">
        <f t="array" ref="AG143">IF(A143="","",IF(AF143="","",AF143*INDEX(PARAMETROS!F$2:F1206,MATCH(YEAR(AC143),PARAMETROS!E$2:E1206,0),1)))</f>
        <v/>
      </c>
      <c r="AH143" s="81"/>
      <c r="AI143" s="82"/>
      <c r="AJ143" s="81"/>
      <c r="AK143" s="81"/>
      <c r="AL143" s="29"/>
      <c r="AM143" s="75"/>
      <c r="AN143" s="29"/>
      <c r="AO143" s="83"/>
      <c r="AP143" s="84"/>
      <c r="AQ143" s="85" t="str">
        <f t="shared" si="6"/>
        <v/>
      </c>
      <c r="AR143" s="86" t="str">
        <f t="array" ref="AR143">IF(A143="","",IFERROR(INDEX('2) Etapas'!L$3:L923,MATCH(B143,'2) Etapas'!$A$4:$A923,0),1),-1))</f>
        <v/>
      </c>
      <c r="AS143" s="87" t="str">
        <f t="shared" si="7"/>
        <v/>
      </c>
      <c r="AT143" s="87" t="str">
        <f t="shared" si="8"/>
        <v/>
      </c>
      <c r="AU143" s="87" t="str">
        <f t="shared" si="9"/>
        <v/>
      </c>
      <c r="AV143" s="89" t="str">
        <f t="array" ref="AV143">IF(OR($A143="",$AB143="", $AC143=""),"",MAXA(IF($A143=$A$4:$A923,$AC$4:$AC923)))</f>
        <v/>
      </c>
    </row>
    <row r="144" ht="22.5" customHeight="1">
      <c r="A144" s="29"/>
      <c r="B144" s="68" t="str">
        <f t="shared" si="1"/>
        <v/>
      </c>
      <c r="C144" s="69"/>
      <c r="D144" s="70" t="str">
        <f t="shared" si="2"/>
        <v/>
      </c>
      <c r="E144" s="29"/>
      <c r="F144" s="68" t="str">
        <f t="array" ref="F144">IF($A144="","",IFERROR(INDEX(MA_INDIVIDUALES!C$2:C923, MATCH($A144,MA_INDIVIDUALES!$B$2:$B923,0),1),"CÓDIGO DE EXPEDIENTE INVÁLIDO"))</f>
        <v/>
      </c>
      <c r="G144" s="68" t="str">
        <f t="array" ref="G144">IF($A144="","",IFERROR(INDEX(MA_INDIVIDUALES!K$2:K923, MATCH($A144,MA_INDIVIDUALES!$B$2:$B923,0),1),"CÓDIGO DE EXPEDIENTE INVÁLIDO"))</f>
        <v/>
      </c>
      <c r="H144" s="68" t="str">
        <f t="array" ref="H144">IF($A144="","",IFERROR(INDEX(MA_INDIVIDUALES!L$2:L923, MATCH($A144,MA_INDIVIDUALES!$B$2:$B923,0),1),"CÓDIGO DE EXPEDIENTE INVÁLIDO"))</f>
        <v/>
      </c>
      <c r="I144" s="29"/>
      <c r="J144" s="29"/>
      <c r="K144" s="73"/>
      <c r="L144" s="74" t="str">
        <f>IF(A144="","",IF(K144="","",_xlfn.WORKDAY.INTL(K144,5,1,FERIADOS)))</f>
        <v/>
      </c>
      <c r="M144" s="29"/>
      <c r="N144" s="75"/>
      <c r="O144" s="76"/>
      <c r="P144" s="77" t="str">
        <f t="shared" si="3"/>
        <v/>
      </c>
      <c r="Q144" s="73"/>
      <c r="R144" s="29"/>
      <c r="S144" s="75"/>
      <c r="T144" s="73"/>
      <c r="U144" s="29"/>
      <c r="V144" s="76"/>
      <c r="W144" s="75"/>
      <c r="X144" s="76"/>
      <c r="Y144" s="29" t="str">
        <f t="shared" si="4"/>
        <v/>
      </c>
      <c r="Z144" s="29" t="str">
        <f t="shared" si="5"/>
        <v/>
      </c>
      <c r="AA144" s="29"/>
      <c r="AB144" s="29"/>
      <c r="AC144" s="73"/>
      <c r="AD144" s="73"/>
      <c r="AE144" s="78" t="str">
        <f>IF(U144="","",IF(AD144="","",_xlfn.WORKDAY.INTL(AD144,7,1,FERIADOS)))</f>
        <v/>
      </c>
      <c r="AF144" s="79"/>
      <c r="AG144" s="80" t="str">
        <f t="array" ref="AG144">IF(A144="","",IF(AF144="","",AF144*INDEX(PARAMETROS!F$2:F1207,MATCH(YEAR(AC144),PARAMETROS!E$2:E1207,0),1)))</f>
        <v/>
      </c>
      <c r="AH144" s="81"/>
      <c r="AI144" s="82"/>
      <c r="AJ144" s="81"/>
      <c r="AK144" s="81"/>
      <c r="AL144" s="29"/>
      <c r="AM144" s="75"/>
      <c r="AN144" s="29"/>
      <c r="AO144" s="83"/>
      <c r="AP144" s="84"/>
      <c r="AQ144" s="85" t="str">
        <f t="shared" si="6"/>
        <v/>
      </c>
      <c r="AR144" s="86" t="str">
        <f t="array" ref="AR144">IF(A144="","",IFERROR(INDEX('2) Etapas'!L$3:L923,MATCH(B144,'2) Etapas'!$A$4:$A923,0),1),-1))</f>
        <v/>
      </c>
      <c r="AS144" s="87" t="str">
        <f t="shared" si="7"/>
        <v/>
      </c>
      <c r="AT144" s="87" t="str">
        <f t="shared" si="8"/>
        <v/>
      </c>
      <c r="AU144" s="87" t="str">
        <f t="shared" si="9"/>
        <v/>
      </c>
      <c r="AV144" s="89" t="str">
        <f t="array" ref="AV144">IF(OR($A144="",$AB144="", $AC144=""),"",MAXA(IF($A144=$A$4:$A923,$AC$4:$AC923)))</f>
        <v/>
      </c>
    </row>
    <row r="145" ht="22.5" customHeight="1">
      <c r="A145" s="29"/>
      <c r="B145" s="68" t="str">
        <f t="shared" si="1"/>
        <v/>
      </c>
      <c r="C145" s="69"/>
      <c r="D145" s="70" t="str">
        <f t="shared" si="2"/>
        <v/>
      </c>
      <c r="E145" s="29"/>
      <c r="F145" s="68" t="str">
        <f t="array" ref="F145">IF($A145="","",IFERROR(INDEX(MA_INDIVIDUALES!C$2:C923, MATCH($A145,MA_INDIVIDUALES!$B$2:$B923,0),1),"CÓDIGO DE EXPEDIENTE INVÁLIDO"))</f>
        <v/>
      </c>
      <c r="G145" s="68" t="str">
        <f t="array" ref="G145">IF($A145="","",IFERROR(INDEX(MA_INDIVIDUALES!K$2:K923, MATCH($A145,MA_INDIVIDUALES!$B$2:$B923,0),1),"CÓDIGO DE EXPEDIENTE INVÁLIDO"))</f>
        <v/>
      </c>
      <c r="H145" s="68" t="str">
        <f t="array" ref="H145">IF($A145="","",IFERROR(INDEX(MA_INDIVIDUALES!L$2:L923, MATCH($A145,MA_INDIVIDUALES!$B$2:$B923,0),1),"CÓDIGO DE EXPEDIENTE INVÁLIDO"))</f>
        <v/>
      </c>
      <c r="I145" s="29"/>
      <c r="J145" s="29"/>
      <c r="K145" s="73"/>
      <c r="L145" s="74" t="str">
        <f>IF(A145="","",IF(K145="","",_xlfn.WORKDAY.INTL(K145,5,1,FERIADOS)))</f>
        <v/>
      </c>
      <c r="M145" s="29"/>
      <c r="N145" s="75"/>
      <c r="O145" s="76"/>
      <c r="P145" s="77" t="str">
        <f t="shared" si="3"/>
        <v/>
      </c>
      <c r="Q145" s="73"/>
      <c r="R145" s="29"/>
      <c r="S145" s="75"/>
      <c r="T145" s="73"/>
      <c r="U145" s="29"/>
      <c r="V145" s="76"/>
      <c r="W145" s="75"/>
      <c r="X145" s="76"/>
      <c r="Y145" s="29" t="str">
        <f t="shared" si="4"/>
        <v/>
      </c>
      <c r="Z145" s="29" t="str">
        <f t="shared" si="5"/>
        <v/>
      </c>
      <c r="AA145" s="29"/>
      <c r="AB145" s="29"/>
      <c r="AC145" s="73"/>
      <c r="AD145" s="73"/>
      <c r="AE145" s="78" t="str">
        <f>IF(U145="","",IF(AD145="","",_xlfn.WORKDAY.INTL(AD145,7,1,FERIADOS)))</f>
        <v/>
      </c>
      <c r="AF145" s="79"/>
      <c r="AG145" s="80" t="str">
        <f t="array" ref="AG145">IF(A145="","",IF(AF145="","",AF145*INDEX(PARAMETROS!F$2:F1208,MATCH(YEAR(AC145),PARAMETROS!E$2:E1208,0),1)))</f>
        <v/>
      </c>
      <c r="AH145" s="81"/>
      <c r="AI145" s="82"/>
      <c r="AJ145" s="81"/>
      <c r="AK145" s="81"/>
      <c r="AL145" s="29"/>
      <c r="AM145" s="75"/>
      <c r="AN145" s="29"/>
      <c r="AO145" s="83"/>
      <c r="AP145" s="84"/>
      <c r="AQ145" s="85" t="str">
        <f t="shared" si="6"/>
        <v/>
      </c>
      <c r="AR145" s="86" t="str">
        <f t="array" ref="AR145">IF(A145="","",IFERROR(INDEX('2) Etapas'!L$3:L923,MATCH(B145,'2) Etapas'!$A$4:$A923,0),1),-1))</f>
        <v/>
      </c>
      <c r="AS145" s="87" t="str">
        <f t="shared" si="7"/>
        <v/>
      </c>
      <c r="AT145" s="87" t="str">
        <f t="shared" si="8"/>
        <v/>
      </c>
      <c r="AU145" s="87" t="str">
        <f t="shared" si="9"/>
        <v/>
      </c>
      <c r="AV145" s="89" t="str">
        <f t="array" ref="AV145">IF(OR($A145="",$AB145="", $AC145=""),"",MAXA(IF($A145=$A$4:$A923,$AC$4:$AC923)))</f>
        <v/>
      </c>
    </row>
    <row r="146" ht="22.5" customHeight="1">
      <c r="A146" s="29"/>
      <c r="B146" s="68" t="str">
        <f t="shared" si="1"/>
        <v/>
      </c>
      <c r="C146" s="69"/>
      <c r="D146" s="70" t="str">
        <f t="shared" si="2"/>
        <v/>
      </c>
      <c r="E146" s="29"/>
      <c r="F146" s="68" t="str">
        <f t="array" ref="F146">IF($A146="","",IFERROR(INDEX(MA_INDIVIDUALES!C$2:C923, MATCH($A146,MA_INDIVIDUALES!$B$2:$B923,0),1),"CÓDIGO DE EXPEDIENTE INVÁLIDO"))</f>
        <v/>
      </c>
      <c r="G146" s="68" t="str">
        <f t="array" ref="G146">IF($A146="","",IFERROR(INDEX(MA_INDIVIDUALES!K$2:K923, MATCH($A146,MA_INDIVIDUALES!$B$2:$B923,0),1),"CÓDIGO DE EXPEDIENTE INVÁLIDO"))</f>
        <v/>
      </c>
      <c r="H146" s="68" t="str">
        <f t="array" ref="H146">IF($A146="","",IFERROR(INDEX(MA_INDIVIDUALES!L$2:L923, MATCH($A146,MA_INDIVIDUALES!$B$2:$B923,0),1),"CÓDIGO DE EXPEDIENTE INVÁLIDO"))</f>
        <v/>
      </c>
      <c r="I146" s="29"/>
      <c r="J146" s="29"/>
      <c r="K146" s="73"/>
      <c r="L146" s="74" t="str">
        <f>IF(A146="","",IF(K146="","",_xlfn.WORKDAY.INTL(K146,5,1,FERIADOS)))</f>
        <v/>
      </c>
      <c r="M146" s="29"/>
      <c r="N146" s="75"/>
      <c r="O146" s="76"/>
      <c r="P146" s="77" t="str">
        <f t="shared" si="3"/>
        <v/>
      </c>
      <c r="Q146" s="73"/>
      <c r="R146" s="29"/>
      <c r="S146" s="75"/>
      <c r="T146" s="73"/>
      <c r="U146" s="29"/>
      <c r="V146" s="76"/>
      <c r="W146" s="75"/>
      <c r="X146" s="76"/>
      <c r="Y146" s="29" t="str">
        <f t="shared" si="4"/>
        <v/>
      </c>
      <c r="Z146" s="29" t="str">
        <f t="shared" si="5"/>
        <v/>
      </c>
      <c r="AA146" s="29"/>
      <c r="AB146" s="29"/>
      <c r="AC146" s="73"/>
      <c r="AD146" s="73"/>
      <c r="AE146" s="78" t="str">
        <f>IF(U146="","",IF(AD146="","",_xlfn.WORKDAY.INTL(AD146,7,1,FERIADOS)))</f>
        <v/>
      </c>
      <c r="AF146" s="79"/>
      <c r="AG146" s="80" t="str">
        <f t="array" ref="AG146">IF(A146="","",IF(AF146="","",AF146*INDEX(PARAMETROS!F$2:F1209,MATCH(YEAR(AC146),PARAMETROS!E$2:E1209,0),1)))</f>
        <v/>
      </c>
      <c r="AH146" s="81"/>
      <c r="AI146" s="82"/>
      <c r="AJ146" s="81"/>
      <c r="AK146" s="81"/>
      <c r="AL146" s="29"/>
      <c r="AM146" s="75"/>
      <c r="AN146" s="29"/>
      <c r="AO146" s="83"/>
      <c r="AP146" s="84"/>
      <c r="AQ146" s="85" t="str">
        <f t="shared" si="6"/>
        <v/>
      </c>
      <c r="AR146" s="86" t="str">
        <f t="array" ref="AR146">IF(A146="","",IFERROR(INDEX('2) Etapas'!L$3:L923,MATCH(B146,'2) Etapas'!$A$4:$A923,0),1),-1))</f>
        <v/>
      </c>
      <c r="AS146" s="87" t="str">
        <f t="shared" si="7"/>
        <v/>
      </c>
      <c r="AT146" s="87" t="str">
        <f t="shared" si="8"/>
        <v/>
      </c>
      <c r="AU146" s="87" t="str">
        <f t="shared" si="9"/>
        <v/>
      </c>
      <c r="AV146" s="89" t="str">
        <f t="array" ref="AV146">IF(OR($A146="",$AB146="", $AC146=""),"",MAXA(IF($A146=$A$4:$A923,$AC$4:$AC923)))</f>
        <v/>
      </c>
    </row>
    <row r="147" ht="22.5" customHeight="1">
      <c r="A147" s="29"/>
      <c r="B147" s="68" t="str">
        <f t="shared" si="1"/>
        <v/>
      </c>
      <c r="C147" s="69"/>
      <c r="D147" s="70" t="str">
        <f t="shared" si="2"/>
        <v/>
      </c>
      <c r="E147" s="29"/>
      <c r="F147" s="68" t="str">
        <f t="array" ref="F147">IF($A147="","",IFERROR(INDEX(MA_INDIVIDUALES!C$2:C923, MATCH($A147,MA_INDIVIDUALES!$B$2:$B923,0),1),"CÓDIGO DE EXPEDIENTE INVÁLIDO"))</f>
        <v/>
      </c>
      <c r="G147" s="68" t="str">
        <f t="array" ref="G147">IF($A147="","",IFERROR(INDEX(MA_INDIVIDUALES!K$2:K923, MATCH($A147,MA_INDIVIDUALES!$B$2:$B923,0),1),"CÓDIGO DE EXPEDIENTE INVÁLIDO"))</f>
        <v/>
      </c>
      <c r="H147" s="68" t="str">
        <f t="array" ref="H147">IF($A147="","",IFERROR(INDEX(MA_INDIVIDUALES!L$2:L923, MATCH($A147,MA_INDIVIDUALES!$B$2:$B923,0),1),"CÓDIGO DE EXPEDIENTE INVÁLIDO"))</f>
        <v/>
      </c>
      <c r="I147" s="29"/>
      <c r="J147" s="29"/>
      <c r="K147" s="73"/>
      <c r="L147" s="74" t="str">
        <f>IF(A147="","",IF(K147="","",_xlfn.WORKDAY.INTL(K147,5,1,FERIADOS)))</f>
        <v/>
      </c>
      <c r="M147" s="29"/>
      <c r="N147" s="75"/>
      <c r="O147" s="76"/>
      <c r="P147" s="77" t="str">
        <f t="shared" si="3"/>
        <v/>
      </c>
      <c r="Q147" s="73"/>
      <c r="R147" s="29"/>
      <c r="S147" s="75"/>
      <c r="T147" s="73"/>
      <c r="U147" s="29"/>
      <c r="V147" s="76"/>
      <c r="W147" s="75"/>
      <c r="X147" s="76"/>
      <c r="Y147" s="29" t="str">
        <f t="shared" si="4"/>
        <v/>
      </c>
      <c r="Z147" s="29" t="str">
        <f t="shared" si="5"/>
        <v/>
      </c>
      <c r="AA147" s="29"/>
      <c r="AB147" s="29"/>
      <c r="AC147" s="73"/>
      <c r="AD147" s="73"/>
      <c r="AE147" s="78" t="str">
        <f>IF(U147="","",IF(AD147="","",_xlfn.WORKDAY.INTL(AD147,7,1,FERIADOS)))</f>
        <v/>
      </c>
      <c r="AF147" s="79"/>
      <c r="AG147" s="80" t="str">
        <f t="array" ref="AG147">IF(A147="","",IF(AF147="","",AF147*INDEX(PARAMETROS!F$2:F1210,MATCH(YEAR(AC147),PARAMETROS!E$2:E1210,0),1)))</f>
        <v/>
      </c>
      <c r="AH147" s="81"/>
      <c r="AI147" s="82"/>
      <c r="AJ147" s="81"/>
      <c r="AK147" s="81"/>
      <c r="AL147" s="29"/>
      <c r="AM147" s="75"/>
      <c r="AN147" s="29"/>
      <c r="AO147" s="83"/>
      <c r="AP147" s="84"/>
      <c r="AQ147" s="85" t="str">
        <f t="shared" si="6"/>
        <v/>
      </c>
      <c r="AR147" s="86" t="str">
        <f t="array" ref="AR147">IF(A147="","",IFERROR(INDEX('2) Etapas'!L$3:L923,MATCH(B147,'2) Etapas'!$A$4:$A923,0),1),-1))</f>
        <v/>
      </c>
      <c r="AS147" s="87" t="str">
        <f t="shared" si="7"/>
        <v/>
      </c>
      <c r="AT147" s="87" t="str">
        <f t="shared" si="8"/>
        <v/>
      </c>
      <c r="AU147" s="87" t="str">
        <f t="shared" si="9"/>
        <v/>
      </c>
      <c r="AV147" s="89" t="str">
        <f t="array" ref="AV147">IF(OR($A147="",$AB147="", $AC147=""),"",MAXA(IF($A147=$A$4:$A923,$AC$4:$AC923)))</f>
        <v/>
      </c>
    </row>
    <row r="148" ht="22.5" customHeight="1">
      <c r="A148" s="29"/>
      <c r="B148" s="68" t="str">
        <f t="shared" si="1"/>
        <v/>
      </c>
      <c r="C148" s="69"/>
      <c r="D148" s="70" t="str">
        <f t="shared" si="2"/>
        <v/>
      </c>
      <c r="E148" s="29"/>
      <c r="F148" s="68" t="str">
        <f t="array" ref="F148">IF($A148="","",IFERROR(INDEX(MA_INDIVIDUALES!C$2:C923, MATCH($A148,MA_INDIVIDUALES!$B$2:$B923,0),1),"CÓDIGO DE EXPEDIENTE INVÁLIDO"))</f>
        <v/>
      </c>
      <c r="G148" s="68" t="str">
        <f t="array" ref="G148">IF($A148="","",IFERROR(INDEX(MA_INDIVIDUALES!K$2:K923, MATCH($A148,MA_INDIVIDUALES!$B$2:$B923,0),1),"CÓDIGO DE EXPEDIENTE INVÁLIDO"))</f>
        <v/>
      </c>
      <c r="H148" s="68" t="str">
        <f t="array" ref="H148">IF($A148="","",IFERROR(INDEX(MA_INDIVIDUALES!L$2:L923, MATCH($A148,MA_INDIVIDUALES!$B$2:$B923,0),1),"CÓDIGO DE EXPEDIENTE INVÁLIDO"))</f>
        <v/>
      </c>
      <c r="I148" s="29"/>
      <c r="J148" s="29"/>
      <c r="K148" s="73"/>
      <c r="L148" s="74" t="str">
        <f>IF(A148="","",IF(K148="","",_xlfn.WORKDAY.INTL(K148,5,1,FERIADOS)))</f>
        <v/>
      </c>
      <c r="M148" s="29"/>
      <c r="N148" s="75"/>
      <c r="O148" s="76"/>
      <c r="P148" s="77" t="str">
        <f t="shared" si="3"/>
        <v/>
      </c>
      <c r="Q148" s="73"/>
      <c r="R148" s="29"/>
      <c r="S148" s="75"/>
      <c r="T148" s="73"/>
      <c r="U148" s="29"/>
      <c r="V148" s="76"/>
      <c r="W148" s="75"/>
      <c r="X148" s="76"/>
      <c r="Y148" s="29" t="str">
        <f t="shared" si="4"/>
        <v/>
      </c>
      <c r="Z148" s="29" t="str">
        <f t="shared" si="5"/>
        <v/>
      </c>
      <c r="AA148" s="29"/>
      <c r="AB148" s="29"/>
      <c r="AC148" s="73"/>
      <c r="AD148" s="73"/>
      <c r="AE148" s="78" t="str">
        <f>IF(U148="","",IF(AD148="","",_xlfn.WORKDAY.INTL(AD148,7,1,FERIADOS)))</f>
        <v/>
      </c>
      <c r="AF148" s="79"/>
      <c r="AG148" s="80" t="str">
        <f t="array" ref="AG148">IF(A148="","",IF(AF148="","",AF148*INDEX(PARAMETROS!F$2:F1211,MATCH(YEAR(AC148),PARAMETROS!E$2:E1211,0),1)))</f>
        <v/>
      </c>
      <c r="AH148" s="81"/>
      <c r="AI148" s="82"/>
      <c r="AJ148" s="81"/>
      <c r="AK148" s="81"/>
      <c r="AL148" s="29"/>
      <c r="AM148" s="75"/>
      <c r="AN148" s="29"/>
      <c r="AO148" s="83"/>
      <c r="AP148" s="84"/>
      <c r="AQ148" s="85" t="str">
        <f t="shared" si="6"/>
        <v/>
      </c>
      <c r="AR148" s="86" t="str">
        <f t="array" ref="AR148">IF(A148="","",IFERROR(INDEX('2) Etapas'!L$3:L923,MATCH(B148,'2) Etapas'!$A$4:$A923,0),1),-1))</f>
        <v/>
      </c>
      <c r="AS148" s="87" t="str">
        <f t="shared" si="7"/>
        <v/>
      </c>
      <c r="AT148" s="87" t="str">
        <f t="shared" si="8"/>
        <v/>
      </c>
      <c r="AU148" s="87" t="str">
        <f t="shared" si="9"/>
        <v/>
      </c>
      <c r="AV148" s="89" t="str">
        <f t="array" ref="AV148">IF(OR($A148="",$AB148="", $AC148=""),"",MAXA(IF($A148=$A$4:$A923,$AC$4:$AC923)))</f>
        <v/>
      </c>
    </row>
    <row r="149" ht="22.5" customHeight="1">
      <c r="A149" s="29"/>
      <c r="B149" s="68" t="str">
        <f t="shared" si="1"/>
        <v/>
      </c>
      <c r="C149" s="69"/>
      <c r="D149" s="70" t="str">
        <f t="shared" si="2"/>
        <v/>
      </c>
      <c r="E149" s="29"/>
      <c r="F149" s="68" t="str">
        <f t="array" ref="F149">IF($A149="","",IFERROR(INDEX(MA_INDIVIDUALES!C$2:C923, MATCH($A149,MA_INDIVIDUALES!$B$2:$B923,0),1),"CÓDIGO DE EXPEDIENTE INVÁLIDO"))</f>
        <v/>
      </c>
      <c r="G149" s="68" t="str">
        <f t="array" ref="G149">IF($A149="","",IFERROR(INDEX(MA_INDIVIDUALES!K$2:K923, MATCH($A149,MA_INDIVIDUALES!$B$2:$B923,0),1),"CÓDIGO DE EXPEDIENTE INVÁLIDO"))</f>
        <v/>
      </c>
      <c r="H149" s="68" t="str">
        <f t="array" ref="H149">IF($A149="","",IFERROR(INDEX(MA_INDIVIDUALES!L$2:L923, MATCH($A149,MA_INDIVIDUALES!$B$2:$B923,0),1),"CÓDIGO DE EXPEDIENTE INVÁLIDO"))</f>
        <v/>
      </c>
      <c r="I149" s="29"/>
      <c r="J149" s="29"/>
      <c r="K149" s="73"/>
      <c r="L149" s="74" t="str">
        <f>IF(A149="","",IF(K149="","",_xlfn.WORKDAY.INTL(K149,5,1,FERIADOS)))</f>
        <v/>
      </c>
      <c r="M149" s="29"/>
      <c r="N149" s="75"/>
      <c r="O149" s="76"/>
      <c r="P149" s="77" t="str">
        <f t="shared" si="3"/>
        <v/>
      </c>
      <c r="Q149" s="73"/>
      <c r="R149" s="29"/>
      <c r="S149" s="75"/>
      <c r="T149" s="73"/>
      <c r="U149" s="29"/>
      <c r="V149" s="76"/>
      <c r="W149" s="75"/>
      <c r="X149" s="76"/>
      <c r="Y149" s="29" t="str">
        <f t="shared" si="4"/>
        <v/>
      </c>
      <c r="Z149" s="29" t="str">
        <f t="shared" si="5"/>
        <v/>
      </c>
      <c r="AA149" s="29"/>
      <c r="AB149" s="29"/>
      <c r="AC149" s="73"/>
      <c r="AD149" s="73"/>
      <c r="AE149" s="78" t="str">
        <f>IF(U149="","",IF(AD149="","",_xlfn.WORKDAY.INTL(AD149,7,1,FERIADOS)))</f>
        <v/>
      </c>
      <c r="AF149" s="79"/>
      <c r="AG149" s="80" t="str">
        <f t="array" ref="AG149">IF(A149="","",IF(AF149="","",AF149*INDEX(PARAMETROS!F$2:F1212,MATCH(YEAR(AC149),PARAMETROS!E$2:E1212,0),1)))</f>
        <v/>
      </c>
      <c r="AH149" s="81"/>
      <c r="AI149" s="82"/>
      <c r="AJ149" s="81"/>
      <c r="AK149" s="81"/>
      <c r="AL149" s="29"/>
      <c r="AM149" s="75"/>
      <c r="AN149" s="29"/>
      <c r="AO149" s="83"/>
      <c r="AP149" s="84"/>
      <c r="AQ149" s="85" t="str">
        <f t="shared" si="6"/>
        <v/>
      </c>
      <c r="AR149" s="86" t="str">
        <f t="array" ref="AR149">IF(A149="","",IFERROR(INDEX('2) Etapas'!L$3:L923,MATCH(B149,'2) Etapas'!$A$4:$A923,0),1),-1))</f>
        <v/>
      </c>
      <c r="AS149" s="87" t="str">
        <f t="shared" si="7"/>
        <v/>
      </c>
      <c r="AT149" s="87" t="str">
        <f t="shared" si="8"/>
        <v/>
      </c>
      <c r="AU149" s="87" t="str">
        <f t="shared" si="9"/>
        <v/>
      </c>
      <c r="AV149" s="89" t="str">
        <f t="array" ref="AV149">IF(OR($A149="",$AB149="", $AC149=""),"",MAXA(IF($A149=$A$4:$A923,$AC$4:$AC923)))</f>
        <v/>
      </c>
    </row>
    <row r="150" ht="22.5" customHeight="1">
      <c r="A150" s="29"/>
      <c r="B150" s="68" t="str">
        <f t="shared" si="1"/>
        <v/>
      </c>
      <c r="C150" s="69"/>
      <c r="D150" s="70" t="str">
        <f t="shared" si="2"/>
        <v/>
      </c>
      <c r="E150" s="29"/>
      <c r="F150" s="68" t="str">
        <f t="array" ref="F150">IF($A150="","",IFERROR(INDEX(MA_INDIVIDUALES!C$2:C923, MATCH($A150,MA_INDIVIDUALES!$B$2:$B923,0),1),"CÓDIGO DE EXPEDIENTE INVÁLIDO"))</f>
        <v/>
      </c>
      <c r="G150" s="68" t="str">
        <f t="array" ref="G150">IF($A150="","",IFERROR(INDEX(MA_INDIVIDUALES!K$2:K923, MATCH($A150,MA_INDIVIDUALES!$B$2:$B923,0),1),"CÓDIGO DE EXPEDIENTE INVÁLIDO"))</f>
        <v/>
      </c>
      <c r="H150" s="68" t="str">
        <f t="array" ref="H150">IF($A150="","",IFERROR(INDEX(MA_INDIVIDUALES!L$2:L923, MATCH($A150,MA_INDIVIDUALES!$B$2:$B923,0),1),"CÓDIGO DE EXPEDIENTE INVÁLIDO"))</f>
        <v/>
      </c>
      <c r="I150" s="29"/>
      <c r="J150" s="29"/>
      <c r="K150" s="73"/>
      <c r="L150" s="74" t="str">
        <f>IF(A150="","",IF(K150="","",_xlfn.WORKDAY.INTL(K150,5,1,FERIADOS)))</f>
        <v/>
      </c>
      <c r="M150" s="29"/>
      <c r="N150" s="75"/>
      <c r="O150" s="76"/>
      <c r="P150" s="77" t="str">
        <f t="shared" si="3"/>
        <v/>
      </c>
      <c r="Q150" s="73"/>
      <c r="R150" s="29"/>
      <c r="S150" s="75"/>
      <c r="T150" s="73"/>
      <c r="U150" s="29"/>
      <c r="V150" s="76"/>
      <c r="W150" s="75"/>
      <c r="X150" s="76"/>
      <c r="Y150" s="29" t="str">
        <f t="shared" si="4"/>
        <v/>
      </c>
      <c r="Z150" s="29" t="str">
        <f t="shared" si="5"/>
        <v/>
      </c>
      <c r="AA150" s="29"/>
      <c r="AB150" s="29"/>
      <c r="AC150" s="73"/>
      <c r="AD150" s="73"/>
      <c r="AE150" s="78" t="str">
        <f>IF(U150="","",IF(AD150="","",_xlfn.WORKDAY.INTL(AD150,7,1,FERIADOS)))</f>
        <v/>
      </c>
      <c r="AF150" s="79"/>
      <c r="AG150" s="80" t="str">
        <f t="array" ref="AG150">IF(A150="","",IF(AF150="","",AF150*INDEX(PARAMETROS!F$2:F1213,MATCH(YEAR(AC150),PARAMETROS!E$2:E1213,0),1)))</f>
        <v/>
      </c>
      <c r="AH150" s="81"/>
      <c r="AI150" s="82"/>
      <c r="AJ150" s="81"/>
      <c r="AK150" s="81"/>
      <c r="AL150" s="29"/>
      <c r="AM150" s="75"/>
      <c r="AN150" s="29"/>
      <c r="AO150" s="83"/>
      <c r="AP150" s="84"/>
      <c r="AQ150" s="85" t="str">
        <f t="shared" si="6"/>
        <v/>
      </c>
      <c r="AR150" s="86" t="str">
        <f t="array" ref="AR150">IF(A150="","",IFERROR(INDEX('2) Etapas'!L$3:L923,MATCH(B150,'2) Etapas'!$A$4:$A923,0),1),-1))</f>
        <v/>
      </c>
      <c r="AS150" s="87" t="str">
        <f t="shared" si="7"/>
        <v/>
      </c>
      <c r="AT150" s="87" t="str">
        <f t="shared" si="8"/>
        <v/>
      </c>
      <c r="AU150" s="87" t="str">
        <f t="shared" si="9"/>
        <v/>
      </c>
      <c r="AV150" s="89" t="str">
        <f t="array" ref="AV150">IF(OR($A150="",$AB150="", $AC150=""),"",MAXA(IF($A150=$A$4:$A923,$AC$4:$AC923)))</f>
        <v/>
      </c>
    </row>
    <row r="151" ht="22.5" customHeight="1">
      <c r="A151" s="29"/>
      <c r="B151" s="68" t="str">
        <f t="shared" si="1"/>
        <v/>
      </c>
      <c r="C151" s="69"/>
      <c r="D151" s="70" t="str">
        <f t="shared" si="2"/>
        <v/>
      </c>
      <c r="E151" s="29"/>
      <c r="F151" s="68" t="str">
        <f t="array" ref="F151">IF($A151="","",IFERROR(INDEX(MA_INDIVIDUALES!C$2:C923, MATCH($A151,MA_INDIVIDUALES!$B$2:$B923,0),1),"CÓDIGO DE EXPEDIENTE INVÁLIDO"))</f>
        <v/>
      </c>
      <c r="G151" s="68" t="str">
        <f t="array" ref="G151">IF($A151="","",IFERROR(INDEX(MA_INDIVIDUALES!K$2:K923, MATCH($A151,MA_INDIVIDUALES!$B$2:$B923,0),1),"CÓDIGO DE EXPEDIENTE INVÁLIDO"))</f>
        <v/>
      </c>
      <c r="H151" s="68" t="str">
        <f t="array" ref="H151">IF($A151="","",IFERROR(INDEX(MA_INDIVIDUALES!L$2:L923, MATCH($A151,MA_INDIVIDUALES!$B$2:$B923,0),1),"CÓDIGO DE EXPEDIENTE INVÁLIDO"))</f>
        <v/>
      </c>
      <c r="I151" s="29"/>
      <c r="J151" s="29"/>
      <c r="K151" s="73"/>
      <c r="L151" s="74" t="str">
        <f>IF(A151="","",IF(K151="","",_xlfn.WORKDAY.INTL(K151,5,1,FERIADOS)))</f>
        <v/>
      </c>
      <c r="M151" s="29"/>
      <c r="N151" s="75"/>
      <c r="O151" s="76"/>
      <c r="P151" s="77" t="str">
        <f t="shared" si="3"/>
        <v/>
      </c>
      <c r="Q151" s="73"/>
      <c r="R151" s="29"/>
      <c r="S151" s="75"/>
      <c r="T151" s="73"/>
      <c r="U151" s="29"/>
      <c r="V151" s="76"/>
      <c r="W151" s="75"/>
      <c r="X151" s="76"/>
      <c r="Y151" s="29" t="str">
        <f t="shared" si="4"/>
        <v/>
      </c>
      <c r="Z151" s="29" t="str">
        <f t="shared" si="5"/>
        <v/>
      </c>
      <c r="AA151" s="29"/>
      <c r="AB151" s="29"/>
      <c r="AC151" s="73"/>
      <c r="AD151" s="73"/>
      <c r="AE151" s="78" t="str">
        <f>IF(U151="","",IF(AD151="","",_xlfn.WORKDAY.INTL(AD151,7,1,FERIADOS)))</f>
        <v/>
      </c>
      <c r="AF151" s="79"/>
      <c r="AG151" s="80" t="str">
        <f t="array" ref="AG151">IF(A151="","",IF(AF151="","",AF151*INDEX(PARAMETROS!F$2:F1214,MATCH(YEAR(AC151),PARAMETROS!E$2:E1214,0),1)))</f>
        <v/>
      </c>
      <c r="AH151" s="81"/>
      <c r="AI151" s="82"/>
      <c r="AJ151" s="81"/>
      <c r="AK151" s="81"/>
      <c r="AL151" s="29"/>
      <c r="AM151" s="75"/>
      <c r="AN151" s="29"/>
      <c r="AO151" s="83"/>
      <c r="AP151" s="84"/>
      <c r="AQ151" s="85" t="str">
        <f t="shared" si="6"/>
        <v/>
      </c>
      <c r="AR151" s="86" t="str">
        <f t="array" ref="AR151">IF(A151="","",IFERROR(INDEX('2) Etapas'!L$3:L923,MATCH(B151,'2) Etapas'!$A$4:$A923,0),1),-1))</f>
        <v/>
      </c>
      <c r="AS151" s="87" t="str">
        <f t="shared" si="7"/>
        <v/>
      </c>
      <c r="AT151" s="87" t="str">
        <f t="shared" si="8"/>
        <v/>
      </c>
      <c r="AU151" s="87" t="str">
        <f t="shared" si="9"/>
        <v/>
      </c>
      <c r="AV151" s="89" t="str">
        <f t="array" ref="AV151">IF(OR($A151="",$AB151="", $AC151=""),"",MAXA(IF($A151=$A$4:$A923,$AC$4:$AC923)))</f>
        <v/>
      </c>
    </row>
    <row r="152" ht="22.5" customHeight="1">
      <c r="A152" s="29"/>
      <c r="B152" s="68" t="str">
        <f t="shared" si="1"/>
        <v/>
      </c>
      <c r="C152" s="69"/>
      <c r="D152" s="70" t="str">
        <f t="shared" si="2"/>
        <v/>
      </c>
      <c r="E152" s="29"/>
      <c r="F152" s="68" t="str">
        <f t="array" ref="F152">IF($A152="","",IFERROR(INDEX(MA_INDIVIDUALES!C$2:C923, MATCH($A152,MA_INDIVIDUALES!$B$2:$B923,0),1),"CÓDIGO DE EXPEDIENTE INVÁLIDO"))</f>
        <v/>
      </c>
      <c r="G152" s="68" t="str">
        <f t="array" ref="G152">IF($A152="","",IFERROR(INDEX(MA_INDIVIDUALES!K$2:K923, MATCH($A152,MA_INDIVIDUALES!$B$2:$B923,0),1),"CÓDIGO DE EXPEDIENTE INVÁLIDO"))</f>
        <v/>
      </c>
      <c r="H152" s="68" t="str">
        <f t="array" ref="H152">IF($A152="","",IFERROR(INDEX(MA_INDIVIDUALES!L$2:L923, MATCH($A152,MA_INDIVIDUALES!$B$2:$B923,0),1),"CÓDIGO DE EXPEDIENTE INVÁLIDO"))</f>
        <v/>
      </c>
      <c r="I152" s="29"/>
      <c r="J152" s="29"/>
      <c r="K152" s="73"/>
      <c r="L152" s="74" t="str">
        <f>IF(A152="","",IF(K152="","",_xlfn.WORKDAY.INTL(K152,5,1,FERIADOS)))</f>
        <v/>
      </c>
      <c r="M152" s="29"/>
      <c r="N152" s="75"/>
      <c r="O152" s="76"/>
      <c r="P152" s="77" t="str">
        <f t="shared" si="3"/>
        <v/>
      </c>
      <c r="Q152" s="75"/>
      <c r="R152" s="76"/>
      <c r="S152" s="75"/>
      <c r="T152" s="75"/>
      <c r="U152" s="29"/>
      <c r="V152" s="76"/>
      <c r="W152" s="75"/>
      <c r="X152" s="76"/>
      <c r="Y152" s="29" t="str">
        <f t="shared" si="4"/>
        <v/>
      </c>
      <c r="Z152" s="29" t="str">
        <f t="shared" si="5"/>
        <v/>
      </c>
      <c r="AA152" s="29"/>
      <c r="AB152" s="29"/>
      <c r="AC152" s="73"/>
      <c r="AD152" s="73"/>
      <c r="AE152" s="78" t="str">
        <f>IF(U152="","",IF(AD152="","",_xlfn.WORKDAY.INTL(AD152,7,1,FERIADOS)))</f>
        <v/>
      </c>
      <c r="AF152" s="79"/>
      <c r="AG152" s="80" t="str">
        <f t="array" ref="AG152">IF(A152="","",IF(AF152="","",AF152*INDEX(PARAMETROS!F$2:F1215,MATCH(YEAR(AC152),PARAMETROS!E$2:E1215,0),1)))</f>
        <v/>
      </c>
      <c r="AH152" s="81"/>
      <c r="AI152" s="82"/>
      <c r="AJ152" s="81"/>
      <c r="AK152" s="81"/>
      <c r="AL152" s="29"/>
      <c r="AM152" s="75"/>
      <c r="AN152" s="29"/>
      <c r="AO152" s="83"/>
      <c r="AP152" s="84"/>
      <c r="AQ152" s="85" t="str">
        <f t="shared" si="6"/>
        <v/>
      </c>
      <c r="AR152" s="86" t="str">
        <f t="array" ref="AR152">IF(A152="","",IFERROR(INDEX('2) Etapas'!L$3:L923,MATCH(B152,'2) Etapas'!$A$4:$A923,0),1),-1))</f>
        <v/>
      </c>
      <c r="AS152" s="87" t="str">
        <f t="shared" si="7"/>
        <v/>
      </c>
      <c r="AT152" s="87" t="str">
        <f t="shared" si="8"/>
        <v/>
      </c>
      <c r="AU152" s="87" t="str">
        <f t="shared" si="9"/>
        <v/>
      </c>
      <c r="AV152" s="89" t="str">
        <f t="array" ref="AV152">IF(OR($A152="",$AB152="", $AC152=""),"",MAXA(IF($A152=$A$4:$A923,$AC$4:$AC923)))</f>
        <v/>
      </c>
    </row>
    <row r="153" ht="22.5" customHeight="1">
      <c r="A153" s="29"/>
      <c r="B153" s="68" t="str">
        <f t="shared" si="1"/>
        <v/>
      </c>
      <c r="C153" s="69"/>
      <c r="D153" s="70" t="str">
        <f t="shared" si="2"/>
        <v/>
      </c>
      <c r="E153" s="29"/>
      <c r="F153" s="68" t="str">
        <f t="array" ref="F153">IF($A153="","",IFERROR(INDEX(MA_INDIVIDUALES!C$2:C923, MATCH($A153,MA_INDIVIDUALES!$B$2:$B923,0),1),"CÓDIGO DE EXPEDIENTE INVÁLIDO"))</f>
        <v/>
      </c>
      <c r="G153" s="68" t="str">
        <f t="array" ref="G153">IF($A153="","",IFERROR(INDEX(MA_INDIVIDUALES!K$2:K923, MATCH($A153,MA_INDIVIDUALES!$B$2:$B923,0),1),"CÓDIGO DE EXPEDIENTE INVÁLIDO"))</f>
        <v/>
      </c>
      <c r="H153" s="68" t="str">
        <f t="array" ref="H153">IF($A153="","",IFERROR(INDEX(MA_INDIVIDUALES!L$2:L923, MATCH($A153,MA_INDIVIDUALES!$B$2:$B923,0),1),"CÓDIGO DE EXPEDIENTE INVÁLIDO"))</f>
        <v/>
      </c>
      <c r="I153" s="29"/>
      <c r="J153" s="29"/>
      <c r="K153" s="73"/>
      <c r="L153" s="74" t="str">
        <f>IF(A153="","",IF(K153="","",_xlfn.WORKDAY.INTL(K153,5,1,FERIADOS)))</f>
        <v/>
      </c>
      <c r="M153" s="29"/>
      <c r="N153" s="75"/>
      <c r="O153" s="76"/>
      <c r="P153" s="77" t="str">
        <f t="shared" si="3"/>
        <v/>
      </c>
      <c r="Q153" s="75"/>
      <c r="R153" s="76"/>
      <c r="S153" s="75"/>
      <c r="T153" s="75"/>
      <c r="U153" s="29"/>
      <c r="V153" s="76"/>
      <c r="W153" s="75"/>
      <c r="X153" s="76"/>
      <c r="Y153" s="29" t="str">
        <f t="shared" si="4"/>
        <v/>
      </c>
      <c r="Z153" s="29" t="str">
        <f t="shared" si="5"/>
        <v/>
      </c>
      <c r="AA153" s="29"/>
      <c r="AB153" s="29"/>
      <c r="AC153" s="73"/>
      <c r="AD153" s="73"/>
      <c r="AE153" s="78" t="str">
        <f>IF(U153="","",IF(AD153="","",_xlfn.WORKDAY.INTL(AD153,7,1,FERIADOS)))</f>
        <v/>
      </c>
      <c r="AF153" s="79"/>
      <c r="AG153" s="80" t="str">
        <f t="array" ref="AG153">IF(A153="","",IF(AF153="","",AF153*INDEX(PARAMETROS!F$2:F1216,MATCH(YEAR(AC153),PARAMETROS!E$2:E1216,0),1)))</f>
        <v/>
      </c>
      <c r="AH153" s="81"/>
      <c r="AI153" s="82"/>
      <c r="AJ153" s="81"/>
      <c r="AK153" s="81"/>
      <c r="AL153" s="29"/>
      <c r="AM153" s="75"/>
      <c r="AN153" s="29"/>
      <c r="AO153" s="83"/>
      <c r="AP153" s="84"/>
      <c r="AQ153" s="85" t="str">
        <f t="shared" si="6"/>
        <v/>
      </c>
      <c r="AR153" s="86" t="str">
        <f t="array" ref="AR153">IF(A153="","",IFERROR(INDEX('2) Etapas'!L$3:L923,MATCH(B153,'2) Etapas'!$A$4:$A923,0),1),-1))</f>
        <v/>
      </c>
      <c r="AS153" s="87" t="str">
        <f t="shared" si="7"/>
        <v/>
      </c>
      <c r="AT153" s="87" t="str">
        <f t="shared" si="8"/>
        <v/>
      </c>
      <c r="AU153" s="87" t="str">
        <f t="shared" si="9"/>
        <v/>
      </c>
      <c r="AV153" s="89" t="str">
        <f t="array" ref="AV153">IF(OR($A153="",$AB153="", $AC153=""),"",MAXA(IF($A153=$A$4:$A923,$AC$4:$AC923)))</f>
        <v/>
      </c>
    </row>
    <row r="154" ht="22.5" customHeight="1">
      <c r="A154" s="29"/>
      <c r="B154" s="68" t="str">
        <f t="shared" si="1"/>
        <v/>
      </c>
      <c r="C154" s="69"/>
      <c r="D154" s="70" t="str">
        <f t="shared" si="2"/>
        <v/>
      </c>
      <c r="E154" s="29"/>
      <c r="F154" s="68" t="str">
        <f t="array" ref="F154">IF($A154="","",IFERROR(INDEX(MA_INDIVIDUALES!C$2:C923, MATCH($A154,MA_INDIVIDUALES!$B$2:$B923,0),1),"CÓDIGO DE EXPEDIENTE INVÁLIDO"))</f>
        <v/>
      </c>
      <c r="G154" s="68" t="str">
        <f t="array" ref="G154">IF($A154="","",IFERROR(INDEX(MA_INDIVIDUALES!K$2:K923, MATCH($A154,MA_INDIVIDUALES!$B$2:$B923,0),1),"CÓDIGO DE EXPEDIENTE INVÁLIDO"))</f>
        <v/>
      </c>
      <c r="H154" s="68" t="str">
        <f t="array" ref="H154">IF($A154="","",IFERROR(INDEX(MA_INDIVIDUALES!L$2:L923, MATCH($A154,MA_INDIVIDUALES!$B$2:$B923,0),1),"CÓDIGO DE EXPEDIENTE INVÁLIDO"))</f>
        <v/>
      </c>
      <c r="I154" s="29"/>
      <c r="J154" s="29"/>
      <c r="K154" s="73"/>
      <c r="L154" s="74" t="str">
        <f>IF(A154="","",IF(K154="","",_xlfn.WORKDAY.INTL(K154,5,1,FERIADOS)))</f>
        <v/>
      </c>
      <c r="M154" s="29"/>
      <c r="N154" s="75"/>
      <c r="O154" s="76"/>
      <c r="P154" s="77" t="str">
        <f t="shared" si="3"/>
        <v/>
      </c>
      <c r="Q154" s="75"/>
      <c r="R154" s="76"/>
      <c r="S154" s="75"/>
      <c r="T154" s="75"/>
      <c r="U154" s="29"/>
      <c r="V154" s="76"/>
      <c r="W154" s="75"/>
      <c r="X154" s="76"/>
      <c r="Y154" s="29" t="str">
        <f t="shared" si="4"/>
        <v/>
      </c>
      <c r="Z154" s="29" t="str">
        <f t="shared" si="5"/>
        <v/>
      </c>
      <c r="AA154" s="29"/>
      <c r="AB154" s="29"/>
      <c r="AC154" s="73"/>
      <c r="AD154" s="73"/>
      <c r="AE154" s="78" t="str">
        <f>IF(U154="","",IF(AD154="","",_xlfn.WORKDAY.INTL(AD154,7,1,FERIADOS)))</f>
        <v/>
      </c>
      <c r="AF154" s="79"/>
      <c r="AG154" s="80" t="str">
        <f t="array" ref="AG154">IF(A154="","",IF(AF154="","",AF154*INDEX(PARAMETROS!F$2:F1217,MATCH(YEAR(AC154),PARAMETROS!E$2:E1217,0),1)))</f>
        <v/>
      </c>
      <c r="AH154" s="81"/>
      <c r="AI154" s="82"/>
      <c r="AJ154" s="81"/>
      <c r="AK154" s="81"/>
      <c r="AL154" s="29"/>
      <c r="AM154" s="75"/>
      <c r="AN154" s="29"/>
      <c r="AO154" s="83"/>
      <c r="AP154" s="84"/>
      <c r="AQ154" s="85" t="str">
        <f t="shared" si="6"/>
        <v/>
      </c>
      <c r="AR154" s="86" t="str">
        <f t="array" ref="AR154">IF(A154="","",IFERROR(INDEX('2) Etapas'!L$3:L923,MATCH(B154,'2) Etapas'!$A$4:$A923,0),1),-1))</f>
        <v/>
      </c>
      <c r="AS154" s="87" t="str">
        <f t="shared" si="7"/>
        <v/>
      </c>
      <c r="AT154" s="87" t="str">
        <f t="shared" si="8"/>
        <v/>
      </c>
      <c r="AU154" s="87" t="str">
        <f t="shared" si="9"/>
        <v/>
      </c>
      <c r="AV154" s="89" t="str">
        <f t="array" ref="AV154">IF(OR($A154="",$AB154="", $AC154=""),"",MAXA(IF($A154=$A$4:$A923,$AC$4:$AC923)))</f>
        <v/>
      </c>
    </row>
    <row r="155" ht="22.5" customHeight="1">
      <c r="A155" s="29"/>
      <c r="B155" s="68" t="str">
        <f t="shared" si="1"/>
        <v/>
      </c>
      <c r="C155" s="69"/>
      <c r="D155" s="70" t="str">
        <f t="shared" si="2"/>
        <v/>
      </c>
      <c r="E155" s="29"/>
      <c r="F155" s="68" t="str">
        <f t="array" ref="F155">IF($A155="","",IFERROR(INDEX(MA_INDIVIDUALES!C$2:C923, MATCH($A155,MA_INDIVIDUALES!$B$2:$B923,0),1),"CÓDIGO DE EXPEDIENTE INVÁLIDO"))</f>
        <v/>
      </c>
      <c r="G155" s="68" t="str">
        <f t="array" ref="G155">IF($A155="","",IFERROR(INDEX(MA_INDIVIDUALES!K$2:K923, MATCH($A155,MA_INDIVIDUALES!$B$2:$B923,0),1),"CÓDIGO DE EXPEDIENTE INVÁLIDO"))</f>
        <v/>
      </c>
      <c r="H155" s="68" t="str">
        <f t="array" ref="H155">IF($A155="","",IFERROR(INDEX(MA_INDIVIDUALES!L$2:L923, MATCH($A155,MA_INDIVIDUALES!$B$2:$B923,0),1),"CÓDIGO DE EXPEDIENTE INVÁLIDO"))</f>
        <v/>
      </c>
      <c r="I155" s="29"/>
      <c r="J155" s="29"/>
      <c r="K155" s="73"/>
      <c r="L155" s="74" t="str">
        <f>IF(A155="","",IF(K155="","",_xlfn.WORKDAY.INTL(K155,5,1,FERIADOS)))</f>
        <v/>
      </c>
      <c r="M155" s="29"/>
      <c r="N155" s="75"/>
      <c r="O155" s="76"/>
      <c r="P155" s="77" t="str">
        <f t="shared" si="3"/>
        <v/>
      </c>
      <c r="Q155" s="75"/>
      <c r="R155" s="76"/>
      <c r="S155" s="75"/>
      <c r="T155" s="75"/>
      <c r="U155" s="29"/>
      <c r="V155" s="76"/>
      <c r="W155" s="75"/>
      <c r="X155" s="76"/>
      <c r="Y155" s="29" t="str">
        <f t="shared" si="4"/>
        <v/>
      </c>
      <c r="Z155" s="29" t="str">
        <f t="shared" si="5"/>
        <v/>
      </c>
      <c r="AA155" s="29"/>
      <c r="AB155" s="29"/>
      <c r="AC155" s="73"/>
      <c r="AD155" s="73"/>
      <c r="AE155" s="78" t="str">
        <f>IF(U155="","",IF(AD155="","",_xlfn.WORKDAY.INTL(AD155,7,1,FERIADOS)))</f>
        <v/>
      </c>
      <c r="AF155" s="79"/>
      <c r="AG155" s="80" t="str">
        <f t="array" ref="AG155">IF(A155="","",IF(AF155="","",AF155*INDEX(PARAMETROS!F$2:F1218,MATCH(YEAR(AC155),PARAMETROS!E$2:E1218,0),1)))</f>
        <v/>
      </c>
      <c r="AH155" s="81"/>
      <c r="AI155" s="82"/>
      <c r="AJ155" s="81"/>
      <c r="AK155" s="81"/>
      <c r="AL155" s="29"/>
      <c r="AM155" s="75"/>
      <c r="AN155" s="29"/>
      <c r="AO155" s="83"/>
      <c r="AP155" s="84"/>
      <c r="AQ155" s="85" t="str">
        <f t="shared" si="6"/>
        <v/>
      </c>
      <c r="AR155" s="86" t="str">
        <f t="array" ref="AR155">IF(A155="","",IFERROR(INDEX('2) Etapas'!L$3:L923,MATCH(B155,'2) Etapas'!$A$4:$A923,0),1),-1))</f>
        <v/>
      </c>
      <c r="AS155" s="87" t="str">
        <f t="shared" si="7"/>
        <v/>
      </c>
      <c r="AT155" s="87" t="str">
        <f t="shared" si="8"/>
        <v/>
      </c>
      <c r="AU155" s="87" t="str">
        <f t="shared" si="9"/>
        <v/>
      </c>
      <c r="AV155" s="89" t="str">
        <f t="array" ref="AV155">IF(OR($A155="",$AB155="", $AC155=""),"",MAXA(IF($A155=$A$4:$A923,$AC$4:$AC923)))</f>
        <v/>
      </c>
    </row>
    <row r="156" ht="22.5" customHeight="1">
      <c r="A156" s="29"/>
      <c r="B156" s="68" t="str">
        <f t="shared" si="1"/>
        <v/>
      </c>
      <c r="C156" s="69"/>
      <c r="D156" s="70" t="str">
        <f t="shared" si="2"/>
        <v/>
      </c>
      <c r="E156" s="29"/>
      <c r="F156" s="68" t="str">
        <f t="array" ref="F156">IF($A156="","",IFERROR(INDEX(MA_INDIVIDUALES!C$2:C923, MATCH($A156,MA_INDIVIDUALES!$B$2:$B923,0),1),"CÓDIGO DE EXPEDIENTE INVÁLIDO"))</f>
        <v/>
      </c>
      <c r="G156" s="68" t="str">
        <f t="array" ref="G156">IF($A156="","",IFERROR(INDEX(MA_INDIVIDUALES!K$2:K923, MATCH($A156,MA_INDIVIDUALES!$B$2:$B923,0),1),"CÓDIGO DE EXPEDIENTE INVÁLIDO"))</f>
        <v/>
      </c>
      <c r="H156" s="68" t="str">
        <f t="array" ref="H156">IF($A156="","",IFERROR(INDEX(MA_INDIVIDUALES!L$2:L923, MATCH($A156,MA_INDIVIDUALES!$B$2:$B923,0),1),"CÓDIGO DE EXPEDIENTE INVÁLIDO"))</f>
        <v/>
      </c>
      <c r="I156" s="29"/>
      <c r="J156" s="29"/>
      <c r="K156" s="73"/>
      <c r="L156" s="74" t="str">
        <f>IF(A156="","",IF(K156="","",_xlfn.WORKDAY.INTL(K156,5,1,FERIADOS)))</f>
        <v/>
      </c>
      <c r="M156" s="29"/>
      <c r="N156" s="75"/>
      <c r="O156" s="76"/>
      <c r="P156" s="77" t="str">
        <f t="shared" si="3"/>
        <v/>
      </c>
      <c r="Q156" s="75"/>
      <c r="R156" s="76"/>
      <c r="S156" s="75"/>
      <c r="T156" s="75"/>
      <c r="U156" s="29"/>
      <c r="V156" s="76"/>
      <c r="W156" s="75"/>
      <c r="X156" s="76"/>
      <c r="Y156" s="29" t="str">
        <f t="shared" si="4"/>
        <v/>
      </c>
      <c r="Z156" s="29" t="str">
        <f t="shared" si="5"/>
        <v/>
      </c>
      <c r="AA156" s="29"/>
      <c r="AB156" s="29"/>
      <c r="AC156" s="73"/>
      <c r="AD156" s="73"/>
      <c r="AE156" s="78" t="str">
        <f>IF(U156="","",IF(AD156="","",_xlfn.WORKDAY.INTL(AD156,7,1,FERIADOS)))</f>
        <v/>
      </c>
      <c r="AF156" s="79"/>
      <c r="AG156" s="80" t="str">
        <f t="array" ref="AG156">IF(A156="","",IF(AF156="","",AF156*INDEX(PARAMETROS!F$2:F1219,MATCH(YEAR(AC156),PARAMETROS!E$2:E1219,0),1)))</f>
        <v/>
      </c>
      <c r="AH156" s="81"/>
      <c r="AI156" s="82"/>
      <c r="AJ156" s="81"/>
      <c r="AK156" s="81"/>
      <c r="AL156" s="29"/>
      <c r="AM156" s="75"/>
      <c r="AN156" s="29"/>
      <c r="AO156" s="83"/>
      <c r="AP156" s="84"/>
      <c r="AQ156" s="85" t="str">
        <f t="shared" si="6"/>
        <v/>
      </c>
      <c r="AR156" s="86" t="str">
        <f t="array" ref="AR156">IF(A156="","",IFERROR(INDEX('2) Etapas'!L$3:L923,MATCH(B156,'2) Etapas'!$A$4:$A923,0),1),-1))</f>
        <v/>
      </c>
      <c r="AS156" s="87" t="str">
        <f t="shared" si="7"/>
        <v/>
      </c>
      <c r="AT156" s="87" t="str">
        <f t="shared" si="8"/>
        <v/>
      </c>
      <c r="AU156" s="87" t="str">
        <f t="shared" si="9"/>
        <v/>
      </c>
      <c r="AV156" s="89" t="str">
        <f t="array" ref="AV156">IF(OR($A156="",$AB156="", $AC156=""),"",MAXA(IF($A156=$A$4:$A923,$AC$4:$AC923)))</f>
        <v/>
      </c>
    </row>
    <row r="157" ht="22.5" customHeight="1">
      <c r="A157" s="29"/>
      <c r="B157" s="68" t="str">
        <f t="shared" si="1"/>
        <v/>
      </c>
      <c r="C157" s="69"/>
      <c r="D157" s="70" t="str">
        <f t="shared" si="2"/>
        <v/>
      </c>
      <c r="E157" s="29"/>
      <c r="F157" s="68" t="str">
        <f t="array" ref="F157">IF($A157="","",IFERROR(INDEX(MA_INDIVIDUALES!C$2:C923, MATCH($A157,MA_INDIVIDUALES!$B$2:$B923,0),1),"CÓDIGO DE EXPEDIENTE INVÁLIDO"))</f>
        <v/>
      </c>
      <c r="G157" s="68" t="str">
        <f t="array" ref="G157">IF($A157="","",IFERROR(INDEX(MA_INDIVIDUALES!K$2:K923, MATCH($A157,MA_INDIVIDUALES!$B$2:$B923,0),1),"CÓDIGO DE EXPEDIENTE INVÁLIDO"))</f>
        <v/>
      </c>
      <c r="H157" s="68" t="str">
        <f t="array" ref="H157">IF($A157="","",IFERROR(INDEX(MA_INDIVIDUALES!L$2:L923, MATCH($A157,MA_INDIVIDUALES!$B$2:$B923,0),1),"CÓDIGO DE EXPEDIENTE INVÁLIDO"))</f>
        <v/>
      </c>
      <c r="I157" s="29"/>
      <c r="J157" s="29"/>
      <c r="K157" s="73"/>
      <c r="L157" s="74" t="str">
        <f>IF(A157="","",IF(K157="","",_xlfn.WORKDAY.INTL(K157,5,1,FERIADOS)))</f>
        <v/>
      </c>
      <c r="M157" s="29"/>
      <c r="N157" s="75"/>
      <c r="O157" s="76"/>
      <c r="P157" s="77" t="str">
        <f t="shared" si="3"/>
        <v/>
      </c>
      <c r="Q157" s="75"/>
      <c r="R157" s="76"/>
      <c r="S157" s="75"/>
      <c r="T157" s="75"/>
      <c r="U157" s="29"/>
      <c r="V157" s="76"/>
      <c r="W157" s="75"/>
      <c r="X157" s="76"/>
      <c r="Y157" s="29" t="str">
        <f t="shared" si="4"/>
        <v/>
      </c>
      <c r="Z157" s="29" t="str">
        <f t="shared" si="5"/>
        <v/>
      </c>
      <c r="AA157" s="29"/>
      <c r="AB157" s="29"/>
      <c r="AC157" s="73"/>
      <c r="AD157" s="73"/>
      <c r="AE157" s="78" t="str">
        <f>IF(U157="","",IF(AD157="","",_xlfn.WORKDAY.INTL(AD157,7,1,FERIADOS)))</f>
        <v/>
      </c>
      <c r="AF157" s="79"/>
      <c r="AG157" s="80" t="str">
        <f t="array" ref="AG157">IF(A157="","",IF(AF157="","",AF157*INDEX(PARAMETROS!F$2:F1220,MATCH(YEAR(AC157),PARAMETROS!E$2:E1220,0),1)))</f>
        <v/>
      </c>
      <c r="AH157" s="81"/>
      <c r="AI157" s="82"/>
      <c r="AJ157" s="81"/>
      <c r="AK157" s="81"/>
      <c r="AL157" s="29"/>
      <c r="AM157" s="75"/>
      <c r="AN157" s="29"/>
      <c r="AO157" s="83"/>
      <c r="AP157" s="84"/>
      <c r="AQ157" s="85" t="str">
        <f t="shared" si="6"/>
        <v/>
      </c>
      <c r="AR157" s="86" t="str">
        <f t="array" ref="AR157">IF(A157="","",IFERROR(INDEX('2) Etapas'!L$3:L923,MATCH(B157,'2) Etapas'!$A$4:$A923,0),1),-1))</f>
        <v/>
      </c>
      <c r="AS157" s="87" t="str">
        <f t="shared" si="7"/>
        <v/>
      </c>
      <c r="AT157" s="87" t="str">
        <f t="shared" si="8"/>
        <v/>
      </c>
      <c r="AU157" s="87" t="str">
        <f t="shared" si="9"/>
        <v/>
      </c>
      <c r="AV157" s="89" t="str">
        <f t="array" ref="AV157">IF(OR($A157="",$AB157="", $AC157=""),"",MAXA(IF($A157=$A$4:$A923,$AC$4:$AC923)))</f>
        <v/>
      </c>
    </row>
    <row r="158" ht="22.5" customHeight="1">
      <c r="A158" s="29"/>
      <c r="B158" s="68" t="str">
        <f t="shared" si="1"/>
        <v/>
      </c>
      <c r="C158" s="69"/>
      <c r="D158" s="70" t="str">
        <f t="shared" si="2"/>
        <v/>
      </c>
      <c r="E158" s="29"/>
      <c r="F158" s="68" t="str">
        <f t="array" ref="F158">IF($A158="","",IFERROR(INDEX(MA_INDIVIDUALES!C$2:C923, MATCH($A158,MA_INDIVIDUALES!$B$2:$B923,0),1),"CÓDIGO DE EXPEDIENTE INVÁLIDO"))</f>
        <v/>
      </c>
      <c r="G158" s="68" t="str">
        <f t="array" ref="G158">IF($A158="","",IFERROR(INDEX(MA_INDIVIDUALES!K$2:K923, MATCH($A158,MA_INDIVIDUALES!$B$2:$B923,0),1),"CÓDIGO DE EXPEDIENTE INVÁLIDO"))</f>
        <v/>
      </c>
      <c r="H158" s="68" t="str">
        <f t="array" ref="H158">IF($A158="","",IFERROR(INDEX(MA_INDIVIDUALES!L$2:L923, MATCH($A158,MA_INDIVIDUALES!$B$2:$B923,0),1),"CÓDIGO DE EXPEDIENTE INVÁLIDO"))</f>
        <v/>
      </c>
      <c r="I158" s="29"/>
      <c r="J158" s="29"/>
      <c r="K158" s="73"/>
      <c r="L158" s="74" t="str">
        <f>IF(A158="","",IF(K158="","",_xlfn.WORKDAY.INTL(K158,5,1,FERIADOS)))</f>
        <v/>
      </c>
      <c r="M158" s="29"/>
      <c r="N158" s="75"/>
      <c r="O158" s="76"/>
      <c r="P158" s="77" t="str">
        <f t="shared" si="3"/>
        <v/>
      </c>
      <c r="Q158" s="75"/>
      <c r="R158" s="76"/>
      <c r="S158" s="75"/>
      <c r="T158" s="75"/>
      <c r="U158" s="29"/>
      <c r="V158" s="76"/>
      <c r="W158" s="75"/>
      <c r="X158" s="76"/>
      <c r="Y158" s="29" t="str">
        <f t="shared" si="4"/>
        <v/>
      </c>
      <c r="Z158" s="29" t="str">
        <f t="shared" si="5"/>
        <v/>
      </c>
      <c r="AA158" s="29"/>
      <c r="AB158" s="29"/>
      <c r="AC158" s="73"/>
      <c r="AD158" s="73"/>
      <c r="AE158" s="78" t="str">
        <f>IF(U158="","",IF(AD158="","",_xlfn.WORKDAY.INTL(AD158,7,1,FERIADOS)))</f>
        <v/>
      </c>
      <c r="AF158" s="79"/>
      <c r="AG158" s="80" t="str">
        <f t="array" ref="AG158">IF(A158="","",IF(AF158="","",AF158*INDEX(PARAMETROS!F$2:F1221,MATCH(YEAR(AC158),PARAMETROS!E$2:E1221,0),1)))</f>
        <v/>
      </c>
      <c r="AH158" s="81"/>
      <c r="AI158" s="82"/>
      <c r="AJ158" s="81"/>
      <c r="AK158" s="81"/>
      <c r="AL158" s="29"/>
      <c r="AM158" s="75"/>
      <c r="AN158" s="29"/>
      <c r="AO158" s="83"/>
      <c r="AP158" s="84"/>
      <c r="AQ158" s="85" t="str">
        <f t="shared" si="6"/>
        <v/>
      </c>
      <c r="AR158" s="86" t="str">
        <f t="array" ref="AR158">IF(A158="","",IFERROR(INDEX('2) Etapas'!L$3:L923,MATCH(B158,'2) Etapas'!$A$4:$A923,0),1),-1))</f>
        <v/>
      </c>
      <c r="AS158" s="87" t="str">
        <f t="shared" si="7"/>
        <v/>
      </c>
      <c r="AT158" s="87" t="str">
        <f t="shared" si="8"/>
        <v/>
      </c>
      <c r="AU158" s="87" t="str">
        <f t="shared" si="9"/>
        <v/>
      </c>
      <c r="AV158" s="89" t="str">
        <f t="array" ref="AV158">IF(OR($A158="",$AB158="", $AC158=""),"",MAXA(IF($A158=$A$4:$A923,$AC$4:$AC923)))</f>
        <v/>
      </c>
    </row>
    <row r="159" ht="22.5" customHeight="1">
      <c r="A159" s="29"/>
      <c r="B159" s="68" t="str">
        <f t="shared" si="1"/>
        <v/>
      </c>
      <c r="C159" s="69"/>
      <c r="D159" s="70" t="str">
        <f t="shared" si="2"/>
        <v/>
      </c>
      <c r="E159" s="29"/>
      <c r="F159" s="68" t="str">
        <f t="array" ref="F159">IF($A159="","",IFERROR(INDEX(MA_INDIVIDUALES!C$2:C923, MATCH($A159,MA_INDIVIDUALES!$B$2:$B923,0),1),"CÓDIGO DE EXPEDIENTE INVÁLIDO"))</f>
        <v/>
      </c>
      <c r="G159" s="68" t="str">
        <f t="array" ref="G159">IF($A159="","",IFERROR(INDEX(MA_INDIVIDUALES!K$2:K923, MATCH($A159,MA_INDIVIDUALES!$B$2:$B923,0),1),"CÓDIGO DE EXPEDIENTE INVÁLIDO"))</f>
        <v/>
      </c>
      <c r="H159" s="68" t="str">
        <f t="array" ref="H159">IF($A159="","",IFERROR(INDEX(MA_INDIVIDUALES!L$2:L923, MATCH($A159,MA_INDIVIDUALES!$B$2:$B923,0),1),"CÓDIGO DE EXPEDIENTE INVÁLIDO"))</f>
        <v/>
      </c>
      <c r="I159" s="29"/>
      <c r="J159" s="29"/>
      <c r="K159" s="73"/>
      <c r="L159" s="74" t="str">
        <f>IF(A159="","",IF(K159="","",_xlfn.WORKDAY.INTL(K159,5,1,FERIADOS)))</f>
        <v/>
      </c>
      <c r="M159" s="29"/>
      <c r="N159" s="75"/>
      <c r="O159" s="76"/>
      <c r="P159" s="77" t="str">
        <f t="shared" si="3"/>
        <v/>
      </c>
      <c r="Q159" s="75"/>
      <c r="R159" s="76"/>
      <c r="S159" s="75"/>
      <c r="T159" s="75"/>
      <c r="U159" s="29"/>
      <c r="V159" s="76"/>
      <c r="W159" s="75"/>
      <c r="X159" s="76"/>
      <c r="Y159" s="29" t="str">
        <f t="shared" si="4"/>
        <v/>
      </c>
      <c r="Z159" s="29" t="str">
        <f t="shared" si="5"/>
        <v/>
      </c>
      <c r="AA159" s="29"/>
      <c r="AB159" s="29"/>
      <c r="AC159" s="73"/>
      <c r="AD159" s="73"/>
      <c r="AE159" s="78" t="str">
        <f>IF(U159="","",IF(AD159="","",_xlfn.WORKDAY.INTL(AD159,7,1,FERIADOS)))</f>
        <v/>
      </c>
      <c r="AF159" s="79"/>
      <c r="AG159" s="80" t="str">
        <f t="array" ref="AG159">IF(A159="","",IF(AF159="","",AF159*INDEX(PARAMETROS!F$2:F1222,MATCH(YEAR(AC159),PARAMETROS!E$2:E1222,0),1)))</f>
        <v/>
      </c>
      <c r="AH159" s="81"/>
      <c r="AI159" s="82"/>
      <c r="AJ159" s="81"/>
      <c r="AK159" s="81"/>
      <c r="AL159" s="29"/>
      <c r="AM159" s="75"/>
      <c r="AN159" s="29"/>
      <c r="AO159" s="83"/>
      <c r="AP159" s="84"/>
      <c r="AQ159" s="85" t="str">
        <f t="shared" si="6"/>
        <v/>
      </c>
      <c r="AR159" s="86" t="str">
        <f t="array" ref="AR159">IF(A159="","",IFERROR(INDEX('2) Etapas'!L$3:L923,MATCH(B159,'2) Etapas'!$A$4:$A923,0),1),-1))</f>
        <v/>
      </c>
      <c r="AS159" s="87" t="str">
        <f t="shared" si="7"/>
        <v/>
      </c>
      <c r="AT159" s="87" t="str">
        <f t="shared" si="8"/>
        <v/>
      </c>
      <c r="AU159" s="87" t="str">
        <f t="shared" si="9"/>
        <v/>
      </c>
      <c r="AV159" s="89" t="str">
        <f t="array" ref="AV159">IF(OR($A159="",$AB159="", $AC159=""),"",MAXA(IF($A159=$A$4:$A923,$AC$4:$AC923)))</f>
        <v/>
      </c>
    </row>
    <row r="160" ht="22.5" customHeight="1">
      <c r="A160" s="29"/>
      <c r="B160" s="68" t="str">
        <f t="shared" si="1"/>
        <v/>
      </c>
      <c r="C160" s="69"/>
      <c r="D160" s="70" t="str">
        <f t="shared" si="2"/>
        <v/>
      </c>
      <c r="E160" s="29"/>
      <c r="F160" s="68" t="str">
        <f t="array" ref="F160">IF($A160="","",IFERROR(INDEX(MA_INDIVIDUALES!C$2:C923, MATCH($A160,MA_INDIVIDUALES!$B$2:$B923,0),1),"CÓDIGO DE EXPEDIENTE INVÁLIDO"))</f>
        <v/>
      </c>
      <c r="G160" s="68" t="str">
        <f t="array" ref="G160">IF($A160="","",IFERROR(INDEX(MA_INDIVIDUALES!K$2:K923, MATCH($A160,MA_INDIVIDUALES!$B$2:$B923,0),1),"CÓDIGO DE EXPEDIENTE INVÁLIDO"))</f>
        <v/>
      </c>
      <c r="H160" s="68" t="str">
        <f t="array" ref="H160">IF($A160="","",IFERROR(INDEX(MA_INDIVIDUALES!L$2:L923, MATCH($A160,MA_INDIVIDUALES!$B$2:$B923,0),1),"CÓDIGO DE EXPEDIENTE INVÁLIDO"))</f>
        <v/>
      </c>
      <c r="I160" s="29"/>
      <c r="J160" s="29"/>
      <c r="K160" s="73"/>
      <c r="L160" s="74" t="str">
        <f>IF(A160="","",IF(K160="","",_xlfn.WORKDAY.INTL(K160,5,1,FERIADOS)))</f>
        <v/>
      </c>
      <c r="M160" s="29"/>
      <c r="N160" s="75"/>
      <c r="O160" s="76"/>
      <c r="P160" s="77" t="str">
        <f t="shared" si="3"/>
        <v/>
      </c>
      <c r="Q160" s="75"/>
      <c r="R160" s="76"/>
      <c r="S160" s="75"/>
      <c r="T160" s="75"/>
      <c r="U160" s="29"/>
      <c r="V160" s="76"/>
      <c r="W160" s="75"/>
      <c r="X160" s="76"/>
      <c r="Y160" s="29" t="str">
        <f t="shared" si="4"/>
        <v/>
      </c>
      <c r="Z160" s="29" t="str">
        <f t="shared" si="5"/>
        <v/>
      </c>
      <c r="AA160" s="29"/>
      <c r="AB160" s="29"/>
      <c r="AC160" s="73"/>
      <c r="AD160" s="73"/>
      <c r="AE160" s="78" t="str">
        <f>IF(U160="","",IF(AD160="","",_xlfn.WORKDAY.INTL(AD160,7,1,FERIADOS)))</f>
        <v/>
      </c>
      <c r="AF160" s="79"/>
      <c r="AG160" s="80" t="str">
        <f t="array" ref="AG160">IF(A160="","",IF(AF160="","",AF160*INDEX(PARAMETROS!F$2:F1223,MATCH(YEAR(AC160),PARAMETROS!E$2:E1223,0),1)))</f>
        <v/>
      </c>
      <c r="AH160" s="81"/>
      <c r="AI160" s="82"/>
      <c r="AJ160" s="81"/>
      <c r="AK160" s="81"/>
      <c r="AL160" s="29"/>
      <c r="AM160" s="75"/>
      <c r="AN160" s="29"/>
      <c r="AO160" s="83"/>
      <c r="AP160" s="84"/>
      <c r="AQ160" s="85" t="str">
        <f t="shared" si="6"/>
        <v/>
      </c>
      <c r="AR160" s="86" t="str">
        <f t="array" ref="AR160">IF(A160="","",IFERROR(INDEX('2) Etapas'!L$3:L923,MATCH(B160,'2) Etapas'!$A$4:$A923,0),1),-1))</f>
        <v/>
      </c>
      <c r="AS160" s="87" t="str">
        <f t="shared" si="7"/>
        <v/>
      </c>
      <c r="AT160" s="87" t="str">
        <f t="shared" si="8"/>
        <v/>
      </c>
      <c r="AU160" s="87" t="str">
        <f t="shared" si="9"/>
        <v/>
      </c>
      <c r="AV160" s="89" t="str">
        <f t="array" ref="AV160">IF(OR($A160="",$AB160="", $AC160=""),"",MAXA(IF($A160=$A$4:$A923,$AC$4:$AC923)))</f>
        <v/>
      </c>
    </row>
    <row r="161" ht="22.5" customHeight="1">
      <c r="A161" s="29"/>
      <c r="B161" s="68" t="str">
        <f t="shared" si="1"/>
        <v/>
      </c>
      <c r="C161" s="69"/>
      <c r="D161" s="70" t="str">
        <f t="shared" si="2"/>
        <v/>
      </c>
      <c r="E161" s="29"/>
      <c r="F161" s="68" t="str">
        <f t="array" ref="F161">IF($A161="","",IFERROR(INDEX(MA_INDIVIDUALES!C$2:C923, MATCH($A161,MA_INDIVIDUALES!$B$2:$B923,0),1),"CÓDIGO DE EXPEDIENTE INVÁLIDO"))</f>
        <v/>
      </c>
      <c r="G161" s="68" t="str">
        <f t="array" ref="G161">IF($A161="","",IFERROR(INDEX(MA_INDIVIDUALES!K$2:K923, MATCH($A161,MA_INDIVIDUALES!$B$2:$B923,0),1),"CÓDIGO DE EXPEDIENTE INVÁLIDO"))</f>
        <v/>
      </c>
      <c r="H161" s="68" t="str">
        <f t="array" ref="H161">IF($A161="","",IFERROR(INDEX(MA_INDIVIDUALES!L$2:L923, MATCH($A161,MA_INDIVIDUALES!$B$2:$B923,0),1),"CÓDIGO DE EXPEDIENTE INVÁLIDO"))</f>
        <v/>
      </c>
      <c r="I161" s="29"/>
      <c r="J161" s="29"/>
      <c r="K161" s="73"/>
      <c r="L161" s="74" t="str">
        <f>IF(A161="","",IF(K161="","",_xlfn.WORKDAY.INTL(K161,5,1,FERIADOS)))</f>
        <v/>
      </c>
      <c r="M161" s="29"/>
      <c r="N161" s="75"/>
      <c r="O161" s="76"/>
      <c r="P161" s="77" t="str">
        <f t="shared" si="3"/>
        <v/>
      </c>
      <c r="Q161" s="75"/>
      <c r="R161" s="76"/>
      <c r="S161" s="75"/>
      <c r="T161" s="75"/>
      <c r="U161" s="29"/>
      <c r="V161" s="76"/>
      <c r="W161" s="75"/>
      <c r="X161" s="76"/>
      <c r="Y161" s="29" t="str">
        <f t="shared" si="4"/>
        <v/>
      </c>
      <c r="Z161" s="29" t="str">
        <f t="shared" si="5"/>
        <v/>
      </c>
      <c r="AA161" s="29"/>
      <c r="AB161" s="29"/>
      <c r="AC161" s="73"/>
      <c r="AD161" s="73"/>
      <c r="AE161" s="78" t="str">
        <f>IF(U161="","",IF(AD161="","",_xlfn.WORKDAY.INTL(AD161,7,1,FERIADOS)))</f>
        <v/>
      </c>
      <c r="AF161" s="79"/>
      <c r="AG161" s="80" t="str">
        <f t="array" ref="AG161">IF(A161="","",IF(AF161="","",AF161*INDEX(PARAMETROS!F$2:F1224,MATCH(YEAR(AC161),PARAMETROS!E$2:E1224,0),1)))</f>
        <v/>
      </c>
      <c r="AH161" s="81"/>
      <c r="AI161" s="82"/>
      <c r="AJ161" s="81"/>
      <c r="AK161" s="81"/>
      <c r="AL161" s="29"/>
      <c r="AM161" s="75"/>
      <c r="AN161" s="29"/>
      <c r="AO161" s="83"/>
      <c r="AP161" s="84"/>
      <c r="AQ161" s="85" t="str">
        <f t="shared" si="6"/>
        <v/>
      </c>
      <c r="AR161" s="86" t="str">
        <f t="array" ref="AR161">IF(A161="","",IFERROR(INDEX('2) Etapas'!L$3:L923,MATCH(B161,'2) Etapas'!$A$4:$A923,0),1),-1))</f>
        <v/>
      </c>
      <c r="AS161" s="87" t="str">
        <f t="shared" si="7"/>
        <v/>
      </c>
      <c r="AT161" s="87" t="str">
        <f t="shared" si="8"/>
        <v/>
      </c>
      <c r="AU161" s="87" t="str">
        <f t="shared" si="9"/>
        <v/>
      </c>
      <c r="AV161" s="89" t="str">
        <f t="array" ref="AV161">IF(OR($A161="",$AB161="", $AC161=""),"",MAXA(IF($A161=$A$4:$A923,$AC$4:$AC923)))</f>
        <v/>
      </c>
    </row>
    <row r="162" ht="22.5" customHeight="1">
      <c r="A162" s="29"/>
      <c r="B162" s="68" t="str">
        <f t="shared" si="1"/>
        <v/>
      </c>
      <c r="C162" s="69"/>
      <c r="D162" s="70" t="str">
        <f t="shared" si="2"/>
        <v/>
      </c>
      <c r="E162" s="29"/>
      <c r="F162" s="68" t="str">
        <f t="array" ref="F162">IF($A162="","",IFERROR(INDEX(MA_INDIVIDUALES!C$2:C923, MATCH($A162,MA_INDIVIDUALES!$B$2:$B923,0),1),"CÓDIGO DE EXPEDIENTE INVÁLIDO"))</f>
        <v/>
      </c>
      <c r="G162" s="68" t="str">
        <f t="array" ref="G162">IF($A162="","",IFERROR(INDEX(MA_INDIVIDUALES!K$2:K923, MATCH($A162,MA_INDIVIDUALES!$B$2:$B923,0),1),"CÓDIGO DE EXPEDIENTE INVÁLIDO"))</f>
        <v/>
      </c>
      <c r="H162" s="68" t="str">
        <f t="array" ref="H162">IF($A162="","",IFERROR(INDEX(MA_INDIVIDUALES!L$2:L923, MATCH($A162,MA_INDIVIDUALES!$B$2:$B923,0),1),"CÓDIGO DE EXPEDIENTE INVÁLIDO"))</f>
        <v/>
      </c>
      <c r="I162" s="29"/>
      <c r="J162" s="29"/>
      <c r="K162" s="73"/>
      <c r="L162" s="74" t="str">
        <f>IF(A162="","",IF(K162="","",_xlfn.WORKDAY.INTL(K162,5,1,FERIADOS)))</f>
        <v/>
      </c>
      <c r="M162" s="29"/>
      <c r="N162" s="75"/>
      <c r="O162" s="76"/>
      <c r="P162" s="77" t="str">
        <f t="shared" si="3"/>
        <v/>
      </c>
      <c r="Q162" s="75"/>
      <c r="R162" s="76"/>
      <c r="S162" s="75"/>
      <c r="T162" s="75"/>
      <c r="U162" s="29"/>
      <c r="V162" s="76"/>
      <c r="W162" s="75"/>
      <c r="X162" s="76"/>
      <c r="Y162" s="29" t="str">
        <f t="shared" si="4"/>
        <v/>
      </c>
      <c r="Z162" s="29" t="str">
        <f t="shared" si="5"/>
        <v/>
      </c>
      <c r="AA162" s="29"/>
      <c r="AB162" s="29"/>
      <c r="AC162" s="73"/>
      <c r="AD162" s="73"/>
      <c r="AE162" s="78" t="str">
        <f>IF(U162="","",IF(AD162="","",_xlfn.WORKDAY.INTL(AD162,7,1,FERIADOS)))</f>
        <v/>
      </c>
      <c r="AF162" s="79"/>
      <c r="AG162" s="80" t="str">
        <f t="array" ref="AG162">IF(A162="","",IF(AF162="","",AF162*INDEX(PARAMETROS!F$2:F1225,MATCH(YEAR(AC162),PARAMETROS!E$2:E1225,0),1)))</f>
        <v/>
      </c>
      <c r="AH162" s="81"/>
      <c r="AI162" s="82"/>
      <c r="AJ162" s="81"/>
      <c r="AK162" s="81"/>
      <c r="AL162" s="29"/>
      <c r="AM162" s="75"/>
      <c r="AN162" s="29"/>
      <c r="AO162" s="83"/>
      <c r="AP162" s="84"/>
      <c r="AQ162" s="85" t="str">
        <f t="shared" si="6"/>
        <v/>
      </c>
      <c r="AR162" s="86" t="str">
        <f t="array" ref="AR162">IF(A162="","",IFERROR(INDEX('2) Etapas'!L$3:L923,MATCH(B162,'2) Etapas'!$A$4:$A923,0),1),-1))</f>
        <v/>
      </c>
      <c r="AS162" s="87" t="str">
        <f t="shared" si="7"/>
        <v/>
      </c>
      <c r="AT162" s="87" t="str">
        <f t="shared" si="8"/>
        <v/>
      </c>
      <c r="AU162" s="87" t="str">
        <f t="shared" si="9"/>
        <v/>
      </c>
      <c r="AV162" s="89" t="str">
        <f t="array" ref="AV162">IF(OR($A162="",$AB162="", $AC162=""),"",MAXA(IF($A162=$A$4:$A923,$AC$4:$AC923)))</f>
        <v/>
      </c>
    </row>
    <row r="163" ht="22.5" customHeight="1">
      <c r="A163" s="29"/>
      <c r="B163" s="68" t="str">
        <f t="shared" si="1"/>
        <v/>
      </c>
      <c r="C163" s="69"/>
      <c r="D163" s="70" t="str">
        <f t="shared" si="2"/>
        <v/>
      </c>
      <c r="E163" s="29"/>
      <c r="F163" s="68" t="str">
        <f t="array" ref="F163">IF($A163="","",IFERROR(INDEX(MA_INDIVIDUALES!C$2:C923, MATCH($A163,MA_INDIVIDUALES!$B$2:$B923,0),1),"CÓDIGO DE EXPEDIENTE INVÁLIDO"))</f>
        <v/>
      </c>
      <c r="G163" s="68" t="str">
        <f t="array" ref="G163">IF($A163="","",IFERROR(INDEX(MA_INDIVIDUALES!K$2:K923, MATCH($A163,MA_INDIVIDUALES!$B$2:$B923,0),1),"CÓDIGO DE EXPEDIENTE INVÁLIDO"))</f>
        <v/>
      </c>
      <c r="H163" s="68" t="str">
        <f t="array" ref="H163">IF($A163="","",IFERROR(INDEX(MA_INDIVIDUALES!L$2:L923, MATCH($A163,MA_INDIVIDUALES!$B$2:$B923,0),1),"CÓDIGO DE EXPEDIENTE INVÁLIDO"))</f>
        <v/>
      </c>
      <c r="I163" s="29"/>
      <c r="J163" s="29"/>
      <c r="K163" s="73"/>
      <c r="L163" s="74" t="str">
        <f>IF(A163="","",IF(K163="","",_xlfn.WORKDAY.INTL(K163,5,1,FERIADOS)))</f>
        <v/>
      </c>
      <c r="M163" s="29"/>
      <c r="N163" s="75"/>
      <c r="O163" s="76"/>
      <c r="P163" s="77" t="str">
        <f t="shared" si="3"/>
        <v/>
      </c>
      <c r="Q163" s="75"/>
      <c r="R163" s="76"/>
      <c r="S163" s="75"/>
      <c r="T163" s="75"/>
      <c r="U163" s="29"/>
      <c r="V163" s="76"/>
      <c r="W163" s="75"/>
      <c r="X163" s="76"/>
      <c r="Y163" s="29" t="str">
        <f t="shared" si="4"/>
        <v/>
      </c>
      <c r="Z163" s="29" t="str">
        <f t="shared" si="5"/>
        <v/>
      </c>
      <c r="AA163" s="29"/>
      <c r="AB163" s="29"/>
      <c r="AC163" s="73"/>
      <c r="AD163" s="73"/>
      <c r="AE163" s="78" t="str">
        <f>IF(U163="","",IF(AD163="","",_xlfn.WORKDAY.INTL(AD163,7,1,FERIADOS)))</f>
        <v/>
      </c>
      <c r="AF163" s="79"/>
      <c r="AG163" s="80" t="str">
        <f t="array" ref="AG163">IF(A163="","",IF(AF163="","",AF163*INDEX(PARAMETROS!F$2:F1226,MATCH(YEAR(AC163),PARAMETROS!E$2:E1226,0),1)))</f>
        <v/>
      </c>
      <c r="AH163" s="81"/>
      <c r="AI163" s="82"/>
      <c r="AJ163" s="81"/>
      <c r="AK163" s="81"/>
      <c r="AL163" s="29"/>
      <c r="AM163" s="75"/>
      <c r="AN163" s="29"/>
      <c r="AO163" s="83"/>
      <c r="AP163" s="84"/>
      <c r="AQ163" s="85" t="str">
        <f t="shared" si="6"/>
        <v/>
      </c>
      <c r="AR163" s="86" t="str">
        <f t="array" ref="AR163">IF(A163="","",IFERROR(INDEX('2) Etapas'!L$3:L923,MATCH(B163,'2) Etapas'!$A$4:$A923,0),1),-1))</f>
        <v/>
      </c>
      <c r="AS163" s="87" t="str">
        <f t="shared" si="7"/>
        <v/>
      </c>
      <c r="AT163" s="87" t="str">
        <f t="shared" si="8"/>
        <v/>
      </c>
      <c r="AU163" s="87" t="str">
        <f t="shared" si="9"/>
        <v/>
      </c>
      <c r="AV163" s="89" t="str">
        <f t="array" ref="AV163">IF(OR($A163="",$AB163="", $AC163=""),"",MAXA(IF($A163=$A$4:$A923,$AC$4:$AC923)))</f>
        <v/>
      </c>
    </row>
    <row r="164" ht="22.5" customHeight="1">
      <c r="A164" s="29"/>
      <c r="B164" s="68" t="str">
        <f t="shared" si="1"/>
        <v/>
      </c>
      <c r="C164" s="69"/>
      <c r="D164" s="70" t="str">
        <f t="shared" si="2"/>
        <v/>
      </c>
      <c r="E164" s="29"/>
      <c r="F164" s="68" t="str">
        <f t="array" ref="F164">IF($A164="","",IFERROR(INDEX(MA_INDIVIDUALES!C$2:C923, MATCH($A164,MA_INDIVIDUALES!$B$2:$B923,0),1),"CÓDIGO DE EXPEDIENTE INVÁLIDO"))</f>
        <v/>
      </c>
      <c r="G164" s="68" t="str">
        <f t="array" ref="G164">IF($A164="","",IFERROR(INDEX(MA_INDIVIDUALES!K$2:K923, MATCH($A164,MA_INDIVIDUALES!$B$2:$B923,0),1),"CÓDIGO DE EXPEDIENTE INVÁLIDO"))</f>
        <v/>
      </c>
      <c r="H164" s="68" t="str">
        <f t="array" ref="H164">IF($A164="","",IFERROR(INDEX(MA_INDIVIDUALES!L$2:L923, MATCH($A164,MA_INDIVIDUALES!$B$2:$B923,0),1),"CÓDIGO DE EXPEDIENTE INVÁLIDO"))</f>
        <v/>
      </c>
      <c r="I164" s="29"/>
      <c r="J164" s="29"/>
      <c r="K164" s="73"/>
      <c r="L164" s="74" t="str">
        <f>IF(A164="","",IF(K164="","",_xlfn.WORKDAY.INTL(K164,5,1,FERIADOS)))</f>
        <v/>
      </c>
      <c r="M164" s="29"/>
      <c r="N164" s="75"/>
      <c r="O164" s="76"/>
      <c r="P164" s="77" t="str">
        <f t="shared" si="3"/>
        <v/>
      </c>
      <c r="Q164" s="75"/>
      <c r="R164" s="76"/>
      <c r="S164" s="75"/>
      <c r="T164" s="75"/>
      <c r="U164" s="29"/>
      <c r="V164" s="76"/>
      <c r="W164" s="75"/>
      <c r="X164" s="76"/>
      <c r="Y164" s="29" t="str">
        <f t="shared" si="4"/>
        <v/>
      </c>
      <c r="Z164" s="29" t="str">
        <f t="shared" si="5"/>
        <v/>
      </c>
      <c r="AA164" s="29"/>
      <c r="AB164" s="29"/>
      <c r="AC164" s="73"/>
      <c r="AD164" s="73"/>
      <c r="AE164" s="78" t="str">
        <f>IF(U164="","",IF(AD164="","",_xlfn.WORKDAY.INTL(AD164,7,1,FERIADOS)))</f>
        <v/>
      </c>
      <c r="AF164" s="79"/>
      <c r="AG164" s="80" t="str">
        <f t="array" ref="AG164">IF(A164="","",IF(AF164="","",AF164*INDEX(PARAMETROS!F$2:F1227,MATCH(YEAR(AC164),PARAMETROS!E$2:E1227,0),1)))</f>
        <v/>
      </c>
      <c r="AH164" s="81"/>
      <c r="AI164" s="82"/>
      <c r="AJ164" s="81"/>
      <c r="AK164" s="81"/>
      <c r="AL164" s="29"/>
      <c r="AM164" s="75"/>
      <c r="AN164" s="29"/>
      <c r="AO164" s="83"/>
      <c r="AP164" s="84"/>
      <c r="AQ164" s="85" t="str">
        <f t="shared" si="6"/>
        <v/>
      </c>
      <c r="AR164" s="86" t="str">
        <f t="array" ref="AR164">IF(A164="","",IFERROR(INDEX('2) Etapas'!L$3:L923,MATCH(B164,'2) Etapas'!$A$4:$A923,0),1),-1))</f>
        <v/>
      </c>
      <c r="AS164" s="87" t="str">
        <f t="shared" si="7"/>
        <v/>
      </c>
      <c r="AT164" s="87" t="str">
        <f t="shared" si="8"/>
        <v/>
      </c>
      <c r="AU164" s="87" t="str">
        <f t="shared" si="9"/>
        <v/>
      </c>
      <c r="AV164" s="89" t="str">
        <f t="array" ref="AV164">IF(OR($A164="",$AB164="", $AC164=""),"",MAXA(IF($A164=$A$4:$A923,$AC$4:$AC923)))</f>
        <v/>
      </c>
    </row>
    <row r="165" ht="22.5" customHeight="1">
      <c r="A165" s="29"/>
      <c r="B165" s="68" t="str">
        <f t="shared" si="1"/>
        <v/>
      </c>
      <c r="C165" s="69"/>
      <c r="D165" s="70" t="str">
        <f t="shared" si="2"/>
        <v/>
      </c>
      <c r="E165" s="29"/>
      <c r="F165" s="68" t="str">
        <f t="array" ref="F165">IF($A165="","",IFERROR(INDEX(MA_INDIVIDUALES!C$2:C923, MATCH($A165,MA_INDIVIDUALES!$B$2:$B923,0),1),"CÓDIGO DE EXPEDIENTE INVÁLIDO"))</f>
        <v/>
      </c>
      <c r="G165" s="68" t="str">
        <f t="array" ref="G165">IF($A165="","",IFERROR(INDEX(MA_INDIVIDUALES!K$2:K923, MATCH($A165,MA_INDIVIDUALES!$B$2:$B923,0),1),"CÓDIGO DE EXPEDIENTE INVÁLIDO"))</f>
        <v/>
      </c>
      <c r="H165" s="68" t="str">
        <f t="array" ref="H165">IF($A165="","",IFERROR(INDEX(MA_INDIVIDUALES!L$2:L923, MATCH($A165,MA_INDIVIDUALES!$B$2:$B923,0),1),"CÓDIGO DE EXPEDIENTE INVÁLIDO"))</f>
        <v/>
      </c>
      <c r="I165" s="29"/>
      <c r="J165" s="29"/>
      <c r="K165" s="73"/>
      <c r="L165" s="74" t="str">
        <f>IF(A165="","",IF(K165="","",_xlfn.WORKDAY.INTL(K165,5,1,FERIADOS)))</f>
        <v/>
      </c>
      <c r="M165" s="29"/>
      <c r="N165" s="75"/>
      <c r="O165" s="76"/>
      <c r="P165" s="77" t="str">
        <f t="shared" si="3"/>
        <v/>
      </c>
      <c r="Q165" s="75"/>
      <c r="R165" s="76"/>
      <c r="S165" s="75"/>
      <c r="T165" s="75"/>
      <c r="U165" s="29"/>
      <c r="V165" s="76"/>
      <c r="W165" s="75"/>
      <c r="X165" s="76"/>
      <c r="Y165" s="29" t="str">
        <f t="shared" si="4"/>
        <v/>
      </c>
      <c r="Z165" s="29" t="str">
        <f t="shared" si="5"/>
        <v/>
      </c>
      <c r="AA165" s="29"/>
      <c r="AB165" s="29"/>
      <c r="AC165" s="73"/>
      <c r="AD165" s="73"/>
      <c r="AE165" s="78" t="str">
        <f>IF(U165="","",IF(AD165="","",_xlfn.WORKDAY.INTL(AD165,7,1,FERIADOS)))</f>
        <v/>
      </c>
      <c r="AF165" s="79"/>
      <c r="AG165" s="80" t="str">
        <f t="array" ref="AG165">IF(A165="","",IF(AF165="","",AF165*INDEX(PARAMETROS!F$2:F1228,MATCH(YEAR(AC165),PARAMETROS!E$2:E1228,0),1)))</f>
        <v/>
      </c>
      <c r="AH165" s="81"/>
      <c r="AI165" s="82"/>
      <c r="AJ165" s="81"/>
      <c r="AK165" s="81"/>
      <c r="AL165" s="29"/>
      <c r="AM165" s="75"/>
      <c r="AN165" s="29"/>
      <c r="AO165" s="83"/>
      <c r="AP165" s="84"/>
      <c r="AQ165" s="85" t="str">
        <f t="shared" si="6"/>
        <v/>
      </c>
      <c r="AR165" s="86" t="str">
        <f t="array" ref="AR165">IF(A165="","",IFERROR(INDEX('2) Etapas'!L$3:L923,MATCH(B165,'2) Etapas'!$A$4:$A923,0),1),-1))</f>
        <v/>
      </c>
      <c r="AS165" s="87" t="str">
        <f t="shared" si="7"/>
        <v/>
      </c>
      <c r="AT165" s="87" t="str">
        <f t="shared" si="8"/>
        <v/>
      </c>
      <c r="AU165" s="87" t="str">
        <f t="shared" si="9"/>
        <v/>
      </c>
      <c r="AV165" s="89" t="str">
        <f t="array" ref="AV165">IF(OR($A165="",$AB165="", $AC165=""),"",MAXA(IF($A165=$A$4:$A923,$AC$4:$AC923)))</f>
        <v/>
      </c>
    </row>
    <row r="166" ht="22.5" customHeight="1">
      <c r="A166" s="29"/>
      <c r="B166" s="68" t="str">
        <f t="shared" si="1"/>
        <v/>
      </c>
      <c r="C166" s="69"/>
      <c r="D166" s="70" t="str">
        <f t="shared" si="2"/>
        <v/>
      </c>
      <c r="E166" s="29"/>
      <c r="F166" s="68" t="str">
        <f t="array" ref="F166">IF($A166="","",IFERROR(INDEX(MA_INDIVIDUALES!C$2:C923, MATCH($A166,MA_INDIVIDUALES!$B$2:$B923,0),1),"CÓDIGO DE EXPEDIENTE INVÁLIDO"))</f>
        <v/>
      </c>
      <c r="G166" s="68" t="str">
        <f t="array" ref="G166">IF($A166="","",IFERROR(INDEX(MA_INDIVIDUALES!K$2:K923, MATCH($A166,MA_INDIVIDUALES!$B$2:$B923,0),1),"CÓDIGO DE EXPEDIENTE INVÁLIDO"))</f>
        <v/>
      </c>
      <c r="H166" s="68" t="str">
        <f t="array" ref="H166">IF($A166="","",IFERROR(INDEX(MA_INDIVIDUALES!L$2:L923, MATCH($A166,MA_INDIVIDUALES!$B$2:$B923,0),1),"CÓDIGO DE EXPEDIENTE INVÁLIDO"))</f>
        <v/>
      </c>
      <c r="I166" s="29"/>
      <c r="J166" s="29"/>
      <c r="K166" s="73"/>
      <c r="L166" s="74" t="str">
        <f>IF(A166="","",IF(K166="","",_xlfn.WORKDAY.INTL(K166,5,1,FERIADOS)))</f>
        <v/>
      </c>
      <c r="M166" s="29"/>
      <c r="N166" s="75"/>
      <c r="O166" s="76"/>
      <c r="P166" s="77" t="str">
        <f t="shared" si="3"/>
        <v/>
      </c>
      <c r="Q166" s="75"/>
      <c r="R166" s="76"/>
      <c r="S166" s="75"/>
      <c r="T166" s="75"/>
      <c r="U166" s="29"/>
      <c r="V166" s="76"/>
      <c r="W166" s="75"/>
      <c r="X166" s="76"/>
      <c r="Y166" s="29" t="str">
        <f t="shared" si="4"/>
        <v/>
      </c>
      <c r="Z166" s="29" t="str">
        <f t="shared" si="5"/>
        <v/>
      </c>
      <c r="AA166" s="29"/>
      <c r="AB166" s="29"/>
      <c r="AC166" s="73"/>
      <c r="AD166" s="73"/>
      <c r="AE166" s="78" t="str">
        <f>IF(U166="","",IF(AD166="","",_xlfn.WORKDAY.INTL(AD166,7,1,FERIADOS)))</f>
        <v/>
      </c>
      <c r="AF166" s="79"/>
      <c r="AG166" s="80" t="str">
        <f t="array" ref="AG166">IF(A166="","",IF(AF166="","",AF166*INDEX(PARAMETROS!F$2:F1229,MATCH(YEAR(AC166),PARAMETROS!E$2:E1229,0),1)))</f>
        <v/>
      </c>
      <c r="AH166" s="81"/>
      <c r="AI166" s="82"/>
      <c r="AJ166" s="81"/>
      <c r="AK166" s="81"/>
      <c r="AL166" s="29"/>
      <c r="AM166" s="75"/>
      <c r="AN166" s="29"/>
      <c r="AO166" s="83"/>
      <c r="AP166" s="84"/>
      <c r="AQ166" s="85" t="str">
        <f t="shared" si="6"/>
        <v/>
      </c>
      <c r="AR166" s="86" t="str">
        <f t="array" ref="AR166">IF(A166="","",IFERROR(INDEX('2) Etapas'!L$3:L923,MATCH(B166,'2) Etapas'!$A$4:$A923,0),1),-1))</f>
        <v/>
      </c>
      <c r="AS166" s="87" t="str">
        <f t="shared" si="7"/>
        <v/>
      </c>
      <c r="AT166" s="87" t="str">
        <f t="shared" si="8"/>
        <v/>
      </c>
      <c r="AU166" s="87" t="str">
        <f t="shared" si="9"/>
        <v/>
      </c>
      <c r="AV166" s="89" t="str">
        <f t="array" ref="AV166">IF(OR($A166="",$AB166="", $AC166=""),"",MAXA(IF($A166=$A$4:$A923,$AC$4:$AC923)))</f>
        <v/>
      </c>
    </row>
    <row r="167" ht="22.5" customHeight="1">
      <c r="A167" s="29"/>
      <c r="B167" s="68" t="str">
        <f t="shared" si="1"/>
        <v/>
      </c>
      <c r="C167" s="69"/>
      <c r="D167" s="70" t="str">
        <f t="shared" si="2"/>
        <v/>
      </c>
      <c r="E167" s="29"/>
      <c r="F167" s="68" t="str">
        <f t="array" ref="F167">IF($A167="","",IFERROR(INDEX(MA_INDIVIDUALES!C$2:C923, MATCH($A167,MA_INDIVIDUALES!$B$2:$B923,0),1),"CÓDIGO DE EXPEDIENTE INVÁLIDO"))</f>
        <v/>
      </c>
      <c r="G167" s="68" t="str">
        <f t="array" ref="G167">IF($A167="","",IFERROR(INDEX(MA_INDIVIDUALES!K$2:K923, MATCH($A167,MA_INDIVIDUALES!$B$2:$B923,0),1),"CÓDIGO DE EXPEDIENTE INVÁLIDO"))</f>
        <v/>
      </c>
      <c r="H167" s="68" t="str">
        <f t="array" ref="H167">IF($A167="","",IFERROR(INDEX(MA_INDIVIDUALES!L$2:L923, MATCH($A167,MA_INDIVIDUALES!$B$2:$B923,0),1),"CÓDIGO DE EXPEDIENTE INVÁLIDO"))</f>
        <v/>
      </c>
      <c r="I167" s="29"/>
      <c r="J167" s="29"/>
      <c r="K167" s="73"/>
      <c r="L167" s="74" t="str">
        <f>IF(A167="","",IF(K167="","",_xlfn.WORKDAY.INTL(K167,5,1,FERIADOS)))</f>
        <v/>
      </c>
      <c r="M167" s="29"/>
      <c r="N167" s="75"/>
      <c r="O167" s="76"/>
      <c r="P167" s="77" t="str">
        <f t="shared" si="3"/>
        <v/>
      </c>
      <c r="Q167" s="75"/>
      <c r="R167" s="76"/>
      <c r="S167" s="75"/>
      <c r="T167" s="75"/>
      <c r="U167" s="29"/>
      <c r="V167" s="76"/>
      <c r="W167" s="75"/>
      <c r="X167" s="76"/>
      <c r="Y167" s="29" t="str">
        <f t="shared" si="4"/>
        <v/>
      </c>
      <c r="Z167" s="29" t="str">
        <f t="shared" si="5"/>
        <v/>
      </c>
      <c r="AA167" s="29"/>
      <c r="AB167" s="29"/>
      <c r="AC167" s="73"/>
      <c r="AD167" s="73"/>
      <c r="AE167" s="78" t="str">
        <f>IF(U167="","",IF(AD167="","",_xlfn.WORKDAY.INTL(AD167,7,1,FERIADOS)))</f>
        <v/>
      </c>
      <c r="AF167" s="79"/>
      <c r="AG167" s="80" t="str">
        <f t="array" ref="AG167">IF(A167="","",IF(AF167="","",AF167*INDEX(PARAMETROS!F$2:F1230,MATCH(YEAR(AC167),PARAMETROS!E$2:E1230,0),1)))</f>
        <v/>
      </c>
      <c r="AH167" s="81"/>
      <c r="AI167" s="82"/>
      <c r="AJ167" s="81"/>
      <c r="AK167" s="81"/>
      <c r="AL167" s="29"/>
      <c r="AM167" s="73"/>
      <c r="AN167" s="76"/>
      <c r="AO167" s="95"/>
      <c r="AP167" s="84"/>
      <c r="AQ167" s="85" t="str">
        <f t="shared" si="6"/>
        <v/>
      </c>
      <c r="AR167" s="86" t="str">
        <f t="array" ref="AR167">IF(A167="","",IFERROR(INDEX('2) Etapas'!L$3:L923,MATCH(B167,'2) Etapas'!$A$4:$A923,0),1),-1))</f>
        <v/>
      </c>
      <c r="AS167" s="87" t="str">
        <f t="shared" si="7"/>
        <v/>
      </c>
      <c r="AT167" s="87" t="str">
        <f t="shared" si="8"/>
        <v/>
      </c>
      <c r="AU167" s="87" t="str">
        <f t="shared" si="9"/>
        <v/>
      </c>
      <c r="AV167" s="89" t="str">
        <f t="array" ref="AV167">IF(OR($A167="",$AB167="", $AC167=""),"",MAXA(IF($A167=$A$4:$A923,$AC$4:$AC923)))</f>
        <v/>
      </c>
    </row>
    <row r="168" ht="22.5" customHeight="1">
      <c r="A168" s="29"/>
      <c r="B168" s="68" t="str">
        <f t="shared" si="1"/>
        <v/>
      </c>
      <c r="C168" s="69"/>
      <c r="D168" s="70" t="str">
        <f t="shared" si="2"/>
        <v/>
      </c>
      <c r="E168" s="29"/>
      <c r="F168" s="68" t="str">
        <f t="array" ref="F168">IF($A168="","",IFERROR(INDEX(MA_INDIVIDUALES!C$2:C923, MATCH($A168,MA_INDIVIDUALES!$B$2:$B923,0),1),"CÓDIGO DE EXPEDIENTE INVÁLIDO"))</f>
        <v/>
      </c>
      <c r="G168" s="68" t="str">
        <f t="array" ref="G168">IF($A168="","",IFERROR(INDEX(MA_INDIVIDUALES!K$2:K923, MATCH($A168,MA_INDIVIDUALES!$B$2:$B923,0),1),"CÓDIGO DE EXPEDIENTE INVÁLIDO"))</f>
        <v/>
      </c>
      <c r="H168" s="68" t="str">
        <f t="array" ref="H168">IF($A168="","",IFERROR(INDEX(MA_INDIVIDUALES!L$2:L923, MATCH($A168,MA_INDIVIDUALES!$B$2:$B923,0),1),"CÓDIGO DE EXPEDIENTE INVÁLIDO"))</f>
        <v/>
      </c>
      <c r="I168" s="29"/>
      <c r="J168" s="29"/>
      <c r="K168" s="73"/>
      <c r="L168" s="74" t="str">
        <f>IF(A168="","",IF(K168="","",_xlfn.WORKDAY.INTL(K168,5,1,FERIADOS)))</f>
        <v/>
      </c>
      <c r="M168" s="29"/>
      <c r="N168" s="75"/>
      <c r="O168" s="76"/>
      <c r="P168" s="77" t="str">
        <f t="shared" si="3"/>
        <v/>
      </c>
      <c r="Q168" s="75"/>
      <c r="R168" s="76"/>
      <c r="S168" s="75"/>
      <c r="T168" s="75"/>
      <c r="U168" s="29"/>
      <c r="V168" s="76"/>
      <c r="W168" s="75"/>
      <c r="X168" s="76"/>
      <c r="Y168" s="29" t="str">
        <f t="shared" si="4"/>
        <v/>
      </c>
      <c r="Z168" s="29" t="str">
        <f t="shared" si="5"/>
        <v/>
      </c>
      <c r="AA168" s="29"/>
      <c r="AB168" s="29"/>
      <c r="AC168" s="73"/>
      <c r="AD168" s="73"/>
      <c r="AE168" s="78" t="str">
        <f>IF(U168="","",IF(AD168="","",_xlfn.WORKDAY.INTL(AD168,7,1,FERIADOS)))</f>
        <v/>
      </c>
      <c r="AF168" s="79"/>
      <c r="AG168" s="80" t="str">
        <f t="array" ref="AG168">IF(A168="","",IF(AF168="","",AF168*INDEX(PARAMETROS!F$2:F1231,MATCH(YEAR(AC168),PARAMETROS!E$2:E1231,0),1)))</f>
        <v/>
      </c>
      <c r="AH168" s="81"/>
      <c r="AI168" s="82"/>
      <c r="AJ168" s="81"/>
      <c r="AK168" s="81"/>
      <c r="AL168" s="29"/>
      <c r="AM168" s="73"/>
      <c r="AN168" s="76"/>
      <c r="AO168" s="95"/>
      <c r="AP168" s="84"/>
      <c r="AQ168" s="85" t="str">
        <f t="shared" si="6"/>
        <v/>
      </c>
      <c r="AR168" s="86" t="str">
        <f t="array" ref="AR168">IF(A168="","",IFERROR(INDEX('2) Etapas'!L$3:L923,MATCH(B168,'2) Etapas'!$A$4:$A923,0),1),-1))</f>
        <v/>
      </c>
      <c r="AS168" s="87" t="str">
        <f t="shared" si="7"/>
        <v/>
      </c>
      <c r="AT168" s="87" t="str">
        <f t="shared" si="8"/>
        <v/>
      </c>
      <c r="AU168" s="87" t="str">
        <f t="shared" si="9"/>
        <v/>
      </c>
      <c r="AV168" s="89" t="str">
        <f t="array" ref="AV168">IF(OR($A168="",$AB168="", $AC168=""),"",MAXA(IF($A168=$A$4:$A923,$AC$4:$AC923)))</f>
        <v/>
      </c>
    </row>
    <row r="169" ht="22.5" customHeight="1">
      <c r="A169" s="29"/>
      <c r="B169" s="68" t="str">
        <f t="shared" si="1"/>
        <v/>
      </c>
      <c r="C169" s="69"/>
      <c r="D169" s="70" t="str">
        <f t="shared" si="2"/>
        <v/>
      </c>
      <c r="E169" s="29"/>
      <c r="F169" s="68" t="str">
        <f t="array" ref="F169">IF($A169="","",IFERROR(INDEX(MA_INDIVIDUALES!C$2:C923, MATCH($A169,MA_INDIVIDUALES!$B$2:$B923,0),1),"CÓDIGO DE EXPEDIENTE INVÁLIDO"))</f>
        <v/>
      </c>
      <c r="G169" s="68" t="str">
        <f t="array" ref="G169">IF($A169="","",IFERROR(INDEX(MA_INDIVIDUALES!K$2:K923, MATCH($A169,MA_INDIVIDUALES!$B$2:$B923,0),1),"CÓDIGO DE EXPEDIENTE INVÁLIDO"))</f>
        <v/>
      </c>
      <c r="H169" s="68" t="str">
        <f t="array" ref="H169">IF($A169="","",IFERROR(INDEX(MA_INDIVIDUALES!L$2:L923, MATCH($A169,MA_INDIVIDUALES!$B$2:$B923,0),1),"CÓDIGO DE EXPEDIENTE INVÁLIDO"))</f>
        <v/>
      </c>
      <c r="I169" s="29"/>
      <c r="J169" s="29"/>
      <c r="K169" s="73"/>
      <c r="L169" s="74" t="str">
        <f>IF(A169="","",IF(K169="","",_xlfn.WORKDAY.INTL(K169,5,1,FERIADOS)))</f>
        <v/>
      </c>
      <c r="M169" s="29"/>
      <c r="N169" s="75"/>
      <c r="O169" s="76"/>
      <c r="P169" s="77" t="str">
        <f t="shared" si="3"/>
        <v/>
      </c>
      <c r="Q169" s="75"/>
      <c r="R169" s="76"/>
      <c r="S169" s="75"/>
      <c r="T169" s="75"/>
      <c r="U169" s="29"/>
      <c r="V169" s="76"/>
      <c r="W169" s="75"/>
      <c r="X169" s="76"/>
      <c r="Y169" s="29" t="str">
        <f t="shared" si="4"/>
        <v/>
      </c>
      <c r="Z169" s="29" t="str">
        <f t="shared" si="5"/>
        <v/>
      </c>
      <c r="AA169" s="29"/>
      <c r="AB169" s="29"/>
      <c r="AC169" s="73"/>
      <c r="AD169" s="73"/>
      <c r="AE169" s="78" t="str">
        <f>IF(U169="","",IF(AD169="","",_xlfn.WORKDAY.INTL(AD169,7,1,FERIADOS)))</f>
        <v/>
      </c>
      <c r="AF169" s="79"/>
      <c r="AG169" s="80" t="str">
        <f t="array" ref="AG169">IF(A169="","",IF(AF169="","",AF169*INDEX(PARAMETROS!F$2:F1232,MATCH(YEAR(AC169),PARAMETROS!E$2:E1232,0),1)))</f>
        <v/>
      </c>
      <c r="AH169" s="81"/>
      <c r="AI169" s="82"/>
      <c r="AJ169" s="81"/>
      <c r="AK169" s="81"/>
      <c r="AL169" s="29"/>
      <c r="AM169" s="75"/>
      <c r="AN169" s="76"/>
      <c r="AO169" s="95"/>
      <c r="AP169" s="96"/>
      <c r="AQ169" s="85" t="str">
        <f t="shared" si="6"/>
        <v/>
      </c>
      <c r="AR169" s="86" t="str">
        <f t="array" ref="AR169">IF(A169="","",IFERROR(INDEX('2) Etapas'!L$3:L923,MATCH(B169,'2) Etapas'!$A$4:$A923,0),1),-1))</f>
        <v/>
      </c>
      <c r="AS169" s="87" t="str">
        <f t="shared" si="7"/>
        <v/>
      </c>
      <c r="AT169" s="87" t="str">
        <f t="shared" si="8"/>
        <v/>
      </c>
      <c r="AU169" s="87" t="str">
        <f t="shared" si="9"/>
        <v/>
      </c>
      <c r="AV169" s="89" t="str">
        <f t="array" ref="AV169">IF(OR($A169="",$AB169="", $AC169=""),"",MAXA(IF($A169=$A$4:$A923,$AC$4:$AC923)))</f>
        <v/>
      </c>
    </row>
    <row r="170" ht="22.5" customHeight="1">
      <c r="A170" s="29"/>
      <c r="B170" s="68" t="str">
        <f t="shared" si="1"/>
        <v/>
      </c>
      <c r="C170" s="69"/>
      <c r="D170" s="70" t="str">
        <f t="shared" si="2"/>
        <v/>
      </c>
      <c r="E170" s="29"/>
      <c r="F170" s="68" t="str">
        <f t="array" ref="F170">IF($A170="","",IFERROR(INDEX(MA_INDIVIDUALES!C$2:C923, MATCH($A170,MA_INDIVIDUALES!$B$2:$B923,0),1),"CÓDIGO DE EXPEDIENTE INVÁLIDO"))</f>
        <v/>
      </c>
      <c r="G170" s="68" t="str">
        <f t="array" ref="G170">IF($A170="","",IFERROR(INDEX(MA_INDIVIDUALES!K$2:K923, MATCH($A170,MA_INDIVIDUALES!$B$2:$B923,0),1),"CÓDIGO DE EXPEDIENTE INVÁLIDO"))</f>
        <v/>
      </c>
      <c r="H170" s="68" t="str">
        <f t="array" ref="H170">IF($A170="","",IFERROR(INDEX(MA_INDIVIDUALES!L$2:L923, MATCH($A170,MA_INDIVIDUALES!$B$2:$B923,0),1),"CÓDIGO DE EXPEDIENTE INVÁLIDO"))</f>
        <v/>
      </c>
      <c r="I170" s="29"/>
      <c r="J170" s="29"/>
      <c r="K170" s="73"/>
      <c r="L170" s="74" t="str">
        <f>IF(A170="","",IF(K170="","",_xlfn.WORKDAY.INTL(K170,5,1,FERIADOS)))</f>
        <v/>
      </c>
      <c r="M170" s="29"/>
      <c r="N170" s="75"/>
      <c r="O170" s="76"/>
      <c r="P170" s="77" t="str">
        <f t="shared" si="3"/>
        <v/>
      </c>
      <c r="Q170" s="75"/>
      <c r="R170" s="76"/>
      <c r="S170" s="75"/>
      <c r="T170" s="75"/>
      <c r="U170" s="29"/>
      <c r="V170" s="76"/>
      <c r="W170" s="75"/>
      <c r="X170" s="76"/>
      <c r="Y170" s="29" t="str">
        <f t="shared" si="4"/>
        <v/>
      </c>
      <c r="Z170" s="29" t="str">
        <f t="shared" si="5"/>
        <v/>
      </c>
      <c r="AA170" s="29"/>
      <c r="AB170" s="29"/>
      <c r="AC170" s="73"/>
      <c r="AD170" s="73"/>
      <c r="AE170" s="78" t="str">
        <f>IF(U170="","",IF(AD170="","",_xlfn.WORKDAY.INTL(AD170,7,1,FERIADOS)))</f>
        <v/>
      </c>
      <c r="AF170" s="79"/>
      <c r="AG170" s="80" t="str">
        <f t="array" ref="AG170">IF(A170="","",IF(AF170="","",AF170*INDEX(PARAMETROS!F$2:F1233,MATCH(YEAR(AC170),PARAMETROS!E$2:E1233,0),1)))</f>
        <v/>
      </c>
      <c r="AH170" s="81"/>
      <c r="AI170" s="82"/>
      <c r="AJ170" s="81"/>
      <c r="AK170" s="81"/>
      <c r="AL170" s="29"/>
      <c r="AM170" s="75"/>
      <c r="AN170" s="76"/>
      <c r="AO170" s="95"/>
      <c r="AP170" s="96"/>
      <c r="AQ170" s="85" t="str">
        <f t="shared" si="6"/>
        <v/>
      </c>
      <c r="AR170" s="86" t="str">
        <f t="array" ref="AR170">IF(A170="","",IFERROR(INDEX('2) Etapas'!L$3:L923,MATCH(B170,'2) Etapas'!$A$4:$A923,0),1),-1))</f>
        <v/>
      </c>
      <c r="AS170" s="87" t="str">
        <f t="shared" si="7"/>
        <v/>
      </c>
      <c r="AT170" s="87" t="str">
        <f t="shared" si="8"/>
        <v/>
      </c>
      <c r="AU170" s="87" t="str">
        <f t="shared" si="9"/>
        <v/>
      </c>
      <c r="AV170" s="89" t="str">
        <f t="array" ref="AV170">IF(OR($A170="",$AB170="", $AC170=""),"",MAXA(IF($A170=$A$4:$A923,$AC$4:$AC923)))</f>
        <v/>
      </c>
    </row>
    <row r="171" ht="22.5" customHeight="1">
      <c r="A171" s="29"/>
      <c r="B171" s="68" t="str">
        <f t="shared" si="1"/>
        <v/>
      </c>
      <c r="C171" s="69"/>
      <c r="D171" s="70" t="str">
        <f t="shared" si="2"/>
        <v/>
      </c>
      <c r="E171" s="29"/>
      <c r="F171" s="68" t="str">
        <f t="array" ref="F171">IF($A171="","",IFERROR(INDEX(MA_INDIVIDUALES!C$2:C923, MATCH($A171,MA_INDIVIDUALES!$B$2:$B923,0),1),"CÓDIGO DE EXPEDIENTE INVÁLIDO"))</f>
        <v/>
      </c>
      <c r="G171" s="68" t="str">
        <f t="array" ref="G171">IF($A171="","",IFERROR(INDEX(MA_INDIVIDUALES!K$2:K923, MATCH($A171,MA_INDIVIDUALES!$B$2:$B923,0),1),"CÓDIGO DE EXPEDIENTE INVÁLIDO"))</f>
        <v/>
      </c>
      <c r="H171" s="68" t="str">
        <f t="array" ref="H171">IF($A171="","",IFERROR(INDEX(MA_INDIVIDUALES!L$2:L923, MATCH($A171,MA_INDIVIDUALES!$B$2:$B923,0),1),"CÓDIGO DE EXPEDIENTE INVÁLIDO"))</f>
        <v/>
      </c>
      <c r="I171" s="29"/>
      <c r="J171" s="29"/>
      <c r="K171" s="73"/>
      <c r="L171" s="74" t="str">
        <f>IF(A171="","",IF(K171="","",_xlfn.WORKDAY.INTL(K171,5,1,FERIADOS)))</f>
        <v/>
      </c>
      <c r="M171" s="29"/>
      <c r="N171" s="75"/>
      <c r="O171" s="76"/>
      <c r="P171" s="77" t="str">
        <f t="shared" si="3"/>
        <v/>
      </c>
      <c r="Q171" s="75"/>
      <c r="R171" s="76"/>
      <c r="S171" s="75"/>
      <c r="T171" s="75"/>
      <c r="U171" s="29"/>
      <c r="V171" s="76"/>
      <c r="W171" s="75"/>
      <c r="X171" s="76"/>
      <c r="Y171" s="29" t="str">
        <f t="shared" si="4"/>
        <v/>
      </c>
      <c r="Z171" s="29" t="str">
        <f t="shared" si="5"/>
        <v/>
      </c>
      <c r="AA171" s="29"/>
      <c r="AB171" s="29"/>
      <c r="AC171" s="73"/>
      <c r="AD171" s="73"/>
      <c r="AE171" s="78" t="str">
        <f>IF(U171="","",IF(AD171="","",_xlfn.WORKDAY.INTL(AD171,7,1,FERIADOS)))</f>
        <v/>
      </c>
      <c r="AF171" s="79"/>
      <c r="AG171" s="80" t="str">
        <f t="array" ref="AG171">IF(A171="","",IF(AF171="","",AF171*INDEX(PARAMETROS!F$2:F1234,MATCH(YEAR(AC171),PARAMETROS!E$2:E1234,0),1)))</f>
        <v/>
      </c>
      <c r="AH171" s="81"/>
      <c r="AI171" s="82"/>
      <c r="AJ171" s="81"/>
      <c r="AK171" s="81"/>
      <c r="AL171" s="29"/>
      <c r="AM171" s="75"/>
      <c r="AN171" s="76"/>
      <c r="AO171" s="95"/>
      <c r="AP171" s="96"/>
      <c r="AQ171" s="85" t="str">
        <f t="shared" si="6"/>
        <v/>
      </c>
      <c r="AR171" s="86" t="str">
        <f t="array" ref="AR171">IF(A171="","",IFERROR(INDEX('2) Etapas'!L$3:L923,MATCH(B171,'2) Etapas'!$A$4:$A923,0),1),-1))</f>
        <v/>
      </c>
      <c r="AS171" s="87" t="str">
        <f t="shared" si="7"/>
        <v/>
      </c>
      <c r="AT171" s="87" t="str">
        <f t="shared" si="8"/>
        <v/>
      </c>
      <c r="AU171" s="87" t="str">
        <f t="shared" si="9"/>
        <v/>
      </c>
      <c r="AV171" s="89" t="str">
        <f t="array" ref="AV171">IF(OR($A171="",$AB171="", $AC171=""),"",MAXA(IF($A171=$A$4:$A923,$AC$4:$AC923)))</f>
        <v/>
      </c>
    </row>
    <row r="172" ht="22.5" customHeight="1">
      <c r="A172" s="29"/>
      <c r="B172" s="68" t="str">
        <f t="shared" si="1"/>
        <v/>
      </c>
      <c r="C172" s="69"/>
      <c r="D172" s="70" t="str">
        <f t="shared" si="2"/>
        <v/>
      </c>
      <c r="E172" s="29"/>
      <c r="F172" s="68" t="str">
        <f t="array" ref="F172">IF($A172="","",IFERROR(INDEX(MA_INDIVIDUALES!C$2:C923, MATCH($A172,MA_INDIVIDUALES!$B$2:$B923,0),1),"CÓDIGO DE EXPEDIENTE INVÁLIDO"))</f>
        <v/>
      </c>
      <c r="G172" s="68" t="str">
        <f t="array" ref="G172">IF($A172="","",IFERROR(INDEX(MA_INDIVIDUALES!K$2:K923, MATCH($A172,MA_INDIVIDUALES!$B$2:$B923,0),1),"CÓDIGO DE EXPEDIENTE INVÁLIDO"))</f>
        <v/>
      </c>
      <c r="H172" s="68" t="str">
        <f t="array" ref="H172">IF($A172="","",IFERROR(INDEX(MA_INDIVIDUALES!L$2:L923, MATCH($A172,MA_INDIVIDUALES!$B$2:$B923,0),1),"CÓDIGO DE EXPEDIENTE INVÁLIDO"))</f>
        <v/>
      </c>
      <c r="I172" s="29"/>
      <c r="J172" s="29"/>
      <c r="K172" s="73"/>
      <c r="L172" s="74" t="str">
        <f>IF(A172="","",IF(K172="","",_xlfn.WORKDAY.INTL(K172,5,1,FERIADOS)))</f>
        <v/>
      </c>
      <c r="M172" s="29"/>
      <c r="N172" s="75"/>
      <c r="O172" s="76"/>
      <c r="P172" s="77" t="str">
        <f t="shared" si="3"/>
        <v/>
      </c>
      <c r="Q172" s="75"/>
      <c r="R172" s="76"/>
      <c r="S172" s="75"/>
      <c r="T172" s="75"/>
      <c r="U172" s="29"/>
      <c r="V172" s="76"/>
      <c r="W172" s="75"/>
      <c r="X172" s="76"/>
      <c r="Y172" s="29" t="str">
        <f t="shared" si="4"/>
        <v/>
      </c>
      <c r="Z172" s="29" t="str">
        <f t="shared" si="5"/>
        <v/>
      </c>
      <c r="AA172" s="29"/>
      <c r="AB172" s="29"/>
      <c r="AC172" s="73"/>
      <c r="AD172" s="73"/>
      <c r="AE172" s="78" t="str">
        <f>IF(U172="","",IF(AD172="","",_xlfn.WORKDAY.INTL(AD172,7,1,FERIADOS)))</f>
        <v/>
      </c>
      <c r="AF172" s="79"/>
      <c r="AG172" s="80" t="str">
        <f t="array" ref="AG172">IF(A172="","",IF(AF172="","",AF172*INDEX(PARAMETROS!F$2:F1235,MATCH(YEAR(AC172),PARAMETROS!E$2:E1235,0),1)))</f>
        <v/>
      </c>
      <c r="AH172" s="81"/>
      <c r="AI172" s="82"/>
      <c r="AJ172" s="81"/>
      <c r="AK172" s="81"/>
      <c r="AL172" s="29"/>
      <c r="AM172" s="75"/>
      <c r="AN172" s="76"/>
      <c r="AO172" s="95"/>
      <c r="AP172" s="96"/>
      <c r="AQ172" s="85" t="str">
        <f t="shared" si="6"/>
        <v/>
      </c>
      <c r="AR172" s="86" t="str">
        <f t="array" ref="AR172">IF(A172="","",IFERROR(INDEX('2) Etapas'!L$3:L923,MATCH(B172,'2) Etapas'!$A$4:$A923,0),1),-1))</f>
        <v/>
      </c>
      <c r="AS172" s="87" t="str">
        <f t="shared" si="7"/>
        <v/>
      </c>
      <c r="AT172" s="87" t="str">
        <f t="shared" si="8"/>
        <v/>
      </c>
      <c r="AU172" s="87" t="str">
        <f t="shared" si="9"/>
        <v/>
      </c>
      <c r="AV172" s="89" t="str">
        <f t="array" ref="AV172">IF(OR($A172="",$AB172="", $AC172=""),"",MAXA(IF($A172=$A$4:$A923,$AC$4:$AC923)))</f>
        <v/>
      </c>
    </row>
    <row r="173" ht="22.5" customHeight="1">
      <c r="A173" s="76"/>
      <c r="B173" s="68" t="str">
        <f t="shared" si="1"/>
        <v/>
      </c>
      <c r="C173" s="110"/>
      <c r="D173" s="70" t="str">
        <f t="shared" si="2"/>
        <v/>
      </c>
      <c r="E173" s="29"/>
      <c r="F173" s="68" t="str">
        <f t="array" ref="F173">IF($A173="","",IFERROR(INDEX(MA_INDIVIDUALES!C$2:C923, MATCH($A173,MA_INDIVIDUALES!$B$2:$B923,0),1),"CÓDIGO DE EXPEDIENTE INVÁLIDO"))</f>
        <v/>
      </c>
      <c r="G173" s="68" t="str">
        <f t="array" ref="G173">IF($A173="","",IFERROR(INDEX(MA_INDIVIDUALES!K$2:K923, MATCH($A173,MA_INDIVIDUALES!$B$2:$B923,0),1),"CÓDIGO DE EXPEDIENTE INVÁLIDO"))</f>
        <v/>
      </c>
      <c r="H173" s="68" t="str">
        <f t="array" ref="H173">IF($A173="","",IFERROR(INDEX(MA_INDIVIDUALES!L$2:L923, MATCH($A173,MA_INDIVIDUALES!$B$2:$B923,0),1),"CÓDIGO DE EXPEDIENTE INVÁLIDO"))</f>
        <v/>
      </c>
      <c r="I173" s="76"/>
      <c r="J173" s="76"/>
      <c r="K173" s="75"/>
      <c r="L173" s="74" t="str">
        <f>IF(A173="","",IF(K173="","",_xlfn.WORKDAY.INTL(K173,5,1,FERIADOS)))</f>
        <v/>
      </c>
      <c r="M173" s="76"/>
      <c r="N173" s="75"/>
      <c r="O173" s="76"/>
      <c r="P173" s="77" t="str">
        <f t="shared" si="3"/>
        <v/>
      </c>
      <c r="Q173" s="75"/>
      <c r="R173" s="76"/>
      <c r="S173" s="75"/>
      <c r="T173" s="75"/>
      <c r="U173" s="76"/>
      <c r="V173" s="76"/>
      <c r="W173" s="75"/>
      <c r="X173" s="76"/>
      <c r="Y173" s="29" t="str">
        <f t="shared" si="4"/>
        <v/>
      </c>
      <c r="Z173" s="29" t="str">
        <f t="shared" si="5"/>
        <v/>
      </c>
      <c r="AA173" s="76"/>
      <c r="AB173" s="76"/>
      <c r="AC173" s="75"/>
      <c r="AD173" s="75"/>
      <c r="AE173" s="78" t="str">
        <f>IF(U173="","",IF(AD173="","",_xlfn.WORKDAY.INTL(AD173,7,1,FERIADOS)))</f>
        <v/>
      </c>
      <c r="AF173" s="104"/>
      <c r="AG173" s="80" t="str">
        <f t="array" ref="AG173">IF(A173="","",IF(AF173="","",AF173*INDEX(PARAMETROS!F$2:F1236,MATCH(YEAR(AC173),PARAMETROS!E$2:E1236,0),1)))</f>
        <v/>
      </c>
      <c r="AH173" s="81"/>
      <c r="AI173" s="82"/>
      <c r="AJ173" s="81"/>
      <c r="AK173" s="81"/>
      <c r="AL173" s="76"/>
      <c r="AM173" s="75"/>
      <c r="AN173" s="76"/>
      <c r="AO173" s="95"/>
      <c r="AP173" s="96"/>
      <c r="AQ173" s="85" t="str">
        <f t="shared" si="6"/>
        <v/>
      </c>
      <c r="AR173" s="86" t="str">
        <f t="array" ref="AR173">IF(A173="","",IFERROR(INDEX('2) Etapas'!L$3:L923,MATCH(B173,'2) Etapas'!$A$4:$A923,0),1),-1))</f>
        <v/>
      </c>
      <c r="AS173" s="87" t="str">
        <f t="shared" si="7"/>
        <v/>
      </c>
      <c r="AT173" s="87" t="str">
        <f t="shared" si="8"/>
        <v/>
      </c>
      <c r="AU173" s="87" t="str">
        <f t="shared" si="9"/>
        <v/>
      </c>
      <c r="AV173" s="89" t="str">
        <f t="array" ref="AV173">IF(OR($A173="",$AB173="", $AC173=""),"",MAXA(IF($A173=$A$4:$A923,$AC$4:$AC923)))</f>
        <v/>
      </c>
    </row>
    <row r="174" ht="22.5" customHeight="1">
      <c r="A174" s="76"/>
      <c r="B174" s="68" t="str">
        <f t="shared" si="1"/>
        <v/>
      </c>
      <c r="C174" s="110"/>
      <c r="D174" s="70" t="str">
        <f t="shared" si="2"/>
        <v/>
      </c>
      <c r="E174" s="76"/>
      <c r="F174" s="68" t="str">
        <f t="array" ref="F174">IF($A174="","",IFERROR(INDEX(MA_INDIVIDUALES!C$2:C923, MATCH($A174,MA_INDIVIDUALES!$B$2:$B923,0),1),"CÓDIGO DE EXPEDIENTE INVÁLIDO"))</f>
        <v/>
      </c>
      <c r="G174" s="68" t="str">
        <f t="array" ref="G174">IF($A174="","",IFERROR(INDEX(MA_INDIVIDUALES!K$2:K923, MATCH($A174,MA_INDIVIDUALES!$B$2:$B923,0),1),"CÓDIGO DE EXPEDIENTE INVÁLIDO"))</f>
        <v/>
      </c>
      <c r="H174" s="68" t="str">
        <f t="array" ref="H174">IF($A174="","",IFERROR(INDEX(MA_INDIVIDUALES!L$2:L923, MATCH($A174,MA_INDIVIDUALES!$B$2:$B923,0),1),"CÓDIGO DE EXPEDIENTE INVÁLIDO"))</f>
        <v/>
      </c>
      <c r="I174" s="76"/>
      <c r="J174" s="76"/>
      <c r="K174" s="75"/>
      <c r="L174" s="74" t="str">
        <f>IF(A174="","",IF(K174="","",_xlfn.WORKDAY.INTL(K174,5,1,FERIADOS)))</f>
        <v/>
      </c>
      <c r="M174" s="76"/>
      <c r="N174" s="75"/>
      <c r="O174" s="76"/>
      <c r="P174" s="77" t="str">
        <f t="shared" si="3"/>
        <v/>
      </c>
      <c r="Q174" s="75"/>
      <c r="R174" s="76"/>
      <c r="S174" s="75"/>
      <c r="T174" s="75"/>
      <c r="U174" s="76"/>
      <c r="V174" s="76"/>
      <c r="W174" s="75"/>
      <c r="X174" s="76"/>
      <c r="Y174" s="29" t="str">
        <f t="shared" si="4"/>
        <v/>
      </c>
      <c r="Z174" s="29" t="str">
        <f t="shared" si="5"/>
        <v/>
      </c>
      <c r="AA174" s="76"/>
      <c r="AB174" s="76"/>
      <c r="AC174" s="75"/>
      <c r="AD174" s="75"/>
      <c r="AE174" s="78" t="str">
        <f>IF(U174="","",IF(AD174="","",_xlfn.WORKDAY.INTL(AD174,7,1,FERIADOS)))</f>
        <v/>
      </c>
      <c r="AF174" s="104"/>
      <c r="AG174" s="80" t="str">
        <f t="array" ref="AG174">IF(A174="","",IF(AF174="","",AF174*INDEX(PARAMETROS!F$2:F1237,MATCH(YEAR(AC174),PARAMETROS!E$2:E1237,0),1)))</f>
        <v/>
      </c>
      <c r="AH174" s="81"/>
      <c r="AI174" s="82"/>
      <c r="AJ174" s="81"/>
      <c r="AK174" s="81"/>
      <c r="AL174" s="76"/>
      <c r="AM174" s="75"/>
      <c r="AN174" s="76"/>
      <c r="AO174" s="95"/>
      <c r="AP174" s="96"/>
      <c r="AQ174" s="85" t="str">
        <f t="shared" si="6"/>
        <v/>
      </c>
      <c r="AR174" s="86" t="str">
        <f t="array" ref="AR174">IF(A174="","",IFERROR(INDEX('2) Etapas'!L$3:L923,MATCH(B174,'2) Etapas'!$A$4:$A923,0),1),-1))</f>
        <v/>
      </c>
      <c r="AS174" s="87" t="str">
        <f t="shared" si="7"/>
        <v/>
      </c>
      <c r="AT174" s="87" t="str">
        <f t="shared" si="8"/>
        <v/>
      </c>
      <c r="AU174" s="87" t="str">
        <f t="shared" si="9"/>
        <v/>
      </c>
      <c r="AV174" s="89" t="str">
        <f t="array" ref="AV174">IF(OR($A174="",$AB174="", $AC174=""),"",MAXA(IF($A174=$A$4:$A923,$AC$4:$AC923)))</f>
        <v/>
      </c>
    </row>
    <row r="175" ht="22.5" customHeight="1">
      <c r="A175" s="76"/>
      <c r="B175" s="68" t="str">
        <f t="shared" si="1"/>
        <v/>
      </c>
      <c r="C175" s="110"/>
      <c r="D175" s="70" t="str">
        <f t="shared" si="2"/>
        <v/>
      </c>
      <c r="E175" s="76"/>
      <c r="F175" s="68" t="str">
        <f t="array" ref="F175">IF($A175="","",IFERROR(INDEX(MA_INDIVIDUALES!C$2:C923, MATCH($A175,MA_INDIVIDUALES!$B$2:$B923,0),1),"CÓDIGO DE EXPEDIENTE INVÁLIDO"))</f>
        <v/>
      </c>
      <c r="G175" s="68" t="str">
        <f t="array" ref="G175">IF($A175="","",IFERROR(INDEX(MA_INDIVIDUALES!K$2:K923, MATCH($A175,MA_INDIVIDUALES!$B$2:$B923,0),1),"CÓDIGO DE EXPEDIENTE INVÁLIDO"))</f>
        <v/>
      </c>
      <c r="H175" s="68" t="str">
        <f t="array" ref="H175">IF($A175="","",IFERROR(INDEX(MA_INDIVIDUALES!L$2:L923, MATCH($A175,MA_INDIVIDUALES!$B$2:$B923,0),1),"CÓDIGO DE EXPEDIENTE INVÁLIDO"))</f>
        <v/>
      </c>
      <c r="I175" s="76"/>
      <c r="J175" s="76"/>
      <c r="K175" s="75"/>
      <c r="L175" s="74" t="str">
        <f>IF(A175="","",IF(K175="","",_xlfn.WORKDAY.INTL(K175,5,1,FERIADOS)))</f>
        <v/>
      </c>
      <c r="M175" s="76"/>
      <c r="N175" s="75"/>
      <c r="O175" s="76"/>
      <c r="P175" s="77" t="str">
        <f t="shared" si="3"/>
        <v/>
      </c>
      <c r="Q175" s="75"/>
      <c r="R175" s="76"/>
      <c r="S175" s="75"/>
      <c r="T175" s="75"/>
      <c r="U175" s="76"/>
      <c r="V175" s="76"/>
      <c r="W175" s="75"/>
      <c r="X175" s="76"/>
      <c r="Y175" s="29" t="str">
        <f t="shared" si="4"/>
        <v/>
      </c>
      <c r="Z175" s="29" t="str">
        <f t="shared" si="5"/>
        <v/>
      </c>
      <c r="AA175" s="76"/>
      <c r="AB175" s="76"/>
      <c r="AC175" s="75"/>
      <c r="AD175" s="75"/>
      <c r="AE175" s="78" t="str">
        <f>IF(U175="","",IF(AD175="","",_xlfn.WORKDAY.INTL(AD175,7,1,FERIADOS)))</f>
        <v/>
      </c>
      <c r="AF175" s="104"/>
      <c r="AG175" s="80" t="str">
        <f t="array" ref="AG175">IF(A175="","",IF(AF175="","",AF175*INDEX(PARAMETROS!F$2:F1238,MATCH(YEAR(AC175),PARAMETROS!E$2:E1238,0),1)))</f>
        <v/>
      </c>
      <c r="AH175" s="81"/>
      <c r="AI175" s="82"/>
      <c r="AJ175" s="81"/>
      <c r="AK175" s="81"/>
      <c r="AL175" s="76"/>
      <c r="AM175" s="75"/>
      <c r="AN175" s="76"/>
      <c r="AO175" s="95"/>
      <c r="AP175" s="96"/>
      <c r="AQ175" s="85" t="str">
        <f t="shared" si="6"/>
        <v/>
      </c>
      <c r="AR175" s="86" t="str">
        <f t="array" ref="AR175">IF(A175="","",IFERROR(INDEX('2) Etapas'!L$3:L923,MATCH(B175,'2) Etapas'!$A$4:$A923,0),1),-1))</f>
        <v/>
      </c>
      <c r="AS175" s="87" t="str">
        <f t="shared" si="7"/>
        <v/>
      </c>
      <c r="AT175" s="87" t="str">
        <f t="shared" si="8"/>
        <v/>
      </c>
      <c r="AU175" s="87" t="str">
        <f t="shared" si="9"/>
        <v/>
      </c>
      <c r="AV175" s="89" t="str">
        <f t="array" ref="AV175">IF(OR($A175="",$AB175="", $AC175=""),"",MAXA(IF($A175=$A$4:$A923,$AC$4:$AC923)))</f>
        <v/>
      </c>
    </row>
    <row r="176" ht="22.5" customHeight="1">
      <c r="A176" s="76"/>
      <c r="B176" s="68" t="str">
        <f t="shared" si="1"/>
        <v/>
      </c>
      <c r="C176" s="110"/>
      <c r="D176" s="70" t="str">
        <f t="shared" si="2"/>
        <v/>
      </c>
      <c r="E176" s="76"/>
      <c r="F176" s="68" t="str">
        <f t="array" ref="F176">IF($A176="","",IFERROR(INDEX(MA_INDIVIDUALES!C$2:C923, MATCH($A176,MA_INDIVIDUALES!$B$2:$B923,0),1),"CÓDIGO DE EXPEDIENTE INVÁLIDO"))</f>
        <v/>
      </c>
      <c r="G176" s="68" t="str">
        <f t="array" ref="G176">IF($A176="","",IFERROR(INDEX(MA_INDIVIDUALES!K$2:K923, MATCH($A176,MA_INDIVIDUALES!$B$2:$B923,0),1),"CÓDIGO DE EXPEDIENTE INVÁLIDO"))</f>
        <v/>
      </c>
      <c r="H176" s="68" t="str">
        <f t="array" ref="H176">IF($A176="","",IFERROR(INDEX(MA_INDIVIDUALES!L$2:L923, MATCH($A176,MA_INDIVIDUALES!$B$2:$B923,0),1),"CÓDIGO DE EXPEDIENTE INVÁLIDO"))</f>
        <v/>
      </c>
      <c r="I176" s="76"/>
      <c r="J176" s="76"/>
      <c r="K176" s="75"/>
      <c r="L176" s="74" t="str">
        <f>IF(A176="","",IF(K176="","",_xlfn.WORKDAY.INTL(K176,5,1,FERIADOS)))</f>
        <v/>
      </c>
      <c r="M176" s="76"/>
      <c r="N176" s="75"/>
      <c r="O176" s="76"/>
      <c r="P176" s="77" t="str">
        <f t="shared" si="3"/>
        <v/>
      </c>
      <c r="Q176" s="75"/>
      <c r="R176" s="76"/>
      <c r="S176" s="75"/>
      <c r="T176" s="75"/>
      <c r="U176" s="76"/>
      <c r="V176" s="76"/>
      <c r="W176" s="75"/>
      <c r="X176" s="76"/>
      <c r="Y176" s="29" t="str">
        <f t="shared" si="4"/>
        <v/>
      </c>
      <c r="Z176" s="29" t="str">
        <f t="shared" si="5"/>
        <v/>
      </c>
      <c r="AA176" s="76"/>
      <c r="AB176" s="76"/>
      <c r="AC176" s="75"/>
      <c r="AD176" s="75"/>
      <c r="AE176" s="78" t="str">
        <f>IF(U176="","",IF(AD176="","",_xlfn.WORKDAY.INTL(AD176,7,1,FERIADOS)))</f>
        <v/>
      </c>
      <c r="AF176" s="104"/>
      <c r="AG176" s="80" t="str">
        <f t="array" ref="AG176">IF(A176="","",IF(AF176="","",AF176*INDEX(PARAMETROS!F$2:F1239,MATCH(YEAR(AC176),PARAMETROS!E$2:E1239,0),1)))</f>
        <v/>
      </c>
      <c r="AH176" s="81"/>
      <c r="AI176" s="82"/>
      <c r="AJ176" s="81"/>
      <c r="AK176" s="81"/>
      <c r="AL176" s="76"/>
      <c r="AM176" s="75"/>
      <c r="AN176" s="76"/>
      <c r="AO176" s="95"/>
      <c r="AP176" s="96"/>
      <c r="AQ176" s="85" t="str">
        <f t="shared" si="6"/>
        <v/>
      </c>
      <c r="AR176" s="86" t="str">
        <f t="array" ref="AR176">IF(A176="","",IFERROR(INDEX('2) Etapas'!L$3:L923,MATCH(B176,'2) Etapas'!$A$4:$A923,0),1),-1))</f>
        <v/>
      </c>
      <c r="AS176" s="87" t="str">
        <f t="shared" si="7"/>
        <v/>
      </c>
      <c r="AT176" s="87" t="str">
        <f t="shared" si="8"/>
        <v/>
      </c>
      <c r="AU176" s="87" t="str">
        <f t="shared" si="9"/>
        <v/>
      </c>
      <c r="AV176" s="89" t="str">
        <f t="array" ref="AV176">IF(OR($A176="",$AB176="", $AC176=""),"",MAXA(IF($A176=$A$4:$A923,$AC$4:$AC923)))</f>
        <v/>
      </c>
    </row>
    <row r="177" ht="22.5" customHeight="1">
      <c r="A177" s="76"/>
      <c r="B177" s="68" t="str">
        <f t="shared" si="1"/>
        <v/>
      </c>
      <c r="C177" s="110"/>
      <c r="D177" s="70" t="str">
        <f t="shared" si="2"/>
        <v/>
      </c>
      <c r="E177" s="76"/>
      <c r="F177" s="68" t="str">
        <f t="array" ref="F177">IF($A177="","",IFERROR(INDEX(MA_INDIVIDUALES!C$2:C923, MATCH($A177,MA_INDIVIDUALES!$B$2:$B923,0),1),"CÓDIGO DE EXPEDIENTE INVÁLIDO"))</f>
        <v/>
      </c>
      <c r="G177" s="68" t="str">
        <f t="array" ref="G177">IF($A177="","",IFERROR(INDEX(MA_INDIVIDUALES!K$2:K923, MATCH($A177,MA_INDIVIDUALES!$B$2:$B923,0),1),"CÓDIGO DE EXPEDIENTE INVÁLIDO"))</f>
        <v/>
      </c>
      <c r="H177" s="68" t="str">
        <f t="array" ref="H177">IF($A177="","",IFERROR(INDEX(MA_INDIVIDUALES!L$2:L923, MATCH($A177,MA_INDIVIDUALES!$B$2:$B923,0),1),"CÓDIGO DE EXPEDIENTE INVÁLIDO"))</f>
        <v/>
      </c>
      <c r="I177" s="76"/>
      <c r="J177" s="76"/>
      <c r="K177" s="75"/>
      <c r="L177" s="74" t="str">
        <f>IF(A177="","",IF(K177="","",_xlfn.WORKDAY.INTL(K177,5,1,FERIADOS)))</f>
        <v/>
      </c>
      <c r="M177" s="76"/>
      <c r="N177" s="75"/>
      <c r="O177" s="76"/>
      <c r="P177" s="77" t="str">
        <f t="shared" si="3"/>
        <v/>
      </c>
      <c r="Q177" s="75"/>
      <c r="R177" s="76"/>
      <c r="S177" s="75"/>
      <c r="T177" s="75"/>
      <c r="U177" s="76"/>
      <c r="V177" s="76"/>
      <c r="W177" s="75"/>
      <c r="X177" s="76"/>
      <c r="Y177" s="29" t="str">
        <f t="shared" si="4"/>
        <v/>
      </c>
      <c r="Z177" s="29" t="str">
        <f t="shared" si="5"/>
        <v/>
      </c>
      <c r="AA177" s="76"/>
      <c r="AB177" s="76"/>
      <c r="AC177" s="75"/>
      <c r="AD177" s="75"/>
      <c r="AE177" s="78" t="str">
        <f>IF(U177="","",IF(AD177="","",_xlfn.WORKDAY.INTL(AD177,7,1,FERIADOS)))</f>
        <v/>
      </c>
      <c r="AF177" s="104"/>
      <c r="AG177" s="80" t="str">
        <f t="array" ref="AG177">IF(A177="","",IF(AF177="","",AF177*INDEX(PARAMETROS!F$2:F1240,MATCH(YEAR(AC177),PARAMETROS!E$2:E1240,0),1)))</f>
        <v/>
      </c>
      <c r="AH177" s="81"/>
      <c r="AI177" s="82"/>
      <c r="AJ177" s="81"/>
      <c r="AK177" s="81"/>
      <c r="AL177" s="76"/>
      <c r="AM177" s="75"/>
      <c r="AN177" s="76"/>
      <c r="AO177" s="95"/>
      <c r="AP177" s="96"/>
      <c r="AQ177" s="85" t="str">
        <f t="shared" si="6"/>
        <v/>
      </c>
      <c r="AR177" s="86" t="str">
        <f t="array" ref="AR177">IF(A177="","",IFERROR(INDEX('2) Etapas'!L$3:L923,MATCH(B177,'2) Etapas'!$A$4:$A923,0),1),-1))</f>
        <v/>
      </c>
      <c r="AS177" s="87" t="str">
        <f t="shared" si="7"/>
        <v/>
      </c>
      <c r="AT177" s="87" t="str">
        <f t="shared" si="8"/>
        <v/>
      </c>
      <c r="AU177" s="87" t="str">
        <f t="shared" si="9"/>
        <v/>
      </c>
      <c r="AV177" s="89" t="str">
        <f t="array" ref="AV177">IF(OR($A177="",$AB177="", $AC177=""),"",MAXA(IF($A177=$A$4:$A923,$AC$4:$AC923)))</f>
        <v/>
      </c>
    </row>
    <row r="178" ht="22.5" customHeight="1">
      <c r="A178" s="76"/>
      <c r="B178" s="68" t="str">
        <f t="shared" si="1"/>
        <v/>
      </c>
      <c r="C178" s="110"/>
      <c r="D178" s="70" t="str">
        <f t="shared" si="2"/>
        <v/>
      </c>
      <c r="E178" s="76"/>
      <c r="F178" s="68" t="str">
        <f t="array" ref="F178">IF($A178="","",IFERROR(INDEX(MA_INDIVIDUALES!C$2:C923, MATCH($A178,MA_INDIVIDUALES!$B$2:$B923,0),1),"CÓDIGO DE EXPEDIENTE INVÁLIDO"))</f>
        <v/>
      </c>
      <c r="G178" s="68" t="str">
        <f t="array" ref="G178">IF($A178="","",IFERROR(INDEX(MA_INDIVIDUALES!K$2:K923, MATCH($A178,MA_INDIVIDUALES!$B$2:$B923,0),1),"CÓDIGO DE EXPEDIENTE INVÁLIDO"))</f>
        <v/>
      </c>
      <c r="H178" s="68" t="str">
        <f t="array" ref="H178">IF($A178="","",IFERROR(INDEX(MA_INDIVIDUALES!L$2:L923, MATCH($A178,MA_INDIVIDUALES!$B$2:$B923,0),1),"CÓDIGO DE EXPEDIENTE INVÁLIDO"))</f>
        <v/>
      </c>
      <c r="I178" s="76"/>
      <c r="J178" s="76"/>
      <c r="K178" s="75"/>
      <c r="L178" s="74" t="str">
        <f>IF(A178="","",IF(K178="","",_xlfn.WORKDAY.INTL(K178,5,1,FERIADOS)))</f>
        <v/>
      </c>
      <c r="M178" s="76"/>
      <c r="N178" s="75"/>
      <c r="O178" s="76"/>
      <c r="P178" s="77" t="str">
        <f t="shared" si="3"/>
        <v/>
      </c>
      <c r="Q178" s="75"/>
      <c r="R178" s="76"/>
      <c r="S178" s="75"/>
      <c r="T178" s="75"/>
      <c r="U178" s="76"/>
      <c r="V178" s="76"/>
      <c r="W178" s="75"/>
      <c r="X178" s="76"/>
      <c r="Y178" s="29" t="str">
        <f t="shared" si="4"/>
        <v/>
      </c>
      <c r="Z178" s="29" t="str">
        <f t="shared" si="5"/>
        <v/>
      </c>
      <c r="AA178" s="76"/>
      <c r="AB178" s="76"/>
      <c r="AC178" s="75"/>
      <c r="AD178" s="75"/>
      <c r="AE178" s="78" t="str">
        <f>IF(U178="","",IF(AD178="","",_xlfn.WORKDAY.INTL(AD178,7,1,FERIADOS)))</f>
        <v/>
      </c>
      <c r="AF178" s="104"/>
      <c r="AG178" s="80" t="str">
        <f t="array" ref="AG178">IF(A178="","",IF(AF178="","",AF178*INDEX(PARAMETROS!F$2:F1241,MATCH(YEAR(AC178),PARAMETROS!E$2:E1241,0),1)))</f>
        <v/>
      </c>
      <c r="AH178" s="81"/>
      <c r="AI178" s="82"/>
      <c r="AJ178" s="81"/>
      <c r="AK178" s="81"/>
      <c r="AL178" s="76"/>
      <c r="AM178" s="75"/>
      <c r="AN178" s="76"/>
      <c r="AO178" s="95"/>
      <c r="AP178" s="96"/>
      <c r="AQ178" s="85" t="str">
        <f t="shared" si="6"/>
        <v/>
      </c>
      <c r="AR178" s="86" t="str">
        <f t="array" ref="AR178">IF(A178="","",IFERROR(INDEX('2) Etapas'!L$3:L923,MATCH(B178,'2) Etapas'!$A$4:$A923,0),1),-1))</f>
        <v/>
      </c>
      <c r="AS178" s="87" t="str">
        <f t="shared" si="7"/>
        <v/>
      </c>
      <c r="AT178" s="87" t="str">
        <f t="shared" si="8"/>
        <v/>
      </c>
      <c r="AU178" s="87" t="str">
        <f t="shared" si="9"/>
        <v/>
      </c>
      <c r="AV178" s="89" t="str">
        <f t="array" ref="AV178">IF(OR($A178="",$AB178="", $AC178=""),"",MAXA(IF($A178=$A$4:$A923,$AC$4:$AC923)))</f>
        <v/>
      </c>
    </row>
    <row r="179" ht="22.5" customHeight="1">
      <c r="A179" s="76"/>
      <c r="B179" s="68" t="str">
        <f t="shared" si="1"/>
        <v/>
      </c>
      <c r="C179" s="110"/>
      <c r="D179" s="70" t="str">
        <f t="shared" si="2"/>
        <v/>
      </c>
      <c r="E179" s="76"/>
      <c r="F179" s="68" t="str">
        <f t="array" ref="F179">IF($A179="","",IFERROR(INDEX(MA_INDIVIDUALES!C$2:C923, MATCH($A179,MA_INDIVIDUALES!$B$2:$B923,0),1),"CÓDIGO DE EXPEDIENTE INVÁLIDO"))</f>
        <v/>
      </c>
      <c r="G179" s="68" t="str">
        <f t="array" ref="G179">IF($A179="","",IFERROR(INDEX(MA_INDIVIDUALES!K$2:K923, MATCH($A179,MA_INDIVIDUALES!$B$2:$B923,0),1),"CÓDIGO DE EXPEDIENTE INVÁLIDO"))</f>
        <v/>
      </c>
      <c r="H179" s="68" t="str">
        <f t="array" ref="H179">IF($A179="","",IFERROR(INDEX(MA_INDIVIDUALES!L$2:L923, MATCH($A179,MA_INDIVIDUALES!$B$2:$B923,0),1),"CÓDIGO DE EXPEDIENTE INVÁLIDO"))</f>
        <v/>
      </c>
      <c r="I179" s="76"/>
      <c r="J179" s="76"/>
      <c r="K179" s="75"/>
      <c r="L179" s="74" t="str">
        <f>IF(A179="","",IF(K179="","",_xlfn.WORKDAY.INTL(K179,5,1,FERIADOS)))</f>
        <v/>
      </c>
      <c r="M179" s="76"/>
      <c r="N179" s="75"/>
      <c r="O179" s="76"/>
      <c r="P179" s="77" t="str">
        <f t="shared" si="3"/>
        <v/>
      </c>
      <c r="Q179" s="75"/>
      <c r="R179" s="76"/>
      <c r="S179" s="75"/>
      <c r="T179" s="75"/>
      <c r="U179" s="76"/>
      <c r="V179" s="76"/>
      <c r="W179" s="75"/>
      <c r="X179" s="76"/>
      <c r="Y179" s="29" t="str">
        <f t="shared" si="4"/>
        <v/>
      </c>
      <c r="Z179" s="29" t="str">
        <f t="shared" si="5"/>
        <v/>
      </c>
      <c r="AA179" s="76"/>
      <c r="AB179" s="76"/>
      <c r="AC179" s="75"/>
      <c r="AD179" s="75"/>
      <c r="AE179" s="78" t="str">
        <f>IF(U179="","",IF(AD179="","",_xlfn.WORKDAY.INTL(AD179,7,1,FERIADOS)))</f>
        <v/>
      </c>
      <c r="AF179" s="104"/>
      <c r="AG179" s="80" t="str">
        <f t="array" ref="AG179">IF(A179="","",IF(AF179="","",AF179*INDEX(PARAMETROS!F$2:F1242,MATCH(YEAR(AC179),PARAMETROS!E$2:E1242,0),1)))</f>
        <v/>
      </c>
      <c r="AH179" s="81"/>
      <c r="AI179" s="82"/>
      <c r="AJ179" s="81"/>
      <c r="AK179" s="81"/>
      <c r="AL179" s="76"/>
      <c r="AM179" s="75"/>
      <c r="AN179" s="76"/>
      <c r="AO179" s="95"/>
      <c r="AP179" s="96"/>
      <c r="AQ179" s="85" t="str">
        <f t="shared" si="6"/>
        <v/>
      </c>
      <c r="AR179" s="86" t="str">
        <f t="array" ref="AR179">IF(A179="","",IFERROR(INDEX('2) Etapas'!L$3:L923,MATCH(B179,'2) Etapas'!$A$4:$A923,0),1),-1))</f>
        <v/>
      </c>
      <c r="AS179" s="87" t="str">
        <f t="shared" si="7"/>
        <v/>
      </c>
      <c r="AT179" s="87" t="str">
        <f t="shared" si="8"/>
        <v/>
      </c>
      <c r="AU179" s="87" t="str">
        <f t="shared" si="9"/>
        <v/>
      </c>
      <c r="AV179" s="89" t="str">
        <f t="array" ref="AV179">IF(OR($A179="",$AB179="", $AC179=""),"",MAXA(IF($A179=$A$4:$A923,$AC$4:$AC923)))</f>
        <v/>
      </c>
    </row>
    <row r="180" ht="22.5" customHeight="1">
      <c r="A180" s="76"/>
      <c r="B180" s="68" t="str">
        <f t="shared" si="1"/>
        <v/>
      </c>
      <c r="C180" s="110"/>
      <c r="D180" s="70" t="str">
        <f t="shared" si="2"/>
        <v/>
      </c>
      <c r="E180" s="76"/>
      <c r="F180" s="68" t="str">
        <f t="array" ref="F180">IF($A180="","",IFERROR(INDEX(MA_INDIVIDUALES!C$2:C923, MATCH($A180,MA_INDIVIDUALES!$B$2:$B923,0),1),"CÓDIGO DE EXPEDIENTE INVÁLIDO"))</f>
        <v/>
      </c>
      <c r="G180" s="68" t="str">
        <f t="array" ref="G180">IF($A180="","",IFERROR(INDEX(MA_INDIVIDUALES!K$2:K923, MATCH($A180,MA_INDIVIDUALES!$B$2:$B923,0),1),"CÓDIGO DE EXPEDIENTE INVÁLIDO"))</f>
        <v/>
      </c>
      <c r="H180" s="68" t="str">
        <f t="array" ref="H180">IF($A180="","",IFERROR(INDEX(MA_INDIVIDUALES!L$2:L923, MATCH($A180,MA_INDIVIDUALES!$B$2:$B923,0),1),"CÓDIGO DE EXPEDIENTE INVÁLIDO"))</f>
        <v/>
      </c>
      <c r="I180" s="76"/>
      <c r="J180" s="76"/>
      <c r="K180" s="75"/>
      <c r="L180" s="74" t="str">
        <f>IF(A180="","",IF(K180="","",_xlfn.WORKDAY.INTL(K180,5,1,FERIADOS)))</f>
        <v/>
      </c>
      <c r="M180" s="76"/>
      <c r="N180" s="75"/>
      <c r="O180" s="76"/>
      <c r="P180" s="77" t="str">
        <f t="shared" si="3"/>
        <v/>
      </c>
      <c r="Q180" s="75"/>
      <c r="R180" s="76"/>
      <c r="S180" s="75"/>
      <c r="T180" s="75"/>
      <c r="U180" s="76"/>
      <c r="V180" s="76"/>
      <c r="W180" s="75"/>
      <c r="X180" s="76"/>
      <c r="Y180" s="29" t="str">
        <f t="shared" si="4"/>
        <v/>
      </c>
      <c r="Z180" s="29" t="str">
        <f t="shared" si="5"/>
        <v/>
      </c>
      <c r="AA180" s="76"/>
      <c r="AB180" s="76"/>
      <c r="AC180" s="75"/>
      <c r="AD180" s="75"/>
      <c r="AE180" s="78" t="str">
        <f>IF(U180="","",IF(AD180="","",_xlfn.WORKDAY.INTL(AD180,7,1,FERIADOS)))</f>
        <v/>
      </c>
      <c r="AF180" s="104"/>
      <c r="AG180" s="80" t="str">
        <f t="array" ref="AG180">IF(A180="","",IF(AF180="","",AF180*INDEX(PARAMETROS!F$2:F1243,MATCH(YEAR(AC180),PARAMETROS!E$2:E1243,0),1)))</f>
        <v/>
      </c>
      <c r="AH180" s="81"/>
      <c r="AI180" s="82"/>
      <c r="AJ180" s="81"/>
      <c r="AK180" s="81"/>
      <c r="AL180" s="76"/>
      <c r="AM180" s="75"/>
      <c r="AN180" s="76"/>
      <c r="AO180" s="95"/>
      <c r="AP180" s="96"/>
      <c r="AQ180" s="85" t="str">
        <f t="shared" si="6"/>
        <v/>
      </c>
      <c r="AR180" s="86" t="str">
        <f t="array" ref="AR180">IF(A180="","",IFERROR(INDEX('2) Etapas'!L$3:L923,MATCH(B180,'2) Etapas'!$A$4:$A923,0),1),-1))</f>
        <v/>
      </c>
      <c r="AS180" s="87" t="str">
        <f t="shared" si="7"/>
        <v/>
      </c>
      <c r="AT180" s="87" t="str">
        <f t="shared" si="8"/>
        <v/>
      </c>
      <c r="AU180" s="87" t="str">
        <f t="shared" si="9"/>
        <v/>
      </c>
      <c r="AV180" s="89" t="str">
        <f t="array" ref="AV180">IF(OR($A180="",$AB180="", $AC180=""),"",MAXA(IF($A180=$A$4:$A923,$AC$4:$AC923)))</f>
        <v/>
      </c>
    </row>
    <row r="181" ht="22.5" customHeight="1">
      <c r="A181" s="76"/>
      <c r="B181" s="68" t="str">
        <f t="shared" si="1"/>
        <v/>
      </c>
      <c r="C181" s="110"/>
      <c r="D181" s="70" t="str">
        <f t="shared" si="2"/>
        <v/>
      </c>
      <c r="E181" s="76"/>
      <c r="F181" s="68" t="str">
        <f t="array" ref="F181">IF($A181="","",IFERROR(INDEX(MA_INDIVIDUALES!C$2:C923, MATCH($A181,MA_INDIVIDUALES!$B$2:$B923,0),1),"CÓDIGO DE EXPEDIENTE INVÁLIDO"))</f>
        <v/>
      </c>
      <c r="G181" s="68" t="str">
        <f t="array" ref="G181">IF($A181="","",IFERROR(INDEX(MA_INDIVIDUALES!K$2:K923, MATCH($A181,MA_INDIVIDUALES!$B$2:$B923,0),1),"CÓDIGO DE EXPEDIENTE INVÁLIDO"))</f>
        <v/>
      </c>
      <c r="H181" s="68" t="str">
        <f t="array" ref="H181">IF($A181="","",IFERROR(INDEX(MA_INDIVIDUALES!L$2:L923, MATCH($A181,MA_INDIVIDUALES!$B$2:$B923,0),1),"CÓDIGO DE EXPEDIENTE INVÁLIDO"))</f>
        <v/>
      </c>
      <c r="I181" s="76"/>
      <c r="J181" s="76"/>
      <c r="K181" s="75"/>
      <c r="L181" s="74" t="str">
        <f>IF(A181="","",IF(K181="","",_xlfn.WORKDAY.INTL(K181,5,1,FERIADOS)))</f>
        <v/>
      </c>
      <c r="M181" s="76"/>
      <c r="N181" s="75"/>
      <c r="O181" s="76"/>
      <c r="P181" s="77" t="str">
        <f t="shared" si="3"/>
        <v/>
      </c>
      <c r="Q181" s="75"/>
      <c r="R181" s="76"/>
      <c r="S181" s="75"/>
      <c r="T181" s="75"/>
      <c r="U181" s="76"/>
      <c r="V181" s="76"/>
      <c r="W181" s="75"/>
      <c r="X181" s="76"/>
      <c r="Y181" s="29" t="str">
        <f t="shared" si="4"/>
        <v/>
      </c>
      <c r="Z181" s="29" t="str">
        <f t="shared" si="5"/>
        <v/>
      </c>
      <c r="AA181" s="76"/>
      <c r="AB181" s="76"/>
      <c r="AC181" s="75"/>
      <c r="AD181" s="75"/>
      <c r="AE181" s="78" t="str">
        <f>IF(U181="","",IF(AD181="","",_xlfn.WORKDAY.INTL(AD181,7,1,FERIADOS)))</f>
        <v/>
      </c>
      <c r="AF181" s="104"/>
      <c r="AG181" s="80" t="str">
        <f t="array" ref="AG181">IF(A181="","",IF(AF181="","",AF181*INDEX(PARAMETROS!F$2:F1244,MATCH(YEAR(AC181),PARAMETROS!E$2:E1244,0),1)))</f>
        <v/>
      </c>
      <c r="AH181" s="81"/>
      <c r="AI181" s="82"/>
      <c r="AJ181" s="81"/>
      <c r="AK181" s="81"/>
      <c r="AL181" s="76"/>
      <c r="AM181" s="75"/>
      <c r="AN181" s="76"/>
      <c r="AO181" s="95"/>
      <c r="AP181" s="96"/>
      <c r="AQ181" s="85" t="str">
        <f t="shared" si="6"/>
        <v/>
      </c>
      <c r="AR181" s="86" t="str">
        <f t="array" ref="AR181">IF(A181="","",IFERROR(INDEX('2) Etapas'!L$3:L923,MATCH(B181,'2) Etapas'!$A$4:$A923,0),1),-1))</f>
        <v/>
      </c>
      <c r="AS181" s="87" t="str">
        <f t="shared" si="7"/>
        <v/>
      </c>
      <c r="AT181" s="87" t="str">
        <f t="shared" si="8"/>
        <v/>
      </c>
      <c r="AU181" s="87" t="str">
        <f t="shared" si="9"/>
        <v/>
      </c>
      <c r="AV181" s="89" t="str">
        <f t="array" ref="AV181">IF(OR($A181="",$AB181="", $AC181=""),"",MAXA(IF($A181=$A$4:$A923,$AC$4:$AC923)))</f>
        <v/>
      </c>
    </row>
    <row r="182" ht="22.5" customHeight="1">
      <c r="A182" s="76"/>
      <c r="B182" s="68" t="str">
        <f t="shared" si="1"/>
        <v/>
      </c>
      <c r="C182" s="110"/>
      <c r="D182" s="70" t="str">
        <f t="shared" si="2"/>
        <v/>
      </c>
      <c r="E182" s="76"/>
      <c r="F182" s="68" t="str">
        <f t="array" ref="F182">IF($A182="","",IFERROR(INDEX(MA_INDIVIDUALES!C$2:C923, MATCH($A182,MA_INDIVIDUALES!$B$2:$B923,0),1),"CÓDIGO DE EXPEDIENTE INVÁLIDO"))</f>
        <v/>
      </c>
      <c r="G182" s="68" t="str">
        <f t="array" ref="G182">IF($A182="","",IFERROR(INDEX(MA_INDIVIDUALES!K$2:K923, MATCH($A182,MA_INDIVIDUALES!$B$2:$B923,0),1),"CÓDIGO DE EXPEDIENTE INVÁLIDO"))</f>
        <v/>
      </c>
      <c r="H182" s="68" t="str">
        <f t="array" ref="H182">IF($A182="","",IFERROR(INDEX(MA_INDIVIDUALES!L$2:L923, MATCH($A182,MA_INDIVIDUALES!$B$2:$B923,0),1),"CÓDIGO DE EXPEDIENTE INVÁLIDO"))</f>
        <v/>
      </c>
      <c r="I182" s="76"/>
      <c r="J182" s="76"/>
      <c r="K182" s="75"/>
      <c r="L182" s="74" t="str">
        <f>IF(A182="","",IF(K182="","",_xlfn.WORKDAY.INTL(K182,5,1,FERIADOS)))</f>
        <v/>
      </c>
      <c r="M182" s="76"/>
      <c r="N182" s="75"/>
      <c r="O182" s="76"/>
      <c r="P182" s="77" t="str">
        <f t="shared" si="3"/>
        <v/>
      </c>
      <c r="Q182" s="75"/>
      <c r="R182" s="76"/>
      <c r="S182" s="75"/>
      <c r="T182" s="75"/>
      <c r="U182" s="76"/>
      <c r="V182" s="76"/>
      <c r="W182" s="75"/>
      <c r="X182" s="76"/>
      <c r="Y182" s="29" t="str">
        <f t="shared" si="4"/>
        <v/>
      </c>
      <c r="Z182" s="29" t="str">
        <f t="shared" si="5"/>
        <v/>
      </c>
      <c r="AA182" s="76"/>
      <c r="AB182" s="76"/>
      <c r="AC182" s="75"/>
      <c r="AD182" s="75"/>
      <c r="AE182" s="78" t="str">
        <f>IF(U182="","",IF(AD182="","",_xlfn.WORKDAY.INTL(AD182,7,1,FERIADOS)))</f>
        <v/>
      </c>
      <c r="AF182" s="104"/>
      <c r="AG182" s="80" t="str">
        <f t="array" ref="AG182">IF(A182="","",IF(AF182="","",AF182*INDEX(PARAMETROS!F$2:F1245,MATCH(YEAR(AC182),PARAMETROS!E$2:E1245,0),1)))</f>
        <v/>
      </c>
      <c r="AH182" s="81"/>
      <c r="AI182" s="82"/>
      <c r="AJ182" s="81"/>
      <c r="AK182" s="81"/>
      <c r="AL182" s="76"/>
      <c r="AM182" s="75"/>
      <c r="AN182" s="76"/>
      <c r="AO182" s="95"/>
      <c r="AP182" s="96"/>
      <c r="AQ182" s="85" t="str">
        <f t="shared" si="6"/>
        <v/>
      </c>
      <c r="AR182" s="86" t="str">
        <f t="array" ref="AR182">IF(A182="","",IFERROR(INDEX('2) Etapas'!L$3:L923,MATCH(B182,'2) Etapas'!$A$4:$A923,0),1),-1))</f>
        <v/>
      </c>
      <c r="AS182" s="87" t="str">
        <f t="shared" si="7"/>
        <v/>
      </c>
      <c r="AT182" s="87" t="str">
        <f t="shared" si="8"/>
        <v/>
      </c>
      <c r="AU182" s="87" t="str">
        <f t="shared" si="9"/>
        <v/>
      </c>
      <c r="AV182" s="89" t="str">
        <f t="array" ref="AV182">IF(OR($A182="",$AB182="", $AC182=""),"",MAXA(IF($A182=$A$4:$A923,$AC$4:$AC923)))</f>
        <v/>
      </c>
    </row>
    <row r="183" ht="22.5" customHeight="1">
      <c r="A183" s="76"/>
      <c r="B183" s="68" t="str">
        <f t="shared" si="1"/>
        <v/>
      </c>
      <c r="C183" s="110"/>
      <c r="D183" s="70" t="str">
        <f t="shared" si="2"/>
        <v/>
      </c>
      <c r="E183" s="76"/>
      <c r="F183" s="68" t="str">
        <f t="array" ref="F183">IF($A183="","",IFERROR(INDEX(MA_INDIVIDUALES!C$2:C923, MATCH($A183,MA_INDIVIDUALES!$B$2:$B923,0),1),"CÓDIGO DE EXPEDIENTE INVÁLIDO"))</f>
        <v/>
      </c>
      <c r="G183" s="68" t="str">
        <f t="array" ref="G183">IF($A183="","",IFERROR(INDEX(MA_INDIVIDUALES!K$2:K923, MATCH($A183,MA_INDIVIDUALES!$B$2:$B923,0),1),"CÓDIGO DE EXPEDIENTE INVÁLIDO"))</f>
        <v/>
      </c>
      <c r="H183" s="68" t="str">
        <f t="array" ref="H183">IF($A183="","",IFERROR(INDEX(MA_INDIVIDUALES!L$2:L923, MATCH($A183,MA_INDIVIDUALES!$B$2:$B923,0),1),"CÓDIGO DE EXPEDIENTE INVÁLIDO"))</f>
        <v/>
      </c>
      <c r="I183" s="76"/>
      <c r="J183" s="76"/>
      <c r="K183" s="75"/>
      <c r="L183" s="74" t="str">
        <f>IF(A183="","",IF(K183="","",_xlfn.WORKDAY.INTL(K183,5,1,FERIADOS)))</f>
        <v/>
      </c>
      <c r="M183" s="76"/>
      <c r="N183" s="75"/>
      <c r="O183" s="76"/>
      <c r="P183" s="77" t="str">
        <f t="shared" si="3"/>
        <v/>
      </c>
      <c r="Q183" s="75"/>
      <c r="R183" s="76"/>
      <c r="S183" s="75"/>
      <c r="T183" s="75"/>
      <c r="U183" s="76"/>
      <c r="V183" s="76"/>
      <c r="W183" s="75"/>
      <c r="X183" s="76"/>
      <c r="Y183" s="29" t="str">
        <f t="shared" si="4"/>
        <v/>
      </c>
      <c r="Z183" s="29" t="str">
        <f t="shared" si="5"/>
        <v/>
      </c>
      <c r="AA183" s="76"/>
      <c r="AB183" s="76"/>
      <c r="AC183" s="75"/>
      <c r="AD183" s="75"/>
      <c r="AE183" s="78" t="str">
        <f>IF(U183="","",IF(AD183="","",_xlfn.WORKDAY.INTL(AD183,7,1,FERIADOS)))</f>
        <v/>
      </c>
      <c r="AF183" s="104"/>
      <c r="AG183" s="80" t="str">
        <f t="array" ref="AG183">IF(A183="","",IF(AF183="","",AF183*INDEX(PARAMETROS!F$2:F1246,MATCH(YEAR(AC183),PARAMETROS!E$2:E1246,0),1)))</f>
        <v/>
      </c>
      <c r="AH183" s="81"/>
      <c r="AI183" s="82"/>
      <c r="AJ183" s="81"/>
      <c r="AK183" s="81"/>
      <c r="AL183" s="76"/>
      <c r="AM183" s="75"/>
      <c r="AN183" s="76"/>
      <c r="AO183" s="95"/>
      <c r="AP183" s="96"/>
      <c r="AQ183" s="85" t="str">
        <f t="shared" si="6"/>
        <v/>
      </c>
      <c r="AR183" s="86" t="str">
        <f t="array" ref="AR183">IF(A183="","",IFERROR(INDEX('2) Etapas'!L$3:L923,MATCH(B183,'2) Etapas'!$A$4:$A923,0),1),-1))</f>
        <v/>
      </c>
      <c r="AS183" s="87" t="str">
        <f t="shared" si="7"/>
        <v/>
      </c>
      <c r="AT183" s="87" t="str">
        <f t="shared" si="8"/>
        <v/>
      </c>
      <c r="AU183" s="87" t="str">
        <f t="shared" si="9"/>
        <v/>
      </c>
      <c r="AV183" s="89" t="str">
        <f t="array" ref="AV183">IF(OR($A183="",$AB183="", $AC183=""),"",MAXA(IF($A183=$A$4:$A923,$AC$4:$AC923)))</f>
        <v/>
      </c>
    </row>
    <row r="184" ht="22.5" customHeight="1">
      <c r="A184" s="76"/>
      <c r="B184" s="68" t="str">
        <f t="shared" si="1"/>
        <v/>
      </c>
      <c r="C184" s="110"/>
      <c r="D184" s="70" t="str">
        <f t="shared" si="2"/>
        <v/>
      </c>
      <c r="E184" s="76"/>
      <c r="F184" s="68" t="str">
        <f t="array" ref="F184">IF($A184="","",IFERROR(INDEX(MA_INDIVIDUALES!C$2:C923, MATCH($A184,MA_INDIVIDUALES!$B$2:$B923,0),1),"CÓDIGO DE EXPEDIENTE INVÁLIDO"))</f>
        <v/>
      </c>
      <c r="G184" s="68" t="str">
        <f t="array" ref="G184">IF($A184="","",IFERROR(INDEX(MA_INDIVIDUALES!K$2:K923, MATCH($A184,MA_INDIVIDUALES!$B$2:$B923,0),1),"CÓDIGO DE EXPEDIENTE INVÁLIDO"))</f>
        <v/>
      </c>
      <c r="H184" s="68" t="str">
        <f t="array" ref="H184">IF($A184="","",IFERROR(INDEX(MA_INDIVIDUALES!L$2:L923, MATCH($A184,MA_INDIVIDUALES!$B$2:$B923,0),1),"CÓDIGO DE EXPEDIENTE INVÁLIDO"))</f>
        <v/>
      </c>
      <c r="I184" s="76"/>
      <c r="J184" s="76"/>
      <c r="K184" s="75"/>
      <c r="L184" s="74" t="str">
        <f>IF(A184="","",IF(K184="","",_xlfn.WORKDAY.INTL(K184,5,1,FERIADOS)))</f>
        <v/>
      </c>
      <c r="M184" s="76"/>
      <c r="N184" s="75"/>
      <c r="O184" s="76"/>
      <c r="P184" s="77" t="str">
        <f t="shared" si="3"/>
        <v/>
      </c>
      <c r="Q184" s="75"/>
      <c r="R184" s="76"/>
      <c r="S184" s="75"/>
      <c r="T184" s="75"/>
      <c r="U184" s="76"/>
      <c r="V184" s="76"/>
      <c r="W184" s="75"/>
      <c r="X184" s="76"/>
      <c r="Y184" s="29" t="str">
        <f t="shared" si="4"/>
        <v/>
      </c>
      <c r="Z184" s="29" t="str">
        <f t="shared" si="5"/>
        <v/>
      </c>
      <c r="AA184" s="76"/>
      <c r="AB184" s="76"/>
      <c r="AC184" s="75"/>
      <c r="AD184" s="75"/>
      <c r="AE184" s="78" t="str">
        <f>IF(U184="","",IF(AD184="","",_xlfn.WORKDAY.INTL(AD184,7,1,FERIADOS)))</f>
        <v/>
      </c>
      <c r="AF184" s="104"/>
      <c r="AG184" s="80" t="str">
        <f t="array" ref="AG184">IF(A184="","",IF(AF184="","",AF184*INDEX(PARAMETROS!F$2:F1247,MATCH(YEAR(AC184),PARAMETROS!E$2:E1247,0),1)))</f>
        <v/>
      </c>
      <c r="AH184" s="81"/>
      <c r="AI184" s="82"/>
      <c r="AJ184" s="81"/>
      <c r="AK184" s="81"/>
      <c r="AL184" s="76"/>
      <c r="AM184" s="75"/>
      <c r="AN184" s="76"/>
      <c r="AO184" s="95"/>
      <c r="AP184" s="96"/>
      <c r="AQ184" s="85" t="str">
        <f t="shared" si="6"/>
        <v/>
      </c>
      <c r="AR184" s="86" t="str">
        <f t="array" ref="AR184">IF(A184="","",IFERROR(INDEX('2) Etapas'!L$3:L923,MATCH(B184,'2) Etapas'!$A$4:$A923,0),1),-1))</f>
        <v/>
      </c>
      <c r="AS184" s="87" t="str">
        <f t="shared" si="7"/>
        <v/>
      </c>
      <c r="AT184" s="87" t="str">
        <f t="shared" si="8"/>
        <v/>
      </c>
      <c r="AU184" s="87" t="str">
        <f t="shared" si="9"/>
        <v/>
      </c>
      <c r="AV184" s="89" t="str">
        <f t="array" ref="AV184">IF(OR($A184="",$AB184="", $AC184=""),"",MAXA(IF($A184=$A$4:$A923,$AC$4:$AC923)))</f>
        <v/>
      </c>
    </row>
    <row r="185" ht="22.5" customHeight="1">
      <c r="A185" s="76"/>
      <c r="B185" s="68" t="str">
        <f t="shared" si="1"/>
        <v/>
      </c>
      <c r="C185" s="110"/>
      <c r="D185" s="70" t="str">
        <f t="shared" si="2"/>
        <v/>
      </c>
      <c r="E185" s="76"/>
      <c r="F185" s="68" t="str">
        <f t="array" ref="F185">IF($A185="","",IFERROR(INDEX(MA_INDIVIDUALES!C$2:C923, MATCH($A185,MA_INDIVIDUALES!$B$2:$B923,0),1),"CÓDIGO DE EXPEDIENTE INVÁLIDO"))</f>
        <v/>
      </c>
      <c r="G185" s="68" t="str">
        <f t="array" ref="G185">IF($A185="","",IFERROR(INDEX(MA_INDIVIDUALES!K$2:K923, MATCH($A185,MA_INDIVIDUALES!$B$2:$B923,0),1),"CÓDIGO DE EXPEDIENTE INVÁLIDO"))</f>
        <v/>
      </c>
      <c r="H185" s="68" t="str">
        <f t="array" ref="H185">IF($A185="","",IFERROR(INDEX(MA_INDIVIDUALES!L$2:L923, MATCH($A185,MA_INDIVIDUALES!$B$2:$B923,0),1),"CÓDIGO DE EXPEDIENTE INVÁLIDO"))</f>
        <v/>
      </c>
      <c r="I185" s="76"/>
      <c r="J185" s="76"/>
      <c r="K185" s="75"/>
      <c r="L185" s="74" t="str">
        <f>IF(A185="","",IF(K185="","",_xlfn.WORKDAY.INTL(K185,5,1,FERIADOS)))</f>
        <v/>
      </c>
      <c r="M185" s="76"/>
      <c r="N185" s="75"/>
      <c r="O185" s="76"/>
      <c r="P185" s="77" t="str">
        <f t="shared" si="3"/>
        <v/>
      </c>
      <c r="Q185" s="75"/>
      <c r="R185" s="76"/>
      <c r="S185" s="75"/>
      <c r="T185" s="75"/>
      <c r="U185" s="76"/>
      <c r="V185" s="76"/>
      <c r="W185" s="75"/>
      <c r="X185" s="76"/>
      <c r="Y185" s="29" t="str">
        <f t="shared" si="4"/>
        <v/>
      </c>
      <c r="Z185" s="29" t="str">
        <f t="shared" si="5"/>
        <v/>
      </c>
      <c r="AA185" s="76"/>
      <c r="AB185" s="76"/>
      <c r="AC185" s="75"/>
      <c r="AD185" s="75"/>
      <c r="AE185" s="78" t="str">
        <f>IF(U185="","",IF(AD185="","",_xlfn.WORKDAY.INTL(AD185,7,1,FERIADOS)))</f>
        <v/>
      </c>
      <c r="AF185" s="104"/>
      <c r="AG185" s="80" t="str">
        <f t="array" ref="AG185">IF(A185="","",IF(AF185="","",AF185*INDEX(PARAMETROS!F$2:F1248,MATCH(YEAR(AC185),PARAMETROS!E$2:E1248,0),1)))</f>
        <v/>
      </c>
      <c r="AH185" s="81"/>
      <c r="AI185" s="82"/>
      <c r="AJ185" s="81"/>
      <c r="AK185" s="81"/>
      <c r="AL185" s="76"/>
      <c r="AM185" s="75"/>
      <c r="AN185" s="76"/>
      <c r="AO185" s="95"/>
      <c r="AP185" s="96"/>
      <c r="AQ185" s="85" t="str">
        <f t="shared" si="6"/>
        <v/>
      </c>
      <c r="AR185" s="86" t="str">
        <f t="array" ref="AR185">IF(A185="","",IFERROR(INDEX('2) Etapas'!L$3:L923,MATCH(B185,'2) Etapas'!$A$4:$A923,0),1),-1))</f>
        <v/>
      </c>
      <c r="AS185" s="87" t="str">
        <f t="shared" si="7"/>
        <v/>
      </c>
      <c r="AT185" s="87" t="str">
        <f t="shared" si="8"/>
        <v/>
      </c>
      <c r="AU185" s="87" t="str">
        <f t="shared" si="9"/>
        <v/>
      </c>
      <c r="AV185" s="89" t="str">
        <f t="array" ref="AV185">IF(OR($A185="",$AB185="", $AC185=""),"",MAXA(IF($A185=$A$4:$A923,$AC$4:$AC923)))</f>
        <v/>
      </c>
    </row>
    <row r="186" ht="22.5" customHeight="1">
      <c r="A186" s="76"/>
      <c r="B186" s="68" t="str">
        <f t="shared" si="1"/>
        <v/>
      </c>
      <c r="C186" s="110"/>
      <c r="D186" s="70" t="str">
        <f t="shared" si="2"/>
        <v/>
      </c>
      <c r="E186" s="76"/>
      <c r="F186" s="68" t="str">
        <f t="array" ref="F186">IF($A186="","",IFERROR(INDEX(MA_INDIVIDUALES!C$2:C923, MATCH($A186,MA_INDIVIDUALES!$B$2:$B923,0),1),"CÓDIGO DE EXPEDIENTE INVÁLIDO"))</f>
        <v/>
      </c>
      <c r="G186" s="68" t="str">
        <f t="array" ref="G186">IF($A186="","",IFERROR(INDEX(MA_INDIVIDUALES!K$2:K923, MATCH($A186,MA_INDIVIDUALES!$B$2:$B923,0),1),"CÓDIGO DE EXPEDIENTE INVÁLIDO"))</f>
        <v/>
      </c>
      <c r="H186" s="68" t="str">
        <f t="array" ref="H186">IF($A186="","",IFERROR(INDEX(MA_INDIVIDUALES!L$2:L923, MATCH($A186,MA_INDIVIDUALES!$B$2:$B923,0),1),"CÓDIGO DE EXPEDIENTE INVÁLIDO"))</f>
        <v/>
      </c>
      <c r="I186" s="76"/>
      <c r="J186" s="76"/>
      <c r="K186" s="75"/>
      <c r="L186" s="74" t="str">
        <f>IF(A186="","",IF(K186="","",_xlfn.WORKDAY.INTL(K186,5,1,FERIADOS)))</f>
        <v/>
      </c>
      <c r="M186" s="76"/>
      <c r="N186" s="75"/>
      <c r="O186" s="76"/>
      <c r="P186" s="77" t="str">
        <f t="shared" si="3"/>
        <v/>
      </c>
      <c r="Q186" s="75"/>
      <c r="R186" s="76"/>
      <c r="S186" s="75"/>
      <c r="T186" s="75"/>
      <c r="U186" s="76"/>
      <c r="V186" s="76"/>
      <c r="W186" s="75"/>
      <c r="X186" s="76"/>
      <c r="Y186" s="29" t="str">
        <f t="shared" si="4"/>
        <v/>
      </c>
      <c r="Z186" s="29" t="str">
        <f t="shared" si="5"/>
        <v/>
      </c>
      <c r="AA186" s="76"/>
      <c r="AB186" s="76"/>
      <c r="AC186" s="75"/>
      <c r="AD186" s="75"/>
      <c r="AE186" s="78" t="str">
        <f>IF(U186="","",IF(AD186="","",_xlfn.WORKDAY.INTL(AD186,7,1,FERIADOS)))</f>
        <v/>
      </c>
      <c r="AF186" s="104"/>
      <c r="AG186" s="80" t="str">
        <f t="array" ref="AG186">IF(A186="","",IF(AF186="","",AF186*INDEX(PARAMETROS!F$2:F1249,MATCH(YEAR(AC186),PARAMETROS!E$2:E1249,0),1)))</f>
        <v/>
      </c>
      <c r="AH186" s="81"/>
      <c r="AI186" s="82"/>
      <c r="AJ186" s="81"/>
      <c r="AK186" s="81"/>
      <c r="AL186" s="76"/>
      <c r="AM186" s="75"/>
      <c r="AN186" s="76"/>
      <c r="AO186" s="95"/>
      <c r="AP186" s="96"/>
      <c r="AQ186" s="85" t="str">
        <f t="shared" si="6"/>
        <v/>
      </c>
      <c r="AR186" s="86" t="str">
        <f t="array" ref="AR186">IF(A186="","",IFERROR(INDEX('2) Etapas'!L$3:L923,MATCH(B186,'2) Etapas'!$A$4:$A923,0),1),-1))</f>
        <v/>
      </c>
      <c r="AS186" s="87" t="str">
        <f t="shared" si="7"/>
        <v/>
      </c>
      <c r="AT186" s="87" t="str">
        <f t="shared" si="8"/>
        <v/>
      </c>
      <c r="AU186" s="87" t="str">
        <f t="shared" si="9"/>
        <v/>
      </c>
      <c r="AV186" s="89" t="str">
        <f t="array" ref="AV186">IF(OR($A186="",$AB186="", $AC186=""),"",MAXA(IF($A186=$A$4:$A923,$AC$4:$AC923)))</f>
        <v/>
      </c>
    </row>
    <row r="187" ht="22.5" customHeight="1">
      <c r="A187" s="76"/>
      <c r="B187" s="68" t="str">
        <f t="shared" si="1"/>
        <v/>
      </c>
      <c r="C187" s="110"/>
      <c r="D187" s="70" t="str">
        <f t="shared" si="2"/>
        <v/>
      </c>
      <c r="E187" s="76"/>
      <c r="F187" s="68" t="str">
        <f t="array" ref="F187">IF($A187="","",IFERROR(INDEX(MA_INDIVIDUALES!C$2:C923, MATCH($A187,MA_INDIVIDUALES!$B$2:$B923,0),1),"CÓDIGO DE EXPEDIENTE INVÁLIDO"))</f>
        <v/>
      </c>
      <c r="G187" s="68" t="str">
        <f t="array" ref="G187">IF($A187="","",IFERROR(INDEX(MA_INDIVIDUALES!K$2:K923, MATCH($A187,MA_INDIVIDUALES!$B$2:$B923,0),1),"CÓDIGO DE EXPEDIENTE INVÁLIDO"))</f>
        <v/>
      </c>
      <c r="H187" s="68" t="str">
        <f t="array" ref="H187">IF($A187="","",IFERROR(INDEX(MA_INDIVIDUALES!L$2:L923, MATCH($A187,MA_INDIVIDUALES!$B$2:$B923,0),1),"CÓDIGO DE EXPEDIENTE INVÁLIDO"))</f>
        <v/>
      </c>
      <c r="I187" s="76"/>
      <c r="J187" s="76"/>
      <c r="K187" s="75"/>
      <c r="L187" s="74" t="str">
        <f>IF(A187="","",IF(K187="","",_xlfn.WORKDAY.INTL(K187,5,1,FERIADOS)))</f>
        <v/>
      </c>
      <c r="M187" s="76"/>
      <c r="N187" s="75"/>
      <c r="O187" s="76"/>
      <c r="P187" s="77" t="str">
        <f t="shared" si="3"/>
        <v/>
      </c>
      <c r="Q187" s="75"/>
      <c r="R187" s="76"/>
      <c r="S187" s="75"/>
      <c r="T187" s="75"/>
      <c r="U187" s="76"/>
      <c r="V187" s="76"/>
      <c r="W187" s="75"/>
      <c r="X187" s="76"/>
      <c r="Y187" s="29" t="str">
        <f t="shared" si="4"/>
        <v/>
      </c>
      <c r="Z187" s="29" t="str">
        <f t="shared" si="5"/>
        <v/>
      </c>
      <c r="AA187" s="76"/>
      <c r="AB187" s="76"/>
      <c r="AC187" s="75"/>
      <c r="AD187" s="75"/>
      <c r="AE187" s="78" t="str">
        <f>IF(U187="","",IF(AD187="","",_xlfn.WORKDAY.INTL(AD187,7,1,FERIADOS)))</f>
        <v/>
      </c>
      <c r="AF187" s="104"/>
      <c r="AG187" s="80" t="str">
        <f t="array" ref="AG187">IF(A187="","",IF(AF187="","",AF187*INDEX(PARAMETROS!F$2:F1250,MATCH(YEAR(AC187),PARAMETROS!E$2:E1250,0),1)))</f>
        <v/>
      </c>
      <c r="AH187" s="81"/>
      <c r="AI187" s="82"/>
      <c r="AJ187" s="81"/>
      <c r="AK187" s="81"/>
      <c r="AL187" s="76"/>
      <c r="AM187" s="75"/>
      <c r="AN187" s="76"/>
      <c r="AO187" s="95"/>
      <c r="AP187" s="96"/>
      <c r="AQ187" s="85" t="str">
        <f t="shared" si="6"/>
        <v/>
      </c>
      <c r="AR187" s="86" t="str">
        <f t="array" ref="AR187">IF(A187="","",IFERROR(INDEX('2) Etapas'!L$3:L923,MATCH(B187,'2) Etapas'!$A$4:$A923,0),1),-1))</f>
        <v/>
      </c>
      <c r="AS187" s="87" t="str">
        <f t="shared" si="7"/>
        <v/>
      </c>
      <c r="AT187" s="87" t="str">
        <f t="shared" si="8"/>
        <v/>
      </c>
      <c r="AU187" s="87" t="str">
        <f t="shared" si="9"/>
        <v/>
      </c>
      <c r="AV187" s="89" t="str">
        <f t="array" ref="AV187">IF(OR($A187="",$AB187="", $AC187=""),"",MAXA(IF($A187=$A$4:$A923,$AC$4:$AC923)))</f>
        <v/>
      </c>
    </row>
    <row r="188" ht="22.5" customHeight="1">
      <c r="A188" s="76"/>
      <c r="B188" s="68" t="str">
        <f t="shared" si="1"/>
        <v/>
      </c>
      <c r="C188" s="110"/>
      <c r="D188" s="70" t="str">
        <f t="shared" si="2"/>
        <v/>
      </c>
      <c r="E188" s="76"/>
      <c r="F188" s="68" t="str">
        <f t="array" ref="F188">IF($A188="","",IFERROR(INDEX(MA_INDIVIDUALES!C$2:C923, MATCH($A188,MA_INDIVIDUALES!$B$2:$B923,0),1),"CÓDIGO DE EXPEDIENTE INVÁLIDO"))</f>
        <v/>
      </c>
      <c r="G188" s="68" t="str">
        <f t="array" ref="G188">IF($A188="","",IFERROR(INDEX(MA_INDIVIDUALES!K$2:K923, MATCH($A188,MA_INDIVIDUALES!$B$2:$B923,0),1),"CÓDIGO DE EXPEDIENTE INVÁLIDO"))</f>
        <v/>
      </c>
      <c r="H188" s="68" t="str">
        <f t="array" ref="H188">IF($A188="","",IFERROR(INDEX(MA_INDIVIDUALES!L$2:L923, MATCH($A188,MA_INDIVIDUALES!$B$2:$B923,0),1),"CÓDIGO DE EXPEDIENTE INVÁLIDO"))</f>
        <v/>
      </c>
      <c r="I188" s="76"/>
      <c r="J188" s="76"/>
      <c r="K188" s="75"/>
      <c r="L188" s="74" t="str">
        <f>IF(A188="","",IF(K188="","",_xlfn.WORKDAY.INTL(K188,5,1,FERIADOS)))</f>
        <v/>
      </c>
      <c r="M188" s="76"/>
      <c r="N188" s="75"/>
      <c r="O188" s="76"/>
      <c r="P188" s="77" t="str">
        <f t="shared" si="3"/>
        <v/>
      </c>
      <c r="Q188" s="75"/>
      <c r="R188" s="76"/>
      <c r="S188" s="75"/>
      <c r="T188" s="75"/>
      <c r="U188" s="76"/>
      <c r="V188" s="76"/>
      <c r="W188" s="75"/>
      <c r="X188" s="76"/>
      <c r="Y188" s="29" t="str">
        <f t="shared" si="4"/>
        <v/>
      </c>
      <c r="Z188" s="29" t="str">
        <f t="shared" si="5"/>
        <v/>
      </c>
      <c r="AA188" s="76"/>
      <c r="AB188" s="76"/>
      <c r="AC188" s="75"/>
      <c r="AD188" s="75"/>
      <c r="AE188" s="78" t="str">
        <f>IF(U188="","",IF(AD188="","",_xlfn.WORKDAY.INTL(AD188,7,1,FERIADOS)))</f>
        <v/>
      </c>
      <c r="AF188" s="104"/>
      <c r="AG188" s="80" t="str">
        <f t="array" ref="AG188">IF(A188="","",IF(AF188="","",AF188*INDEX(PARAMETROS!F$2:F1251,MATCH(YEAR(AC188),PARAMETROS!E$2:E1251,0),1)))</f>
        <v/>
      </c>
      <c r="AH188" s="81"/>
      <c r="AI188" s="82"/>
      <c r="AJ188" s="81"/>
      <c r="AK188" s="81"/>
      <c r="AL188" s="76"/>
      <c r="AM188" s="75"/>
      <c r="AN188" s="76"/>
      <c r="AO188" s="95"/>
      <c r="AP188" s="96"/>
      <c r="AQ188" s="85" t="str">
        <f t="shared" si="6"/>
        <v/>
      </c>
      <c r="AR188" s="86" t="str">
        <f t="array" ref="AR188">IF(A188="","",IFERROR(INDEX('2) Etapas'!L$3:L923,MATCH(B188,'2) Etapas'!$A$4:$A923,0),1),-1))</f>
        <v/>
      </c>
      <c r="AS188" s="87" t="str">
        <f t="shared" si="7"/>
        <v/>
      </c>
      <c r="AT188" s="87" t="str">
        <f t="shared" si="8"/>
        <v/>
      </c>
      <c r="AU188" s="87" t="str">
        <f t="shared" si="9"/>
        <v/>
      </c>
      <c r="AV188" s="89" t="str">
        <f t="array" ref="AV188">IF(OR($A188="",$AB188="", $AC188=""),"",MAXA(IF($A188=$A$4:$A923,$AC$4:$AC923)))</f>
        <v/>
      </c>
    </row>
    <row r="189" ht="22.5" customHeight="1">
      <c r="A189" s="76"/>
      <c r="B189" s="68" t="str">
        <f t="shared" si="1"/>
        <v/>
      </c>
      <c r="C189" s="110"/>
      <c r="D189" s="70" t="str">
        <f t="shared" si="2"/>
        <v/>
      </c>
      <c r="E189" s="76"/>
      <c r="F189" s="68" t="str">
        <f t="array" ref="F189">IF($A189="","",IFERROR(INDEX(MA_INDIVIDUALES!C$2:C923, MATCH($A189,MA_INDIVIDUALES!$B$2:$B923,0),1),"CÓDIGO DE EXPEDIENTE INVÁLIDO"))</f>
        <v/>
      </c>
      <c r="G189" s="68" t="str">
        <f t="array" ref="G189">IF($A189="","",IFERROR(INDEX(MA_INDIVIDUALES!K$2:K923, MATCH($A189,MA_INDIVIDUALES!$B$2:$B923,0),1),"CÓDIGO DE EXPEDIENTE INVÁLIDO"))</f>
        <v/>
      </c>
      <c r="H189" s="68" t="str">
        <f t="array" ref="H189">IF($A189="","",IFERROR(INDEX(MA_INDIVIDUALES!L$2:L923, MATCH($A189,MA_INDIVIDUALES!$B$2:$B923,0),1),"CÓDIGO DE EXPEDIENTE INVÁLIDO"))</f>
        <v/>
      </c>
      <c r="I189" s="76"/>
      <c r="J189" s="76"/>
      <c r="K189" s="75"/>
      <c r="L189" s="74" t="str">
        <f>IF(A189="","",IF(K189="","",_xlfn.WORKDAY.INTL(K189,5,1,FERIADOS)))</f>
        <v/>
      </c>
      <c r="M189" s="76"/>
      <c r="N189" s="75"/>
      <c r="O189" s="76"/>
      <c r="P189" s="77" t="str">
        <f t="shared" si="3"/>
        <v/>
      </c>
      <c r="Q189" s="75"/>
      <c r="R189" s="76"/>
      <c r="S189" s="75"/>
      <c r="T189" s="75"/>
      <c r="U189" s="76"/>
      <c r="V189" s="76"/>
      <c r="W189" s="75"/>
      <c r="X189" s="76"/>
      <c r="Y189" s="29" t="str">
        <f t="shared" si="4"/>
        <v/>
      </c>
      <c r="Z189" s="29" t="str">
        <f t="shared" si="5"/>
        <v/>
      </c>
      <c r="AA189" s="76"/>
      <c r="AB189" s="76"/>
      <c r="AC189" s="75"/>
      <c r="AD189" s="75"/>
      <c r="AE189" s="78" t="str">
        <f>IF(U189="","",IF(AD189="","",_xlfn.WORKDAY.INTL(AD189,7,1,FERIADOS)))</f>
        <v/>
      </c>
      <c r="AF189" s="104"/>
      <c r="AG189" s="80" t="str">
        <f t="array" ref="AG189">IF(A189="","",IF(AF189="","",AF189*INDEX(PARAMETROS!F$2:F1252,MATCH(YEAR(AC189),PARAMETROS!E$2:E1252,0),1)))</f>
        <v/>
      </c>
      <c r="AH189" s="81"/>
      <c r="AI189" s="82"/>
      <c r="AJ189" s="81"/>
      <c r="AK189" s="81"/>
      <c r="AL189" s="76"/>
      <c r="AM189" s="75"/>
      <c r="AN189" s="76"/>
      <c r="AO189" s="95"/>
      <c r="AP189" s="96"/>
      <c r="AQ189" s="85" t="str">
        <f t="shared" si="6"/>
        <v/>
      </c>
      <c r="AR189" s="86" t="str">
        <f t="array" ref="AR189">IF(A189="","",IFERROR(INDEX('2) Etapas'!L$3:L923,MATCH(B189,'2) Etapas'!$A$4:$A923,0),1),-1))</f>
        <v/>
      </c>
      <c r="AS189" s="87" t="str">
        <f t="shared" si="7"/>
        <v/>
      </c>
      <c r="AT189" s="87" t="str">
        <f t="shared" si="8"/>
        <v/>
      </c>
      <c r="AU189" s="87" t="str">
        <f t="shared" si="9"/>
        <v/>
      </c>
      <c r="AV189" s="89" t="str">
        <f t="array" ref="AV189">IF(OR($A189="",$AB189="", $AC189=""),"",MAXA(IF($A189=$A$4:$A923,$AC$4:$AC923)))</f>
        <v/>
      </c>
    </row>
    <row r="190" ht="22.5" customHeight="1">
      <c r="A190" s="76"/>
      <c r="B190" s="68" t="str">
        <f t="shared" si="1"/>
        <v/>
      </c>
      <c r="C190" s="110"/>
      <c r="D190" s="70" t="str">
        <f t="shared" si="2"/>
        <v/>
      </c>
      <c r="E190" s="76"/>
      <c r="F190" s="68" t="str">
        <f t="array" ref="F190">IF($A190="","",IFERROR(INDEX(MA_INDIVIDUALES!C$2:C923, MATCH($A190,MA_INDIVIDUALES!$B$2:$B923,0),1),"CÓDIGO DE EXPEDIENTE INVÁLIDO"))</f>
        <v/>
      </c>
      <c r="G190" s="68" t="str">
        <f t="array" ref="G190">IF($A190="","",IFERROR(INDEX(MA_INDIVIDUALES!K$2:K923, MATCH($A190,MA_INDIVIDUALES!$B$2:$B923,0),1),"CÓDIGO DE EXPEDIENTE INVÁLIDO"))</f>
        <v/>
      </c>
      <c r="H190" s="68" t="str">
        <f t="array" ref="H190">IF($A190="","",IFERROR(INDEX(MA_INDIVIDUALES!L$2:L923, MATCH($A190,MA_INDIVIDUALES!$B$2:$B923,0),1),"CÓDIGO DE EXPEDIENTE INVÁLIDO"))</f>
        <v/>
      </c>
      <c r="I190" s="76"/>
      <c r="J190" s="76"/>
      <c r="K190" s="75"/>
      <c r="L190" s="74" t="str">
        <f>IF(A190="","",IF(K190="","",_xlfn.WORKDAY.INTL(K190,5,1,FERIADOS)))</f>
        <v/>
      </c>
      <c r="M190" s="76"/>
      <c r="N190" s="75"/>
      <c r="O190" s="76"/>
      <c r="P190" s="77" t="str">
        <f t="shared" si="3"/>
        <v/>
      </c>
      <c r="Q190" s="75"/>
      <c r="R190" s="76"/>
      <c r="S190" s="75"/>
      <c r="T190" s="75"/>
      <c r="U190" s="76"/>
      <c r="V190" s="76"/>
      <c r="W190" s="75"/>
      <c r="X190" s="76"/>
      <c r="Y190" s="29" t="str">
        <f t="shared" si="4"/>
        <v/>
      </c>
      <c r="Z190" s="29" t="str">
        <f t="shared" si="5"/>
        <v/>
      </c>
      <c r="AA190" s="76"/>
      <c r="AB190" s="76"/>
      <c r="AC190" s="75"/>
      <c r="AD190" s="75"/>
      <c r="AE190" s="78" t="str">
        <f>IF(U190="","",IF(AD190="","",_xlfn.WORKDAY.INTL(AD190,7,1,FERIADOS)))</f>
        <v/>
      </c>
      <c r="AF190" s="104"/>
      <c r="AG190" s="80" t="str">
        <f t="array" ref="AG190">IF(A190="","",IF(AF190="","",AF190*INDEX(PARAMETROS!F$2:F1253,MATCH(YEAR(AC190),PARAMETROS!E$2:E1253,0),1)))</f>
        <v/>
      </c>
      <c r="AH190" s="81"/>
      <c r="AI190" s="82"/>
      <c r="AJ190" s="81"/>
      <c r="AK190" s="81"/>
      <c r="AL190" s="76"/>
      <c r="AM190" s="75"/>
      <c r="AN190" s="76"/>
      <c r="AO190" s="95"/>
      <c r="AP190" s="96"/>
      <c r="AQ190" s="85" t="str">
        <f t="shared" si="6"/>
        <v/>
      </c>
      <c r="AR190" s="86" t="str">
        <f t="array" ref="AR190">IF(A190="","",IFERROR(INDEX('2) Etapas'!L$3:L923,MATCH(B190,'2) Etapas'!$A$4:$A923,0),1),-1))</f>
        <v/>
      </c>
      <c r="AS190" s="87" t="str">
        <f t="shared" si="7"/>
        <v/>
      </c>
      <c r="AT190" s="87" t="str">
        <f t="shared" si="8"/>
        <v/>
      </c>
      <c r="AU190" s="87" t="str">
        <f t="shared" si="9"/>
        <v/>
      </c>
      <c r="AV190" s="89" t="str">
        <f t="array" ref="AV190">IF(OR($A190="",$AB190="", $AC190=""),"",MAXA(IF($A190=$A$4:$A923,$AC$4:$AC923)))</f>
        <v/>
      </c>
    </row>
    <row r="191" ht="22.5" customHeight="1">
      <c r="A191" s="76"/>
      <c r="B191" s="68" t="str">
        <f t="shared" si="1"/>
        <v/>
      </c>
      <c r="C191" s="110"/>
      <c r="D191" s="70" t="str">
        <f t="shared" si="2"/>
        <v/>
      </c>
      <c r="E191" s="76"/>
      <c r="F191" s="68" t="str">
        <f t="array" ref="F191">IF($A191="","",IFERROR(INDEX(MA_INDIVIDUALES!C$2:C923, MATCH($A191,MA_INDIVIDUALES!$B$2:$B923,0),1),"CÓDIGO DE EXPEDIENTE INVÁLIDO"))</f>
        <v/>
      </c>
      <c r="G191" s="68" t="str">
        <f t="array" ref="G191">IF($A191="","",IFERROR(INDEX(MA_INDIVIDUALES!K$2:K923, MATCH($A191,MA_INDIVIDUALES!$B$2:$B923,0),1),"CÓDIGO DE EXPEDIENTE INVÁLIDO"))</f>
        <v/>
      </c>
      <c r="H191" s="68" t="str">
        <f t="array" ref="H191">IF($A191="","",IFERROR(INDEX(MA_INDIVIDUALES!L$2:L923, MATCH($A191,MA_INDIVIDUALES!$B$2:$B923,0),1),"CÓDIGO DE EXPEDIENTE INVÁLIDO"))</f>
        <v/>
      </c>
      <c r="I191" s="76"/>
      <c r="J191" s="76"/>
      <c r="K191" s="75"/>
      <c r="L191" s="74" t="str">
        <f>IF(A191="","",IF(K191="","",_xlfn.WORKDAY.INTL(K191,5,1,FERIADOS)))</f>
        <v/>
      </c>
      <c r="M191" s="76"/>
      <c r="N191" s="75"/>
      <c r="O191" s="76"/>
      <c r="P191" s="77" t="str">
        <f t="shared" si="3"/>
        <v/>
      </c>
      <c r="Q191" s="75"/>
      <c r="R191" s="76"/>
      <c r="S191" s="75"/>
      <c r="T191" s="75"/>
      <c r="U191" s="76"/>
      <c r="V191" s="76"/>
      <c r="W191" s="75"/>
      <c r="X191" s="76"/>
      <c r="Y191" s="29" t="str">
        <f t="shared" si="4"/>
        <v/>
      </c>
      <c r="Z191" s="29" t="str">
        <f t="shared" si="5"/>
        <v/>
      </c>
      <c r="AA191" s="76"/>
      <c r="AB191" s="76"/>
      <c r="AC191" s="75"/>
      <c r="AD191" s="75"/>
      <c r="AE191" s="78" t="str">
        <f>IF(U191="","",IF(AD191="","",_xlfn.WORKDAY.INTL(AD191,7,1,FERIADOS)))</f>
        <v/>
      </c>
      <c r="AF191" s="104"/>
      <c r="AG191" s="80" t="str">
        <f t="array" ref="AG191">IF(A191="","",IF(AF191="","",AF191*INDEX(PARAMETROS!F$2:F1254,MATCH(YEAR(AC191),PARAMETROS!E$2:E1254,0),1)))</f>
        <v/>
      </c>
      <c r="AH191" s="81"/>
      <c r="AI191" s="82"/>
      <c r="AJ191" s="81"/>
      <c r="AK191" s="81"/>
      <c r="AL191" s="76"/>
      <c r="AM191" s="75"/>
      <c r="AN191" s="76"/>
      <c r="AO191" s="95"/>
      <c r="AP191" s="96"/>
      <c r="AQ191" s="85" t="str">
        <f t="shared" si="6"/>
        <v/>
      </c>
      <c r="AR191" s="86" t="str">
        <f t="array" ref="AR191">IF(A191="","",IFERROR(INDEX('2) Etapas'!L$3:L923,MATCH(B191,'2) Etapas'!$A$4:$A923,0),1),-1))</f>
        <v/>
      </c>
      <c r="AS191" s="87" t="str">
        <f t="shared" si="7"/>
        <v/>
      </c>
      <c r="AT191" s="87" t="str">
        <f t="shared" si="8"/>
        <v/>
      </c>
      <c r="AU191" s="87" t="str">
        <f t="shared" si="9"/>
        <v/>
      </c>
      <c r="AV191" s="89" t="str">
        <f t="array" ref="AV191">IF(OR($A191="",$AB191="", $AC191=""),"",MAXA(IF($A191=$A$4:$A923,$AC$4:$AC923)))</f>
        <v/>
      </c>
    </row>
    <row r="192" ht="22.5" customHeight="1">
      <c r="A192" s="76"/>
      <c r="B192" s="68" t="str">
        <f t="shared" si="1"/>
        <v/>
      </c>
      <c r="C192" s="110"/>
      <c r="D192" s="70" t="str">
        <f t="shared" si="2"/>
        <v/>
      </c>
      <c r="E192" s="76"/>
      <c r="F192" s="68" t="str">
        <f t="array" ref="F192">IF($A192="","",IFERROR(INDEX(MA_INDIVIDUALES!C$2:C923, MATCH($A192,MA_INDIVIDUALES!$B$2:$B923,0),1),"CÓDIGO DE EXPEDIENTE INVÁLIDO"))</f>
        <v/>
      </c>
      <c r="G192" s="68" t="str">
        <f t="array" ref="G192">IF($A192="","",IFERROR(INDEX(MA_INDIVIDUALES!K$2:K923, MATCH($A192,MA_INDIVIDUALES!$B$2:$B923,0),1),"CÓDIGO DE EXPEDIENTE INVÁLIDO"))</f>
        <v/>
      </c>
      <c r="H192" s="68" t="str">
        <f t="array" ref="H192">IF($A192="","",IFERROR(INDEX(MA_INDIVIDUALES!L$2:L923, MATCH($A192,MA_INDIVIDUALES!$B$2:$B923,0),1),"CÓDIGO DE EXPEDIENTE INVÁLIDO"))</f>
        <v/>
      </c>
      <c r="I192" s="76"/>
      <c r="J192" s="76"/>
      <c r="K192" s="75"/>
      <c r="L192" s="74" t="str">
        <f>IF(A192="","",IF(K192="","",_xlfn.WORKDAY.INTL(K192,5,1,FERIADOS)))</f>
        <v/>
      </c>
      <c r="M192" s="76"/>
      <c r="N192" s="75"/>
      <c r="O192" s="76"/>
      <c r="P192" s="77" t="str">
        <f t="shared" si="3"/>
        <v/>
      </c>
      <c r="Q192" s="75"/>
      <c r="R192" s="76"/>
      <c r="S192" s="75"/>
      <c r="T192" s="75"/>
      <c r="U192" s="76"/>
      <c r="V192" s="76"/>
      <c r="W192" s="75"/>
      <c r="X192" s="76"/>
      <c r="Y192" s="29" t="str">
        <f t="shared" si="4"/>
        <v/>
      </c>
      <c r="Z192" s="29" t="str">
        <f t="shared" si="5"/>
        <v/>
      </c>
      <c r="AA192" s="76"/>
      <c r="AB192" s="76"/>
      <c r="AC192" s="75"/>
      <c r="AD192" s="75"/>
      <c r="AE192" s="78" t="str">
        <f>IF(U192="","",IF(AD192="","",_xlfn.WORKDAY.INTL(AD192,7,1,FERIADOS)))</f>
        <v/>
      </c>
      <c r="AF192" s="104"/>
      <c r="AG192" s="80" t="str">
        <f t="array" ref="AG192">IF(A192="","",IF(AF192="","",AF192*INDEX(PARAMETROS!F$2:F1255,MATCH(YEAR(AC192),PARAMETROS!E$2:E1255,0),1)))</f>
        <v/>
      </c>
      <c r="AH192" s="81"/>
      <c r="AI192" s="82"/>
      <c r="AJ192" s="81"/>
      <c r="AK192" s="81"/>
      <c r="AL192" s="76"/>
      <c r="AM192" s="75"/>
      <c r="AN192" s="76"/>
      <c r="AO192" s="95"/>
      <c r="AP192" s="96"/>
      <c r="AQ192" s="85" t="str">
        <f t="shared" si="6"/>
        <v/>
      </c>
      <c r="AR192" s="86" t="str">
        <f t="array" ref="AR192">IF(A192="","",IFERROR(INDEX('2) Etapas'!L$3:L923,MATCH(B192,'2) Etapas'!$A$4:$A923,0),1),-1))</f>
        <v/>
      </c>
      <c r="AS192" s="87" t="str">
        <f t="shared" si="7"/>
        <v/>
      </c>
      <c r="AT192" s="87" t="str">
        <f t="shared" si="8"/>
        <v/>
      </c>
      <c r="AU192" s="87" t="str">
        <f t="shared" si="9"/>
        <v/>
      </c>
      <c r="AV192" s="89" t="str">
        <f t="array" ref="AV192">IF(OR($A192="",$AB192="", $AC192=""),"",MAXA(IF($A192=$A$4:$A923,$AC$4:$AC923)))</f>
        <v/>
      </c>
    </row>
    <row r="193" ht="22.5" customHeight="1">
      <c r="A193" s="76"/>
      <c r="B193" s="68" t="str">
        <f t="shared" si="1"/>
        <v/>
      </c>
      <c r="C193" s="110"/>
      <c r="D193" s="70" t="str">
        <f t="shared" si="2"/>
        <v/>
      </c>
      <c r="E193" s="76"/>
      <c r="F193" s="68" t="str">
        <f t="array" ref="F193">IF($A193="","",IFERROR(INDEX(MA_INDIVIDUALES!C$2:C923, MATCH($A193,MA_INDIVIDUALES!$B$2:$B923,0),1),"CÓDIGO DE EXPEDIENTE INVÁLIDO"))</f>
        <v/>
      </c>
      <c r="G193" s="68" t="str">
        <f t="array" ref="G193">IF($A193="","",IFERROR(INDEX(MA_INDIVIDUALES!K$2:K923, MATCH($A193,MA_INDIVIDUALES!$B$2:$B923,0),1),"CÓDIGO DE EXPEDIENTE INVÁLIDO"))</f>
        <v/>
      </c>
      <c r="H193" s="68" t="str">
        <f t="array" ref="H193">IF($A193="","",IFERROR(INDEX(MA_INDIVIDUALES!L$2:L923, MATCH($A193,MA_INDIVIDUALES!$B$2:$B923,0),1),"CÓDIGO DE EXPEDIENTE INVÁLIDO"))</f>
        <v/>
      </c>
      <c r="I193" s="76"/>
      <c r="J193" s="76"/>
      <c r="K193" s="75"/>
      <c r="L193" s="74" t="str">
        <f>IF(A193="","",IF(K193="","",_xlfn.WORKDAY.INTL(K193,5,1,FERIADOS)))</f>
        <v/>
      </c>
      <c r="M193" s="76"/>
      <c r="N193" s="75"/>
      <c r="O193" s="76"/>
      <c r="P193" s="77" t="str">
        <f t="shared" si="3"/>
        <v/>
      </c>
      <c r="Q193" s="75"/>
      <c r="R193" s="76"/>
      <c r="S193" s="75"/>
      <c r="T193" s="75"/>
      <c r="U193" s="76"/>
      <c r="V193" s="76"/>
      <c r="W193" s="75"/>
      <c r="X193" s="76"/>
      <c r="Y193" s="29" t="str">
        <f t="shared" si="4"/>
        <v/>
      </c>
      <c r="Z193" s="29" t="str">
        <f t="shared" si="5"/>
        <v/>
      </c>
      <c r="AA193" s="76"/>
      <c r="AB193" s="76"/>
      <c r="AC193" s="75"/>
      <c r="AD193" s="75"/>
      <c r="AE193" s="78" t="str">
        <f>IF(U193="","",IF(AD193="","",_xlfn.WORKDAY.INTL(AD193,7,1,FERIADOS)))</f>
        <v/>
      </c>
      <c r="AF193" s="104"/>
      <c r="AG193" s="80" t="str">
        <f t="array" ref="AG193">IF(A193="","",IF(AF193="","",AF193*INDEX(PARAMETROS!F$2:F1256,MATCH(YEAR(AC193),PARAMETROS!E$2:E1256,0),1)))</f>
        <v/>
      </c>
      <c r="AH193" s="81"/>
      <c r="AI193" s="82"/>
      <c r="AJ193" s="81"/>
      <c r="AK193" s="81"/>
      <c r="AL193" s="76"/>
      <c r="AM193" s="75"/>
      <c r="AN193" s="76"/>
      <c r="AO193" s="95"/>
      <c r="AP193" s="96"/>
      <c r="AQ193" s="85" t="str">
        <f t="shared" si="6"/>
        <v/>
      </c>
      <c r="AR193" s="86" t="str">
        <f t="array" ref="AR193">IF(A193="","",IFERROR(INDEX('2) Etapas'!L$3:L923,MATCH(B193,'2) Etapas'!$A$4:$A923,0),1),-1))</f>
        <v/>
      </c>
      <c r="AS193" s="87" t="str">
        <f t="shared" si="7"/>
        <v/>
      </c>
      <c r="AT193" s="87" t="str">
        <f t="shared" si="8"/>
        <v/>
      </c>
      <c r="AU193" s="87" t="str">
        <f t="shared" si="9"/>
        <v/>
      </c>
      <c r="AV193" s="89" t="str">
        <f t="array" ref="AV193">IF(OR($A193="",$AB193="", $AC193=""),"",MAXA(IF($A193=$A$4:$A923,$AC$4:$AC923)))</f>
        <v/>
      </c>
    </row>
    <row r="194" ht="22.5" customHeight="1">
      <c r="A194" s="76"/>
      <c r="B194" s="68" t="str">
        <f t="shared" si="1"/>
        <v/>
      </c>
      <c r="C194" s="110"/>
      <c r="D194" s="70" t="str">
        <f t="shared" si="2"/>
        <v/>
      </c>
      <c r="E194" s="76"/>
      <c r="F194" s="68" t="str">
        <f t="array" ref="F194">IF($A194="","",IFERROR(INDEX(MA_INDIVIDUALES!C$2:C923, MATCH($A194,MA_INDIVIDUALES!$B$2:$B923,0),1),"CÓDIGO DE EXPEDIENTE INVÁLIDO"))</f>
        <v/>
      </c>
      <c r="G194" s="68" t="str">
        <f t="array" ref="G194">IF($A194="","",IFERROR(INDEX(MA_INDIVIDUALES!K$2:K923, MATCH($A194,MA_INDIVIDUALES!$B$2:$B923,0),1),"CÓDIGO DE EXPEDIENTE INVÁLIDO"))</f>
        <v/>
      </c>
      <c r="H194" s="68" t="str">
        <f t="array" ref="H194">IF($A194="","",IFERROR(INDEX(MA_INDIVIDUALES!L$2:L923, MATCH($A194,MA_INDIVIDUALES!$B$2:$B923,0),1),"CÓDIGO DE EXPEDIENTE INVÁLIDO"))</f>
        <v/>
      </c>
      <c r="I194" s="76"/>
      <c r="J194" s="76"/>
      <c r="K194" s="75"/>
      <c r="L194" s="74" t="str">
        <f>IF(A194="","",IF(K194="","",_xlfn.WORKDAY.INTL(K194,5,1,FERIADOS)))</f>
        <v/>
      </c>
      <c r="M194" s="76"/>
      <c r="N194" s="75"/>
      <c r="O194" s="76"/>
      <c r="P194" s="77" t="str">
        <f t="shared" si="3"/>
        <v/>
      </c>
      <c r="Q194" s="75"/>
      <c r="R194" s="76"/>
      <c r="S194" s="75"/>
      <c r="T194" s="75"/>
      <c r="U194" s="76"/>
      <c r="V194" s="76"/>
      <c r="W194" s="75"/>
      <c r="X194" s="76"/>
      <c r="Y194" s="29" t="str">
        <f t="shared" si="4"/>
        <v/>
      </c>
      <c r="Z194" s="29" t="str">
        <f t="shared" si="5"/>
        <v/>
      </c>
      <c r="AA194" s="76"/>
      <c r="AB194" s="76"/>
      <c r="AC194" s="75"/>
      <c r="AD194" s="75"/>
      <c r="AE194" s="78" t="str">
        <f>IF(U194="","",IF(AD194="","",_xlfn.WORKDAY.INTL(AD194,7,1,FERIADOS)))</f>
        <v/>
      </c>
      <c r="AF194" s="104"/>
      <c r="AG194" s="80" t="str">
        <f t="array" ref="AG194">IF(A194="","",IF(AF194="","",AF194*INDEX(PARAMETROS!F$2:F1257,MATCH(YEAR(AC194),PARAMETROS!E$2:E1257,0),1)))</f>
        <v/>
      </c>
      <c r="AH194" s="81"/>
      <c r="AI194" s="82"/>
      <c r="AJ194" s="81"/>
      <c r="AK194" s="81"/>
      <c r="AL194" s="76"/>
      <c r="AM194" s="75"/>
      <c r="AN194" s="76"/>
      <c r="AO194" s="95"/>
      <c r="AP194" s="96"/>
      <c r="AQ194" s="85" t="str">
        <f t="shared" si="6"/>
        <v/>
      </c>
      <c r="AR194" s="86" t="str">
        <f t="array" ref="AR194">IF(A194="","",IFERROR(INDEX('2) Etapas'!L$3:L923,MATCH(B194,'2) Etapas'!$A$4:$A923,0),1),-1))</f>
        <v/>
      </c>
      <c r="AS194" s="87" t="str">
        <f t="shared" si="7"/>
        <v/>
      </c>
      <c r="AT194" s="87" t="str">
        <f t="shared" si="8"/>
        <v/>
      </c>
      <c r="AU194" s="87" t="str">
        <f t="shared" si="9"/>
        <v/>
      </c>
      <c r="AV194" s="89" t="str">
        <f t="array" ref="AV194">IF(OR($A194="",$AB194="", $AC194=""),"",MAXA(IF($A194=$A$4:$A923,$AC$4:$AC923)))</f>
        <v/>
      </c>
    </row>
    <row r="195" ht="22.5" customHeight="1">
      <c r="A195" s="76"/>
      <c r="B195" s="68" t="str">
        <f t="shared" si="1"/>
        <v/>
      </c>
      <c r="C195" s="110"/>
      <c r="D195" s="70" t="str">
        <f t="shared" si="2"/>
        <v/>
      </c>
      <c r="E195" s="76"/>
      <c r="F195" s="68" t="str">
        <f t="array" ref="F195">IF($A195="","",IFERROR(INDEX(MA_INDIVIDUALES!C$2:C923, MATCH($A195,MA_INDIVIDUALES!$B$2:$B923,0),1),"CÓDIGO DE EXPEDIENTE INVÁLIDO"))</f>
        <v/>
      </c>
      <c r="G195" s="68" t="str">
        <f t="array" ref="G195">IF($A195="","",IFERROR(INDEX(MA_INDIVIDUALES!K$2:K923, MATCH($A195,MA_INDIVIDUALES!$B$2:$B923,0),1),"CÓDIGO DE EXPEDIENTE INVÁLIDO"))</f>
        <v/>
      </c>
      <c r="H195" s="68" t="str">
        <f t="array" ref="H195">IF($A195="","",IFERROR(INDEX(MA_INDIVIDUALES!L$2:L923, MATCH($A195,MA_INDIVIDUALES!$B$2:$B923,0),1),"CÓDIGO DE EXPEDIENTE INVÁLIDO"))</f>
        <v/>
      </c>
      <c r="I195" s="76"/>
      <c r="J195" s="76"/>
      <c r="K195" s="75"/>
      <c r="L195" s="74" t="str">
        <f>IF(A195="","",IF(K195="","",_xlfn.WORKDAY.INTL(K195,5,1,FERIADOS)))</f>
        <v/>
      </c>
      <c r="M195" s="76"/>
      <c r="N195" s="75"/>
      <c r="O195" s="76"/>
      <c r="P195" s="77" t="str">
        <f t="shared" si="3"/>
        <v/>
      </c>
      <c r="Q195" s="75"/>
      <c r="R195" s="76"/>
      <c r="S195" s="75"/>
      <c r="T195" s="75"/>
      <c r="U195" s="76"/>
      <c r="V195" s="76"/>
      <c r="W195" s="75"/>
      <c r="X195" s="76"/>
      <c r="Y195" s="29" t="str">
        <f t="shared" si="4"/>
        <v/>
      </c>
      <c r="Z195" s="29" t="str">
        <f t="shared" si="5"/>
        <v/>
      </c>
      <c r="AA195" s="76"/>
      <c r="AB195" s="76"/>
      <c r="AC195" s="75"/>
      <c r="AD195" s="75"/>
      <c r="AE195" s="78" t="str">
        <f>IF(U195="","",IF(AD195="","",_xlfn.WORKDAY.INTL(AD195,7,1,FERIADOS)))</f>
        <v/>
      </c>
      <c r="AF195" s="104"/>
      <c r="AG195" s="80" t="str">
        <f t="array" ref="AG195">IF(A195="","",IF(AF195="","",AF195*INDEX(PARAMETROS!F$2:F1258,MATCH(YEAR(AC195),PARAMETROS!E$2:E1258,0),1)))</f>
        <v/>
      </c>
      <c r="AH195" s="81"/>
      <c r="AI195" s="82"/>
      <c r="AJ195" s="81"/>
      <c r="AK195" s="81"/>
      <c r="AL195" s="76"/>
      <c r="AM195" s="75"/>
      <c r="AN195" s="76"/>
      <c r="AO195" s="95"/>
      <c r="AP195" s="96"/>
      <c r="AQ195" s="85" t="str">
        <f t="shared" si="6"/>
        <v/>
      </c>
      <c r="AR195" s="86" t="str">
        <f t="array" ref="AR195">IF(A195="","",IFERROR(INDEX('2) Etapas'!L$3:L923,MATCH(B195,'2) Etapas'!$A$4:$A923,0),1),-1))</f>
        <v/>
      </c>
      <c r="AS195" s="87" t="str">
        <f t="shared" si="7"/>
        <v/>
      </c>
      <c r="AT195" s="87" t="str">
        <f t="shared" si="8"/>
        <v/>
      </c>
      <c r="AU195" s="87" t="str">
        <f t="shared" si="9"/>
        <v/>
      </c>
      <c r="AV195" s="89" t="str">
        <f t="array" ref="AV195">IF(OR($A195="",$AB195="", $AC195=""),"",MAXA(IF($A195=$A$4:$A923,$AC$4:$AC923)))</f>
        <v/>
      </c>
    </row>
    <row r="196" ht="22.5" customHeight="1">
      <c r="A196" s="76"/>
      <c r="B196" s="68" t="str">
        <f t="shared" si="1"/>
        <v/>
      </c>
      <c r="C196" s="110"/>
      <c r="D196" s="70" t="str">
        <f t="shared" si="2"/>
        <v/>
      </c>
      <c r="E196" s="76"/>
      <c r="F196" s="68" t="str">
        <f t="array" ref="F196">IF($A196="","",IFERROR(INDEX(MA_INDIVIDUALES!C$2:C923, MATCH($A196,MA_INDIVIDUALES!$B$2:$B923,0),1),"CÓDIGO DE EXPEDIENTE INVÁLIDO"))</f>
        <v/>
      </c>
      <c r="G196" s="68" t="str">
        <f t="array" ref="G196">IF($A196="","",IFERROR(INDEX(MA_INDIVIDUALES!K$2:K923, MATCH($A196,MA_INDIVIDUALES!$B$2:$B923,0),1),"CÓDIGO DE EXPEDIENTE INVÁLIDO"))</f>
        <v/>
      </c>
      <c r="H196" s="68" t="str">
        <f t="array" ref="H196">IF($A196="","",IFERROR(INDEX(MA_INDIVIDUALES!L$2:L923, MATCH($A196,MA_INDIVIDUALES!$B$2:$B923,0),1),"CÓDIGO DE EXPEDIENTE INVÁLIDO"))</f>
        <v/>
      </c>
      <c r="I196" s="76"/>
      <c r="J196" s="76"/>
      <c r="K196" s="75"/>
      <c r="L196" s="74" t="str">
        <f>IF(A196="","",IF(K196="","",_xlfn.WORKDAY.INTL(K196,5,1,FERIADOS)))</f>
        <v/>
      </c>
      <c r="M196" s="76"/>
      <c r="N196" s="75"/>
      <c r="O196" s="76"/>
      <c r="P196" s="77" t="str">
        <f t="shared" si="3"/>
        <v/>
      </c>
      <c r="Q196" s="75"/>
      <c r="R196" s="76"/>
      <c r="S196" s="75"/>
      <c r="T196" s="75"/>
      <c r="U196" s="76"/>
      <c r="V196" s="76"/>
      <c r="W196" s="75"/>
      <c r="X196" s="76"/>
      <c r="Y196" s="29" t="str">
        <f t="shared" si="4"/>
        <v/>
      </c>
      <c r="Z196" s="29" t="str">
        <f t="shared" si="5"/>
        <v/>
      </c>
      <c r="AA196" s="76"/>
      <c r="AB196" s="76"/>
      <c r="AC196" s="75"/>
      <c r="AD196" s="75"/>
      <c r="AE196" s="78" t="str">
        <f>IF(U196="","",IF(AD196="","",_xlfn.WORKDAY.INTL(AD196,7,1,FERIADOS)))</f>
        <v/>
      </c>
      <c r="AF196" s="104"/>
      <c r="AG196" s="80" t="str">
        <f t="array" ref="AG196">IF(A196="","",IF(AF196="","",AF196*INDEX(PARAMETROS!F$2:F1259,MATCH(YEAR(AC196),PARAMETROS!E$2:E1259,0),1)))</f>
        <v/>
      </c>
      <c r="AH196" s="81"/>
      <c r="AI196" s="82"/>
      <c r="AJ196" s="81"/>
      <c r="AK196" s="81"/>
      <c r="AL196" s="76"/>
      <c r="AM196" s="75"/>
      <c r="AN196" s="76"/>
      <c r="AO196" s="95"/>
      <c r="AP196" s="96"/>
      <c r="AQ196" s="85" t="str">
        <f t="shared" si="6"/>
        <v/>
      </c>
      <c r="AR196" s="86" t="str">
        <f t="array" ref="AR196">IF(A196="","",IFERROR(INDEX('2) Etapas'!L$3:L923,MATCH(B196,'2) Etapas'!$A$4:$A923,0),1),-1))</f>
        <v/>
      </c>
      <c r="AS196" s="87" t="str">
        <f t="shared" si="7"/>
        <v/>
      </c>
      <c r="AT196" s="87" t="str">
        <f t="shared" si="8"/>
        <v/>
      </c>
      <c r="AU196" s="87" t="str">
        <f t="shared" si="9"/>
        <v/>
      </c>
      <c r="AV196" s="89" t="str">
        <f t="array" ref="AV196">IF(OR($A196="",$AB196="", $AC196=""),"",MAXA(IF($A196=$A$4:$A923,$AC$4:$AC923)))</f>
        <v/>
      </c>
    </row>
    <row r="197" ht="22.5" customHeight="1">
      <c r="A197" s="76"/>
      <c r="B197" s="68" t="str">
        <f t="shared" si="1"/>
        <v/>
      </c>
      <c r="C197" s="110"/>
      <c r="D197" s="70" t="str">
        <f t="shared" si="2"/>
        <v/>
      </c>
      <c r="E197" s="76"/>
      <c r="F197" s="68" t="str">
        <f t="array" ref="F197">IF($A197="","",IFERROR(INDEX(MA_INDIVIDUALES!C$2:C923, MATCH($A197,MA_INDIVIDUALES!$B$2:$B923,0),1),"CÓDIGO DE EXPEDIENTE INVÁLIDO"))</f>
        <v/>
      </c>
      <c r="G197" s="68" t="str">
        <f t="array" ref="G197">IF($A197="","",IFERROR(INDEX(MA_INDIVIDUALES!K$2:K923, MATCH($A197,MA_INDIVIDUALES!$B$2:$B923,0),1),"CÓDIGO DE EXPEDIENTE INVÁLIDO"))</f>
        <v/>
      </c>
      <c r="H197" s="68" t="str">
        <f t="array" ref="H197">IF($A197="","",IFERROR(INDEX(MA_INDIVIDUALES!L$2:L923, MATCH($A197,MA_INDIVIDUALES!$B$2:$B923,0),1),"CÓDIGO DE EXPEDIENTE INVÁLIDO"))</f>
        <v/>
      </c>
      <c r="I197" s="76"/>
      <c r="J197" s="76"/>
      <c r="K197" s="75"/>
      <c r="L197" s="74" t="str">
        <f>IF(A197="","",IF(K197="","",_xlfn.WORKDAY.INTL(K197,5,1,FERIADOS)))</f>
        <v/>
      </c>
      <c r="M197" s="76"/>
      <c r="N197" s="75"/>
      <c r="O197" s="76"/>
      <c r="P197" s="77" t="str">
        <f t="shared" si="3"/>
        <v/>
      </c>
      <c r="Q197" s="75"/>
      <c r="R197" s="76"/>
      <c r="S197" s="75"/>
      <c r="T197" s="75"/>
      <c r="U197" s="76"/>
      <c r="V197" s="76"/>
      <c r="W197" s="75"/>
      <c r="X197" s="76"/>
      <c r="Y197" s="29" t="str">
        <f t="shared" si="4"/>
        <v/>
      </c>
      <c r="Z197" s="29" t="str">
        <f t="shared" si="5"/>
        <v/>
      </c>
      <c r="AA197" s="76"/>
      <c r="AB197" s="76"/>
      <c r="AC197" s="75"/>
      <c r="AD197" s="75"/>
      <c r="AE197" s="78" t="str">
        <f>IF(U197="","",IF(AD197="","",_xlfn.WORKDAY.INTL(AD197,7,1,FERIADOS)))</f>
        <v/>
      </c>
      <c r="AF197" s="104"/>
      <c r="AG197" s="80" t="str">
        <f t="array" ref="AG197">IF(A197="","",IF(AF197="","",AF197*INDEX(PARAMETROS!F$2:F1260,MATCH(YEAR(AC197),PARAMETROS!E$2:E1260,0),1)))</f>
        <v/>
      </c>
      <c r="AH197" s="81"/>
      <c r="AI197" s="82"/>
      <c r="AJ197" s="81"/>
      <c r="AK197" s="81"/>
      <c r="AL197" s="76"/>
      <c r="AM197" s="75"/>
      <c r="AN197" s="76"/>
      <c r="AO197" s="95"/>
      <c r="AP197" s="96"/>
      <c r="AQ197" s="85" t="str">
        <f t="shared" si="6"/>
        <v/>
      </c>
      <c r="AR197" s="86" t="str">
        <f t="array" ref="AR197">IF(A197="","",IFERROR(INDEX('2) Etapas'!L$3:L923,MATCH(B197,'2) Etapas'!$A$4:$A923,0),1),-1))</f>
        <v/>
      </c>
      <c r="AS197" s="87" t="str">
        <f t="shared" si="7"/>
        <v/>
      </c>
      <c r="AT197" s="87" t="str">
        <f t="shared" si="8"/>
        <v/>
      </c>
      <c r="AU197" s="87" t="str">
        <f t="shared" si="9"/>
        <v/>
      </c>
      <c r="AV197" s="89" t="str">
        <f t="array" ref="AV197">IF(OR($A197="",$AB197="", $AC197=""),"",MAXA(IF($A197=$A$4:$A923,$AC$4:$AC923)))</f>
        <v/>
      </c>
    </row>
    <row r="198" ht="22.5" customHeight="1">
      <c r="A198" s="76"/>
      <c r="B198" s="68" t="str">
        <f t="shared" si="1"/>
        <v/>
      </c>
      <c r="C198" s="110"/>
      <c r="D198" s="70" t="str">
        <f t="shared" si="2"/>
        <v/>
      </c>
      <c r="E198" s="76"/>
      <c r="F198" s="68" t="str">
        <f t="array" ref="F198">IF($A198="","",IFERROR(INDEX(MA_INDIVIDUALES!C$2:C923, MATCH($A198,MA_INDIVIDUALES!$B$2:$B923,0),1),"CÓDIGO DE EXPEDIENTE INVÁLIDO"))</f>
        <v/>
      </c>
      <c r="G198" s="68" t="str">
        <f t="array" ref="G198">IF($A198="","",IFERROR(INDEX(MA_INDIVIDUALES!K$2:K923, MATCH($A198,MA_INDIVIDUALES!$B$2:$B923,0),1),"CÓDIGO DE EXPEDIENTE INVÁLIDO"))</f>
        <v/>
      </c>
      <c r="H198" s="68" t="str">
        <f t="array" ref="H198">IF($A198="","",IFERROR(INDEX(MA_INDIVIDUALES!L$2:L923, MATCH($A198,MA_INDIVIDUALES!$B$2:$B923,0),1),"CÓDIGO DE EXPEDIENTE INVÁLIDO"))</f>
        <v/>
      </c>
      <c r="I198" s="76"/>
      <c r="J198" s="76"/>
      <c r="K198" s="75"/>
      <c r="L198" s="74" t="str">
        <f>IF(A198="","",IF(K198="","",_xlfn.WORKDAY.INTL(K198,5,1,FERIADOS)))</f>
        <v/>
      </c>
      <c r="M198" s="76"/>
      <c r="N198" s="75"/>
      <c r="O198" s="76"/>
      <c r="P198" s="77" t="str">
        <f t="shared" si="3"/>
        <v/>
      </c>
      <c r="Q198" s="75"/>
      <c r="R198" s="76"/>
      <c r="S198" s="75"/>
      <c r="T198" s="75"/>
      <c r="U198" s="76"/>
      <c r="V198" s="76"/>
      <c r="W198" s="75"/>
      <c r="X198" s="76"/>
      <c r="Y198" s="29" t="str">
        <f t="shared" si="4"/>
        <v/>
      </c>
      <c r="Z198" s="29" t="str">
        <f t="shared" si="5"/>
        <v/>
      </c>
      <c r="AA198" s="76"/>
      <c r="AB198" s="76"/>
      <c r="AC198" s="75"/>
      <c r="AD198" s="75"/>
      <c r="AE198" s="78" t="str">
        <f>IF(U198="","",IF(AD198="","",_xlfn.WORKDAY.INTL(AD198,7,1,FERIADOS)))</f>
        <v/>
      </c>
      <c r="AF198" s="104"/>
      <c r="AG198" s="80" t="str">
        <f t="array" ref="AG198">IF(A198="","",IF(AF198="","",AF198*INDEX(PARAMETROS!F$2:F1261,MATCH(YEAR(AC198),PARAMETROS!E$2:E1261,0),1)))</f>
        <v/>
      </c>
      <c r="AH198" s="81"/>
      <c r="AI198" s="82"/>
      <c r="AJ198" s="81"/>
      <c r="AK198" s="81"/>
      <c r="AL198" s="76"/>
      <c r="AM198" s="75"/>
      <c r="AN198" s="76"/>
      <c r="AO198" s="95"/>
      <c r="AP198" s="96"/>
      <c r="AQ198" s="85" t="str">
        <f t="shared" si="6"/>
        <v/>
      </c>
      <c r="AR198" s="86" t="str">
        <f t="array" ref="AR198">IF(A198="","",IFERROR(INDEX('2) Etapas'!L$3:L923,MATCH(B198,'2) Etapas'!$A$4:$A923,0),1),-1))</f>
        <v/>
      </c>
      <c r="AS198" s="87" t="str">
        <f t="shared" si="7"/>
        <v/>
      </c>
      <c r="AT198" s="87" t="str">
        <f t="shared" si="8"/>
        <v/>
      </c>
      <c r="AU198" s="87" t="str">
        <f t="shared" si="9"/>
        <v/>
      </c>
      <c r="AV198" s="89" t="str">
        <f t="array" ref="AV198">IF(OR($A198="",$AB198="", $AC198=""),"",MAXA(IF($A198=$A$4:$A923,$AC$4:$AC923)))</f>
        <v/>
      </c>
    </row>
    <row r="199" ht="22.5" customHeight="1">
      <c r="A199" s="76"/>
      <c r="B199" s="68" t="str">
        <f t="shared" si="1"/>
        <v/>
      </c>
      <c r="C199" s="110"/>
      <c r="D199" s="70" t="str">
        <f t="shared" si="2"/>
        <v/>
      </c>
      <c r="E199" s="76"/>
      <c r="F199" s="68" t="str">
        <f t="array" ref="F199">IF($A199="","",IFERROR(INDEX(MA_INDIVIDUALES!C$2:C923, MATCH($A199,MA_INDIVIDUALES!$B$2:$B923,0),1),"CÓDIGO DE EXPEDIENTE INVÁLIDO"))</f>
        <v/>
      </c>
      <c r="G199" s="68" t="str">
        <f t="array" ref="G199">IF($A199="","",IFERROR(INDEX(MA_INDIVIDUALES!K$2:K923, MATCH($A199,MA_INDIVIDUALES!$B$2:$B923,0),1),"CÓDIGO DE EXPEDIENTE INVÁLIDO"))</f>
        <v/>
      </c>
      <c r="H199" s="68" t="str">
        <f t="array" ref="H199">IF($A199="","",IFERROR(INDEX(MA_INDIVIDUALES!L$2:L923, MATCH($A199,MA_INDIVIDUALES!$B$2:$B923,0),1),"CÓDIGO DE EXPEDIENTE INVÁLIDO"))</f>
        <v/>
      </c>
      <c r="I199" s="76"/>
      <c r="J199" s="76"/>
      <c r="K199" s="75"/>
      <c r="L199" s="74" t="str">
        <f>IF(A199="","",IF(K199="","",_xlfn.WORKDAY.INTL(K199,5,1,FERIADOS)))</f>
        <v/>
      </c>
      <c r="M199" s="76"/>
      <c r="N199" s="75"/>
      <c r="O199" s="76"/>
      <c r="P199" s="77" t="str">
        <f t="shared" si="3"/>
        <v/>
      </c>
      <c r="Q199" s="75"/>
      <c r="R199" s="76"/>
      <c r="S199" s="75"/>
      <c r="T199" s="75"/>
      <c r="U199" s="76"/>
      <c r="V199" s="76"/>
      <c r="W199" s="75"/>
      <c r="X199" s="76"/>
      <c r="Y199" s="29" t="str">
        <f t="shared" si="4"/>
        <v/>
      </c>
      <c r="Z199" s="29" t="str">
        <f t="shared" si="5"/>
        <v/>
      </c>
      <c r="AA199" s="76"/>
      <c r="AB199" s="76"/>
      <c r="AC199" s="75"/>
      <c r="AD199" s="75"/>
      <c r="AE199" s="78" t="str">
        <f>IF(U199="","",IF(AD199="","",_xlfn.WORKDAY.INTL(AD199,7,1,FERIADOS)))</f>
        <v/>
      </c>
      <c r="AF199" s="104"/>
      <c r="AG199" s="80" t="str">
        <f t="array" ref="AG199">IF(A199="","",IF(AF199="","",AF199*INDEX(PARAMETROS!F$2:F1262,MATCH(YEAR(AC199),PARAMETROS!E$2:E1262,0),1)))</f>
        <v/>
      </c>
      <c r="AH199" s="81"/>
      <c r="AI199" s="82"/>
      <c r="AJ199" s="81"/>
      <c r="AK199" s="81"/>
      <c r="AL199" s="76"/>
      <c r="AM199" s="75"/>
      <c r="AN199" s="76"/>
      <c r="AO199" s="95"/>
      <c r="AP199" s="96"/>
      <c r="AQ199" s="85" t="str">
        <f t="shared" si="6"/>
        <v/>
      </c>
      <c r="AR199" s="86" t="str">
        <f t="array" ref="AR199">IF(A199="","",IFERROR(INDEX('2) Etapas'!L$3:L923,MATCH(B199,'2) Etapas'!$A$4:$A923,0),1),-1))</f>
        <v/>
      </c>
      <c r="AS199" s="87" t="str">
        <f t="shared" si="7"/>
        <v/>
      </c>
      <c r="AT199" s="87" t="str">
        <f t="shared" si="8"/>
        <v/>
      </c>
      <c r="AU199" s="87" t="str">
        <f t="shared" si="9"/>
        <v/>
      </c>
      <c r="AV199" s="89" t="str">
        <f t="array" ref="AV199">IF(OR($A199="",$AB199="", $AC199=""),"",MAXA(IF($A199=$A$4:$A923,$AC$4:$AC923)))</f>
        <v/>
      </c>
    </row>
    <row r="200" ht="22.5" customHeight="1">
      <c r="A200" s="76"/>
      <c r="B200" s="68" t="str">
        <f t="shared" si="1"/>
        <v/>
      </c>
      <c r="C200" s="110"/>
      <c r="D200" s="70" t="str">
        <f t="shared" si="2"/>
        <v/>
      </c>
      <c r="E200" s="76"/>
      <c r="F200" s="68" t="str">
        <f t="array" ref="F200">IF($A200="","",IFERROR(INDEX(MA_INDIVIDUALES!C$2:C923, MATCH($A200,MA_INDIVIDUALES!$B$2:$B923,0),1),"CÓDIGO DE EXPEDIENTE INVÁLIDO"))</f>
        <v/>
      </c>
      <c r="G200" s="68" t="str">
        <f t="array" ref="G200">IF($A200="","",IFERROR(INDEX(MA_INDIVIDUALES!K$2:K923, MATCH($A200,MA_INDIVIDUALES!$B$2:$B923,0),1),"CÓDIGO DE EXPEDIENTE INVÁLIDO"))</f>
        <v/>
      </c>
      <c r="H200" s="68" t="str">
        <f t="array" ref="H200">IF($A200="","",IFERROR(INDEX(MA_INDIVIDUALES!L$2:L923, MATCH($A200,MA_INDIVIDUALES!$B$2:$B923,0),1),"CÓDIGO DE EXPEDIENTE INVÁLIDO"))</f>
        <v/>
      </c>
      <c r="I200" s="76"/>
      <c r="J200" s="76"/>
      <c r="K200" s="75"/>
      <c r="L200" s="74" t="str">
        <f>IF(A200="","",IF(K200="","",_xlfn.WORKDAY.INTL(K200,5,1,FERIADOS)))</f>
        <v/>
      </c>
      <c r="M200" s="76"/>
      <c r="N200" s="75"/>
      <c r="O200" s="76"/>
      <c r="P200" s="77" t="str">
        <f t="shared" si="3"/>
        <v/>
      </c>
      <c r="Q200" s="75"/>
      <c r="R200" s="76"/>
      <c r="S200" s="75"/>
      <c r="T200" s="75"/>
      <c r="U200" s="76"/>
      <c r="V200" s="76"/>
      <c r="W200" s="75"/>
      <c r="X200" s="76"/>
      <c r="Y200" s="29" t="str">
        <f t="shared" si="4"/>
        <v/>
      </c>
      <c r="Z200" s="29" t="str">
        <f t="shared" si="5"/>
        <v/>
      </c>
      <c r="AA200" s="76"/>
      <c r="AB200" s="76"/>
      <c r="AC200" s="75"/>
      <c r="AD200" s="75"/>
      <c r="AE200" s="78" t="str">
        <f>IF(U200="","",IF(AD200="","",_xlfn.WORKDAY.INTL(AD200,7,1,FERIADOS)))</f>
        <v/>
      </c>
      <c r="AF200" s="104"/>
      <c r="AG200" s="80" t="str">
        <f t="array" ref="AG200">IF(A200="","",IF(AF200="","",AF200*INDEX(PARAMETROS!F$2:F1263,MATCH(YEAR(AC200),PARAMETROS!E$2:E1263,0),1)))</f>
        <v/>
      </c>
      <c r="AH200" s="81"/>
      <c r="AI200" s="82"/>
      <c r="AJ200" s="81"/>
      <c r="AK200" s="81"/>
      <c r="AL200" s="76"/>
      <c r="AM200" s="75"/>
      <c r="AN200" s="76"/>
      <c r="AO200" s="95"/>
      <c r="AP200" s="96"/>
      <c r="AQ200" s="85" t="str">
        <f t="shared" si="6"/>
        <v/>
      </c>
      <c r="AR200" s="86" t="str">
        <f t="array" ref="AR200">IF(A200="","",IFERROR(INDEX('2) Etapas'!L$3:L923,MATCH(B200,'2) Etapas'!$A$4:$A923,0),1),-1))</f>
        <v/>
      </c>
      <c r="AS200" s="87" t="str">
        <f t="shared" si="7"/>
        <v/>
      </c>
      <c r="AT200" s="87" t="str">
        <f t="shared" si="8"/>
        <v/>
      </c>
      <c r="AU200" s="87" t="str">
        <f t="shared" si="9"/>
        <v/>
      </c>
      <c r="AV200" s="89" t="str">
        <f t="array" ref="AV200">IF(OR($A200="",$AB200="", $AC200=""),"",MAXA(IF($A200=$A$4:$A923,$AC$4:$AC923)))</f>
        <v/>
      </c>
    </row>
    <row r="201" ht="22.5" customHeight="1">
      <c r="A201" s="76"/>
      <c r="B201" s="68" t="str">
        <f t="shared" si="1"/>
        <v/>
      </c>
      <c r="C201" s="110"/>
      <c r="D201" s="70" t="str">
        <f t="shared" si="2"/>
        <v/>
      </c>
      <c r="E201" s="76"/>
      <c r="F201" s="68" t="str">
        <f t="array" ref="F201">IF($A201="","",IFERROR(INDEX(MA_INDIVIDUALES!C$2:C923, MATCH($A201,MA_INDIVIDUALES!$B$2:$B923,0),1),"CÓDIGO DE EXPEDIENTE INVÁLIDO"))</f>
        <v/>
      </c>
      <c r="G201" s="68" t="str">
        <f t="array" ref="G201">IF($A201="","",IFERROR(INDEX(MA_INDIVIDUALES!K$2:K923, MATCH($A201,MA_INDIVIDUALES!$B$2:$B923,0),1),"CÓDIGO DE EXPEDIENTE INVÁLIDO"))</f>
        <v/>
      </c>
      <c r="H201" s="68" t="str">
        <f t="array" ref="H201">IF($A201="","",IFERROR(INDEX(MA_INDIVIDUALES!L$2:L923, MATCH($A201,MA_INDIVIDUALES!$B$2:$B923,0),1),"CÓDIGO DE EXPEDIENTE INVÁLIDO"))</f>
        <v/>
      </c>
      <c r="I201" s="76"/>
      <c r="J201" s="76"/>
      <c r="K201" s="75"/>
      <c r="L201" s="74" t="str">
        <f>IF(A201="","",IF(K201="","",_xlfn.WORKDAY.INTL(K201,5,1,FERIADOS)))</f>
        <v/>
      </c>
      <c r="M201" s="76"/>
      <c r="N201" s="75"/>
      <c r="O201" s="76"/>
      <c r="P201" s="77" t="str">
        <f t="shared" si="3"/>
        <v/>
      </c>
      <c r="Q201" s="75"/>
      <c r="R201" s="76"/>
      <c r="S201" s="75"/>
      <c r="T201" s="75"/>
      <c r="U201" s="76"/>
      <c r="V201" s="76"/>
      <c r="W201" s="75"/>
      <c r="X201" s="76"/>
      <c r="Y201" s="29" t="str">
        <f t="shared" si="4"/>
        <v/>
      </c>
      <c r="Z201" s="29" t="str">
        <f t="shared" si="5"/>
        <v/>
      </c>
      <c r="AA201" s="76"/>
      <c r="AB201" s="76"/>
      <c r="AC201" s="75"/>
      <c r="AD201" s="75"/>
      <c r="AE201" s="78" t="str">
        <f>IF(U201="","",IF(AD201="","",_xlfn.WORKDAY.INTL(AD201,7,1,FERIADOS)))</f>
        <v/>
      </c>
      <c r="AF201" s="104"/>
      <c r="AG201" s="80" t="str">
        <f t="array" ref="AG201">IF(A201="","",IF(AF201="","",AF201*INDEX(PARAMETROS!F$2:F1264,MATCH(YEAR(AC201),PARAMETROS!E$2:E1264,0),1)))</f>
        <v/>
      </c>
      <c r="AH201" s="81"/>
      <c r="AI201" s="82"/>
      <c r="AJ201" s="81"/>
      <c r="AK201" s="81"/>
      <c r="AL201" s="76"/>
      <c r="AM201" s="75"/>
      <c r="AN201" s="76"/>
      <c r="AO201" s="95"/>
      <c r="AP201" s="96"/>
      <c r="AQ201" s="85" t="str">
        <f t="shared" si="6"/>
        <v/>
      </c>
      <c r="AR201" s="86" t="str">
        <f t="array" ref="AR201">IF(A201="","",IFERROR(INDEX('2) Etapas'!L$3:L923,MATCH(B201,'2) Etapas'!$A$4:$A923,0),1),-1))</f>
        <v/>
      </c>
      <c r="AS201" s="87" t="str">
        <f t="shared" si="7"/>
        <v/>
      </c>
      <c r="AT201" s="87" t="str">
        <f t="shared" si="8"/>
        <v/>
      </c>
      <c r="AU201" s="87" t="str">
        <f t="shared" si="9"/>
        <v/>
      </c>
      <c r="AV201" s="89" t="str">
        <f t="array" ref="AV201">IF(OR($A201="",$AB201="", $AC201=""),"",MAXA(IF($A201=$A$4:$A923,$AC$4:$AC923)))</f>
        <v/>
      </c>
    </row>
    <row r="202" ht="22.5" customHeight="1">
      <c r="A202" s="76"/>
      <c r="B202" s="68" t="str">
        <f t="shared" si="1"/>
        <v/>
      </c>
      <c r="C202" s="110"/>
      <c r="D202" s="70" t="str">
        <f t="shared" si="2"/>
        <v/>
      </c>
      <c r="E202" s="76"/>
      <c r="F202" s="68" t="str">
        <f t="array" ref="F202">IF($A202="","",IFERROR(INDEX(MA_INDIVIDUALES!C$2:C923, MATCH($A202,MA_INDIVIDUALES!$B$2:$B923,0),1),"CÓDIGO DE EXPEDIENTE INVÁLIDO"))</f>
        <v/>
      </c>
      <c r="G202" s="68" t="str">
        <f t="array" ref="G202">IF($A202="","",IFERROR(INDEX(MA_INDIVIDUALES!K$2:K923, MATCH($A202,MA_INDIVIDUALES!$B$2:$B923,0),1),"CÓDIGO DE EXPEDIENTE INVÁLIDO"))</f>
        <v/>
      </c>
      <c r="H202" s="68" t="str">
        <f t="array" ref="H202">IF($A202="","",IFERROR(INDEX(MA_INDIVIDUALES!L$2:L923, MATCH($A202,MA_INDIVIDUALES!$B$2:$B923,0),1),"CÓDIGO DE EXPEDIENTE INVÁLIDO"))</f>
        <v/>
      </c>
      <c r="I202" s="76"/>
      <c r="J202" s="76"/>
      <c r="K202" s="75"/>
      <c r="L202" s="74" t="str">
        <f>IF(A202="","",IF(K202="","",_xlfn.WORKDAY.INTL(K202,5,1,FERIADOS)))</f>
        <v/>
      </c>
      <c r="M202" s="76"/>
      <c r="N202" s="75"/>
      <c r="O202" s="76"/>
      <c r="P202" s="77" t="str">
        <f t="shared" si="3"/>
        <v/>
      </c>
      <c r="Q202" s="75"/>
      <c r="R202" s="76"/>
      <c r="S202" s="75"/>
      <c r="T202" s="75"/>
      <c r="U202" s="76"/>
      <c r="V202" s="76"/>
      <c r="W202" s="75"/>
      <c r="X202" s="76"/>
      <c r="Y202" s="29" t="str">
        <f t="shared" si="4"/>
        <v/>
      </c>
      <c r="Z202" s="29" t="str">
        <f t="shared" si="5"/>
        <v/>
      </c>
      <c r="AA202" s="76"/>
      <c r="AB202" s="76"/>
      <c r="AC202" s="75"/>
      <c r="AD202" s="75"/>
      <c r="AE202" s="78" t="str">
        <f>IF(U202="","",IF(AD202="","",_xlfn.WORKDAY.INTL(AD202,7,1,FERIADOS)))</f>
        <v/>
      </c>
      <c r="AF202" s="104"/>
      <c r="AG202" s="80" t="str">
        <f t="array" ref="AG202">IF(A202="","",IF(AF202="","",AF202*INDEX(PARAMETROS!F$2:F1265,MATCH(YEAR(AC202),PARAMETROS!E$2:E1265,0),1)))</f>
        <v/>
      </c>
      <c r="AH202" s="81"/>
      <c r="AI202" s="82"/>
      <c r="AJ202" s="81"/>
      <c r="AK202" s="81"/>
      <c r="AL202" s="76"/>
      <c r="AM202" s="75"/>
      <c r="AN202" s="76"/>
      <c r="AO202" s="95"/>
      <c r="AP202" s="96"/>
      <c r="AQ202" s="85" t="str">
        <f t="shared" si="6"/>
        <v/>
      </c>
      <c r="AR202" s="86" t="str">
        <f t="array" ref="AR202">IF(A202="","",IFERROR(INDEX('2) Etapas'!L$3:L923,MATCH(B202,'2) Etapas'!$A$4:$A923,0),1),-1))</f>
        <v/>
      </c>
      <c r="AS202" s="87" t="str">
        <f t="shared" si="7"/>
        <v/>
      </c>
      <c r="AT202" s="87" t="str">
        <f t="shared" si="8"/>
        <v/>
      </c>
      <c r="AU202" s="87" t="str">
        <f t="shared" si="9"/>
        <v/>
      </c>
      <c r="AV202" s="89" t="str">
        <f t="array" ref="AV202">IF(OR($A202="",$AB202="", $AC202=""),"",MAXA(IF($A202=$A$4:$A923,$AC$4:$AC923)))</f>
        <v/>
      </c>
    </row>
    <row r="203" ht="22.5" customHeight="1">
      <c r="A203" s="76"/>
      <c r="B203" s="68" t="str">
        <f t="shared" si="1"/>
        <v/>
      </c>
      <c r="C203" s="110"/>
      <c r="D203" s="70" t="str">
        <f t="shared" si="2"/>
        <v/>
      </c>
      <c r="E203" s="76"/>
      <c r="F203" s="68" t="str">
        <f t="array" ref="F203">IF($A203="","",IFERROR(INDEX(MA_INDIVIDUALES!C$2:C923, MATCH($A203,MA_INDIVIDUALES!$B$2:$B923,0),1),"CÓDIGO DE EXPEDIENTE INVÁLIDO"))</f>
        <v/>
      </c>
      <c r="G203" s="68" t="str">
        <f t="array" ref="G203">IF($A203="","",IFERROR(INDEX(MA_INDIVIDUALES!K$2:K923, MATCH($A203,MA_INDIVIDUALES!$B$2:$B923,0),1),"CÓDIGO DE EXPEDIENTE INVÁLIDO"))</f>
        <v/>
      </c>
      <c r="H203" s="68" t="str">
        <f t="array" ref="H203">IF($A203="","",IFERROR(INDEX(MA_INDIVIDUALES!L$2:L923, MATCH($A203,MA_INDIVIDUALES!$B$2:$B923,0),1),"CÓDIGO DE EXPEDIENTE INVÁLIDO"))</f>
        <v/>
      </c>
      <c r="I203" s="76"/>
      <c r="J203" s="76"/>
      <c r="K203" s="75"/>
      <c r="L203" s="74" t="str">
        <f>IF(A203="","",IF(K203="","",_xlfn.WORKDAY.INTL(K203,5,1,FERIADOS)))</f>
        <v/>
      </c>
      <c r="M203" s="76"/>
      <c r="N203" s="75"/>
      <c r="O203" s="76"/>
      <c r="P203" s="77" t="str">
        <f t="shared" si="3"/>
        <v/>
      </c>
      <c r="Q203" s="75"/>
      <c r="R203" s="76"/>
      <c r="S203" s="75"/>
      <c r="T203" s="75"/>
      <c r="U203" s="76"/>
      <c r="V203" s="76"/>
      <c r="W203" s="75"/>
      <c r="X203" s="76"/>
      <c r="Y203" s="29" t="str">
        <f t="shared" si="4"/>
        <v/>
      </c>
      <c r="Z203" s="29" t="str">
        <f t="shared" si="5"/>
        <v/>
      </c>
      <c r="AA203" s="76"/>
      <c r="AB203" s="76"/>
      <c r="AC203" s="75"/>
      <c r="AD203" s="75"/>
      <c r="AE203" s="78" t="str">
        <f>IF(U203="","",IF(AD203="","",_xlfn.WORKDAY.INTL(AD203,7,1,FERIADOS)))</f>
        <v/>
      </c>
      <c r="AF203" s="104"/>
      <c r="AG203" s="80" t="str">
        <f t="array" ref="AG203">IF(A203="","",IF(AF203="","",AF203*INDEX(PARAMETROS!F$2:F1266,MATCH(YEAR(AC203),PARAMETROS!E$2:E1266,0),1)))</f>
        <v/>
      </c>
      <c r="AH203" s="81"/>
      <c r="AI203" s="82"/>
      <c r="AJ203" s="81"/>
      <c r="AK203" s="81"/>
      <c r="AL203" s="76"/>
      <c r="AM203" s="75"/>
      <c r="AN203" s="76"/>
      <c r="AO203" s="95"/>
      <c r="AP203" s="96"/>
      <c r="AQ203" s="85" t="str">
        <f t="shared" si="6"/>
        <v/>
      </c>
      <c r="AR203" s="86" t="str">
        <f t="array" ref="AR203">IF(A203="","",IFERROR(INDEX('2) Etapas'!L$3:L923,MATCH(B203,'2) Etapas'!$A$4:$A923,0),1),-1))</f>
        <v/>
      </c>
      <c r="AS203" s="87" t="str">
        <f t="shared" si="7"/>
        <v/>
      </c>
      <c r="AT203" s="87" t="str">
        <f t="shared" si="8"/>
        <v/>
      </c>
      <c r="AU203" s="87" t="str">
        <f t="shared" si="9"/>
        <v/>
      </c>
      <c r="AV203" s="89" t="str">
        <f t="array" ref="AV203">IF(OR($A203="",$AB203="", $AC203=""),"",MAXA(IF($A203=$A$4:$A923,$AC$4:$AC923)))</f>
        <v/>
      </c>
    </row>
    <row r="204" ht="22.5" customHeight="1">
      <c r="A204" s="76"/>
      <c r="B204" s="68" t="str">
        <f t="shared" si="1"/>
        <v/>
      </c>
      <c r="C204" s="110"/>
      <c r="D204" s="70" t="str">
        <f t="shared" si="2"/>
        <v/>
      </c>
      <c r="E204" s="76"/>
      <c r="F204" s="68" t="str">
        <f t="array" ref="F204">IF($A204="","",IFERROR(INDEX(MA_INDIVIDUALES!C$2:C923, MATCH($A204,MA_INDIVIDUALES!$B$2:$B923,0),1),"CÓDIGO DE EXPEDIENTE INVÁLIDO"))</f>
        <v/>
      </c>
      <c r="G204" s="68" t="str">
        <f t="array" ref="G204">IF($A204="","",IFERROR(INDEX(MA_INDIVIDUALES!K$2:K923, MATCH($A204,MA_INDIVIDUALES!$B$2:$B923,0),1),"CÓDIGO DE EXPEDIENTE INVÁLIDO"))</f>
        <v/>
      </c>
      <c r="H204" s="68" t="str">
        <f t="array" ref="H204">IF($A204="","",IFERROR(INDEX(MA_INDIVIDUALES!L$2:L923, MATCH($A204,MA_INDIVIDUALES!$B$2:$B923,0),1),"CÓDIGO DE EXPEDIENTE INVÁLIDO"))</f>
        <v/>
      </c>
      <c r="I204" s="76"/>
      <c r="J204" s="76"/>
      <c r="K204" s="75"/>
      <c r="L204" s="74" t="str">
        <f>IF(A204="","",IF(K204="","",_xlfn.WORKDAY.INTL(K204,5,1,FERIADOS)))</f>
        <v/>
      </c>
      <c r="M204" s="76"/>
      <c r="N204" s="75"/>
      <c r="O204" s="76"/>
      <c r="P204" s="77" t="str">
        <f t="shared" si="3"/>
        <v/>
      </c>
      <c r="Q204" s="75"/>
      <c r="R204" s="76"/>
      <c r="S204" s="75"/>
      <c r="T204" s="75"/>
      <c r="U204" s="76"/>
      <c r="V204" s="76"/>
      <c r="W204" s="75"/>
      <c r="X204" s="76"/>
      <c r="Y204" s="29" t="str">
        <f t="shared" si="4"/>
        <v/>
      </c>
      <c r="Z204" s="29" t="str">
        <f t="shared" si="5"/>
        <v/>
      </c>
      <c r="AA204" s="76"/>
      <c r="AB204" s="76"/>
      <c r="AC204" s="75"/>
      <c r="AD204" s="75"/>
      <c r="AE204" s="78" t="str">
        <f>IF(U204="","",IF(AD204="","",_xlfn.WORKDAY.INTL(AD204,7,1,FERIADOS)))</f>
        <v/>
      </c>
      <c r="AF204" s="104"/>
      <c r="AG204" s="80" t="str">
        <f t="array" ref="AG204">IF(A204="","",IF(AF204="","",AF204*INDEX(PARAMETROS!F$2:F1267,MATCH(YEAR(AC204),PARAMETROS!E$2:E1267,0),1)))</f>
        <v/>
      </c>
      <c r="AH204" s="81"/>
      <c r="AI204" s="82"/>
      <c r="AJ204" s="81"/>
      <c r="AK204" s="81"/>
      <c r="AL204" s="76"/>
      <c r="AM204" s="75"/>
      <c r="AN204" s="76"/>
      <c r="AO204" s="95"/>
      <c r="AP204" s="96"/>
      <c r="AQ204" s="85" t="str">
        <f t="shared" si="6"/>
        <v/>
      </c>
      <c r="AR204" s="86" t="str">
        <f t="array" ref="AR204">IF(A204="","",IFERROR(INDEX('2) Etapas'!L$3:L923,MATCH(B204,'2) Etapas'!$A$4:$A923,0),1),-1))</f>
        <v/>
      </c>
      <c r="AS204" s="87" t="str">
        <f t="shared" si="7"/>
        <v/>
      </c>
      <c r="AT204" s="87" t="str">
        <f t="shared" si="8"/>
        <v/>
      </c>
      <c r="AU204" s="87" t="str">
        <f t="shared" si="9"/>
        <v/>
      </c>
      <c r="AV204" s="89" t="str">
        <f t="array" ref="AV204">IF(OR($A204="",$AB204="", $AC204=""),"",MAXA(IF($A204=$A$4:$A923,$AC$4:$AC923)))</f>
        <v/>
      </c>
    </row>
    <row r="205" ht="22.5" customHeight="1">
      <c r="A205" s="76"/>
      <c r="B205" s="68" t="str">
        <f t="shared" si="1"/>
        <v/>
      </c>
      <c r="C205" s="110"/>
      <c r="D205" s="70" t="str">
        <f t="shared" si="2"/>
        <v/>
      </c>
      <c r="E205" s="76"/>
      <c r="F205" s="68" t="str">
        <f t="array" ref="F205">IF($A205="","",IFERROR(INDEX(MA_INDIVIDUALES!C$2:C923, MATCH($A205,MA_INDIVIDUALES!$B$2:$B923,0),1),"CÓDIGO DE EXPEDIENTE INVÁLIDO"))</f>
        <v/>
      </c>
      <c r="G205" s="68" t="str">
        <f t="array" ref="G205">IF($A205="","",IFERROR(INDEX(MA_INDIVIDUALES!K$2:K923, MATCH($A205,MA_INDIVIDUALES!$B$2:$B923,0),1),"CÓDIGO DE EXPEDIENTE INVÁLIDO"))</f>
        <v/>
      </c>
      <c r="H205" s="68" t="str">
        <f t="array" ref="H205">IF($A205="","",IFERROR(INDEX(MA_INDIVIDUALES!L$2:L923, MATCH($A205,MA_INDIVIDUALES!$B$2:$B923,0),1),"CÓDIGO DE EXPEDIENTE INVÁLIDO"))</f>
        <v/>
      </c>
      <c r="I205" s="76"/>
      <c r="J205" s="76"/>
      <c r="K205" s="75"/>
      <c r="L205" s="74" t="str">
        <f>IF(A205="","",IF(K205="","",_xlfn.WORKDAY.INTL(K205,5,1,FERIADOS)))</f>
        <v/>
      </c>
      <c r="M205" s="76"/>
      <c r="N205" s="75"/>
      <c r="O205" s="76"/>
      <c r="P205" s="77" t="str">
        <f t="shared" si="3"/>
        <v/>
      </c>
      <c r="Q205" s="75"/>
      <c r="R205" s="76"/>
      <c r="S205" s="75"/>
      <c r="T205" s="75"/>
      <c r="U205" s="76"/>
      <c r="V205" s="76"/>
      <c r="W205" s="75"/>
      <c r="X205" s="76"/>
      <c r="Y205" s="29" t="str">
        <f t="shared" si="4"/>
        <v/>
      </c>
      <c r="Z205" s="29" t="str">
        <f t="shared" si="5"/>
        <v/>
      </c>
      <c r="AA205" s="76"/>
      <c r="AB205" s="76"/>
      <c r="AC205" s="75"/>
      <c r="AD205" s="75"/>
      <c r="AE205" s="78" t="str">
        <f>IF(U205="","",IF(AD205="","",_xlfn.WORKDAY.INTL(AD205,7,1,FERIADOS)))</f>
        <v/>
      </c>
      <c r="AF205" s="104"/>
      <c r="AG205" s="80" t="str">
        <f t="array" ref="AG205">IF(A205="","",IF(AF205="","",AF205*INDEX(PARAMETROS!F$2:F1268,MATCH(YEAR(AC205),PARAMETROS!E$2:E1268,0),1)))</f>
        <v/>
      </c>
      <c r="AH205" s="81"/>
      <c r="AI205" s="82"/>
      <c r="AJ205" s="81"/>
      <c r="AK205" s="81"/>
      <c r="AL205" s="76"/>
      <c r="AM205" s="75"/>
      <c r="AN205" s="76"/>
      <c r="AO205" s="95"/>
      <c r="AP205" s="96"/>
      <c r="AQ205" s="85" t="str">
        <f t="shared" si="6"/>
        <v/>
      </c>
      <c r="AR205" s="86" t="str">
        <f t="array" ref="AR205">IF(A205="","",IFERROR(INDEX('2) Etapas'!L$3:L923,MATCH(B205,'2) Etapas'!$A$4:$A923,0),1),-1))</f>
        <v/>
      </c>
      <c r="AS205" s="87" t="str">
        <f t="shared" si="7"/>
        <v/>
      </c>
      <c r="AT205" s="87" t="str">
        <f t="shared" si="8"/>
        <v/>
      </c>
      <c r="AU205" s="87" t="str">
        <f t="shared" si="9"/>
        <v/>
      </c>
      <c r="AV205" s="89" t="str">
        <f t="array" ref="AV205">IF(OR($A205="",$AB205="", $AC205=""),"",MAXA(IF($A205=$A$4:$A923,$AC$4:$AC923)))</f>
        <v/>
      </c>
    </row>
    <row r="206" ht="22.5" customHeight="1">
      <c r="A206" s="76"/>
      <c r="B206" s="68" t="str">
        <f t="shared" si="1"/>
        <v/>
      </c>
      <c r="C206" s="110"/>
      <c r="D206" s="70" t="str">
        <f t="shared" si="2"/>
        <v/>
      </c>
      <c r="E206" s="76"/>
      <c r="F206" s="68" t="str">
        <f t="array" ref="F206">IF($A206="","",IFERROR(INDEX(MA_INDIVIDUALES!C$2:C923, MATCH($A206,MA_INDIVIDUALES!$B$2:$B923,0),1),"CÓDIGO DE EXPEDIENTE INVÁLIDO"))</f>
        <v/>
      </c>
      <c r="G206" s="68" t="str">
        <f t="array" ref="G206">IF($A206="","",IFERROR(INDEX(MA_INDIVIDUALES!K$2:K923, MATCH($A206,MA_INDIVIDUALES!$B$2:$B923,0),1),"CÓDIGO DE EXPEDIENTE INVÁLIDO"))</f>
        <v/>
      </c>
      <c r="H206" s="68" t="str">
        <f t="array" ref="H206">IF($A206="","",IFERROR(INDEX(MA_INDIVIDUALES!L$2:L923, MATCH($A206,MA_INDIVIDUALES!$B$2:$B923,0),1),"CÓDIGO DE EXPEDIENTE INVÁLIDO"))</f>
        <v/>
      </c>
      <c r="I206" s="76"/>
      <c r="J206" s="76"/>
      <c r="K206" s="75"/>
      <c r="L206" s="74" t="str">
        <f>IF(A206="","",IF(K206="","",_xlfn.WORKDAY.INTL(K206,5,1,FERIADOS)))</f>
        <v/>
      </c>
      <c r="M206" s="76"/>
      <c r="N206" s="75"/>
      <c r="O206" s="76"/>
      <c r="P206" s="77" t="str">
        <f t="shared" si="3"/>
        <v/>
      </c>
      <c r="Q206" s="75"/>
      <c r="R206" s="76"/>
      <c r="S206" s="75"/>
      <c r="T206" s="75"/>
      <c r="U206" s="76"/>
      <c r="V206" s="76"/>
      <c r="W206" s="75"/>
      <c r="X206" s="76"/>
      <c r="Y206" s="29" t="str">
        <f t="shared" si="4"/>
        <v/>
      </c>
      <c r="Z206" s="29" t="str">
        <f t="shared" si="5"/>
        <v/>
      </c>
      <c r="AA206" s="76"/>
      <c r="AB206" s="76"/>
      <c r="AC206" s="75"/>
      <c r="AD206" s="75"/>
      <c r="AE206" s="78" t="str">
        <f>IF(U206="","",IF(AD206="","",_xlfn.WORKDAY.INTL(AD206,7,1,FERIADOS)))</f>
        <v/>
      </c>
      <c r="AF206" s="104"/>
      <c r="AG206" s="80" t="str">
        <f t="array" ref="AG206">IF(A206="","",IF(AF206="","",AF206*INDEX(PARAMETROS!F$2:F1269,MATCH(YEAR(AC206),PARAMETROS!E$2:E1269,0),1)))</f>
        <v/>
      </c>
      <c r="AH206" s="81"/>
      <c r="AI206" s="82"/>
      <c r="AJ206" s="81"/>
      <c r="AK206" s="81"/>
      <c r="AL206" s="76"/>
      <c r="AM206" s="75"/>
      <c r="AN206" s="76"/>
      <c r="AO206" s="95"/>
      <c r="AP206" s="96"/>
      <c r="AQ206" s="85" t="str">
        <f t="shared" si="6"/>
        <v/>
      </c>
      <c r="AR206" s="86" t="str">
        <f t="array" ref="AR206">IF(A206="","",IFERROR(INDEX('2) Etapas'!L$3:L923,MATCH(B206,'2) Etapas'!$A$4:$A923,0),1),-1))</f>
        <v/>
      </c>
      <c r="AS206" s="87" t="str">
        <f t="shared" si="7"/>
        <v/>
      </c>
      <c r="AT206" s="87" t="str">
        <f t="shared" si="8"/>
        <v/>
      </c>
      <c r="AU206" s="87" t="str">
        <f t="shared" si="9"/>
        <v/>
      </c>
      <c r="AV206" s="89" t="str">
        <f t="array" ref="AV206">IF(OR($A206="",$AB206="", $AC206=""),"",MAXA(IF($A206=$A$4:$A923,$AC$4:$AC923)))</f>
        <v/>
      </c>
    </row>
    <row r="207" ht="22.5" customHeight="1">
      <c r="A207" s="76"/>
      <c r="B207" s="68" t="str">
        <f t="shared" si="1"/>
        <v/>
      </c>
      <c r="C207" s="110"/>
      <c r="D207" s="70" t="str">
        <f t="shared" si="2"/>
        <v/>
      </c>
      <c r="E207" s="76"/>
      <c r="F207" s="68" t="str">
        <f t="array" ref="F207">IF($A207="","",IFERROR(INDEX(MA_INDIVIDUALES!C$2:C923, MATCH($A207,MA_INDIVIDUALES!$B$2:$B923,0),1),"CÓDIGO DE EXPEDIENTE INVÁLIDO"))</f>
        <v/>
      </c>
      <c r="G207" s="68" t="str">
        <f t="array" ref="G207">IF($A207="","",IFERROR(INDEX(MA_INDIVIDUALES!K$2:K923, MATCH($A207,MA_INDIVIDUALES!$B$2:$B923,0),1),"CÓDIGO DE EXPEDIENTE INVÁLIDO"))</f>
        <v/>
      </c>
      <c r="H207" s="68" t="str">
        <f t="array" ref="H207">IF($A207="","",IFERROR(INDEX(MA_INDIVIDUALES!L$2:L923, MATCH($A207,MA_INDIVIDUALES!$B$2:$B923,0),1),"CÓDIGO DE EXPEDIENTE INVÁLIDO"))</f>
        <v/>
      </c>
      <c r="I207" s="76"/>
      <c r="J207" s="76"/>
      <c r="K207" s="75"/>
      <c r="L207" s="74" t="str">
        <f>IF(A207="","",IF(K207="","",_xlfn.WORKDAY.INTL(K207,5,1,FERIADOS)))</f>
        <v/>
      </c>
      <c r="M207" s="76"/>
      <c r="N207" s="75"/>
      <c r="O207" s="76"/>
      <c r="P207" s="77" t="str">
        <f t="shared" si="3"/>
        <v/>
      </c>
      <c r="Q207" s="75"/>
      <c r="R207" s="76"/>
      <c r="S207" s="75"/>
      <c r="T207" s="75"/>
      <c r="U207" s="76"/>
      <c r="V207" s="76"/>
      <c r="W207" s="75"/>
      <c r="X207" s="76"/>
      <c r="Y207" s="29" t="str">
        <f t="shared" si="4"/>
        <v/>
      </c>
      <c r="Z207" s="29" t="str">
        <f t="shared" si="5"/>
        <v/>
      </c>
      <c r="AA207" s="76"/>
      <c r="AB207" s="76"/>
      <c r="AC207" s="75"/>
      <c r="AD207" s="75"/>
      <c r="AE207" s="78" t="str">
        <f>IF(U207="","",IF(AD207="","",_xlfn.WORKDAY.INTL(AD207,7,1,FERIADOS)))</f>
        <v/>
      </c>
      <c r="AF207" s="104"/>
      <c r="AG207" s="80" t="str">
        <f t="array" ref="AG207">IF(A207="","",IF(AF207="","",AF207*INDEX(PARAMETROS!F$2:F1270,MATCH(YEAR(AC207),PARAMETROS!E$2:E1270,0),1)))</f>
        <v/>
      </c>
      <c r="AH207" s="81"/>
      <c r="AI207" s="82"/>
      <c r="AJ207" s="81"/>
      <c r="AK207" s="81"/>
      <c r="AL207" s="76"/>
      <c r="AM207" s="75"/>
      <c r="AN207" s="76"/>
      <c r="AO207" s="95"/>
      <c r="AP207" s="96"/>
      <c r="AQ207" s="85" t="str">
        <f t="shared" si="6"/>
        <v/>
      </c>
      <c r="AR207" s="86" t="str">
        <f t="array" ref="AR207">IF(A207="","",IFERROR(INDEX('2) Etapas'!L$3:L923,MATCH(B207,'2) Etapas'!$A$4:$A923,0),1),-1))</f>
        <v/>
      </c>
      <c r="AS207" s="87" t="str">
        <f t="shared" si="7"/>
        <v/>
      </c>
      <c r="AT207" s="87" t="str">
        <f t="shared" si="8"/>
        <v/>
      </c>
      <c r="AU207" s="87" t="str">
        <f t="shared" si="9"/>
        <v/>
      </c>
      <c r="AV207" s="89" t="str">
        <f t="array" ref="AV207">IF(OR($A207="",$AB207="", $AC207=""),"",MAXA(IF($A207=$A$4:$A923,$AC$4:$AC923)))</f>
        <v/>
      </c>
    </row>
    <row r="208" ht="22.5" customHeight="1">
      <c r="A208" s="76"/>
      <c r="B208" s="68" t="str">
        <f t="shared" si="1"/>
        <v/>
      </c>
      <c r="C208" s="110"/>
      <c r="D208" s="70" t="str">
        <f t="shared" si="2"/>
        <v/>
      </c>
      <c r="E208" s="76"/>
      <c r="F208" s="68" t="str">
        <f t="array" ref="F208">IF($A208="","",IFERROR(INDEX(MA_INDIVIDUALES!C$2:C923, MATCH($A208,MA_INDIVIDUALES!$B$2:$B923,0),1),"CÓDIGO DE EXPEDIENTE INVÁLIDO"))</f>
        <v/>
      </c>
      <c r="G208" s="68" t="str">
        <f t="array" ref="G208">IF($A208="","",IFERROR(INDEX(MA_INDIVIDUALES!K$2:K923, MATCH($A208,MA_INDIVIDUALES!$B$2:$B923,0),1),"CÓDIGO DE EXPEDIENTE INVÁLIDO"))</f>
        <v/>
      </c>
      <c r="H208" s="68" t="str">
        <f t="array" ref="H208">IF($A208="","",IFERROR(INDEX(MA_INDIVIDUALES!L$2:L923, MATCH($A208,MA_INDIVIDUALES!$B$2:$B923,0),1),"CÓDIGO DE EXPEDIENTE INVÁLIDO"))</f>
        <v/>
      </c>
      <c r="I208" s="76"/>
      <c r="J208" s="76"/>
      <c r="K208" s="75"/>
      <c r="L208" s="74" t="str">
        <f>IF(A208="","",IF(K208="","",_xlfn.WORKDAY.INTL(K208,5,1,FERIADOS)))</f>
        <v/>
      </c>
      <c r="M208" s="76"/>
      <c r="N208" s="75"/>
      <c r="O208" s="76"/>
      <c r="P208" s="77" t="str">
        <f t="shared" si="3"/>
        <v/>
      </c>
      <c r="Q208" s="75"/>
      <c r="R208" s="76"/>
      <c r="S208" s="75"/>
      <c r="T208" s="75"/>
      <c r="U208" s="76"/>
      <c r="V208" s="76"/>
      <c r="W208" s="75"/>
      <c r="X208" s="76"/>
      <c r="Y208" s="29" t="str">
        <f t="shared" si="4"/>
        <v/>
      </c>
      <c r="Z208" s="29" t="str">
        <f t="shared" si="5"/>
        <v/>
      </c>
      <c r="AA208" s="76"/>
      <c r="AB208" s="76"/>
      <c r="AC208" s="75"/>
      <c r="AD208" s="75"/>
      <c r="AE208" s="78" t="str">
        <f>IF(U208="","",IF(AD208="","",_xlfn.WORKDAY.INTL(AD208,7,1,FERIADOS)))</f>
        <v/>
      </c>
      <c r="AF208" s="104"/>
      <c r="AG208" s="80" t="str">
        <f t="array" ref="AG208">IF(A208="","",IF(AF208="","",AF208*INDEX(PARAMETROS!F$2:F1271,MATCH(YEAR(AC208),PARAMETROS!E$2:E1271,0),1)))</f>
        <v/>
      </c>
      <c r="AH208" s="81"/>
      <c r="AI208" s="82"/>
      <c r="AJ208" s="81"/>
      <c r="AK208" s="81"/>
      <c r="AL208" s="76"/>
      <c r="AM208" s="75"/>
      <c r="AN208" s="76"/>
      <c r="AO208" s="95"/>
      <c r="AP208" s="96"/>
      <c r="AQ208" s="85" t="str">
        <f t="shared" si="6"/>
        <v/>
      </c>
      <c r="AR208" s="86" t="str">
        <f t="array" ref="AR208">IF(A208="","",IFERROR(INDEX('2) Etapas'!L$3:L923,MATCH(B208,'2) Etapas'!$A$4:$A923,0),1),-1))</f>
        <v/>
      </c>
      <c r="AS208" s="87" t="str">
        <f t="shared" si="7"/>
        <v/>
      </c>
      <c r="AT208" s="87" t="str">
        <f t="shared" si="8"/>
        <v/>
      </c>
      <c r="AU208" s="87" t="str">
        <f t="shared" si="9"/>
        <v/>
      </c>
      <c r="AV208" s="89" t="str">
        <f t="array" ref="AV208">IF(OR($A208="",$AB208="", $AC208=""),"",MAXA(IF($A208=$A$4:$A923,$AC$4:$AC923)))</f>
        <v/>
      </c>
    </row>
    <row r="209" ht="22.5" customHeight="1">
      <c r="A209" s="76"/>
      <c r="B209" s="68" t="str">
        <f t="shared" si="1"/>
        <v/>
      </c>
      <c r="C209" s="110"/>
      <c r="D209" s="70" t="str">
        <f t="shared" si="2"/>
        <v/>
      </c>
      <c r="E209" s="76"/>
      <c r="F209" s="68" t="str">
        <f t="array" ref="F209">IF($A209="","",IFERROR(INDEX(MA_INDIVIDUALES!C$2:C923, MATCH($A209,MA_INDIVIDUALES!$B$2:$B923,0),1),"CÓDIGO DE EXPEDIENTE INVÁLIDO"))</f>
        <v/>
      </c>
      <c r="G209" s="68" t="str">
        <f t="array" ref="G209">IF($A209="","",IFERROR(INDEX(MA_INDIVIDUALES!K$2:K923, MATCH($A209,MA_INDIVIDUALES!$B$2:$B923,0),1),"CÓDIGO DE EXPEDIENTE INVÁLIDO"))</f>
        <v/>
      </c>
      <c r="H209" s="68" t="str">
        <f t="array" ref="H209">IF($A209="","",IFERROR(INDEX(MA_INDIVIDUALES!L$2:L923, MATCH($A209,MA_INDIVIDUALES!$B$2:$B923,0),1),"CÓDIGO DE EXPEDIENTE INVÁLIDO"))</f>
        <v/>
      </c>
      <c r="I209" s="76"/>
      <c r="J209" s="76"/>
      <c r="K209" s="75"/>
      <c r="L209" s="74" t="str">
        <f>IF(A209="","",IF(K209="","",_xlfn.WORKDAY.INTL(K209,5,1,FERIADOS)))</f>
        <v/>
      </c>
      <c r="M209" s="76"/>
      <c r="N209" s="75"/>
      <c r="O209" s="76"/>
      <c r="P209" s="77" t="str">
        <f t="shared" si="3"/>
        <v/>
      </c>
      <c r="Q209" s="75"/>
      <c r="R209" s="76"/>
      <c r="S209" s="75"/>
      <c r="T209" s="75"/>
      <c r="U209" s="76"/>
      <c r="V209" s="76"/>
      <c r="W209" s="75"/>
      <c r="X209" s="76"/>
      <c r="Y209" s="29" t="str">
        <f t="shared" si="4"/>
        <v/>
      </c>
      <c r="Z209" s="29" t="str">
        <f t="shared" si="5"/>
        <v/>
      </c>
      <c r="AA209" s="76"/>
      <c r="AB209" s="76"/>
      <c r="AC209" s="75"/>
      <c r="AD209" s="75"/>
      <c r="AE209" s="78" t="str">
        <f>IF(U209="","",IF(AD209="","",_xlfn.WORKDAY.INTL(AD209,7,1,FERIADOS)))</f>
        <v/>
      </c>
      <c r="AF209" s="104"/>
      <c r="AG209" s="80" t="str">
        <f t="array" ref="AG209">IF(A209="","",IF(AF209="","",AF209*INDEX(PARAMETROS!F$2:F1272,MATCH(YEAR(AC209),PARAMETROS!E$2:E1272,0),1)))</f>
        <v/>
      </c>
      <c r="AH209" s="81"/>
      <c r="AI209" s="82"/>
      <c r="AJ209" s="81"/>
      <c r="AK209" s="81"/>
      <c r="AL209" s="76"/>
      <c r="AM209" s="75"/>
      <c r="AN209" s="76"/>
      <c r="AO209" s="95"/>
      <c r="AP209" s="96"/>
      <c r="AQ209" s="85" t="str">
        <f t="shared" si="6"/>
        <v/>
      </c>
      <c r="AR209" s="86" t="str">
        <f t="array" ref="AR209">IF(A209="","",IFERROR(INDEX('2) Etapas'!L$3:L923,MATCH(B209,'2) Etapas'!$A$4:$A923,0),1),-1))</f>
        <v/>
      </c>
      <c r="AS209" s="87" t="str">
        <f t="shared" si="7"/>
        <v/>
      </c>
      <c r="AT209" s="87" t="str">
        <f t="shared" si="8"/>
        <v/>
      </c>
      <c r="AU209" s="87" t="str">
        <f t="shared" si="9"/>
        <v/>
      </c>
      <c r="AV209" s="89" t="str">
        <f t="array" ref="AV209">IF(OR($A209="",$AB209="", $AC209=""),"",MAXA(IF($A209=$A$4:$A923,$AC$4:$AC923)))</f>
        <v/>
      </c>
    </row>
    <row r="210" ht="22.5" customHeight="1">
      <c r="A210" s="76"/>
      <c r="B210" s="68" t="str">
        <f t="shared" si="1"/>
        <v/>
      </c>
      <c r="C210" s="110"/>
      <c r="D210" s="70" t="str">
        <f t="shared" si="2"/>
        <v/>
      </c>
      <c r="E210" s="76"/>
      <c r="F210" s="68" t="str">
        <f t="array" ref="F210">IF($A210="","",IFERROR(INDEX(MA_INDIVIDUALES!C$2:C923, MATCH($A210,MA_INDIVIDUALES!$B$2:$B923,0),1),"CÓDIGO DE EXPEDIENTE INVÁLIDO"))</f>
        <v/>
      </c>
      <c r="G210" s="68" t="str">
        <f t="array" ref="G210">IF($A210="","",IFERROR(INDEX(MA_INDIVIDUALES!K$2:K923, MATCH($A210,MA_INDIVIDUALES!$B$2:$B923,0),1),"CÓDIGO DE EXPEDIENTE INVÁLIDO"))</f>
        <v/>
      </c>
      <c r="H210" s="68" t="str">
        <f t="array" ref="H210">IF($A210="","",IFERROR(INDEX(MA_INDIVIDUALES!L$2:L923, MATCH($A210,MA_INDIVIDUALES!$B$2:$B923,0),1),"CÓDIGO DE EXPEDIENTE INVÁLIDO"))</f>
        <v/>
      </c>
      <c r="I210" s="76"/>
      <c r="J210" s="76"/>
      <c r="K210" s="75"/>
      <c r="L210" s="74" t="str">
        <f>IF(A210="","",IF(K210="","",_xlfn.WORKDAY.INTL(K210,5,1,FERIADOS)))</f>
        <v/>
      </c>
      <c r="M210" s="76"/>
      <c r="N210" s="75"/>
      <c r="O210" s="76"/>
      <c r="P210" s="77" t="str">
        <f t="shared" si="3"/>
        <v/>
      </c>
      <c r="Q210" s="75"/>
      <c r="R210" s="76"/>
      <c r="S210" s="75"/>
      <c r="T210" s="75"/>
      <c r="U210" s="76"/>
      <c r="V210" s="76"/>
      <c r="W210" s="75"/>
      <c r="X210" s="76"/>
      <c r="Y210" s="29" t="str">
        <f t="shared" si="4"/>
        <v/>
      </c>
      <c r="Z210" s="29" t="str">
        <f t="shared" si="5"/>
        <v/>
      </c>
      <c r="AA210" s="76"/>
      <c r="AB210" s="76"/>
      <c r="AC210" s="75"/>
      <c r="AD210" s="75"/>
      <c r="AE210" s="78" t="str">
        <f>IF(U210="","",IF(AD210="","",_xlfn.WORKDAY.INTL(AD210,7,1,FERIADOS)))</f>
        <v/>
      </c>
      <c r="AF210" s="104"/>
      <c r="AG210" s="80" t="str">
        <f t="array" ref="AG210">IF(A210="","",IF(AF210="","",AF210*INDEX(PARAMETROS!F$2:F1273,MATCH(YEAR(AC210),PARAMETROS!E$2:E1273,0),1)))</f>
        <v/>
      </c>
      <c r="AH210" s="81"/>
      <c r="AI210" s="82"/>
      <c r="AJ210" s="81"/>
      <c r="AK210" s="81"/>
      <c r="AL210" s="76"/>
      <c r="AM210" s="75"/>
      <c r="AN210" s="76"/>
      <c r="AO210" s="95"/>
      <c r="AP210" s="96"/>
      <c r="AQ210" s="85" t="str">
        <f t="shared" si="6"/>
        <v/>
      </c>
      <c r="AR210" s="86" t="str">
        <f t="array" ref="AR210">IF(A210="","",IFERROR(INDEX('2) Etapas'!L$3:L923,MATCH(B210,'2) Etapas'!$A$4:$A923,0),1),-1))</f>
        <v/>
      </c>
      <c r="AS210" s="87" t="str">
        <f t="shared" si="7"/>
        <v/>
      </c>
      <c r="AT210" s="87" t="str">
        <f t="shared" si="8"/>
        <v/>
      </c>
      <c r="AU210" s="87" t="str">
        <f t="shared" si="9"/>
        <v/>
      </c>
      <c r="AV210" s="89" t="str">
        <f t="array" ref="AV210">IF(OR($A210="",$AB210="", $AC210=""),"",MAXA(IF($A210=$A$4:$A923,$AC$4:$AC923)))</f>
        <v/>
      </c>
    </row>
    <row r="211" ht="22.5" customHeight="1">
      <c r="A211" s="76"/>
      <c r="B211" s="68" t="str">
        <f t="shared" si="1"/>
        <v/>
      </c>
      <c r="C211" s="110"/>
      <c r="D211" s="70" t="str">
        <f t="shared" si="2"/>
        <v/>
      </c>
      <c r="E211" s="76"/>
      <c r="F211" s="68" t="str">
        <f t="array" ref="F211">IF($A211="","",IFERROR(INDEX(MA_INDIVIDUALES!C$2:C923, MATCH($A211,MA_INDIVIDUALES!$B$2:$B923,0),1),"CÓDIGO DE EXPEDIENTE INVÁLIDO"))</f>
        <v/>
      </c>
      <c r="G211" s="68" t="str">
        <f t="array" ref="G211">IF($A211="","",IFERROR(INDEX(MA_INDIVIDUALES!K$2:K923, MATCH($A211,MA_INDIVIDUALES!$B$2:$B923,0),1),"CÓDIGO DE EXPEDIENTE INVÁLIDO"))</f>
        <v/>
      </c>
      <c r="H211" s="68" t="str">
        <f t="array" ref="H211">IF($A211="","",IFERROR(INDEX(MA_INDIVIDUALES!L$2:L923, MATCH($A211,MA_INDIVIDUALES!$B$2:$B923,0),1),"CÓDIGO DE EXPEDIENTE INVÁLIDO"))</f>
        <v/>
      </c>
      <c r="I211" s="76"/>
      <c r="J211" s="76"/>
      <c r="K211" s="75"/>
      <c r="L211" s="74" t="str">
        <f>IF(A211="","",IF(K211="","",_xlfn.WORKDAY.INTL(K211,5,1,FERIADOS)))</f>
        <v/>
      </c>
      <c r="M211" s="76"/>
      <c r="N211" s="75"/>
      <c r="O211" s="76"/>
      <c r="P211" s="77" t="str">
        <f t="shared" si="3"/>
        <v/>
      </c>
      <c r="Q211" s="75"/>
      <c r="R211" s="76"/>
      <c r="S211" s="75"/>
      <c r="T211" s="75"/>
      <c r="U211" s="76"/>
      <c r="V211" s="76"/>
      <c r="W211" s="75"/>
      <c r="X211" s="76"/>
      <c r="Y211" s="29" t="str">
        <f t="shared" si="4"/>
        <v/>
      </c>
      <c r="Z211" s="29" t="str">
        <f t="shared" si="5"/>
        <v/>
      </c>
      <c r="AA211" s="76"/>
      <c r="AB211" s="76"/>
      <c r="AC211" s="75"/>
      <c r="AD211" s="75"/>
      <c r="AE211" s="78" t="str">
        <f>IF(U211="","",IF(AD211="","",_xlfn.WORKDAY.INTL(AD211,7,1,FERIADOS)))</f>
        <v/>
      </c>
      <c r="AF211" s="104"/>
      <c r="AG211" s="80" t="str">
        <f t="array" ref="AG211">IF(A211="","",IF(AF211="","",AF211*INDEX(PARAMETROS!F$2:F1274,MATCH(YEAR(AC211),PARAMETROS!E$2:E1274,0),1)))</f>
        <v/>
      </c>
      <c r="AH211" s="81"/>
      <c r="AI211" s="82"/>
      <c r="AJ211" s="81"/>
      <c r="AK211" s="81"/>
      <c r="AL211" s="76"/>
      <c r="AM211" s="75"/>
      <c r="AN211" s="76"/>
      <c r="AO211" s="95"/>
      <c r="AP211" s="96"/>
      <c r="AQ211" s="85" t="str">
        <f t="shared" si="6"/>
        <v/>
      </c>
      <c r="AR211" s="86" t="str">
        <f t="array" ref="AR211">IF(A211="","",IFERROR(INDEX('2) Etapas'!L$3:L923,MATCH(B211,'2) Etapas'!$A$4:$A923,0),1),-1))</f>
        <v/>
      </c>
      <c r="AS211" s="87" t="str">
        <f t="shared" si="7"/>
        <v/>
      </c>
      <c r="AT211" s="87" t="str">
        <f t="shared" si="8"/>
        <v/>
      </c>
      <c r="AU211" s="87" t="str">
        <f t="shared" si="9"/>
        <v/>
      </c>
      <c r="AV211" s="89" t="str">
        <f t="array" ref="AV211">IF(OR($A211="",$AB211="", $AC211=""),"",MAXA(IF($A211=$A$4:$A923,$AC$4:$AC923)))</f>
        <v/>
      </c>
    </row>
    <row r="212" ht="22.5" customHeight="1">
      <c r="A212" s="76"/>
      <c r="B212" s="68" t="str">
        <f t="shared" si="1"/>
        <v/>
      </c>
      <c r="C212" s="110"/>
      <c r="D212" s="70" t="str">
        <f t="shared" si="2"/>
        <v/>
      </c>
      <c r="E212" s="76"/>
      <c r="F212" s="68" t="str">
        <f t="array" ref="F212">IF($A212="","",IFERROR(INDEX(MA_INDIVIDUALES!C$2:C923, MATCH($A212,MA_INDIVIDUALES!$B$2:$B923,0),1),"CÓDIGO DE EXPEDIENTE INVÁLIDO"))</f>
        <v/>
      </c>
      <c r="G212" s="68" t="str">
        <f t="array" ref="G212">IF($A212="","",IFERROR(INDEX(MA_INDIVIDUALES!K$2:K923, MATCH($A212,MA_INDIVIDUALES!$B$2:$B923,0),1),"CÓDIGO DE EXPEDIENTE INVÁLIDO"))</f>
        <v/>
      </c>
      <c r="H212" s="68" t="str">
        <f t="array" ref="H212">IF($A212="","",IFERROR(INDEX(MA_INDIVIDUALES!L$2:L923, MATCH($A212,MA_INDIVIDUALES!$B$2:$B923,0),1),"CÓDIGO DE EXPEDIENTE INVÁLIDO"))</f>
        <v/>
      </c>
      <c r="I212" s="76"/>
      <c r="J212" s="76"/>
      <c r="K212" s="75"/>
      <c r="L212" s="74" t="str">
        <f>IF(A212="","",IF(K212="","",_xlfn.WORKDAY.INTL(K212,5,1,FERIADOS)))</f>
        <v/>
      </c>
      <c r="M212" s="76"/>
      <c r="N212" s="75"/>
      <c r="O212" s="76"/>
      <c r="P212" s="77" t="str">
        <f t="shared" si="3"/>
        <v/>
      </c>
      <c r="Q212" s="75"/>
      <c r="R212" s="76"/>
      <c r="S212" s="75"/>
      <c r="T212" s="75"/>
      <c r="U212" s="76"/>
      <c r="V212" s="76"/>
      <c r="W212" s="75"/>
      <c r="X212" s="76"/>
      <c r="Y212" s="29" t="str">
        <f t="shared" si="4"/>
        <v/>
      </c>
      <c r="Z212" s="29" t="str">
        <f t="shared" si="5"/>
        <v/>
      </c>
      <c r="AA212" s="76"/>
      <c r="AB212" s="76"/>
      <c r="AC212" s="75"/>
      <c r="AD212" s="75"/>
      <c r="AE212" s="78" t="str">
        <f>IF(U212="","",IF(AD212="","",_xlfn.WORKDAY.INTL(AD212,7,1,FERIADOS)))</f>
        <v/>
      </c>
      <c r="AF212" s="104"/>
      <c r="AG212" s="80" t="str">
        <f t="array" ref="AG212">IF(A212="","",IF(AF212="","",AF212*INDEX(PARAMETROS!F$2:F1275,MATCH(YEAR(AC212),PARAMETROS!E$2:E1275,0),1)))</f>
        <v/>
      </c>
      <c r="AH212" s="81"/>
      <c r="AI212" s="82"/>
      <c r="AJ212" s="81"/>
      <c r="AK212" s="81"/>
      <c r="AL212" s="76"/>
      <c r="AM212" s="75"/>
      <c r="AN212" s="76"/>
      <c r="AO212" s="95"/>
      <c r="AP212" s="96"/>
      <c r="AQ212" s="85" t="str">
        <f t="shared" si="6"/>
        <v/>
      </c>
      <c r="AR212" s="86" t="str">
        <f t="array" ref="AR212">IF(A212="","",IFERROR(INDEX('2) Etapas'!L$3:L923,MATCH(B212,'2) Etapas'!$A$4:$A923,0),1),-1))</f>
        <v/>
      </c>
      <c r="AS212" s="87" t="str">
        <f t="shared" si="7"/>
        <v/>
      </c>
      <c r="AT212" s="87" t="str">
        <f t="shared" si="8"/>
        <v/>
      </c>
      <c r="AU212" s="87" t="str">
        <f t="shared" si="9"/>
        <v/>
      </c>
      <c r="AV212" s="89" t="str">
        <f t="array" ref="AV212">IF(OR($A212="",$AB212="", $AC212=""),"",MAXA(IF($A212=$A$4:$A923,$AC$4:$AC923)))</f>
        <v/>
      </c>
    </row>
    <row r="213" ht="22.5" customHeight="1">
      <c r="A213" s="76"/>
      <c r="B213" s="68" t="str">
        <f t="shared" si="1"/>
        <v/>
      </c>
      <c r="C213" s="110"/>
      <c r="D213" s="70" t="str">
        <f t="shared" si="2"/>
        <v/>
      </c>
      <c r="E213" s="76"/>
      <c r="F213" s="68" t="str">
        <f t="array" ref="F213">IF($A213="","",IFERROR(INDEX(MA_INDIVIDUALES!C$2:C923, MATCH($A213,MA_INDIVIDUALES!$B$2:$B923,0),1),"CÓDIGO DE EXPEDIENTE INVÁLIDO"))</f>
        <v/>
      </c>
      <c r="G213" s="68" t="str">
        <f t="array" ref="G213">IF($A213="","",IFERROR(INDEX(MA_INDIVIDUALES!K$2:K923, MATCH($A213,MA_INDIVIDUALES!$B$2:$B923,0),1),"CÓDIGO DE EXPEDIENTE INVÁLIDO"))</f>
        <v/>
      </c>
      <c r="H213" s="68" t="str">
        <f t="array" ref="H213">IF($A213="","",IFERROR(INDEX(MA_INDIVIDUALES!L$2:L923, MATCH($A213,MA_INDIVIDUALES!$B$2:$B923,0),1),"CÓDIGO DE EXPEDIENTE INVÁLIDO"))</f>
        <v/>
      </c>
      <c r="I213" s="76"/>
      <c r="J213" s="76"/>
      <c r="K213" s="75"/>
      <c r="L213" s="74" t="str">
        <f>IF(A213="","",IF(K213="","",_xlfn.WORKDAY.INTL(K213,5,1,FERIADOS)))</f>
        <v/>
      </c>
      <c r="M213" s="76"/>
      <c r="N213" s="75"/>
      <c r="O213" s="76"/>
      <c r="P213" s="77" t="str">
        <f t="shared" si="3"/>
        <v/>
      </c>
      <c r="Q213" s="75"/>
      <c r="R213" s="76"/>
      <c r="S213" s="75"/>
      <c r="T213" s="75"/>
      <c r="U213" s="76"/>
      <c r="V213" s="76"/>
      <c r="W213" s="75"/>
      <c r="X213" s="76"/>
      <c r="Y213" s="29" t="str">
        <f t="shared" si="4"/>
        <v/>
      </c>
      <c r="Z213" s="29" t="str">
        <f t="shared" si="5"/>
        <v/>
      </c>
      <c r="AA213" s="76"/>
      <c r="AB213" s="76"/>
      <c r="AC213" s="75"/>
      <c r="AD213" s="75"/>
      <c r="AE213" s="78" t="str">
        <f>IF(U213="","",IF(AD213="","",_xlfn.WORKDAY.INTL(AD213,7,1,FERIADOS)))</f>
        <v/>
      </c>
      <c r="AF213" s="104"/>
      <c r="AG213" s="80" t="str">
        <f t="array" ref="AG213">IF(A213="","",IF(AF213="","",AF213*INDEX(PARAMETROS!F$2:F1276,MATCH(YEAR(AC213),PARAMETROS!E$2:E1276,0),1)))</f>
        <v/>
      </c>
      <c r="AH213" s="81"/>
      <c r="AI213" s="82"/>
      <c r="AJ213" s="81"/>
      <c r="AK213" s="81"/>
      <c r="AL213" s="76"/>
      <c r="AM213" s="75"/>
      <c r="AN213" s="76"/>
      <c r="AO213" s="95"/>
      <c r="AP213" s="96"/>
      <c r="AQ213" s="85" t="str">
        <f t="shared" si="6"/>
        <v/>
      </c>
      <c r="AR213" s="86" t="str">
        <f t="array" ref="AR213">IF(A213="","",IFERROR(INDEX('2) Etapas'!L$3:L923,MATCH(B213,'2) Etapas'!$A$4:$A923,0),1),-1))</f>
        <v/>
      </c>
      <c r="AS213" s="87" t="str">
        <f t="shared" si="7"/>
        <v/>
      </c>
      <c r="AT213" s="87" t="str">
        <f t="shared" si="8"/>
        <v/>
      </c>
      <c r="AU213" s="87" t="str">
        <f t="shared" si="9"/>
        <v/>
      </c>
      <c r="AV213" s="89" t="str">
        <f t="array" ref="AV213">IF(OR($A213="",$AB213="", $AC213=""),"",MAXA(IF($A213=$A$4:$A923,$AC$4:$AC923)))</f>
        <v/>
      </c>
    </row>
    <row r="214" ht="22.5" customHeight="1">
      <c r="A214" s="76"/>
      <c r="B214" s="68" t="str">
        <f t="shared" si="1"/>
        <v/>
      </c>
      <c r="C214" s="110"/>
      <c r="D214" s="70" t="str">
        <f t="shared" si="2"/>
        <v/>
      </c>
      <c r="E214" s="76"/>
      <c r="F214" s="68" t="str">
        <f t="array" ref="F214">IF($A214="","",IFERROR(INDEX(MA_INDIVIDUALES!C$2:C923, MATCH($A214,MA_INDIVIDUALES!$B$2:$B923,0),1),"CÓDIGO DE EXPEDIENTE INVÁLIDO"))</f>
        <v/>
      </c>
      <c r="G214" s="68" t="str">
        <f t="array" ref="G214">IF($A214="","",IFERROR(INDEX(MA_INDIVIDUALES!K$2:K923, MATCH($A214,MA_INDIVIDUALES!$B$2:$B923,0),1),"CÓDIGO DE EXPEDIENTE INVÁLIDO"))</f>
        <v/>
      </c>
      <c r="H214" s="68" t="str">
        <f t="array" ref="H214">IF($A214="","",IFERROR(INDEX(MA_INDIVIDUALES!L$2:L923, MATCH($A214,MA_INDIVIDUALES!$B$2:$B923,0),1),"CÓDIGO DE EXPEDIENTE INVÁLIDO"))</f>
        <v/>
      </c>
      <c r="I214" s="76"/>
      <c r="J214" s="76"/>
      <c r="K214" s="75"/>
      <c r="L214" s="74" t="str">
        <f>IF(A214="","",IF(K214="","",_xlfn.WORKDAY.INTL(K214,5,1,FERIADOS)))</f>
        <v/>
      </c>
      <c r="M214" s="76"/>
      <c r="N214" s="75"/>
      <c r="O214" s="76"/>
      <c r="P214" s="77" t="str">
        <f t="shared" si="3"/>
        <v/>
      </c>
      <c r="Q214" s="75"/>
      <c r="R214" s="76"/>
      <c r="S214" s="75"/>
      <c r="T214" s="75"/>
      <c r="U214" s="76"/>
      <c r="V214" s="76"/>
      <c r="W214" s="75"/>
      <c r="X214" s="76"/>
      <c r="Y214" s="29" t="str">
        <f t="shared" si="4"/>
        <v/>
      </c>
      <c r="Z214" s="29" t="str">
        <f t="shared" si="5"/>
        <v/>
      </c>
      <c r="AA214" s="76"/>
      <c r="AB214" s="76"/>
      <c r="AC214" s="75"/>
      <c r="AD214" s="75"/>
      <c r="AE214" s="78" t="str">
        <f>IF(U214="","",IF(AD214="","",_xlfn.WORKDAY.INTL(AD214,7,1,FERIADOS)))</f>
        <v/>
      </c>
      <c r="AF214" s="104"/>
      <c r="AG214" s="80" t="str">
        <f t="array" ref="AG214">IF(A214="","",IF(AF214="","",AF214*INDEX(PARAMETROS!F$2:F1277,MATCH(YEAR(AC214),PARAMETROS!E$2:E1277,0),1)))</f>
        <v/>
      </c>
      <c r="AH214" s="81"/>
      <c r="AI214" s="82"/>
      <c r="AJ214" s="81"/>
      <c r="AK214" s="81"/>
      <c r="AL214" s="76"/>
      <c r="AM214" s="75"/>
      <c r="AN214" s="76"/>
      <c r="AO214" s="95"/>
      <c r="AP214" s="96"/>
      <c r="AQ214" s="85" t="str">
        <f t="shared" si="6"/>
        <v/>
      </c>
      <c r="AR214" s="86" t="str">
        <f t="array" ref="AR214">IF(A214="","",IFERROR(INDEX('2) Etapas'!L$3:L923,MATCH(B214,'2) Etapas'!$A$4:$A923,0),1),-1))</f>
        <v/>
      </c>
      <c r="AS214" s="87" t="str">
        <f t="shared" si="7"/>
        <v/>
      </c>
      <c r="AT214" s="87" t="str">
        <f t="shared" si="8"/>
        <v/>
      </c>
      <c r="AU214" s="87" t="str">
        <f t="shared" si="9"/>
        <v/>
      </c>
      <c r="AV214" s="89" t="str">
        <f t="array" ref="AV214">IF(OR($A214="",$AB214="", $AC214=""),"",MAXA(IF($A214=$A$4:$A923,$AC$4:$AC923)))</f>
        <v/>
      </c>
    </row>
    <row r="215" ht="22.5" customHeight="1">
      <c r="A215" s="76"/>
      <c r="B215" s="68" t="str">
        <f t="shared" si="1"/>
        <v/>
      </c>
      <c r="C215" s="110"/>
      <c r="D215" s="70" t="str">
        <f t="shared" si="2"/>
        <v/>
      </c>
      <c r="E215" s="76"/>
      <c r="F215" s="68" t="str">
        <f t="array" ref="F215">IF($A215="","",IFERROR(INDEX(MA_INDIVIDUALES!C$2:C923, MATCH($A215,MA_INDIVIDUALES!$B$2:$B923,0),1),"CÓDIGO DE EXPEDIENTE INVÁLIDO"))</f>
        <v/>
      </c>
      <c r="G215" s="68" t="str">
        <f t="array" ref="G215">IF($A215="","",IFERROR(INDEX(MA_INDIVIDUALES!K$2:K923, MATCH($A215,MA_INDIVIDUALES!$B$2:$B923,0),1),"CÓDIGO DE EXPEDIENTE INVÁLIDO"))</f>
        <v/>
      </c>
      <c r="H215" s="68" t="str">
        <f t="array" ref="H215">IF($A215="","",IFERROR(INDEX(MA_INDIVIDUALES!L$2:L923, MATCH($A215,MA_INDIVIDUALES!$B$2:$B923,0),1),"CÓDIGO DE EXPEDIENTE INVÁLIDO"))</f>
        <v/>
      </c>
      <c r="I215" s="76"/>
      <c r="J215" s="76"/>
      <c r="K215" s="75"/>
      <c r="L215" s="74" t="str">
        <f>IF(A215="","",IF(K215="","",_xlfn.WORKDAY.INTL(K215,5,1,FERIADOS)))</f>
        <v/>
      </c>
      <c r="M215" s="76"/>
      <c r="N215" s="75"/>
      <c r="O215" s="76"/>
      <c r="P215" s="77" t="str">
        <f t="shared" si="3"/>
        <v/>
      </c>
      <c r="Q215" s="75"/>
      <c r="R215" s="76"/>
      <c r="S215" s="75"/>
      <c r="T215" s="75"/>
      <c r="U215" s="76"/>
      <c r="V215" s="76"/>
      <c r="W215" s="75"/>
      <c r="X215" s="76"/>
      <c r="Y215" s="29" t="str">
        <f t="shared" si="4"/>
        <v/>
      </c>
      <c r="Z215" s="29" t="str">
        <f t="shared" si="5"/>
        <v/>
      </c>
      <c r="AA215" s="76"/>
      <c r="AB215" s="76"/>
      <c r="AC215" s="75"/>
      <c r="AD215" s="75"/>
      <c r="AE215" s="78" t="str">
        <f>IF(U215="","",IF(AD215="","",_xlfn.WORKDAY.INTL(AD215,7,1,FERIADOS)))</f>
        <v/>
      </c>
      <c r="AF215" s="104"/>
      <c r="AG215" s="80" t="str">
        <f t="array" ref="AG215">IF(A215="","",IF(AF215="","",AF215*INDEX(PARAMETROS!F$2:F1278,MATCH(YEAR(AC215),PARAMETROS!E$2:E1278,0),1)))</f>
        <v/>
      </c>
      <c r="AH215" s="81"/>
      <c r="AI215" s="82"/>
      <c r="AJ215" s="81"/>
      <c r="AK215" s="81"/>
      <c r="AL215" s="76"/>
      <c r="AM215" s="75"/>
      <c r="AN215" s="76"/>
      <c r="AO215" s="95"/>
      <c r="AP215" s="96"/>
      <c r="AQ215" s="85" t="str">
        <f t="shared" si="6"/>
        <v/>
      </c>
      <c r="AR215" s="86" t="str">
        <f t="array" ref="AR215">IF(A215="","",IFERROR(INDEX('2) Etapas'!L$3:L923,MATCH(B215,'2) Etapas'!$A$4:$A923,0),1),-1))</f>
        <v/>
      </c>
      <c r="AS215" s="87" t="str">
        <f t="shared" si="7"/>
        <v/>
      </c>
      <c r="AT215" s="87" t="str">
        <f t="shared" si="8"/>
        <v/>
      </c>
      <c r="AU215" s="87" t="str">
        <f t="shared" si="9"/>
        <v/>
      </c>
      <c r="AV215" s="89" t="str">
        <f t="array" ref="AV215">IF(OR($A215="",$AB215="", $AC215=""),"",MAXA(IF($A215=$A$4:$A923,$AC$4:$AC923)))</f>
        <v/>
      </c>
    </row>
    <row r="216" ht="22.5" customHeight="1">
      <c r="A216" s="76"/>
      <c r="B216" s="68" t="str">
        <f t="shared" si="1"/>
        <v/>
      </c>
      <c r="C216" s="110"/>
      <c r="D216" s="70" t="str">
        <f t="shared" si="2"/>
        <v/>
      </c>
      <c r="E216" s="76"/>
      <c r="F216" s="68" t="str">
        <f t="array" ref="F216">IF($A216="","",IFERROR(INDEX(MA_INDIVIDUALES!C$2:C923, MATCH($A216,MA_INDIVIDUALES!$B$2:$B923,0),1),"CÓDIGO DE EXPEDIENTE INVÁLIDO"))</f>
        <v/>
      </c>
      <c r="G216" s="68" t="str">
        <f t="array" ref="G216">IF($A216="","",IFERROR(INDEX(MA_INDIVIDUALES!K$2:K923, MATCH($A216,MA_INDIVIDUALES!$B$2:$B923,0),1),"CÓDIGO DE EXPEDIENTE INVÁLIDO"))</f>
        <v/>
      </c>
      <c r="H216" s="68" t="str">
        <f t="array" ref="H216">IF($A216="","",IFERROR(INDEX(MA_INDIVIDUALES!L$2:L923, MATCH($A216,MA_INDIVIDUALES!$B$2:$B923,0),1),"CÓDIGO DE EXPEDIENTE INVÁLIDO"))</f>
        <v/>
      </c>
      <c r="I216" s="76"/>
      <c r="J216" s="76"/>
      <c r="K216" s="75"/>
      <c r="L216" s="74" t="str">
        <f>IF(A216="","",IF(K216="","",_xlfn.WORKDAY.INTL(K216,5,1,FERIADOS)))</f>
        <v/>
      </c>
      <c r="M216" s="76"/>
      <c r="N216" s="75"/>
      <c r="O216" s="76"/>
      <c r="P216" s="77" t="str">
        <f t="shared" si="3"/>
        <v/>
      </c>
      <c r="Q216" s="75"/>
      <c r="R216" s="76"/>
      <c r="S216" s="75"/>
      <c r="T216" s="75"/>
      <c r="U216" s="76"/>
      <c r="V216" s="76"/>
      <c r="W216" s="75"/>
      <c r="X216" s="76"/>
      <c r="Y216" s="29" t="str">
        <f t="shared" si="4"/>
        <v/>
      </c>
      <c r="Z216" s="29" t="str">
        <f t="shared" si="5"/>
        <v/>
      </c>
      <c r="AA216" s="76"/>
      <c r="AB216" s="76"/>
      <c r="AC216" s="75"/>
      <c r="AD216" s="75"/>
      <c r="AE216" s="78" t="str">
        <f>IF(U216="","",IF(AD216="","",_xlfn.WORKDAY.INTL(AD216,7,1,FERIADOS)))</f>
        <v/>
      </c>
      <c r="AF216" s="104"/>
      <c r="AG216" s="80" t="str">
        <f t="array" ref="AG216">IF(A216="","",IF(AF216="","",AF216*INDEX(PARAMETROS!F$2:F1279,MATCH(YEAR(AC216),PARAMETROS!E$2:E1279,0),1)))</f>
        <v/>
      </c>
      <c r="AH216" s="81"/>
      <c r="AI216" s="82"/>
      <c r="AJ216" s="81"/>
      <c r="AK216" s="81"/>
      <c r="AL216" s="76"/>
      <c r="AM216" s="75"/>
      <c r="AN216" s="76"/>
      <c r="AO216" s="95"/>
      <c r="AP216" s="96"/>
      <c r="AQ216" s="85" t="str">
        <f t="shared" si="6"/>
        <v/>
      </c>
      <c r="AR216" s="86" t="str">
        <f t="array" ref="AR216">IF(A216="","",IFERROR(INDEX('2) Etapas'!L$3:L923,MATCH(B216,'2) Etapas'!$A$4:$A923,0),1),-1))</f>
        <v/>
      </c>
      <c r="AS216" s="87" t="str">
        <f t="shared" si="7"/>
        <v/>
      </c>
      <c r="AT216" s="87" t="str">
        <f t="shared" si="8"/>
        <v/>
      </c>
      <c r="AU216" s="87" t="str">
        <f t="shared" si="9"/>
        <v/>
      </c>
      <c r="AV216" s="89" t="str">
        <f t="array" ref="AV216">IF(OR($A216="",$AB216="", $AC216=""),"",MAXA(IF($A216=$A$4:$A923,$AC$4:$AC923)))</f>
        <v/>
      </c>
    </row>
    <row r="217" ht="22.5" customHeight="1">
      <c r="A217" s="76"/>
      <c r="B217" s="68" t="str">
        <f t="shared" si="1"/>
        <v/>
      </c>
      <c r="C217" s="110"/>
      <c r="D217" s="70" t="str">
        <f t="shared" si="2"/>
        <v/>
      </c>
      <c r="E217" s="76"/>
      <c r="F217" s="68" t="str">
        <f t="array" ref="F217">IF($A217="","",IFERROR(INDEX(MA_INDIVIDUALES!C$2:C923, MATCH($A217,MA_INDIVIDUALES!$B$2:$B923,0),1),"CÓDIGO DE EXPEDIENTE INVÁLIDO"))</f>
        <v/>
      </c>
      <c r="G217" s="68" t="str">
        <f t="array" ref="G217">IF($A217="","",IFERROR(INDEX(MA_INDIVIDUALES!K$2:K923, MATCH($A217,MA_INDIVIDUALES!$B$2:$B923,0),1),"CÓDIGO DE EXPEDIENTE INVÁLIDO"))</f>
        <v/>
      </c>
      <c r="H217" s="68" t="str">
        <f t="array" ref="H217">IF($A217="","",IFERROR(INDEX(MA_INDIVIDUALES!L$2:L923, MATCH($A217,MA_INDIVIDUALES!$B$2:$B923,0),1),"CÓDIGO DE EXPEDIENTE INVÁLIDO"))</f>
        <v/>
      </c>
      <c r="I217" s="76"/>
      <c r="J217" s="76"/>
      <c r="K217" s="75"/>
      <c r="L217" s="74" t="str">
        <f>IF(A217="","",IF(K217="","",_xlfn.WORKDAY.INTL(K217,5,1,FERIADOS)))</f>
        <v/>
      </c>
      <c r="M217" s="76"/>
      <c r="N217" s="75"/>
      <c r="O217" s="76"/>
      <c r="P217" s="77" t="str">
        <f t="shared" si="3"/>
        <v/>
      </c>
      <c r="Q217" s="75"/>
      <c r="R217" s="76"/>
      <c r="S217" s="75"/>
      <c r="T217" s="75"/>
      <c r="U217" s="76"/>
      <c r="V217" s="76"/>
      <c r="W217" s="75"/>
      <c r="X217" s="76"/>
      <c r="Y217" s="29" t="str">
        <f t="shared" si="4"/>
        <v/>
      </c>
      <c r="Z217" s="29" t="str">
        <f t="shared" si="5"/>
        <v/>
      </c>
      <c r="AA217" s="76"/>
      <c r="AB217" s="76"/>
      <c r="AC217" s="75"/>
      <c r="AD217" s="75"/>
      <c r="AE217" s="78" t="str">
        <f>IF(U217="","",IF(AD217="","",_xlfn.WORKDAY.INTL(AD217,7,1,FERIADOS)))</f>
        <v/>
      </c>
      <c r="AF217" s="104"/>
      <c r="AG217" s="80" t="str">
        <f t="array" ref="AG217">IF(A217="","",IF(AF217="","",AF217*INDEX(PARAMETROS!F$2:F1280,MATCH(YEAR(AC217),PARAMETROS!E$2:E1280,0),1)))</f>
        <v/>
      </c>
      <c r="AH217" s="81"/>
      <c r="AI217" s="82"/>
      <c r="AJ217" s="81"/>
      <c r="AK217" s="81"/>
      <c r="AL217" s="76"/>
      <c r="AM217" s="75"/>
      <c r="AN217" s="76"/>
      <c r="AO217" s="95"/>
      <c r="AP217" s="96"/>
      <c r="AQ217" s="85" t="str">
        <f t="shared" si="6"/>
        <v/>
      </c>
      <c r="AR217" s="86" t="str">
        <f t="array" ref="AR217">IF(A217="","",IFERROR(INDEX('2) Etapas'!L$3:L923,MATCH(B217,'2) Etapas'!$A$4:$A923,0),1),-1))</f>
        <v/>
      </c>
      <c r="AS217" s="87" t="str">
        <f t="shared" si="7"/>
        <v/>
      </c>
      <c r="AT217" s="87" t="str">
        <f t="shared" si="8"/>
        <v/>
      </c>
      <c r="AU217" s="87" t="str">
        <f t="shared" si="9"/>
        <v/>
      </c>
      <c r="AV217" s="89" t="str">
        <f t="array" ref="AV217">IF(OR($A217="",$AB217="", $AC217=""),"",MAXA(IF($A217=$A$4:$A923,$AC$4:$AC923)))</f>
        <v/>
      </c>
    </row>
    <row r="218" ht="22.5" customHeight="1">
      <c r="A218" s="76"/>
      <c r="B218" s="68" t="str">
        <f t="shared" si="1"/>
        <v/>
      </c>
      <c r="C218" s="110"/>
      <c r="D218" s="70" t="str">
        <f t="shared" si="2"/>
        <v/>
      </c>
      <c r="E218" s="76"/>
      <c r="F218" s="68" t="str">
        <f t="array" ref="F218">IF($A218="","",IFERROR(INDEX(MA_INDIVIDUALES!C$2:C923, MATCH($A218,MA_INDIVIDUALES!$B$2:$B923,0),1),"CÓDIGO DE EXPEDIENTE INVÁLIDO"))</f>
        <v/>
      </c>
      <c r="G218" s="68" t="str">
        <f t="array" ref="G218">IF($A218="","",IFERROR(INDEX(MA_INDIVIDUALES!K$2:K923, MATCH($A218,MA_INDIVIDUALES!$B$2:$B923,0),1),"CÓDIGO DE EXPEDIENTE INVÁLIDO"))</f>
        <v/>
      </c>
      <c r="H218" s="68" t="str">
        <f t="array" ref="H218">IF($A218="","",IFERROR(INDEX(MA_INDIVIDUALES!L$2:L923, MATCH($A218,MA_INDIVIDUALES!$B$2:$B923,0),1),"CÓDIGO DE EXPEDIENTE INVÁLIDO"))</f>
        <v/>
      </c>
      <c r="I218" s="76"/>
      <c r="J218" s="76"/>
      <c r="K218" s="75"/>
      <c r="L218" s="74" t="str">
        <f>IF(A218="","",IF(K218="","",_xlfn.WORKDAY.INTL(K218,5,1,FERIADOS)))</f>
        <v/>
      </c>
      <c r="M218" s="76"/>
      <c r="N218" s="75"/>
      <c r="O218" s="76"/>
      <c r="P218" s="77" t="str">
        <f t="shared" si="3"/>
        <v/>
      </c>
      <c r="Q218" s="75"/>
      <c r="R218" s="76"/>
      <c r="S218" s="75"/>
      <c r="T218" s="75"/>
      <c r="U218" s="76"/>
      <c r="V218" s="76"/>
      <c r="W218" s="75"/>
      <c r="X218" s="76"/>
      <c r="Y218" s="29" t="str">
        <f t="shared" si="4"/>
        <v/>
      </c>
      <c r="Z218" s="29" t="str">
        <f t="shared" si="5"/>
        <v/>
      </c>
      <c r="AA218" s="76"/>
      <c r="AB218" s="76"/>
      <c r="AC218" s="75"/>
      <c r="AD218" s="75"/>
      <c r="AE218" s="78" t="str">
        <f>IF(U218="","",IF(AD218="","",_xlfn.WORKDAY.INTL(AD218,7,1,FERIADOS)))</f>
        <v/>
      </c>
      <c r="AF218" s="104"/>
      <c r="AG218" s="80" t="str">
        <f t="array" ref="AG218">IF(A218="","",IF(AF218="","",AF218*INDEX(PARAMETROS!F$2:F1281,MATCH(YEAR(AC218),PARAMETROS!E$2:E1281,0),1)))</f>
        <v/>
      </c>
      <c r="AH218" s="81"/>
      <c r="AI218" s="82"/>
      <c r="AJ218" s="81"/>
      <c r="AK218" s="81"/>
      <c r="AL218" s="76"/>
      <c r="AM218" s="75"/>
      <c r="AN218" s="76"/>
      <c r="AO218" s="95"/>
      <c r="AP218" s="96"/>
      <c r="AQ218" s="85" t="str">
        <f t="shared" si="6"/>
        <v/>
      </c>
      <c r="AR218" s="86" t="str">
        <f t="array" ref="AR218">IF(A218="","",IFERROR(INDEX('2) Etapas'!L$3:L923,MATCH(B218,'2) Etapas'!$A$4:$A923,0),1),-1))</f>
        <v/>
      </c>
      <c r="AS218" s="87" t="str">
        <f t="shared" si="7"/>
        <v/>
      </c>
      <c r="AT218" s="87" t="str">
        <f t="shared" si="8"/>
        <v/>
      </c>
      <c r="AU218" s="87" t="str">
        <f t="shared" si="9"/>
        <v/>
      </c>
      <c r="AV218" s="89" t="str">
        <f t="array" ref="AV218">IF(OR($A218="",$AB218="", $AC218=""),"",MAXA(IF($A218=$A$4:$A923,$AC$4:$AC923)))</f>
        <v/>
      </c>
    </row>
    <row r="219" ht="22.5" customHeight="1">
      <c r="A219" s="76"/>
      <c r="B219" s="68" t="str">
        <f t="shared" si="1"/>
        <v/>
      </c>
      <c r="C219" s="110"/>
      <c r="D219" s="70" t="str">
        <f t="shared" si="2"/>
        <v/>
      </c>
      <c r="E219" s="76"/>
      <c r="F219" s="68" t="str">
        <f t="array" ref="F219">IF($A219="","",IFERROR(INDEX(MA_INDIVIDUALES!C$2:C923, MATCH($A219,MA_INDIVIDUALES!$B$2:$B923,0),1),"CÓDIGO DE EXPEDIENTE INVÁLIDO"))</f>
        <v/>
      </c>
      <c r="G219" s="68" t="str">
        <f t="array" ref="G219">IF($A219="","",IFERROR(INDEX(MA_INDIVIDUALES!K$2:K923, MATCH($A219,MA_INDIVIDUALES!$B$2:$B923,0),1),"CÓDIGO DE EXPEDIENTE INVÁLIDO"))</f>
        <v/>
      </c>
      <c r="H219" s="68" t="str">
        <f t="array" ref="H219">IF($A219="","",IFERROR(INDEX(MA_INDIVIDUALES!L$2:L923, MATCH($A219,MA_INDIVIDUALES!$B$2:$B923,0),1),"CÓDIGO DE EXPEDIENTE INVÁLIDO"))</f>
        <v/>
      </c>
      <c r="I219" s="76"/>
      <c r="J219" s="76"/>
      <c r="K219" s="75"/>
      <c r="L219" s="74" t="str">
        <f>IF(A219="","",IF(K219="","",_xlfn.WORKDAY.INTL(K219,5,1,FERIADOS)))</f>
        <v/>
      </c>
      <c r="M219" s="76"/>
      <c r="N219" s="75"/>
      <c r="O219" s="76"/>
      <c r="P219" s="77" t="str">
        <f t="shared" si="3"/>
        <v/>
      </c>
      <c r="Q219" s="75"/>
      <c r="R219" s="76"/>
      <c r="S219" s="75"/>
      <c r="T219" s="75"/>
      <c r="U219" s="76"/>
      <c r="V219" s="76"/>
      <c r="W219" s="75"/>
      <c r="X219" s="76"/>
      <c r="Y219" s="29" t="str">
        <f t="shared" si="4"/>
        <v/>
      </c>
      <c r="Z219" s="29" t="str">
        <f t="shared" si="5"/>
        <v/>
      </c>
      <c r="AA219" s="76"/>
      <c r="AB219" s="76"/>
      <c r="AC219" s="75"/>
      <c r="AD219" s="75"/>
      <c r="AE219" s="78" t="str">
        <f>IF(U219="","",IF(AD219="","",_xlfn.WORKDAY.INTL(AD219,7,1,FERIADOS)))</f>
        <v/>
      </c>
      <c r="AF219" s="104"/>
      <c r="AG219" s="80" t="str">
        <f t="array" ref="AG219">IF(A219="","",IF(AF219="","",AF219*INDEX(PARAMETROS!F$2:F1282,MATCH(YEAR(AC219),PARAMETROS!E$2:E1282,0),1)))</f>
        <v/>
      </c>
      <c r="AH219" s="81"/>
      <c r="AI219" s="82"/>
      <c r="AJ219" s="81"/>
      <c r="AK219" s="81"/>
      <c r="AL219" s="76"/>
      <c r="AM219" s="75"/>
      <c r="AN219" s="76"/>
      <c r="AO219" s="95"/>
      <c r="AP219" s="96"/>
      <c r="AQ219" s="85" t="str">
        <f t="shared" si="6"/>
        <v/>
      </c>
      <c r="AR219" s="86" t="str">
        <f t="array" ref="AR219">IF(A219="","",IFERROR(INDEX('2) Etapas'!L$3:L923,MATCH(B219,'2) Etapas'!$A$4:$A923,0),1),-1))</f>
        <v/>
      </c>
      <c r="AS219" s="87" t="str">
        <f t="shared" si="7"/>
        <v/>
      </c>
      <c r="AT219" s="87" t="str">
        <f t="shared" si="8"/>
        <v/>
      </c>
      <c r="AU219" s="87" t="str">
        <f t="shared" si="9"/>
        <v/>
      </c>
      <c r="AV219" s="89" t="str">
        <f t="array" ref="AV219">IF(OR($A219="",$AB219="", $AC219=""),"",MAXA(IF($A219=$A$4:$A923,$AC$4:$AC923)))</f>
        <v/>
      </c>
    </row>
    <row r="220" ht="22.5" customHeight="1">
      <c r="A220" s="76"/>
      <c r="B220" s="68" t="str">
        <f t="shared" si="1"/>
        <v/>
      </c>
      <c r="C220" s="110"/>
      <c r="D220" s="70" t="str">
        <f t="shared" si="2"/>
        <v/>
      </c>
      <c r="E220" s="76"/>
      <c r="F220" s="68" t="str">
        <f t="array" ref="F220">IF($A220="","",IFERROR(INDEX(MA_INDIVIDUALES!C$2:C923, MATCH($A220,MA_INDIVIDUALES!$B$2:$B923,0),1),"CÓDIGO DE EXPEDIENTE INVÁLIDO"))</f>
        <v/>
      </c>
      <c r="G220" s="68" t="str">
        <f t="array" ref="G220">IF($A220="","",IFERROR(INDEX(MA_INDIVIDUALES!K$2:K923, MATCH($A220,MA_INDIVIDUALES!$B$2:$B923,0),1),"CÓDIGO DE EXPEDIENTE INVÁLIDO"))</f>
        <v/>
      </c>
      <c r="H220" s="68" t="str">
        <f t="array" ref="H220">IF($A220="","",IFERROR(INDEX(MA_INDIVIDUALES!L$2:L923, MATCH($A220,MA_INDIVIDUALES!$B$2:$B923,0),1),"CÓDIGO DE EXPEDIENTE INVÁLIDO"))</f>
        <v/>
      </c>
      <c r="I220" s="76"/>
      <c r="J220" s="76"/>
      <c r="K220" s="75"/>
      <c r="L220" s="74" t="str">
        <f>IF(A220="","",IF(K220="","",_xlfn.WORKDAY.INTL(K220,5,1,FERIADOS)))</f>
        <v/>
      </c>
      <c r="M220" s="76"/>
      <c r="N220" s="75"/>
      <c r="O220" s="76"/>
      <c r="P220" s="77" t="str">
        <f t="shared" si="3"/>
        <v/>
      </c>
      <c r="Q220" s="75"/>
      <c r="R220" s="76"/>
      <c r="S220" s="75"/>
      <c r="T220" s="75"/>
      <c r="U220" s="76"/>
      <c r="V220" s="76"/>
      <c r="W220" s="75"/>
      <c r="X220" s="76"/>
      <c r="Y220" s="29" t="str">
        <f t="shared" si="4"/>
        <v/>
      </c>
      <c r="Z220" s="29" t="str">
        <f t="shared" si="5"/>
        <v/>
      </c>
      <c r="AA220" s="76"/>
      <c r="AB220" s="76"/>
      <c r="AC220" s="75"/>
      <c r="AD220" s="75"/>
      <c r="AE220" s="78" t="str">
        <f>IF(U220="","",IF(AD220="","",_xlfn.WORKDAY.INTL(AD220,7,1,FERIADOS)))</f>
        <v/>
      </c>
      <c r="AF220" s="104"/>
      <c r="AG220" s="80" t="str">
        <f t="array" ref="AG220">IF(A220="","",IF(AF220="","",AF220*INDEX(PARAMETROS!F$2:F1283,MATCH(YEAR(AC220),PARAMETROS!E$2:E1283,0),1)))</f>
        <v/>
      </c>
      <c r="AH220" s="81"/>
      <c r="AI220" s="82"/>
      <c r="AJ220" s="81"/>
      <c r="AK220" s="81"/>
      <c r="AL220" s="76"/>
      <c r="AM220" s="75"/>
      <c r="AN220" s="76"/>
      <c r="AO220" s="95"/>
      <c r="AP220" s="96"/>
      <c r="AQ220" s="85" t="str">
        <f t="shared" si="6"/>
        <v/>
      </c>
      <c r="AR220" s="86" t="str">
        <f t="array" ref="AR220">IF(A220="","",IFERROR(INDEX('2) Etapas'!L$3:L923,MATCH(B220,'2) Etapas'!$A$4:$A923,0),1),-1))</f>
        <v/>
      </c>
      <c r="AS220" s="87" t="str">
        <f t="shared" si="7"/>
        <v/>
      </c>
      <c r="AT220" s="87" t="str">
        <f t="shared" si="8"/>
        <v/>
      </c>
      <c r="AU220" s="87" t="str">
        <f t="shared" si="9"/>
        <v/>
      </c>
      <c r="AV220" s="89" t="str">
        <f t="array" ref="AV220">IF(OR($A220="",$AB220="", $AC220=""),"",MAXA(IF($A220=$A$4:$A923,$AC$4:$AC923)))</f>
        <v/>
      </c>
    </row>
    <row r="221" ht="22.5" customHeight="1">
      <c r="A221" s="76"/>
      <c r="B221" s="68" t="str">
        <f t="shared" si="1"/>
        <v/>
      </c>
      <c r="C221" s="110"/>
      <c r="D221" s="70" t="str">
        <f t="shared" si="2"/>
        <v/>
      </c>
      <c r="E221" s="76"/>
      <c r="F221" s="68" t="str">
        <f t="array" ref="F221">IF($A221="","",IFERROR(INDEX(MA_INDIVIDUALES!C$2:C923, MATCH($A221,MA_INDIVIDUALES!$B$2:$B923,0),1),"CÓDIGO DE EXPEDIENTE INVÁLIDO"))</f>
        <v/>
      </c>
      <c r="G221" s="68" t="str">
        <f t="array" ref="G221">IF($A221="","",IFERROR(INDEX(MA_INDIVIDUALES!K$2:K923, MATCH($A221,MA_INDIVIDUALES!$B$2:$B923,0),1),"CÓDIGO DE EXPEDIENTE INVÁLIDO"))</f>
        <v/>
      </c>
      <c r="H221" s="68" t="str">
        <f t="array" ref="H221">IF($A221="","",IFERROR(INDEX(MA_INDIVIDUALES!L$2:L923, MATCH($A221,MA_INDIVIDUALES!$B$2:$B923,0),1),"CÓDIGO DE EXPEDIENTE INVÁLIDO"))</f>
        <v/>
      </c>
      <c r="I221" s="76"/>
      <c r="J221" s="76"/>
      <c r="K221" s="75"/>
      <c r="L221" s="74" t="str">
        <f>IF(A221="","",IF(K221="","",_xlfn.WORKDAY.INTL(K221,5,1,FERIADOS)))</f>
        <v/>
      </c>
      <c r="M221" s="76"/>
      <c r="N221" s="75"/>
      <c r="O221" s="76"/>
      <c r="P221" s="77" t="str">
        <f t="shared" si="3"/>
        <v/>
      </c>
      <c r="Q221" s="75"/>
      <c r="R221" s="76"/>
      <c r="S221" s="75"/>
      <c r="T221" s="75"/>
      <c r="U221" s="76"/>
      <c r="V221" s="76"/>
      <c r="W221" s="75"/>
      <c r="X221" s="76"/>
      <c r="Y221" s="29" t="str">
        <f t="shared" si="4"/>
        <v/>
      </c>
      <c r="Z221" s="29" t="str">
        <f t="shared" si="5"/>
        <v/>
      </c>
      <c r="AA221" s="76"/>
      <c r="AB221" s="76"/>
      <c r="AC221" s="75"/>
      <c r="AD221" s="75"/>
      <c r="AE221" s="78" t="str">
        <f>IF(U221="","",IF(AD221="","",_xlfn.WORKDAY.INTL(AD221,7,1,FERIADOS)))</f>
        <v/>
      </c>
      <c r="AF221" s="104"/>
      <c r="AG221" s="80" t="str">
        <f t="array" ref="AG221">IF(A221="","",IF(AF221="","",AF221*INDEX(PARAMETROS!F$2:F1284,MATCH(YEAR(AC221),PARAMETROS!E$2:E1284,0),1)))</f>
        <v/>
      </c>
      <c r="AH221" s="81"/>
      <c r="AI221" s="82"/>
      <c r="AJ221" s="81"/>
      <c r="AK221" s="81"/>
      <c r="AL221" s="76"/>
      <c r="AM221" s="75"/>
      <c r="AN221" s="76"/>
      <c r="AO221" s="95"/>
      <c r="AP221" s="96"/>
      <c r="AQ221" s="85" t="str">
        <f t="shared" si="6"/>
        <v/>
      </c>
      <c r="AR221" s="86" t="str">
        <f t="array" ref="AR221">IF(A221="","",IFERROR(INDEX('2) Etapas'!L$3:L923,MATCH(B221,'2) Etapas'!$A$4:$A923,0),1),-1))</f>
        <v/>
      </c>
      <c r="AS221" s="87" t="str">
        <f t="shared" si="7"/>
        <v/>
      </c>
      <c r="AT221" s="87" t="str">
        <f t="shared" si="8"/>
        <v/>
      </c>
      <c r="AU221" s="87" t="str">
        <f t="shared" si="9"/>
        <v/>
      </c>
      <c r="AV221" s="89" t="str">
        <f t="array" ref="AV221">IF(OR($A221="",$AB221="", $AC221=""),"",MAXA(IF($A221=$A$4:$A923,$AC$4:$AC923)))</f>
        <v/>
      </c>
    </row>
    <row r="222" ht="22.5" customHeight="1">
      <c r="A222" s="76"/>
      <c r="B222" s="68" t="str">
        <f t="shared" si="1"/>
        <v/>
      </c>
      <c r="C222" s="110"/>
      <c r="D222" s="70" t="str">
        <f t="shared" si="2"/>
        <v/>
      </c>
      <c r="E222" s="76"/>
      <c r="F222" s="68" t="str">
        <f t="array" ref="F222">IF($A222="","",IFERROR(INDEX(MA_INDIVIDUALES!C$2:C923, MATCH($A222,MA_INDIVIDUALES!$B$2:$B923,0),1),"CÓDIGO DE EXPEDIENTE INVÁLIDO"))</f>
        <v/>
      </c>
      <c r="G222" s="68" t="str">
        <f t="array" ref="G222">IF($A222="","",IFERROR(INDEX(MA_INDIVIDUALES!K$2:K923, MATCH($A222,MA_INDIVIDUALES!$B$2:$B923,0),1),"CÓDIGO DE EXPEDIENTE INVÁLIDO"))</f>
        <v/>
      </c>
      <c r="H222" s="68" t="str">
        <f t="array" ref="H222">IF($A222="","",IFERROR(INDEX(MA_INDIVIDUALES!L$2:L923, MATCH($A222,MA_INDIVIDUALES!$B$2:$B923,0),1),"CÓDIGO DE EXPEDIENTE INVÁLIDO"))</f>
        <v/>
      </c>
      <c r="I222" s="76"/>
      <c r="J222" s="76"/>
      <c r="K222" s="75"/>
      <c r="L222" s="74" t="str">
        <f>IF(A222="","",IF(K222="","",_xlfn.WORKDAY.INTL(K222,5,1,FERIADOS)))</f>
        <v/>
      </c>
      <c r="M222" s="76"/>
      <c r="N222" s="75"/>
      <c r="O222" s="76"/>
      <c r="P222" s="77" t="str">
        <f t="shared" si="3"/>
        <v/>
      </c>
      <c r="Q222" s="75"/>
      <c r="R222" s="76"/>
      <c r="S222" s="75"/>
      <c r="T222" s="75"/>
      <c r="U222" s="76"/>
      <c r="V222" s="76"/>
      <c r="W222" s="75"/>
      <c r="X222" s="76"/>
      <c r="Y222" s="29" t="str">
        <f t="shared" si="4"/>
        <v/>
      </c>
      <c r="Z222" s="29" t="str">
        <f t="shared" si="5"/>
        <v/>
      </c>
      <c r="AA222" s="76"/>
      <c r="AB222" s="76"/>
      <c r="AC222" s="75"/>
      <c r="AD222" s="75"/>
      <c r="AE222" s="78" t="str">
        <f>IF(U222="","",IF(AD222="","",_xlfn.WORKDAY.INTL(AD222,7,1,FERIADOS)))</f>
        <v/>
      </c>
      <c r="AF222" s="104"/>
      <c r="AG222" s="80" t="str">
        <f t="array" ref="AG222">IF(A222="","",IF(AF222="","",AF222*INDEX(PARAMETROS!F$2:F1285,MATCH(YEAR(AC222),PARAMETROS!E$2:E1285,0),1)))</f>
        <v/>
      </c>
      <c r="AH222" s="81"/>
      <c r="AI222" s="82"/>
      <c r="AJ222" s="81"/>
      <c r="AK222" s="81"/>
      <c r="AL222" s="76"/>
      <c r="AM222" s="75"/>
      <c r="AN222" s="76"/>
      <c r="AO222" s="95"/>
      <c r="AP222" s="96"/>
      <c r="AQ222" s="85" t="str">
        <f t="shared" si="6"/>
        <v/>
      </c>
      <c r="AR222" s="86" t="str">
        <f t="array" ref="AR222">IF(A222="","",IFERROR(INDEX('2) Etapas'!L$3:L923,MATCH(B222,'2) Etapas'!$A$4:$A923,0),1),-1))</f>
        <v/>
      </c>
      <c r="AS222" s="87" t="str">
        <f t="shared" si="7"/>
        <v/>
      </c>
      <c r="AT222" s="87" t="str">
        <f t="shared" si="8"/>
        <v/>
      </c>
      <c r="AU222" s="87" t="str">
        <f t="shared" si="9"/>
        <v/>
      </c>
      <c r="AV222" s="89" t="str">
        <f t="array" ref="AV222">IF(OR($A222="",$AB222="", $AC222=""),"",MAXA(IF($A222=$A$4:$A923,$AC$4:$AC923)))</f>
        <v/>
      </c>
    </row>
    <row r="223" ht="22.5" customHeight="1">
      <c r="A223" s="76"/>
      <c r="B223" s="68" t="str">
        <f t="shared" si="1"/>
        <v/>
      </c>
      <c r="C223" s="110"/>
      <c r="D223" s="70" t="str">
        <f t="shared" si="2"/>
        <v/>
      </c>
      <c r="E223" s="76"/>
      <c r="F223" s="68" t="str">
        <f t="array" ref="F223">IF($A223="","",IFERROR(INDEX(MA_INDIVIDUALES!C$2:C923, MATCH($A223,MA_INDIVIDUALES!$B$2:$B923,0),1),"CÓDIGO DE EXPEDIENTE INVÁLIDO"))</f>
        <v/>
      </c>
      <c r="G223" s="68" t="str">
        <f t="array" ref="G223">IF($A223="","",IFERROR(INDEX(MA_INDIVIDUALES!K$2:K923, MATCH($A223,MA_INDIVIDUALES!$B$2:$B923,0),1),"CÓDIGO DE EXPEDIENTE INVÁLIDO"))</f>
        <v/>
      </c>
      <c r="H223" s="68" t="str">
        <f t="array" ref="H223">IF($A223="","",IFERROR(INDEX(MA_INDIVIDUALES!L$2:L923, MATCH($A223,MA_INDIVIDUALES!$B$2:$B923,0),1),"CÓDIGO DE EXPEDIENTE INVÁLIDO"))</f>
        <v/>
      </c>
      <c r="I223" s="76"/>
      <c r="J223" s="76"/>
      <c r="K223" s="75"/>
      <c r="L223" s="74" t="str">
        <f>IF(A223="","",IF(K223="","",_xlfn.WORKDAY.INTL(K223,5,1,FERIADOS)))</f>
        <v/>
      </c>
      <c r="M223" s="76"/>
      <c r="N223" s="75"/>
      <c r="O223" s="76"/>
      <c r="P223" s="77" t="str">
        <f t="shared" si="3"/>
        <v/>
      </c>
      <c r="Q223" s="75"/>
      <c r="R223" s="76"/>
      <c r="S223" s="75"/>
      <c r="T223" s="75"/>
      <c r="U223" s="76"/>
      <c r="V223" s="76"/>
      <c r="W223" s="75"/>
      <c r="X223" s="76"/>
      <c r="Y223" s="29" t="str">
        <f t="shared" si="4"/>
        <v/>
      </c>
      <c r="Z223" s="29" t="str">
        <f t="shared" si="5"/>
        <v/>
      </c>
      <c r="AA223" s="76"/>
      <c r="AB223" s="76"/>
      <c r="AC223" s="75"/>
      <c r="AD223" s="75"/>
      <c r="AE223" s="78" t="str">
        <f>IF(U223="","",IF(AD223="","",_xlfn.WORKDAY.INTL(AD223,7,1,FERIADOS)))</f>
        <v/>
      </c>
      <c r="AF223" s="104"/>
      <c r="AG223" s="80" t="str">
        <f t="array" ref="AG223">IF(A223="","",IF(AF223="","",AF223*INDEX(PARAMETROS!F$2:F1286,MATCH(YEAR(AC223),PARAMETROS!E$2:E1286,0),1)))</f>
        <v/>
      </c>
      <c r="AH223" s="81"/>
      <c r="AI223" s="82"/>
      <c r="AJ223" s="81"/>
      <c r="AK223" s="81"/>
      <c r="AL223" s="76"/>
      <c r="AM223" s="75"/>
      <c r="AN223" s="76"/>
      <c r="AO223" s="95"/>
      <c r="AP223" s="96"/>
      <c r="AQ223" s="85" t="str">
        <f t="shared" si="6"/>
        <v/>
      </c>
      <c r="AR223" s="86" t="str">
        <f t="array" ref="AR223">IF(A223="","",IFERROR(INDEX('2) Etapas'!L$3:L923,MATCH(B223,'2) Etapas'!$A$4:$A923,0),1),-1))</f>
        <v/>
      </c>
      <c r="AS223" s="87" t="str">
        <f t="shared" si="7"/>
        <v/>
      </c>
      <c r="AT223" s="87" t="str">
        <f t="shared" si="8"/>
        <v/>
      </c>
      <c r="AU223" s="87" t="str">
        <f t="shared" si="9"/>
        <v/>
      </c>
      <c r="AV223" s="89" t="str">
        <f t="array" ref="AV223">IF(OR($A223="",$AB223="", $AC223=""),"",MAXA(IF($A223=$A$4:$A923,$AC$4:$AC923)))</f>
        <v/>
      </c>
    </row>
    <row r="224" ht="22.5" customHeight="1">
      <c r="A224" s="76"/>
      <c r="B224" s="68" t="str">
        <f t="shared" si="1"/>
        <v/>
      </c>
      <c r="C224" s="110"/>
      <c r="D224" s="70" t="str">
        <f t="shared" si="2"/>
        <v/>
      </c>
      <c r="E224" s="76"/>
      <c r="F224" s="68" t="str">
        <f t="array" ref="F224">IF($A224="","",IFERROR(INDEX(MA_INDIVIDUALES!C$2:C923, MATCH($A224,MA_INDIVIDUALES!$B$2:$B923,0),1),"CÓDIGO DE EXPEDIENTE INVÁLIDO"))</f>
        <v/>
      </c>
      <c r="G224" s="68" t="str">
        <f t="array" ref="G224">IF($A224="","",IFERROR(INDEX(MA_INDIVIDUALES!K$2:K923, MATCH($A224,MA_INDIVIDUALES!$B$2:$B923,0),1),"CÓDIGO DE EXPEDIENTE INVÁLIDO"))</f>
        <v/>
      </c>
      <c r="H224" s="68" t="str">
        <f t="array" ref="H224">IF($A224="","",IFERROR(INDEX(MA_INDIVIDUALES!L$2:L923, MATCH($A224,MA_INDIVIDUALES!$B$2:$B923,0),1),"CÓDIGO DE EXPEDIENTE INVÁLIDO"))</f>
        <v/>
      </c>
      <c r="I224" s="76"/>
      <c r="J224" s="76"/>
      <c r="K224" s="75"/>
      <c r="L224" s="74" t="str">
        <f>IF(A224="","",IF(K224="","",_xlfn.WORKDAY.INTL(K224,5,1,FERIADOS)))</f>
        <v/>
      </c>
      <c r="M224" s="76"/>
      <c r="N224" s="75"/>
      <c r="O224" s="76"/>
      <c r="P224" s="77" t="str">
        <f t="shared" si="3"/>
        <v/>
      </c>
      <c r="Q224" s="75"/>
      <c r="R224" s="76"/>
      <c r="S224" s="75"/>
      <c r="T224" s="75"/>
      <c r="U224" s="76"/>
      <c r="V224" s="76"/>
      <c r="W224" s="75"/>
      <c r="X224" s="76"/>
      <c r="Y224" s="29" t="str">
        <f t="shared" si="4"/>
        <v/>
      </c>
      <c r="Z224" s="29" t="str">
        <f t="shared" si="5"/>
        <v/>
      </c>
      <c r="AA224" s="76"/>
      <c r="AB224" s="76"/>
      <c r="AC224" s="75"/>
      <c r="AD224" s="75"/>
      <c r="AE224" s="78" t="str">
        <f>IF(U224="","",IF(AD224="","",_xlfn.WORKDAY.INTL(AD224,7,1,FERIADOS)))</f>
        <v/>
      </c>
      <c r="AF224" s="104"/>
      <c r="AG224" s="80" t="str">
        <f t="array" ref="AG224">IF(A224="","",IF(AF224="","",AF224*INDEX(PARAMETROS!F$2:F1287,MATCH(YEAR(AC224),PARAMETROS!E$2:E1287,0),1)))</f>
        <v/>
      </c>
      <c r="AH224" s="81"/>
      <c r="AI224" s="82"/>
      <c r="AJ224" s="81"/>
      <c r="AK224" s="81"/>
      <c r="AL224" s="76"/>
      <c r="AM224" s="75"/>
      <c r="AN224" s="76"/>
      <c r="AO224" s="95"/>
      <c r="AP224" s="96"/>
      <c r="AQ224" s="85" t="str">
        <f t="shared" si="6"/>
        <v/>
      </c>
      <c r="AR224" s="86" t="str">
        <f t="array" ref="AR224">IF(A224="","",IFERROR(INDEX('2) Etapas'!L$3:L923,MATCH(B224,'2) Etapas'!$A$4:$A923,0),1),-1))</f>
        <v/>
      </c>
      <c r="AS224" s="87" t="str">
        <f t="shared" si="7"/>
        <v/>
      </c>
      <c r="AT224" s="87" t="str">
        <f t="shared" si="8"/>
        <v/>
      </c>
      <c r="AU224" s="87" t="str">
        <f t="shared" si="9"/>
        <v/>
      </c>
      <c r="AV224" s="89" t="str">
        <f t="array" ref="AV224">IF(OR($A224="",$AB224="", $AC224=""),"",MAXA(IF($A224=$A$4:$A923,$AC$4:$AC923)))</f>
        <v/>
      </c>
    </row>
    <row r="225" ht="22.5" customHeight="1">
      <c r="A225" s="76"/>
      <c r="B225" s="68" t="str">
        <f t="shared" si="1"/>
        <v/>
      </c>
      <c r="C225" s="110"/>
      <c r="D225" s="70" t="str">
        <f t="shared" si="2"/>
        <v/>
      </c>
      <c r="E225" s="76"/>
      <c r="F225" s="68" t="str">
        <f t="array" ref="F225">IF($A225="","",IFERROR(INDEX(MA_INDIVIDUALES!C$2:C923, MATCH($A225,MA_INDIVIDUALES!$B$2:$B923,0),1),"CÓDIGO DE EXPEDIENTE INVÁLIDO"))</f>
        <v/>
      </c>
      <c r="G225" s="68" t="str">
        <f t="array" ref="G225">IF($A225="","",IFERROR(INDEX(MA_INDIVIDUALES!K$2:K923, MATCH($A225,MA_INDIVIDUALES!$B$2:$B923,0),1),"CÓDIGO DE EXPEDIENTE INVÁLIDO"))</f>
        <v/>
      </c>
      <c r="H225" s="68" t="str">
        <f t="array" ref="H225">IF($A225="","",IFERROR(INDEX(MA_INDIVIDUALES!L$2:L923, MATCH($A225,MA_INDIVIDUALES!$B$2:$B923,0),1),"CÓDIGO DE EXPEDIENTE INVÁLIDO"))</f>
        <v/>
      </c>
      <c r="I225" s="76"/>
      <c r="J225" s="76"/>
      <c r="K225" s="75"/>
      <c r="L225" s="74" t="str">
        <f>IF(A225="","",IF(K225="","",_xlfn.WORKDAY.INTL(K225,5,1,FERIADOS)))</f>
        <v/>
      </c>
      <c r="M225" s="76"/>
      <c r="N225" s="75"/>
      <c r="O225" s="76"/>
      <c r="P225" s="77" t="str">
        <f t="shared" si="3"/>
        <v/>
      </c>
      <c r="Q225" s="75"/>
      <c r="R225" s="76"/>
      <c r="S225" s="75"/>
      <c r="T225" s="75"/>
      <c r="U225" s="76"/>
      <c r="V225" s="76"/>
      <c r="W225" s="75"/>
      <c r="X225" s="76"/>
      <c r="Y225" s="29" t="str">
        <f t="shared" si="4"/>
        <v/>
      </c>
      <c r="Z225" s="29" t="str">
        <f t="shared" si="5"/>
        <v/>
      </c>
      <c r="AA225" s="76"/>
      <c r="AB225" s="76"/>
      <c r="AC225" s="75"/>
      <c r="AD225" s="75"/>
      <c r="AE225" s="78" t="str">
        <f>IF(U225="","",IF(AD225="","",_xlfn.WORKDAY.INTL(AD225,7,1,FERIADOS)))</f>
        <v/>
      </c>
      <c r="AF225" s="104"/>
      <c r="AG225" s="80" t="str">
        <f t="array" ref="AG225">IF(A225="","",IF(AF225="","",AF225*INDEX(PARAMETROS!F$2:F1288,MATCH(YEAR(AC225),PARAMETROS!E$2:E1288,0),1)))</f>
        <v/>
      </c>
      <c r="AH225" s="81"/>
      <c r="AI225" s="82"/>
      <c r="AJ225" s="81"/>
      <c r="AK225" s="81"/>
      <c r="AL225" s="76"/>
      <c r="AM225" s="75"/>
      <c r="AN225" s="76"/>
      <c r="AO225" s="95"/>
      <c r="AP225" s="96"/>
      <c r="AQ225" s="85" t="str">
        <f t="shared" si="6"/>
        <v/>
      </c>
      <c r="AR225" s="86" t="str">
        <f t="array" ref="AR225">IF(A225="","",IFERROR(INDEX('2) Etapas'!L$3:L923,MATCH(B225,'2) Etapas'!$A$4:$A923,0),1),-1))</f>
        <v/>
      </c>
      <c r="AS225" s="87" t="str">
        <f t="shared" si="7"/>
        <v/>
      </c>
      <c r="AT225" s="87" t="str">
        <f t="shared" si="8"/>
        <v/>
      </c>
      <c r="AU225" s="87" t="str">
        <f t="shared" si="9"/>
        <v/>
      </c>
      <c r="AV225" s="89" t="str">
        <f t="array" ref="AV225">IF(OR($A225="",$AB225="", $AC225=""),"",MAXA(IF($A225=$A$4:$A923,$AC$4:$AC923)))</f>
        <v/>
      </c>
    </row>
    <row r="226" ht="22.5" customHeight="1">
      <c r="A226" s="76"/>
      <c r="B226" s="68" t="str">
        <f t="shared" si="1"/>
        <v/>
      </c>
      <c r="C226" s="110"/>
      <c r="D226" s="70" t="str">
        <f t="shared" si="2"/>
        <v/>
      </c>
      <c r="E226" s="76"/>
      <c r="F226" s="68" t="str">
        <f t="array" ref="F226">IF($A226="","",IFERROR(INDEX(MA_INDIVIDUALES!C$2:C923, MATCH($A226,MA_INDIVIDUALES!$B$2:$B923,0),1),"CÓDIGO DE EXPEDIENTE INVÁLIDO"))</f>
        <v/>
      </c>
      <c r="G226" s="68" t="str">
        <f t="array" ref="G226">IF($A226="","",IFERROR(INDEX(MA_INDIVIDUALES!K$2:K923, MATCH($A226,MA_INDIVIDUALES!$B$2:$B923,0),1),"CÓDIGO DE EXPEDIENTE INVÁLIDO"))</f>
        <v/>
      </c>
      <c r="H226" s="68" t="str">
        <f t="array" ref="H226">IF($A226="","",IFERROR(INDEX(MA_INDIVIDUALES!L$2:L923, MATCH($A226,MA_INDIVIDUALES!$B$2:$B923,0),1),"CÓDIGO DE EXPEDIENTE INVÁLIDO"))</f>
        <v/>
      </c>
      <c r="I226" s="76"/>
      <c r="J226" s="76"/>
      <c r="K226" s="75"/>
      <c r="L226" s="74" t="str">
        <f>IF(A226="","",IF(K226="","",_xlfn.WORKDAY.INTL(K226,5,1,FERIADOS)))</f>
        <v/>
      </c>
      <c r="M226" s="76"/>
      <c r="N226" s="75"/>
      <c r="O226" s="76"/>
      <c r="P226" s="77" t="str">
        <f t="shared" si="3"/>
        <v/>
      </c>
      <c r="Q226" s="75"/>
      <c r="R226" s="76"/>
      <c r="S226" s="75"/>
      <c r="T226" s="75"/>
      <c r="U226" s="76"/>
      <c r="V226" s="76"/>
      <c r="W226" s="75"/>
      <c r="X226" s="76"/>
      <c r="Y226" s="29" t="str">
        <f t="shared" si="4"/>
        <v/>
      </c>
      <c r="Z226" s="29" t="str">
        <f t="shared" si="5"/>
        <v/>
      </c>
      <c r="AA226" s="76"/>
      <c r="AB226" s="76"/>
      <c r="AC226" s="75"/>
      <c r="AD226" s="75"/>
      <c r="AE226" s="78" t="str">
        <f>IF(U226="","",IF(AD226="","",_xlfn.WORKDAY.INTL(AD226,7,1,FERIADOS)))</f>
        <v/>
      </c>
      <c r="AF226" s="104"/>
      <c r="AG226" s="80" t="str">
        <f t="array" ref="AG226">IF(A226="","",IF(AF226="","",AF226*INDEX(PARAMETROS!F$2:F1289,MATCH(YEAR(AC226),PARAMETROS!E$2:E1289,0),1)))</f>
        <v/>
      </c>
      <c r="AH226" s="81"/>
      <c r="AI226" s="82"/>
      <c r="AJ226" s="81"/>
      <c r="AK226" s="81"/>
      <c r="AL226" s="76"/>
      <c r="AM226" s="75"/>
      <c r="AN226" s="76"/>
      <c r="AO226" s="95"/>
      <c r="AP226" s="96"/>
      <c r="AQ226" s="85" t="str">
        <f t="shared" si="6"/>
        <v/>
      </c>
      <c r="AR226" s="86" t="str">
        <f t="array" ref="AR226">IF(A226="","",IFERROR(INDEX('2) Etapas'!L$3:L923,MATCH(B226,'2) Etapas'!$A$4:$A923,0),1),-1))</f>
        <v/>
      </c>
      <c r="AS226" s="87" t="str">
        <f t="shared" si="7"/>
        <v/>
      </c>
      <c r="AT226" s="87" t="str">
        <f t="shared" si="8"/>
        <v/>
      </c>
      <c r="AU226" s="87" t="str">
        <f t="shared" si="9"/>
        <v/>
      </c>
      <c r="AV226" s="89" t="str">
        <f t="array" ref="AV226">IF(OR($A226="",$AB226="", $AC226=""),"",MAXA(IF($A226=$A$4:$A923,$AC$4:$AC923)))</f>
        <v/>
      </c>
    </row>
    <row r="227" ht="22.5" customHeight="1">
      <c r="A227" s="76"/>
      <c r="B227" s="68" t="str">
        <f t="shared" si="1"/>
        <v/>
      </c>
      <c r="C227" s="110"/>
      <c r="D227" s="70" t="str">
        <f t="shared" si="2"/>
        <v/>
      </c>
      <c r="E227" s="76"/>
      <c r="F227" s="68" t="str">
        <f t="array" ref="F227">IF($A227="","",IFERROR(INDEX(MA_INDIVIDUALES!C$2:C923, MATCH($A227,MA_INDIVIDUALES!$B$2:$B923,0),1),"CÓDIGO DE EXPEDIENTE INVÁLIDO"))</f>
        <v/>
      </c>
      <c r="G227" s="68" t="str">
        <f t="array" ref="G227">IF($A227="","",IFERROR(INDEX(MA_INDIVIDUALES!K$2:K923, MATCH($A227,MA_INDIVIDUALES!$B$2:$B923,0),1),"CÓDIGO DE EXPEDIENTE INVÁLIDO"))</f>
        <v/>
      </c>
      <c r="H227" s="68" t="str">
        <f t="array" ref="H227">IF($A227="","",IFERROR(INDEX(MA_INDIVIDUALES!L$2:L923, MATCH($A227,MA_INDIVIDUALES!$B$2:$B923,0),1),"CÓDIGO DE EXPEDIENTE INVÁLIDO"))</f>
        <v/>
      </c>
      <c r="I227" s="76"/>
      <c r="J227" s="76"/>
      <c r="K227" s="75"/>
      <c r="L227" s="74" t="str">
        <f>IF(A227="","",IF(K227="","",_xlfn.WORKDAY.INTL(K227,5,1,FERIADOS)))</f>
        <v/>
      </c>
      <c r="M227" s="76"/>
      <c r="N227" s="75"/>
      <c r="O227" s="76"/>
      <c r="P227" s="77" t="str">
        <f t="shared" si="3"/>
        <v/>
      </c>
      <c r="Q227" s="75"/>
      <c r="R227" s="76"/>
      <c r="S227" s="75"/>
      <c r="T227" s="75"/>
      <c r="U227" s="76"/>
      <c r="V227" s="76"/>
      <c r="W227" s="75"/>
      <c r="X227" s="76"/>
      <c r="Y227" s="29" t="str">
        <f t="shared" si="4"/>
        <v/>
      </c>
      <c r="Z227" s="29" t="str">
        <f t="shared" si="5"/>
        <v/>
      </c>
      <c r="AA227" s="76"/>
      <c r="AB227" s="76"/>
      <c r="AC227" s="75"/>
      <c r="AD227" s="75"/>
      <c r="AE227" s="78" t="str">
        <f>IF(U227="","",IF(AD227="","",_xlfn.WORKDAY.INTL(AD227,7,1,FERIADOS)))</f>
        <v/>
      </c>
      <c r="AF227" s="104"/>
      <c r="AG227" s="80" t="str">
        <f t="array" ref="AG227">IF(A227="","",IF(AF227="","",AF227*INDEX(PARAMETROS!F$2:F1290,MATCH(YEAR(AC227),PARAMETROS!E$2:E1290,0),1)))</f>
        <v/>
      </c>
      <c r="AH227" s="81"/>
      <c r="AI227" s="82"/>
      <c r="AJ227" s="81"/>
      <c r="AK227" s="81"/>
      <c r="AL227" s="76"/>
      <c r="AM227" s="75"/>
      <c r="AN227" s="76"/>
      <c r="AO227" s="95"/>
      <c r="AP227" s="96"/>
      <c r="AQ227" s="85" t="str">
        <f t="shared" si="6"/>
        <v/>
      </c>
      <c r="AR227" s="86" t="str">
        <f t="array" ref="AR227">IF(A227="","",IFERROR(INDEX('2) Etapas'!L$3:L923,MATCH(B227,'2) Etapas'!$A$4:$A923,0),1),-1))</f>
        <v/>
      </c>
      <c r="AS227" s="87" t="str">
        <f t="shared" si="7"/>
        <v/>
      </c>
      <c r="AT227" s="87" t="str">
        <f t="shared" si="8"/>
        <v/>
      </c>
      <c r="AU227" s="87" t="str">
        <f t="shared" si="9"/>
        <v/>
      </c>
      <c r="AV227" s="89" t="str">
        <f t="array" ref="AV227">IF(OR($A227="",$AB227="", $AC227=""),"",MAXA(IF($A227=$A$4:$A923,$AC$4:$AC923)))</f>
        <v/>
      </c>
    </row>
    <row r="228" ht="22.5" customHeight="1">
      <c r="A228" s="76"/>
      <c r="B228" s="68" t="str">
        <f t="shared" si="1"/>
        <v/>
      </c>
      <c r="C228" s="110"/>
      <c r="D228" s="70" t="str">
        <f t="shared" si="2"/>
        <v/>
      </c>
      <c r="E228" s="76"/>
      <c r="F228" s="68" t="str">
        <f t="array" ref="F228">IF($A228="","",IFERROR(INDEX(MA_INDIVIDUALES!C$2:C923, MATCH($A228,MA_INDIVIDUALES!$B$2:$B923,0),1),"CÓDIGO DE EXPEDIENTE INVÁLIDO"))</f>
        <v/>
      </c>
      <c r="G228" s="68" t="str">
        <f t="array" ref="G228">IF($A228="","",IFERROR(INDEX(MA_INDIVIDUALES!K$2:K923, MATCH($A228,MA_INDIVIDUALES!$B$2:$B923,0),1),"CÓDIGO DE EXPEDIENTE INVÁLIDO"))</f>
        <v/>
      </c>
      <c r="H228" s="68" t="str">
        <f t="array" ref="H228">IF($A228="","",IFERROR(INDEX(MA_INDIVIDUALES!L$2:L923, MATCH($A228,MA_INDIVIDUALES!$B$2:$B923,0),1),"CÓDIGO DE EXPEDIENTE INVÁLIDO"))</f>
        <v/>
      </c>
      <c r="I228" s="76"/>
      <c r="J228" s="76"/>
      <c r="K228" s="75"/>
      <c r="L228" s="74" t="str">
        <f>IF(A228="","",IF(K228="","",_xlfn.WORKDAY.INTL(K228,5,1,FERIADOS)))</f>
        <v/>
      </c>
      <c r="M228" s="76"/>
      <c r="N228" s="75"/>
      <c r="O228" s="76"/>
      <c r="P228" s="77" t="str">
        <f t="shared" si="3"/>
        <v/>
      </c>
      <c r="Q228" s="75"/>
      <c r="R228" s="76"/>
      <c r="S228" s="75"/>
      <c r="T228" s="75"/>
      <c r="U228" s="76"/>
      <c r="V228" s="76"/>
      <c r="W228" s="75"/>
      <c r="X228" s="76"/>
      <c r="Y228" s="29" t="str">
        <f t="shared" si="4"/>
        <v/>
      </c>
      <c r="Z228" s="29" t="str">
        <f t="shared" si="5"/>
        <v/>
      </c>
      <c r="AA228" s="76"/>
      <c r="AB228" s="76"/>
      <c r="AC228" s="75"/>
      <c r="AD228" s="75"/>
      <c r="AE228" s="78" t="str">
        <f>IF(U228="","",IF(AD228="","",_xlfn.WORKDAY.INTL(AD228,7,1,FERIADOS)))</f>
        <v/>
      </c>
      <c r="AF228" s="104"/>
      <c r="AG228" s="80" t="str">
        <f t="array" ref="AG228">IF(A228="","",IF(AF228="","",AF228*INDEX(PARAMETROS!F$2:F1291,MATCH(YEAR(AC228),PARAMETROS!E$2:E1291,0),1)))</f>
        <v/>
      </c>
      <c r="AH228" s="81"/>
      <c r="AI228" s="82"/>
      <c r="AJ228" s="81"/>
      <c r="AK228" s="81"/>
      <c r="AL228" s="76"/>
      <c r="AM228" s="75"/>
      <c r="AN228" s="76"/>
      <c r="AO228" s="95"/>
      <c r="AP228" s="96"/>
      <c r="AQ228" s="85" t="str">
        <f t="shared" si="6"/>
        <v/>
      </c>
      <c r="AR228" s="86" t="str">
        <f t="array" ref="AR228">IF(A228="","",IFERROR(INDEX('2) Etapas'!L$3:L923,MATCH(B228,'2) Etapas'!$A$4:$A923,0),1),-1))</f>
        <v/>
      </c>
      <c r="AS228" s="87" t="str">
        <f t="shared" si="7"/>
        <v/>
      </c>
      <c r="AT228" s="87" t="str">
        <f t="shared" si="8"/>
        <v/>
      </c>
      <c r="AU228" s="87" t="str">
        <f t="shared" si="9"/>
        <v/>
      </c>
      <c r="AV228" s="89" t="str">
        <f t="array" ref="AV228">IF(OR($A228="",$AB228="", $AC228=""),"",MAXA(IF($A228=$A$4:$A923,$AC$4:$AC923)))</f>
        <v/>
      </c>
    </row>
    <row r="229" ht="22.5" customHeight="1">
      <c r="A229" s="76"/>
      <c r="B229" s="68" t="str">
        <f t="shared" si="1"/>
        <v/>
      </c>
      <c r="C229" s="110"/>
      <c r="D229" s="70" t="str">
        <f t="shared" si="2"/>
        <v/>
      </c>
      <c r="E229" s="76"/>
      <c r="F229" s="68" t="str">
        <f t="array" ref="F229">IF($A229="","",IFERROR(INDEX(MA_INDIVIDUALES!C$2:C923, MATCH($A229,MA_INDIVIDUALES!$B$2:$B923,0),1),"CÓDIGO DE EXPEDIENTE INVÁLIDO"))</f>
        <v/>
      </c>
      <c r="G229" s="68" t="str">
        <f t="array" ref="G229">IF($A229="","",IFERROR(INDEX(MA_INDIVIDUALES!K$2:K923, MATCH($A229,MA_INDIVIDUALES!$B$2:$B923,0),1),"CÓDIGO DE EXPEDIENTE INVÁLIDO"))</f>
        <v/>
      </c>
      <c r="H229" s="68" t="str">
        <f t="array" ref="H229">IF($A229="","",IFERROR(INDEX(MA_INDIVIDUALES!L$2:L923, MATCH($A229,MA_INDIVIDUALES!$B$2:$B923,0),1),"CÓDIGO DE EXPEDIENTE INVÁLIDO"))</f>
        <v/>
      </c>
      <c r="I229" s="76"/>
      <c r="J229" s="76"/>
      <c r="K229" s="75"/>
      <c r="L229" s="74" t="str">
        <f>IF(A229="","",IF(K229="","",_xlfn.WORKDAY.INTL(K229,5,1,FERIADOS)))</f>
        <v/>
      </c>
      <c r="M229" s="76"/>
      <c r="N229" s="75"/>
      <c r="O229" s="76"/>
      <c r="P229" s="77" t="str">
        <f t="shared" si="3"/>
        <v/>
      </c>
      <c r="Q229" s="75"/>
      <c r="R229" s="76"/>
      <c r="S229" s="75"/>
      <c r="T229" s="75"/>
      <c r="U229" s="76"/>
      <c r="V229" s="76"/>
      <c r="W229" s="75"/>
      <c r="X229" s="76"/>
      <c r="Y229" s="29" t="str">
        <f t="shared" si="4"/>
        <v/>
      </c>
      <c r="Z229" s="29" t="str">
        <f t="shared" si="5"/>
        <v/>
      </c>
      <c r="AA229" s="76"/>
      <c r="AB229" s="76"/>
      <c r="AC229" s="75"/>
      <c r="AD229" s="75"/>
      <c r="AE229" s="78" t="str">
        <f>IF(U229="","",IF(AD229="","",_xlfn.WORKDAY.INTL(AD229,7,1,FERIADOS)))</f>
        <v/>
      </c>
      <c r="AF229" s="104"/>
      <c r="AG229" s="80" t="str">
        <f t="array" ref="AG229">IF(A229="","",IF(AF229="","",AF229*INDEX(PARAMETROS!F$2:F1292,MATCH(YEAR(AC229),PARAMETROS!E$2:E1292,0),1)))</f>
        <v/>
      </c>
      <c r="AH229" s="81"/>
      <c r="AI229" s="82"/>
      <c r="AJ229" s="81"/>
      <c r="AK229" s="81"/>
      <c r="AL229" s="76"/>
      <c r="AM229" s="75"/>
      <c r="AN229" s="76"/>
      <c r="AO229" s="95"/>
      <c r="AP229" s="96"/>
      <c r="AQ229" s="85" t="str">
        <f t="shared" si="6"/>
        <v/>
      </c>
      <c r="AR229" s="86" t="str">
        <f t="array" ref="AR229">IF(A229="","",IFERROR(INDEX('2) Etapas'!L$3:L923,MATCH(B229,'2) Etapas'!$A$4:$A923,0),1),-1))</f>
        <v/>
      </c>
      <c r="AS229" s="87" t="str">
        <f t="shared" si="7"/>
        <v/>
      </c>
      <c r="AT229" s="87" t="str">
        <f t="shared" si="8"/>
        <v/>
      </c>
      <c r="AU229" s="87" t="str">
        <f t="shared" si="9"/>
        <v/>
      </c>
      <c r="AV229" s="89" t="str">
        <f t="array" ref="AV229">IF(OR($A229="",$AB229="", $AC229=""),"",MAXA(IF($A229=$A$4:$A923,$AC$4:$AC923)))</f>
        <v/>
      </c>
    </row>
    <row r="230" ht="22.5" customHeight="1">
      <c r="A230" s="76"/>
      <c r="B230" s="68" t="str">
        <f t="shared" si="1"/>
        <v/>
      </c>
      <c r="C230" s="110"/>
      <c r="D230" s="70" t="str">
        <f t="shared" si="2"/>
        <v/>
      </c>
      <c r="E230" s="76"/>
      <c r="F230" s="68" t="str">
        <f t="array" ref="F230">IF($A230="","",IFERROR(INDEX(MA_INDIVIDUALES!C$2:C923, MATCH($A230,MA_INDIVIDUALES!$B$2:$B923,0),1),"CÓDIGO DE EXPEDIENTE INVÁLIDO"))</f>
        <v/>
      </c>
      <c r="G230" s="68" t="str">
        <f t="array" ref="G230">IF($A230="","",IFERROR(INDEX(MA_INDIVIDUALES!K$2:K923, MATCH($A230,MA_INDIVIDUALES!$B$2:$B923,0),1),"CÓDIGO DE EXPEDIENTE INVÁLIDO"))</f>
        <v/>
      </c>
      <c r="H230" s="68" t="str">
        <f t="array" ref="H230">IF($A230="","",IFERROR(INDEX(MA_INDIVIDUALES!L$2:L923, MATCH($A230,MA_INDIVIDUALES!$B$2:$B923,0),1),"CÓDIGO DE EXPEDIENTE INVÁLIDO"))</f>
        <v/>
      </c>
      <c r="I230" s="76"/>
      <c r="J230" s="76"/>
      <c r="K230" s="75"/>
      <c r="L230" s="74" t="str">
        <f>IF(A230="","",IF(K230="","",_xlfn.WORKDAY.INTL(K230,5,1,FERIADOS)))</f>
        <v/>
      </c>
      <c r="M230" s="76"/>
      <c r="N230" s="75"/>
      <c r="O230" s="76"/>
      <c r="P230" s="77" t="str">
        <f t="shared" si="3"/>
        <v/>
      </c>
      <c r="Q230" s="75"/>
      <c r="R230" s="76"/>
      <c r="S230" s="75"/>
      <c r="T230" s="75"/>
      <c r="U230" s="76"/>
      <c r="V230" s="76"/>
      <c r="W230" s="75"/>
      <c r="X230" s="76"/>
      <c r="Y230" s="29" t="str">
        <f t="shared" si="4"/>
        <v/>
      </c>
      <c r="Z230" s="29" t="str">
        <f t="shared" si="5"/>
        <v/>
      </c>
      <c r="AA230" s="76"/>
      <c r="AB230" s="76"/>
      <c r="AC230" s="75"/>
      <c r="AD230" s="75"/>
      <c r="AE230" s="78" t="str">
        <f>IF(U230="","",IF(AD230="","",_xlfn.WORKDAY.INTL(AD230,7,1,FERIADOS)))</f>
        <v/>
      </c>
      <c r="AF230" s="104"/>
      <c r="AG230" s="80" t="str">
        <f t="array" ref="AG230">IF(A230="","",IF(AF230="","",AF230*INDEX(PARAMETROS!F$2:F1293,MATCH(YEAR(AC230),PARAMETROS!E$2:E1293,0),1)))</f>
        <v/>
      </c>
      <c r="AH230" s="81"/>
      <c r="AI230" s="82"/>
      <c r="AJ230" s="81"/>
      <c r="AK230" s="81"/>
      <c r="AL230" s="76"/>
      <c r="AM230" s="75"/>
      <c r="AN230" s="76"/>
      <c r="AO230" s="95"/>
      <c r="AP230" s="96"/>
      <c r="AQ230" s="85" t="str">
        <f t="shared" si="6"/>
        <v/>
      </c>
      <c r="AR230" s="86" t="str">
        <f t="array" ref="AR230">IF(A230="","",IFERROR(INDEX('2) Etapas'!L$3:L923,MATCH(B230,'2) Etapas'!$A$4:$A923,0),1),-1))</f>
        <v/>
      </c>
      <c r="AS230" s="87" t="str">
        <f t="shared" si="7"/>
        <v/>
      </c>
      <c r="AT230" s="87" t="str">
        <f t="shared" si="8"/>
        <v/>
      </c>
      <c r="AU230" s="87" t="str">
        <f t="shared" si="9"/>
        <v/>
      </c>
      <c r="AV230" s="89" t="str">
        <f t="array" ref="AV230">IF(OR($A230="",$AB230="", $AC230=""),"",MAXA(IF($A230=$A$4:$A923,$AC$4:$AC923)))</f>
        <v/>
      </c>
    </row>
    <row r="231" ht="22.5" customHeight="1">
      <c r="A231" s="76"/>
      <c r="B231" s="68" t="str">
        <f t="shared" si="1"/>
        <v/>
      </c>
      <c r="C231" s="110"/>
      <c r="D231" s="70" t="str">
        <f t="shared" si="2"/>
        <v/>
      </c>
      <c r="E231" s="76"/>
      <c r="F231" s="68" t="str">
        <f t="array" ref="F231">IF($A231="","",IFERROR(INDEX(MA_INDIVIDUALES!C$2:C923, MATCH($A231,MA_INDIVIDUALES!$B$2:$B923,0),1),"CÓDIGO DE EXPEDIENTE INVÁLIDO"))</f>
        <v/>
      </c>
      <c r="G231" s="68" t="str">
        <f t="array" ref="G231">IF($A231="","",IFERROR(INDEX(MA_INDIVIDUALES!K$2:K923, MATCH($A231,MA_INDIVIDUALES!$B$2:$B923,0),1),"CÓDIGO DE EXPEDIENTE INVÁLIDO"))</f>
        <v/>
      </c>
      <c r="H231" s="68" t="str">
        <f t="array" ref="H231">IF($A231="","",IFERROR(INDEX(MA_INDIVIDUALES!L$2:L923, MATCH($A231,MA_INDIVIDUALES!$B$2:$B923,0),1),"CÓDIGO DE EXPEDIENTE INVÁLIDO"))</f>
        <v/>
      </c>
      <c r="I231" s="76"/>
      <c r="J231" s="76"/>
      <c r="K231" s="75"/>
      <c r="L231" s="74" t="str">
        <f>IF(A231="","",IF(K231="","",_xlfn.WORKDAY.INTL(K231,5,1,FERIADOS)))</f>
        <v/>
      </c>
      <c r="M231" s="76"/>
      <c r="N231" s="75"/>
      <c r="O231" s="76"/>
      <c r="P231" s="77" t="str">
        <f t="shared" si="3"/>
        <v/>
      </c>
      <c r="Q231" s="75"/>
      <c r="R231" s="76"/>
      <c r="S231" s="75"/>
      <c r="T231" s="75"/>
      <c r="U231" s="76"/>
      <c r="V231" s="76"/>
      <c r="W231" s="75"/>
      <c r="X231" s="76"/>
      <c r="Y231" s="29" t="str">
        <f t="shared" si="4"/>
        <v/>
      </c>
      <c r="Z231" s="29" t="str">
        <f t="shared" si="5"/>
        <v/>
      </c>
      <c r="AA231" s="76"/>
      <c r="AB231" s="76"/>
      <c r="AC231" s="75"/>
      <c r="AD231" s="75"/>
      <c r="AE231" s="78" t="str">
        <f>IF(U231="","",IF(AD231="","",_xlfn.WORKDAY.INTL(AD231,7,1,FERIADOS)))</f>
        <v/>
      </c>
      <c r="AF231" s="104"/>
      <c r="AG231" s="80" t="str">
        <f t="array" ref="AG231">IF(A231="","",IF(AF231="","",AF231*INDEX(PARAMETROS!F$2:F1294,MATCH(YEAR(AC231),PARAMETROS!E$2:E1294,0),1)))</f>
        <v/>
      </c>
      <c r="AH231" s="81"/>
      <c r="AI231" s="82"/>
      <c r="AJ231" s="81"/>
      <c r="AK231" s="81"/>
      <c r="AL231" s="76"/>
      <c r="AM231" s="75"/>
      <c r="AN231" s="76"/>
      <c r="AO231" s="95"/>
      <c r="AP231" s="96"/>
      <c r="AQ231" s="85" t="str">
        <f t="shared" si="6"/>
        <v/>
      </c>
      <c r="AR231" s="86" t="str">
        <f t="array" ref="AR231">IF(A231="","",IFERROR(INDEX('2) Etapas'!L$3:L923,MATCH(B231,'2) Etapas'!$A$4:$A923,0),1),-1))</f>
        <v/>
      </c>
      <c r="AS231" s="87" t="str">
        <f t="shared" si="7"/>
        <v/>
      </c>
      <c r="AT231" s="87" t="str">
        <f t="shared" si="8"/>
        <v/>
      </c>
      <c r="AU231" s="87" t="str">
        <f t="shared" si="9"/>
        <v/>
      </c>
      <c r="AV231" s="89" t="str">
        <f t="array" ref="AV231">IF(OR($A231="",$AB231="", $AC231=""),"",MAXA(IF($A231=$A$4:$A923,$AC$4:$AC923)))</f>
        <v/>
      </c>
    </row>
    <row r="232" ht="22.5" customHeight="1">
      <c r="A232" s="76"/>
      <c r="B232" s="68" t="str">
        <f t="shared" si="1"/>
        <v/>
      </c>
      <c r="C232" s="110"/>
      <c r="D232" s="70" t="str">
        <f t="shared" si="2"/>
        <v/>
      </c>
      <c r="E232" s="76"/>
      <c r="F232" s="68" t="str">
        <f t="array" ref="F232">IF($A232="","",IFERROR(INDEX(MA_INDIVIDUALES!C$2:C923, MATCH($A232,MA_INDIVIDUALES!$B$2:$B923,0),1),"CÓDIGO DE EXPEDIENTE INVÁLIDO"))</f>
        <v/>
      </c>
      <c r="G232" s="68" t="str">
        <f t="array" ref="G232">IF($A232="","",IFERROR(INDEX(MA_INDIVIDUALES!K$2:K923, MATCH($A232,MA_INDIVIDUALES!$B$2:$B923,0),1),"CÓDIGO DE EXPEDIENTE INVÁLIDO"))</f>
        <v/>
      </c>
      <c r="H232" s="68" t="str">
        <f t="array" ref="H232">IF($A232="","",IFERROR(INDEX(MA_INDIVIDUALES!L$2:L923, MATCH($A232,MA_INDIVIDUALES!$B$2:$B923,0),1),"CÓDIGO DE EXPEDIENTE INVÁLIDO"))</f>
        <v/>
      </c>
      <c r="I232" s="76"/>
      <c r="J232" s="76"/>
      <c r="K232" s="75"/>
      <c r="L232" s="74" t="str">
        <f>IF(A232="","",IF(K232="","",_xlfn.WORKDAY.INTL(K232,5,1,FERIADOS)))</f>
        <v/>
      </c>
      <c r="M232" s="76"/>
      <c r="N232" s="75"/>
      <c r="O232" s="76"/>
      <c r="P232" s="77" t="str">
        <f t="shared" si="3"/>
        <v/>
      </c>
      <c r="Q232" s="75"/>
      <c r="R232" s="76"/>
      <c r="S232" s="75"/>
      <c r="T232" s="75"/>
      <c r="U232" s="76"/>
      <c r="V232" s="76"/>
      <c r="W232" s="75"/>
      <c r="X232" s="76"/>
      <c r="Y232" s="29" t="str">
        <f t="shared" si="4"/>
        <v/>
      </c>
      <c r="Z232" s="29" t="str">
        <f t="shared" si="5"/>
        <v/>
      </c>
      <c r="AA232" s="76"/>
      <c r="AB232" s="76"/>
      <c r="AC232" s="75"/>
      <c r="AD232" s="75"/>
      <c r="AE232" s="78" t="str">
        <f>IF(U232="","",IF(AD232="","",_xlfn.WORKDAY.INTL(AD232,7,1,FERIADOS)))</f>
        <v/>
      </c>
      <c r="AF232" s="104"/>
      <c r="AG232" s="80" t="str">
        <f t="array" ref="AG232">IF(A232="","",IF(AF232="","",AF232*INDEX(PARAMETROS!F$2:F1295,MATCH(YEAR(AC232),PARAMETROS!E$2:E1295,0),1)))</f>
        <v/>
      </c>
      <c r="AH232" s="81"/>
      <c r="AI232" s="82"/>
      <c r="AJ232" s="81"/>
      <c r="AK232" s="81"/>
      <c r="AL232" s="76"/>
      <c r="AM232" s="75"/>
      <c r="AN232" s="76"/>
      <c r="AO232" s="95"/>
      <c r="AP232" s="96"/>
      <c r="AQ232" s="85" t="str">
        <f t="shared" si="6"/>
        <v/>
      </c>
      <c r="AR232" s="86" t="str">
        <f t="array" ref="AR232">IF(A232="","",IFERROR(INDEX('2) Etapas'!L$3:L923,MATCH(B232,'2) Etapas'!$A$4:$A923,0),1),-1))</f>
        <v/>
      </c>
      <c r="AS232" s="87" t="str">
        <f t="shared" si="7"/>
        <v/>
      </c>
      <c r="AT232" s="87" t="str">
        <f t="shared" si="8"/>
        <v/>
      </c>
      <c r="AU232" s="87" t="str">
        <f t="shared" si="9"/>
        <v/>
      </c>
      <c r="AV232" s="89" t="str">
        <f t="array" ref="AV232">IF(OR($A232="",$AB232="", $AC232=""),"",MAXA(IF($A232=$A$4:$A923,$AC$4:$AC923)))</f>
        <v/>
      </c>
    </row>
    <row r="233" ht="22.5" customHeight="1">
      <c r="A233" s="76"/>
      <c r="B233" s="68" t="str">
        <f t="shared" si="1"/>
        <v/>
      </c>
      <c r="C233" s="110"/>
      <c r="D233" s="70" t="str">
        <f t="shared" si="2"/>
        <v/>
      </c>
      <c r="E233" s="76"/>
      <c r="F233" s="68" t="str">
        <f t="array" ref="F233">IF($A233="","",IFERROR(INDEX(MA_INDIVIDUALES!C$2:C923, MATCH($A233,MA_INDIVIDUALES!$B$2:$B923,0),1),"CÓDIGO DE EXPEDIENTE INVÁLIDO"))</f>
        <v/>
      </c>
      <c r="G233" s="68" t="str">
        <f t="array" ref="G233">IF($A233="","",IFERROR(INDEX(MA_INDIVIDUALES!K$2:K923, MATCH($A233,MA_INDIVIDUALES!$B$2:$B923,0),1),"CÓDIGO DE EXPEDIENTE INVÁLIDO"))</f>
        <v/>
      </c>
      <c r="H233" s="68" t="str">
        <f t="array" ref="H233">IF($A233="","",IFERROR(INDEX(MA_INDIVIDUALES!L$2:L923, MATCH($A233,MA_INDIVIDUALES!$B$2:$B923,0),1),"CÓDIGO DE EXPEDIENTE INVÁLIDO"))</f>
        <v/>
      </c>
      <c r="I233" s="76"/>
      <c r="J233" s="76"/>
      <c r="K233" s="75"/>
      <c r="L233" s="74" t="str">
        <f>IF(A233="","",IF(K233="","",_xlfn.WORKDAY.INTL(K233,5,1,FERIADOS)))</f>
        <v/>
      </c>
      <c r="M233" s="76"/>
      <c r="N233" s="75"/>
      <c r="O233" s="76"/>
      <c r="P233" s="77" t="str">
        <f t="shared" si="3"/>
        <v/>
      </c>
      <c r="Q233" s="75"/>
      <c r="R233" s="76"/>
      <c r="S233" s="75"/>
      <c r="T233" s="75"/>
      <c r="U233" s="76"/>
      <c r="V233" s="76"/>
      <c r="W233" s="75"/>
      <c r="X233" s="76"/>
      <c r="Y233" s="29" t="str">
        <f t="shared" si="4"/>
        <v/>
      </c>
      <c r="Z233" s="29" t="str">
        <f t="shared" si="5"/>
        <v/>
      </c>
      <c r="AA233" s="76"/>
      <c r="AB233" s="76"/>
      <c r="AC233" s="75"/>
      <c r="AD233" s="75"/>
      <c r="AE233" s="78" t="str">
        <f>IF(U233="","",IF(AD233="","",_xlfn.WORKDAY.INTL(AD233,7,1,FERIADOS)))</f>
        <v/>
      </c>
      <c r="AF233" s="104"/>
      <c r="AG233" s="80" t="str">
        <f t="array" ref="AG233">IF(A233="","",IF(AF233="","",AF233*INDEX(PARAMETROS!F$2:F1296,MATCH(YEAR(AC233),PARAMETROS!E$2:E1296,0),1)))</f>
        <v/>
      </c>
      <c r="AH233" s="81"/>
      <c r="AI233" s="82"/>
      <c r="AJ233" s="81"/>
      <c r="AK233" s="81"/>
      <c r="AL233" s="76"/>
      <c r="AM233" s="75"/>
      <c r="AN233" s="76"/>
      <c r="AO233" s="95"/>
      <c r="AP233" s="96"/>
      <c r="AQ233" s="85" t="str">
        <f t="shared" si="6"/>
        <v/>
      </c>
      <c r="AR233" s="86" t="str">
        <f t="array" ref="AR233">IF(A233="","",IFERROR(INDEX('2) Etapas'!L$3:L923,MATCH(B233,'2) Etapas'!$A$4:$A923,0),1),-1))</f>
        <v/>
      </c>
      <c r="AS233" s="87" t="str">
        <f t="shared" si="7"/>
        <v/>
      </c>
      <c r="AT233" s="87" t="str">
        <f t="shared" si="8"/>
        <v/>
      </c>
      <c r="AU233" s="87" t="str">
        <f t="shared" si="9"/>
        <v/>
      </c>
      <c r="AV233" s="89" t="str">
        <f t="array" ref="AV233">IF(OR($A233="",$AB233="", $AC233=""),"",MAXA(IF($A233=$A$4:$A923,$AC$4:$AC923)))</f>
        <v/>
      </c>
    </row>
    <row r="234" ht="22.5" customHeight="1">
      <c r="A234" s="76"/>
      <c r="B234" s="68" t="str">
        <f t="shared" si="1"/>
        <v/>
      </c>
      <c r="C234" s="110"/>
      <c r="D234" s="70" t="str">
        <f t="shared" si="2"/>
        <v/>
      </c>
      <c r="E234" s="76"/>
      <c r="F234" s="68" t="str">
        <f t="array" ref="F234">IF($A234="","",IFERROR(INDEX(MA_INDIVIDUALES!C$2:C923, MATCH($A234,MA_INDIVIDUALES!$B$2:$B923,0),1),"CÓDIGO DE EXPEDIENTE INVÁLIDO"))</f>
        <v/>
      </c>
      <c r="G234" s="68" t="str">
        <f t="array" ref="G234">IF($A234="","",IFERROR(INDEX(MA_INDIVIDUALES!K$2:K923, MATCH($A234,MA_INDIVIDUALES!$B$2:$B923,0),1),"CÓDIGO DE EXPEDIENTE INVÁLIDO"))</f>
        <v/>
      </c>
      <c r="H234" s="68" t="str">
        <f t="array" ref="H234">IF($A234="","",IFERROR(INDEX(MA_INDIVIDUALES!L$2:L923, MATCH($A234,MA_INDIVIDUALES!$B$2:$B923,0),1),"CÓDIGO DE EXPEDIENTE INVÁLIDO"))</f>
        <v/>
      </c>
      <c r="I234" s="76"/>
      <c r="J234" s="76"/>
      <c r="K234" s="75"/>
      <c r="L234" s="74" t="str">
        <f>IF(A234="","",IF(K234="","",_xlfn.WORKDAY.INTL(K234,5,1,FERIADOS)))</f>
        <v/>
      </c>
      <c r="M234" s="76"/>
      <c r="N234" s="75"/>
      <c r="O234" s="76"/>
      <c r="P234" s="77" t="str">
        <f t="shared" si="3"/>
        <v/>
      </c>
      <c r="Q234" s="75"/>
      <c r="R234" s="76"/>
      <c r="S234" s="75"/>
      <c r="T234" s="75"/>
      <c r="U234" s="76"/>
      <c r="V234" s="76"/>
      <c r="W234" s="75"/>
      <c r="X234" s="76"/>
      <c r="Y234" s="29" t="str">
        <f t="shared" si="4"/>
        <v/>
      </c>
      <c r="Z234" s="29" t="str">
        <f t="shared" si="5"/>
        <v/>
      </c>
      <c r="AA234" s="76"/>
      <c r="AB234" s="76"/>
      <c r="AC234" s="75"/>
      <c r="AD234" s="75"/>
      <c r="AE234" s="78" t="str">
        <f>IF(U234="","",IF(AD234="","",_xlfn.WORKDAY.INTL(AD234,7,1,FERIADOS)))</f>
        <v/>
      </c>
      <c r="AF234" s="104"/>
      <c r="AG234" s="80" t="str">
        <f t="array" ref="AG234">IF(A234="","",IF(AF234="","",AF234*INDEX(PARAMETROS!F$2:F1297,MATCH(YEAR(AC234),PARAMETROS!E$2:E1297,0),1)))</f>
        <v/>
      </c>
      <c r="AH234" s="81"/>
      <c r="AI234" s="82"/>
      <c r="AJ234" s="81"/>
      <c r="AK234" s="81"/>
      <c r="AL234" s="76"/>
      <c r="AM234" s="75"/>
      <c r="AN234" s="76"/>
      <c r="AO234" s="95"/>
      <c r="AP234" s="96"/>
      <c r="AQ234" s="85" t="str">
        <f t="shared" si="6"/>
        <v/>
      </c>
      <c r="AR234" s="86" t="str">
        <f t="array" ref="AR234">IF(A234="","",IFERROR(INDEX('2) Etapas'!L$3:L923,MATCH(B234,'2) Etapas'!$A$4:$A923,0),1),-1))</f>
        <v/>
      </c>
      <c r="AS234" s="87" t="str">
        <f t="shared" si="7"/>
        <v/>
      </c>
      <c r="AT234" s="87" t="str">
        <f t="shared" si="8"/>
        <v/>
      </c>
      <c r="AU234" s="87" t="str">
        <f t="shared" si="9"/>
        <v/>
      </c>
      <c r="AV234" s="89" t="str">
        <f t="array" ref="AV234">IF(OR($A234="",$AB234="", $AC234=""),"",MAXA(IF($A234=$A$4:$A923,$AC$4:$AC923)))</f>
        <v/>
      </c>
    </row>
    <row r="235" ht="22.5" customHeight="1">
      <c r="A235" s="76"/>
      <c r="B235" s="68" t="str">
        <f t="shared" si="1"/>
        <v/>
      </c>
      <c r="C235" s="110"/>
      <c r="D235" s="70" t="str">
        <f t="shared" si="2"/>
        <v/>
      </c>
      <c r="E235" s="76"/>
      <c r="F235" s="68" t="str">
        <f t="array" ref="F235">IF($A235="","",IFERROR(INDEX(MA_INDIVIDUALES!C$2:C923, MATCH($A235,MA_INDIVIDUALES!$B$2:$B923,0),1),"CÓDIGO DE EXPEDIENTE INVÁLIDO"))</f>
        <v/>
      </c>
      <c r="G235" s="68" t="str">
        <f t="array" ref="G235">IF($A235="","",IFERROR(INDEX(MA_INDIVIDUALES!K$2:K923, MATCH($A235,MA_INDIVIDUALES!$B$2:$B923,0),1),"CÓDIGO DE EXPEDIENTE INVÁLIDO"))</f>
        <v/>
      </c>
      <c r="H235" s="68" t="str">
        <f t="array" ref="H235">IF($A235="","",IFERROR(INDEX(MA_INDIVIDUALES!L$2:L923, MATCH($A235,MA_INDIVIDUALES!$B$2:$B923,0),1),"CÓDIGO DE EXPEDIENTE INVÁLIDO"))</f>
        <v/>
      </c>
      <c r="I235" s="76"/>
      <c r="J235" s="76"/>
      <c r="K235" s="75"/>
      <c r="L235" s="74" t="str">
        <f>IF(A235="","",IF(K235="","",_xlfn.WORKDAY.INTL(K235,5,1,FERIADOS)))</f>
        <v/>
      </c>
      <c r="M235" s="76"/>
      <c r="N235" s="75"/>
      <c r="O235" s="76"/>
      <c r="P235" s="77" t="str">
        <f t="shared" si="3"/>
        <v/>
      </c>
      <c r="Q235" s="75"/>
      <c r="R235" s="76"/>
      <c r="S235" s="75"/>
      <c r="T235" s="75"/>
      <c r="U235" s="76"/>
      <c r="V235" s="76"/>
      <c r="W235" s="75"/>
      <c r="X235" s="76"/>
      <c r="Y235" s="29" t="str">
        <f t="shared" si="4"/>
        <v/>
      </c>
      <c r="Z235" s="29" t="str">
        <f t="shared" si="5"/>
        <v/>
      </c>
      <c r="AA235" s="76"/>
      <c r="AB235" s="76"/>
      <c r="AC235" s="75"/>
      <c r="AD235" s="75"/>
      <c r="AE235" s="78" t="str">
        <f>IF(U235="","",IF(AD235="","",_xlfn.WORKDAY.INTL(AD235,7,1,FERIADOS)))</f>
        <v/>
      </c>
      <c r="AF235" s="104"/>
      <c r="AG235" s="80" t="str">
        <f t="array" ref="AG235">IF(A235="","",IF(AF235="","",AF235*INDEX(PARAMETROS!F$2:F1298,MATCH(YEAR(AC235),PARAMETROS!E$2:E1298,0),1)))</f>
        <v/>
      </c>
      <c r="AH235" s="81"/>
      <c r="AI235" s="82"/>
      <c r="AJ235" s="81"/>
      <c r="AK235" s="81"/>
      <c r="AL235" s="76"/>
      <c r="AM235" s="75"/>
      <c r="AN235" s="76"/>
      <c r="AO235" s="95"/>
      <c r="AP235" s="96"/>
      <c r="AQ235" s="85" t="str">
        <f t="shared" si="6"/>
        <v/>
      </c>
      <c r="AR235" s="86" t="str">
        <f t="array" ref="AR235">IF(A235="","",IFERROR(INDEX('2) Etapas'!L$3:L923,MATCH(B235,'2) Etapas'!$A$4:$A923,0),1),-1))</f>
        <v/>
      </c>
      <c r="AS235" s="87" t="str">
        <f t="shared" si="7"/>
        <v/>
      </c>
      <c r="AT235" s="87" t="str">
        <f t="shared" si="8"/>
        <v/>
      </c>
      <c r="AU235" s="87" t="str">
        <f t="shared" si="9"/>
        <v/>
      </c>
      <c r="AV235" s="89" t="str">
        <f t="array" ref="AV235">IF(OR($A235="",$AB235="", $AC235=""),"",MAXA(IF($A235=$A$4:$A923,$AC$4:$AC923)))</f>
        <v/>
      </c>
    </row>
    <row r="236" ht="22.5" customHeight="1">
      <c r="A236" s="76"/>
      <c r="B236" s="68" t="str">
        <f t="shared" si="1"/>
        <v/>
      </c>
      <c r="C236" s="110"/>
      <c r="D236" s="70" t="str">
        <f t="shared" si="2"/>
        <v/>
      </c>
      <c r="E236" s="76"/>
      <c r="F236" s="68" t="str">
        <f t="array" ref="F236">IF($A236="","",IFERROR(INDEX(MA_INDIVIDUALES!C$2:C923, MATCH($A236,MA_INDIVIDUALES!$B$2:$B923,0),1),"CÓDIGO DE EXPEDIENTE INVÁLIDO"))</f>
        <v/>
      </c>
      <c r="G236" s="68" t="str">
        <f t="array" ref="G236">IF($A236="","",IFERROR(INDEX(MA_INDIVIDUALES!K$2:K923, MATCH($A236,MA_INDIVIDUALES!$B$2:$B923,0),1),"CÓDIGO DE EXPEDIENTE INVÁLIDO"))</f>
        <v/>
      </c>
      <c r="H236" s="68" t="str">
        <f t="array" ref="H236">IF($A236="","",IFERROR(INDEX(MA_INDIVIDUALES!L$2:L923, MATCH($A236,MA_INDIVIDUALES!$B$2:$B923,0),1),"CÓDIGO DE EXPEDIENTE INVÁLIDO"))</f>
        <v/>
      </c>
      <c r="I236" s="76"/>
      <c r="J236" s="76"/>
      <c r="K236" s="75"/>
      <c r="L236" s="74" t="str">
        <f>IF(A236="","",IF(K236="","",_xlfn.WORKDAY.INTL(K236,5,1,FERIADOS)))</f>
        <v/>
      </c>
      <c r="M236" s="76"/>
      <c r="N236" s="75"/>
      <c r="O236" s="76"/>
      <c r="P236" s="77" t="str">
        <f t="shared" si="3"/>
        <v/>
      </c>
      <c r="Q236" s="75"/>
      <c r="R236" s="76"/>
      <c r="S236" s="75"/>
      <c r="T236" s="75"/>
      <c r="U236" s="76"/>
      <c r="V236" s="76"/>
      <c r="W236" s="75"/>
      <c r="X236" s="76"/>
      <c r="Y236" s="29" t="str">
        <f t="shared" si="4"/>
        <v/>
      </c>
      <c r="Z236" s="29" t="str">
        <f t="shared" si="5"/>
        <v/>
      </c>
      <c r="AA236" s="76"/>
      <c r="AB236" s="76"/>
      <c r="AC236" s="75"/>
      <c r="AD236" s="75"/>
      <c r="AE236" s="78" t="str">
        <f>IF(U236="","",IF(AD236="","",_xlfn.WORKDAY.INTL(AD236,7,1,FERIADOS)))</f>
        <v/>
      </c>
      <c r="AF236" s="104"/>
      <c r="AG236" s="80" t="str">
        <f t="array" ref="AG236">IF(A236="","",IF(AF236="","",AF236*INDEX(PARAMETROS!F$2:F1299,MATCH(YEAR(AC236),PARAMETROS!E$2:E1299,0),1)))</f>
        <v/>
      </c>
      <c r="AH236" s="81"/>
      <c r="AI236" s="82"/>
      <c r="AJ236" s="81"/>
      <c r="AK236" s="81"/>
      <c r="AL236" s="76"/>
      <c r="AM236" s="75"/>
      <c r="AN236" s="76"/>
      <c r="AO236" s="95"/>
      <c r="AP236" s="96"/>
      <c r="AQ236" s="85" t="str">
        <f t="shared" si="6"/>
        <v/>
      </c>
      <c r="AR236" s="86" t="str">
        <f t="array" ref="AR236">IF(A236="","",IFERROR(INDEX('2) Etapas'!L$3:L923,MATCH(B236,'2) Etapas'!$A$4:$A923,0),1),-1))</f>
        <v/>
      </c>
      <c r="AS236" s="87" t="str">
        <f t="shared" si="7"/>
        <v/>
      </c>
      <c r="AT236" s="87" t="str">
        <f t="shared" si="8"/>
        <v/>
      </c>
      <c r="AU236" s="87" t="str">
        <f t="shared" si="9"/>
        <v/>
      </c>
      <c r="AV236" s="89" t="str">
        <f t="array" ref="AV236">IF(OR($A236="",$AB236="", $AC236=""),"",MAXA(IF($A236=$A$4:$A923,$AC$4:$AC923)))</f>
        <v/>
      </c>
    </row>
    <row r="237" ht="22.5" customHeight="1">
      <c r="A237" s="76"/>
      <c r="B237" s="68" t="str">
        <f t="shared" si="1"/>
        <v/>
      </c>
      <c r="C237" s="110"/>
      <c r="D237" s="70" t="str">
        <f t="shared" si="2"/>
        <v/>
      </c>
      <c r="E237" s="76"/>
      <c r="F237" s="68" t="str">
        <f t="array" ref="F237">IF($A237="","",IFERROR(INDEX(MA_INDIVIDUALES!C$2:C923, MATCH($A237,MA_INDIVIDUALES!$B$2:$B923,0),1),"CÓDIGO DE EXPEDIENTE INVÁLIDO"))</f>
        <v/>
      </c>
      <c r="G237" s="68" t="str">
        <f t="array" ref="G237">IF($A237="","",IFERROR(INDEX(MA_INDIVIDUALES!K$2:K923, MATCH($A237,MA_INDIVIDUALES!$B$2:$B923,0),1),"CÓDIGO DE EXPEDIENTE INVÁLIDO"))</f>
        <v/>
      </c>
      <c r="H237" s="68" t="str">
        <f t="array" ref="H237">IF($A237="","",IFERROR(INDEX(MA_INDIVIDUALES!L$2:L923, MATCH($A237,MA_INDIVIDUALES!$B$2:$B923,0),1),"CÓDIGO DE EXPEDIENTE INVÁLIDO"))</f>
        <v/>
      </c>
      <c r="I237" s="76"/>
      <c r="J237" s="76"/>
      <c r="K237" s="75"/>
      <c r="L237" s="74" t="str">
        <f>IF(A237="","",IF(K237="","",_xlfn.WORKDAY.INTL(K237,5,1,FERIADOS)))</f>
        <v/>
      </c>
      <c r="M237" s="76"/>
      <c r="N237" s="75"/>
      <c r="O237" s="76"/>
      <c r="P237" s="77" t="str">
        <f t="shared" si="3"/>
        <v/>
      </c>
      <c r="Q237" s="75"/>
      <c r="R237" s="76"/>
      <c r="S237" s="75"/>
      <c r="T237" s="75"/>
      <c r="U237" s="76"/>
      <c r="V237" s="76"/>
      <c r="W237" s="75"/>
      <c r="X237" s="76"/>
      <c r="Y237" s="29" t="str">
        <f t="shared" si="4"/>
        <v/>
      </c>
      <c r="Z237" s="29" t="str">
        <f t="shared" si="5"/>
        <v/>
      </c>
      <c r="AA237" s="76"/>
      <c r="AB237" s="76"/>
      <c r="AC237" s="75"/>
      <c r="AD237" s="75"/>
      <c r="AE237" s="78" t="str">
        <f>IF(U237="","",IF(AD237="","",_xlfn.WORKDAY.INTL(AD237,7,1,FERIADOS)))</f>
        <v/>
      </c>
      <c r="AF237" s="104"/>
      <c r="AG237" s="80" t="str">
        <f t="array" ref="AG237">IF(A237="","",IF(AF237="","",AF237*INDEX(PARAMETROS!F$2:F1300,MATCH(YEAR(AC237),PARAMETROS!E$2:E1300,0),1)))</f>
        <v/>
      </c>
      <c r="AH237" s="81"/>
      <c r="AI237" s="82"/>
      <c r="AJ237" s="81"/>
      <c r="AK237" s="81"/>
      <c r="AL237" s="76"/>
      <c r="AM237" s="75"/>
      <c r="AN237" s="76"/>
      <c r="AO237" s="95"/>
      <c r="AP237" s="96"/>
      <c r="AQ237" s="85" t="str">
        <f t="shared" si="6"/>
        <v/>
      </c>
      <c r="AR237" s="86" t="str">
        <f t="array" ref="AR237">IF(A237="","",IFERROR(INDEX('2) Etapas'!L$3:L923,MATCH(B237,'2) Etapas'!$A$4:$A923,0),1),-1))</f>
        <v/>
      </c>
      <c r="AS237" s="87" t="str">
        <f t="shared" si="7"/>
        <v/>
      </c>
      <c r="AT237" s="87" t="str">
        <f t="shared" si="8"/>
        <v/>
      </c>
      <c r="AU237" s="87" t="str">
        <f t="shared" si="9"/>
        <v/>
      </c>
      <c r="AV237" s="89" t="str">
        <f t="array" ref="AV237">IF(OR($A237="",$AB237="", $AC237=""),"",MAXA(IF($A237=$A$4:$A923,$AC$4:$AC923)))</f>
        <v/>
      </c>
    </row>
    <row r="238" ht="22.5" customHeight="1">
      <c r="A238" s="76"/>
      <c r="B238" s="68" t="str">
        <f t="shared" si="1"/>
        <v/>
      </c>
      <c r="C238" s="110"/>
      <c r="D238" s="70" t="str">
        <f t="shared" si="2"/>
        <v/>
      </c>
      <c r="E238" s="76"/>
      <c r="F238" s="68" t="str">
        <f t="array" ref="F238">IF($A238="","",IFERROR(INDEX(MA_INDIVIDUALES!C$2:C923, MATCH($A238,MA_INDIVIDUALES!$B$2:$B923,0),1),"CÓDIGO DE EXPEDIENTE INVÁLIDO"))</f>
        <v/>
      </c>
      <c r="G238" s="68" t="str">
        <f t="array" ref="G238">IF($A238="","",IFERROR(INDEX(MA_INDIVIDUALES!K$2:K923, MATCH($A238,MA_INDIVIDUALES!$B$2:$B923,0),1),"CÓDIGO DE EXPEDIENTE INVÁLIDO"))</f>
        <v/>
      </c>
      <c r="H238" s="68" t="str">
        <f t="array" ref="H238">IF($A238="","",IFERROR(INDEX(MA_INDIVIDUALES!L$2:L923, MATCH($A238,MA_INDIVIDUALES!$B$2:$B923,0),1),"CÓDIGO DE EXPEDIENTE INVÁLIDO"))</f>
        <v/>
      </c>
      <c r="I238" s="76"/>
      <c r="J238" s="76"/>
      <c r="K238" s="75"/>
      <c r="L238" s="74" t="str">
        <f>IF(A238="","",IF(K238="","",_xlfn.WORKDAY.INTL(K238,5,1,FERIADOS)))</f>
        <v/>
      </c>
      <c r="M238" s="76"/>
      <c r="N238" s="75"/>
      <c r="O238" s="76"/>
      <c r="P238" s="77" t="str">
        <f t="shared" si="3"/>
        <v/>
      </c>
      <c r="Q238" s="75"/>
      <c r="R238" s="76"/>
      <c r="S238" s="75"/>
      <c r="T238" s="75"/>
      <c r="U238" s="76"/>
      <c r="V238" s="76"/>
      <c r="W238" s="75"/>
      <c r="X238" s="76"/>
      <c r="Y238" s="29" t="str">
        <f t="shared" si="4"/>
        <v/>
      </c>
      <c r="Z238" s="29" t="str">
        <f t="shared" si="5"/>
        <v/>
      </c>
      <c r="AA238" s="76"/>
      <c r="AB238" s="76"/>
      <c r="AC238" s="75"/>
      <c r="AD238" s="75"/>
      <c r="AE238" s="78" t="str">
        <f>IF(U238="","",IF(AD238="","",_xlfn.WORKDAY.INTL(AD238,7,1,FERIADOS)))</f>
        <v/>
      </c>
      <c r="AF238" s="104"/>
      <c r="AG238" s="80" t="str">
        <f t="array" ref="AG238">IF(A238="","",IF(AF238="","",AF238*INDEX(PARAMETROS!F$2:F1301,MATCH(YEAR(AC238),PARAMETROS!E$2:E1301,0),1)))</f>
        <v/>
      </c>
      <c r="AH238" s="81"/>
      <c r="AI238" s="82"/>
      <c r="AJ238" s="81"/>
      <c r="AK238" s="81"/>
      <c r="AL238" s="76"/>
      <c r="AM238" s="75"/>
      <c r="AN238" s="76"/>
      <c r="AO238" s="95"/>
      <c r="AP238" s="96"/>
      <c r="AQ238" s="85" t="str">
        <f t="shared" si="6"/>
        <v/>
      </c>
      <c r="AR238" s="86" t="str">
        <f t="array" ref="AR238">IF(A238="","",IFERROR(INDEX('2) Etapas'!L$3:L923,MATCH(B238,'2) Etapas'!$A$4:$A923,0),1),-1))</f>
        <v/>
      </c>
      <c r="AS238" s="87" t="str">
        <f t="shared" si="7"/>
        <v/>
      </c>
      <c r="AT238" s="87" t="str">
        <f t="shared" si="8"/>
        <v/>
      </c>
      <c r="AU238" s="87" t="str">
        <f t="shared" si="9"/>
        <v/>
      </c>
      <c r="AV238" s="89" t="str">
        <f t="array" ref="AV238">IF(OR($A238="",$AB238="", $AC238=""),"",MAXA(IF($A238=$A$4:$A923,$AC$4:$AC923)))</f>
        <v/>
      </c>
    </row>
    <row r="239" ht="22.5" customHeight="1">
      <c r="A239" s="76"/>
      <c r="B239" s="68" t="str">
        <f t="shared" si="1"/>
        <v/>
      </c>
      <c r="C239" s="110"/>
      <c r="D239" s="70" t="str">
        <f t="shared" si="2"/>
        <v/>
      </c>
      <c r="E239" s="76"/>
      <c r="F239" s="68" t="str">
        <f t="array" ref="F239">IF($A239="","",IFERROR(INDEX(MA_INDIVIDUALES!C$2:C923, MATCH($A239,MA_INDIVIDUALES!$B$2:$B923,0),1),"CÓDIGO DE EXPEDIENTE INVÁLIDO"))</f>
        <v/>
      </c>
      <c r="G239" s="68" t="str">
        <f t="array" ref="G239">IF($A239="","",IFERROR(INDEX(MA_INDIVIDUALES!K$2:K923, MATCH($A239,MA_INDIVIDUALES!$B$2:$B923,0),1),"CÓDIGO DE EXPEDIENTE INVÁLIDO"))</f>
        <v/>
      </c>
      <c r="H239" s="68" t="str">
        <f t="array" ref="H239">IF($A239="","",IFERROR(INDEX(MA_INDIVIDUALES!L$2:L923, MATCH($A239,MA_INDIVIDUALES!$B$2:$B923,0),1),"CÓDIGO DE EXPEDIENTE INVÁLIDO"))</f>
        <v/>
      </c>
      <c r="I239" s="76"/>
      <c r="J239" s="76"/>
      <c r="K239" s="75"/>
      <c r="L239" s="74" t="str">
        <f>IF(A239="","",IF(K239="","",_xlfn.WORKDAY.INTL(K239,5,1,FERIADOS)))</f>
        <v/>
      </c>
      <c r="M239" s="76"/>
      <c r="N239" s="75"/>
      <c r="O239" s="76"/>
      <c r="P239" s="77" t="str">
        <f t="shared" si="3"/>
        <v/>
      </c>
      <c r="Q239" s="75"/>
      <c r="R239" s="76"/>
      <c r="S239" s="75"/>
      <c r="T239" s="75"/>
      <c r="U239" s="76"/>
      <c r="V239" s="76"/>
      <c r="W239" s="75"/>
      <c r="X239" s="76"/>
      <c r="Y239" s="29" t="str">
        <f t="shared" si="4"/>
        <v/>
      </c>
      <c r="Z239" s="29" t="str">
        <f t="shared" si="5"/>
        <v/>
      </c>
      <c r="AA239" s="76"/>
      <c r="AB239" s="76"/>
      <c r="AC239" s="75"/>
      <c r="AD239" s="75"/>
      <c r="AE239" s="78" t="str">
        <f>IF(U239="","",IF(AD239="","",_xlfn.WORKDAY.INTL(AD239,7,1,FERIADOS)))</f>
        <v/>
      </c>
      <c r="AF239" s="104"/>
      <c r="AG239" s="80" t="str">
        <f t="array" ref="AG239">IF(A239="","",IF(AF239="","",AF239*INDEX(PARAMETROS!F$2:F1302,MATCH(YEAR(AC239),PARAMETROS!E$2:E1302,0),1)))</f>
        <v/>
      </c>
      <c r="AH239" s="81"/>
      <c r="AI239" s="82"/>
      <c r="AJ239" s="81"/>
      <c r="AK239" s="81"/>
      <c r="AL239" s="76"/>
      <c r="AM239" s="75"/>
      <c r="AN239" s="76"/>
      <c r="AO239" s="95"/>
      <c r="AP239" s="96"/>
      <c r="AQ239" s="85" t="str">
        <f t="shared" si="6"/>
        <v/>
      </c>
      <c r="AR239" s="86" t="str">
        <f t="array" ref="AR239">IF(A239="","",IFERROR(INDEX('2) Etapas'!L$3:L923,MATCH(B239,'2) Etapas'!$A$4:$A923,0),1),-1))</f>
        <v/>
      </c>
      <c r="AS239" s="87" t="str">
        <f t="shared" si="7"/>
        <v/>
      </c>
      <c r="AT239" s="87" t="str">
        <f t="shared" si="8"/>
        <v/>
      </c>
      <c r="AU239" s="87" t="str">
        <f t="shared" si="9"/>
        <v/>
      </c>
      <c r="AV239" s="89" t="str">
        <f t="array" ref="AV239">IF(OR($A239="",$AB239="", $AC239=""),"",MAXA(IF($A239=$A$4:$A923,$AC$4:$AC923)))</f>
        <v/>
      </c>
    </row>
    <row r="240" ht="22.5" customHeight="1">
      <c r="A240" s="76"/>
      <c r="B240" s="68" t="str">
        <f t="shared" si="1"/>
        <v/>
      </c>
      <c r="C240" s="110"/>
      <c r="D240" s="70" t="str">
        <f t="shared" si="2"/>
        <v/>
      </c>
      <c r="E240" s="76"/>
      <c r="F240" s="68" t="str">
        <f t="array" ref="F240">IF($A240="","",IFERROR(INDEX(MA_INDIVIDUALES!C$2:C923, MATCH($A240,MA_INDIVIDUALES!$B$2:$B923,0),1),"CÓDIGO DE EXPEDIENTE INVÁLIDO"))</f>
        <v/>
      </c>
      <c r="G240" s="68" t="str">
        <f t="array" ref="G240">IF($A240="","",IFERROR(INDEX(MA_INDIVIDUALES!K$2:K923, MATCH($A240,MA_INDIVIDUALES!$B$2:$B923,0),1),"CÓDIGO DE EXPEDIENTE INVÁLIDO"))</f>
        <v/>
      </c>
      <c r="H240" s="68" t="str">
        <f t="array" ref="H240">IF($A240="","",IFERROR(INDEX(MA_INDIVIDUALES!L$2:L923, MATCH($A240,MA_INDIVIDUALES!$B$2:$B923,0),1),"CÓDIGO DE EXPEDIENTE INVÁLIDO"))</f>
        <v/>
      </c>
      <c r="I240" s="76"/>
      <c r="J240" s="76"/>
      <c r="K240" s="75"/>
      <c r="L240" s="74" t="str">
        <f>IF(A240="","",IF(K240="","",_xlfn.WORKDAY.INTL(K240,5,1,FERIADOS)))</f>
        <v/>
      </c>
      <c r="M240" s="76"/>
      <c r="N240" s="75"/>
      <c r="O240" s="76"/>
      <c r="P240" s="77" t="str">
        <f t="shared" si="3"/>
        <v/>
      </c>
      <c r="Q240" s="75"/>
      <c r="R240" s="76"/>
      <c r="S240" s="75"/>
      <c r="T240" s="75"/>
      <c r="U240" s="76"/>
      <c r="V240" s="76"/>
      <c r="W240" s="75"/>
      <c r="X240" s="76"/>
      <c r="Y240" s="29" t="str">
        <f t="shared" si="4"/>
        <v/>
      </c>
      <c r="Z240" s="29" t="str">
        <f t="shared" si="5"/>
        <v/>
      </c>
      <c r="AA240" s="76"/>
      <c r="AB240" s="76"/>
      <c r="AC240" s="75"/>
      <c r="AD240" s="75"/>
      <c r="AE240" s="78" t="str">
        <f>IF(U240="","",IF(AD240="","",_xlfn.WORKDAY.INTL(AD240,7,1,FERIADOS)))</f>
        <v/>
      </c>
      <c r="AF240" s="104"/>
      <c r="AG240" s="80" t="str">
        <f t="array" ref="AG240">IF(A240="","",IF(AF240="","",AF240*INDEX(PARAMETROS!F$2:F1303,MATCH(YEAR(AC240),PARAMETROS!E$2:E1303,0),1)))</f>
        <v/>
      </c>
      <c r="AH240" s="81"/>
      <c r="AI240" s="82"/>
      <c r="AJ240" s="81"/>
      <c r="AK240" s="81"/>
      <c r="AL240" s="76"/>
      <c r="AM240" s="75"/>
      <c r="AN240" s="76"/>
      <c r="AO240" s="95"/>
      <c r="AP240" s="96"/>
      <c r="AQ240" s="85" t="str">
        <f t="shared" si="6"/>
        <v/>
      </c>
      <c r="AR240" s="86" t="str">
        <f t="array" ref="AR240">IF(A240="","",IFERROR(INDEX('2) Etapas'!L$3:L923,MATCH(B240,'2) Etapas'!$A$4:$A923,0),1),-1))</f>
        <v/>
      </c>
      <c r="AS240" s="87" t="str">
        <f t="shared" si="7"/>
        <v/>
      </c>
      <c r="AT240" s="87" t="str">
        <f t="shared" si="8"/>
        <v/>
      </c>
      <c r="AU240" s="87" t="str">
        <f t="shared" si="9"/>
        <v/>
      </c>
      <c r="AV240" s="89" t="str">
        <f t="array" ref="AV240">IF(OR($A240="",$AB240="", $AC240=""),"",MAXA(IF($A240=$A$4:$A923,$AC$4:$AC923)))</f>
        <v/>
      </c>
    </row>
    <row r="241" ht="22.5" customHeight="1">
      <c r="A241" s="76"/>
      <c r="B241" s="68" t="str">
        <f t="shared" si="1"/>
        <v/>
      </c>
      <c r="C241" s="110"/>
      <c r="D241" s="70" t="str">
        <f t="shared" si="2"/>
        <v/>
      </c>
      <c r="E241" s="76"/>
      <c r="F241" s="68" t="str">
        <f t="array" ref="F241">IF($A241="","",IFERROR(INDEX(MA_INDIVIDUALES!C$2:C923, MATCH($A241,MA_INDIVIDUALES!$B$2:$B923,0),1),"CÓDIGO DE EXPEDIENTE INVÁLIDO"))</f>
        <v/>
      </c>
      <c r="G241" s="68" t="str">
        <f t="array" ref="G241">IF($A241="","",IFERROR(INDEX(MA_INDIVIDUALES!K$2:K923, MATCH($A241,MA_INDIVIDUALES!$B$2:$B923,0),1),"CÓDIGO DE EXPEDIENTE INVÁLIDO"))</f>
        <v/>
      </c>
      <c r="H241" s="68" t="str">
        <f t="array" ref="H241">IF($A241="","",IFERROR(INDEX(MA_INDIVIDUALES!L$2:L923, MATCH($A241,MA_INDIVIDUALES!$B$2:$B923,0),1),"CÓDIGO DE EXPEDIENTE INVÁLIDO"))</f>
        <v/>
      </c>
      <c r="I241" s="76"/>
      <c r="J241" s="76"/>
      <c r="K241" s="75"/>
      <c r="L241" s="74" t="str">
        <f>IF(A241="","",IF(K241="","",_xlfn.WORKDAY.INTL(K241,5,1,FERIADOS)))</f>
        <v/>
      </c>
      <c r="M241" s="76"/>
      <c r="N241" s="75"/>
      <c r="O241" s="76"/>
      <c r="P241" s="77" t="str">
        <f t="shared" si="3"/>
        <v/>
      </c>
      <c r="Q241" s="75"/>
      <c r="R241" s="76"/>
      <c r="S241" s="75"/>
      <c r="T241" s="75"/>
      <c r="U241" s="76"/>
      <c r="V241" s="76"/>
      <c r="W241" s="75"/>
      <c r="X241" s="76"/>
      <c r="Y241" s="29" t="str">
        <f t="shared" si="4"/>
        <v/>
      </c>
      <c r="Z241" s="29" t="str">
        <f t="shared" si="5"/>
        <v/>
      </c>
      <c r="AA241" s="76"/>
      <c r="AB241" s="76"/>
      <c r="AC241" s="75"/>
      <c r="AD241" s="75"/>
      <c r="AE241" s="78" t="str">
        <f>IF(U241="","",IF(AD241="","",_xlfn.WORKDAY.INTL(AD241,7,1,FERIADOS)))</f>
        <v/>
      </c>
      <c r="AF241" s="104"/>
      <c r="AG241" s="80" t="str">
        <f t="array" ref="AG241">IF(A241="","",IF(AF241="","",AF241*INDEX(PARAMETROS!F$2:F1304,MATCH(YEAR(AC241),PARAMETROS!E$2:E1304,0),1)))</f>
        <v/>
      </c>
      <c r="AH241" s="81"/>
      <c r="AI241" s="82"/>
      <c r="AJ241" s="81"/>
      <c r="AK241" s="81"/>
      <c r="AL241" s="76"/>
      <c r="AM241" s="75"/>
      <c r="AN241" s="76"/>
      <c r="AO241" s="95"/>
      <c r="AP241" s="96"/>
      <c r="AQ241" s="85" t="str">
        <f t="shared" si="6"/>
        <v/>
      </c>
      <c r="AR241" s="86" t="str">
        <f t="array" ref="AR241">IF(A241="","",IFERROR(INDEX('2) Etapas'!L$3:L923,MATCH(B241,'2) Etapas'!$A$4:$A923,0),1),-1))</f>
        <v/>
      </c>
      <c r="AS241" s="87" t="str">
        <f t="shared" si="7"/>
        <v/>
      </c>
      <c r="AT241" s="87" t="str">
        <f t="shared" si="8"/>
        <v/>
      </c>
      <c r="AU241" s="87" t="str">
        <f t="shared" si="9"/>
        <v/>
      </c>
      <c r="AV241" s="89" t="str">
        <f t="array" ref="AV241">IF(OR($A241="",$AB241="", $AC241=""),"",MAXA(IF($A241=$A$4:$A923,$AC$4:$AC923)))</f>
        <v/>
      </c>
    </row>
    <row r="242" ht="22.5" customHeight="1">
      <c r="A242" s="76"/>
      <c r="B242" s="68" t="str">
        <f t="shared" si="1"/>
        <v/>
      </c>
      <c r="C242" s="110"/>
      <c r="D242" s="70" t="str">
        <f t="shared" si="2"/>
        <v/>
      </c>
      <c r="E242" s="76"/>
      <c r="F242" s="68" t="str">
        <f t="array" ref="F242">IF($A242="","",IFERROR(INDEX(MA_INDIVIDUALES!C$2:C923, MATCH($A242,MA_INDIVIDUALES!$B$2:$B923,0),1),"CÓDIGO DE EXPEDIENTE INVÁLIDO"))</f>
        <v/>
      </c>
      <c r="G242" s="68" t="str">
        <f t="array" ref="G242">IF($A242="","",IFERROR(INDEX(MA_INDIVIDUALES!K$2:K923, MATCH($A242,MA_INDIVIDUALES!$B$2:$B923,0),1),"CÓDIGO DE EXPEDIENTE INVÁLIDO"))</f>
        <v/>
      </c>
      <c r="H242" s="68" t="str">
        <f t="array" ref="H242">IF($A242="","",IFERROR(INDEX(MA_INDIVIDUALES!L$2:L923, MATCH($A242,MA_INDIVIDUALES!$B$2:$B923,0),1),"CÓDIGO DE EXPEDIENTE INVÁLIDO"))</f>
        <v/>
      </c>
      <c r="I242" s="76"/>
      <c r="J242" s="76"/>
      <c r="K242" s="75"/>
      <c r="L242" s="74" t="str">
        <f>IF(A242="","",IF(K242="","",_xlfn.WORKDAY.INTL(K242,5,1,FERIADOS)))</f>
        <v/>
      </c>
      <c r="M242" s="76"/>
      <c r="N242" s="75"/>
      <c r="O242" s="76"/>
      <c r="P242" s="77" t="str">
        <f t="shared" si="3"/>
        <v/>
      </c>
      <c r="Q242" s="75"/>
      <c r="R242" s="76"/>
      <c r="S242" s="75"/>
      <c r="T242" s="75"/>
      <c r="U242" s="76"/>
      <c r="V242" s="76"/>
      <c r="W242" s="75"/>
      <c r="X242" s="76"/>
      <c r="Y242" s="29" t="str">
        <f t="shared" si="4"/>
        <v/>
      </c>
      <c r="Z242" s="29" t="str">
        <f t="shared" si="5"/>
        <v/>
      </c>
      <c r="AA242" s="76"/>
      <c r="AB242" s="76"/>
      <c r="AC242" s="75"/>
      <c r="AD242" s="75"/>
      <c r="AE242" s="78" t="str">
        <f>IF(U242="","",IF(AD242="","",_xlfn.WORKDAY.INTL(AD242,7,1,FERIADOS)))</f>
        <v/>
      </c>
      <c r="AF242" s="104"/>
      <c r="AG242" s="80" t="str">
        <f t="array" ref="AG242">IF(A242="","",IF(AF242="","",AF242*INDEX(PARAMETROS!F$2:F1305,MATCH(YEAR(AC242),PARAMETROS!E$2:E1305,0),1)))</f>
        <v/>
      </c>
      <c r="AH242" s="81"/>
      <c r="AI242" s="82"/>
      <c r="AJ242" s="81"/>
      <c r="AK242" s="81"/>
      <c r="AL242" s="76"/>
      <c r="AM242" s="75"/>
      <c r="AN242" s="76"/>
      <c r="AO242" s="95"/>
      <c r="AP242" s="96"/>
      <c r="AQ242" s="85" t="str">
        <f t="shared" si="6"/>
        <v/>
      </c>
      <c r="AR242" s="86" t="str">
        <f t="array" ref="AR242">IF(A242="","",IFERROR(INDEX('2) Etapas'!L$3:L923,MATCH(B242,'2) Etapas'!$A$4:$A923,0),1),-1))</f>
        <v/>
      </c>
      <c r="AS242" s="87" t="str">
        <f t="shared" si="7"/>
        <v/>
      </c>
      <c r="AT242" s="87" t="str">
        <f t="shared" si="8"/>
        <v/>
      </c>
      <c r="AU242" s="87" t="str">
        <f t="shared" si="9"/>
        <v/>
      </c>
      <c r="AV242" s="89" t="str">
        <f t="array" ref="AV242">IF(OR($A242="",$AB242="", $AC242=""),"",MAXA(IF($A242=$A$4:$A923,$AC$4:$AC923)))</f>
        <v/>
      </c>
    </row>
    <row r="243" ht="22.5" customHeight="1">
      <c r="A243" s="76"/>
      <c r="B243" s="68" t="str">
        <f t="shared" si="1"/>
        <v/>
      </c>
      <c r="C243" s="110"/>
      <c r="D243" s="70" t="str">
        <f t="shared" si="2"/>
        <v/>
      </c>
      <c r="E243" s="76"/>
      <c r="F243" s="68" t="str">
        <f t="array" ref="F243">IF($A243="","",IFERROR(INDEX(MA_INDIVIDUALES!C$2:C923, MATCH($A243,MA_INDIVIDUALES!$B$2:$B923,0),1),"CÓDIGO DE EXPEDIENTE INVÁLIDO"))</f>
        <v/>
      </c>
      <c r="G243" s="68" t="str">
        <f t="array" ref="G243">IF($A243="","",IFERROR(INDEX(MA_INDIVIDUALES!K$2:K923, MATCH($A243,MA_INDIVIDUALES!$B$2:$B923,0),1),"CÓDIGO DE EXPEDIENTE INVÁLIDO"))</f>
        <v/>
      </c>
      <c r="H243" s="68" t="str">
        <f t="array" ref="H243">IF($A243="","",IFERROR(INDEX(MA_INDIVIDUALES!L$2:L923, MATCH($A243,MA_INDIVIDUALES!$B$2:$B923,0),1),"CÓDIGO DE EXPEDIENTE INVÁLIDO"))</f>
        <v/>
      </c>
      <c r="I243" s="76"/>
      <c r="J243" s="76"/>
      <c r="K243" s="75"/>
      <c r="L243" s="74" t="str">
        <f>IF(A243="","",IF(K243="","",_xlfn.WORKDAY.INTL(K243,5,1,FERIADOS)))</f>
        <v/>
      </c>
      <c r="M243" s="76"/>
      <c r="N243" s="75"/>
      <c r="O243" s="76"/>
      <c r="P243" s="77" t="str">
        <f t="shared" si="3"/>
        <v/>
      </c>
      <c r="Q243" s="75"/>
      <c r="R243" s="76"/>
      <c r="S243" s="75"/>
      <c r="T243" s="75"/>
      <c r="U243" s="76"/>
      <c r="V243" s="76"/>
      <c r="W243" s="75"/>
      <c r="X243" s="76"/>
      <c r="Y243" s="29" t="str">
        <f t="shared" si="4"/>
        <v/>
      </c>
      <c r="Z243" s="29" t="str">
        <f t="shared" si="5"/>
        <v/>
      </c>
      <c r="AA243" s="76"/>
      <c r="AB243" s="76"/>
      <c r="AC243" s="75"/>
      <c r="AD243" s="75"/>
      <c r="AE243" s="78" t="str">
        <f>IF(U243="","",IF(AD243="","",_xlfn.WORKDAY.INTL(AD243,7,1,FERIADOS)))</f>
        <v/>
      </c>
      <c r="AF243" s="104"/>
      <c r="AG243" s="80" t="str">
        <f t="array" ref="AG243">IF(A243="","",IF(AF243="","",AF243*INDEX(PARAMETROS!F$2:F1306,MATCH(YEAR(AC243),PARAMETROS!E$2:E1306,0),1)))</f>
        <v/>
      </c>
      <c r="AH243" s="81"/>
      <c r="AI243" s="82"/>
      <c r="AJ243" s="81"/>
      <c r="AK243" s="81"/>
      <c r="AL243" s="76"/>
      <c r="AM243" s="75"/>
      <c r="AN243" s="76"/>
      <c r="AO243" s="95"/>
      <c r="AP243" s="96"/>
      <c r="AQ243" s="85" t="str">
        <f t="shared" si="6"/>
        <v/>
      </c>
      <c r="AR243" s="86" t="str">
        <f t="array" ref="AR243">IF(A243="","",IFERROR(INDEX('2) Etapas'!L$3:L923,MATCH(B243,'2) Etapas'!$A$4:$A923,0),1),-1))</f>
        <v/>
      </c>
      <c r="AS243" s="87" t="str">
        <f t="shared" si="7"/>
        <v/>
      </c>
      <c r="AT243" s="87" t="str">
        <f t="shared" si="8"/>
        <v/>
      </c>
      <c r="AU243" s="87" t="str">
        <f t="shared" si="9"/>
        <v/>
      </c>
      <c r="AV243" s="89" t="str">
        <f t="array" ref="AV243">IF(OR($A243="",$AB243="", $AC243=""),"",MAXA(IF($A243=$A$4:$A923,$AC$4:$AC923)))</f>
        <v/>
      </c>
    </row>
    <row r="244" ht="22.5" customHeight="1">
      <c r="A244" s="76"/>
      <c r="B244" s="68" t="str">
        <f t="shared" si="1"/>
        <v/>
      </c>
      <c r="C244" s="110"/>
      <c r="D244" s="70" t="str">
        <f t="shared" si="2"/>
        <v/>
      </c>
      <c r="E244" s="76"/>
      <c r="F244" s="68" t="str">
        <f t="array" ref="F244">IF($A244="","",IFERROR(INDEX(MA_INDIVIDUALES!C$2:C923, MATCH($A244,MA_INDIVIDUALES!$B$2:$B923,0),1),"CÓDIGO DE EXPEDIENTE INVÁLIDO"))</f>
        <v/>
      </c>
      <c r="G244" s="68" t="str">
        <f t="array" ref="G244">IF($A244="","",IFERROR(INDEX(MA_INDIVIDUALES!K$2:K923, MATCH($A244,MA_INDIVIDUALES!$B$2:$B923,0),1),"CÓDIGO DE EXPEDIENTE INVÁLIDO"))</f>
        <v/>
      </c>
      <c r="H244" s="68" t="str">
        <f t="array" ref="H244">IF($A244="","",IFERROR(INDEX(MA_INDIVIDUALES!L$2:L923, MATCH($A244,MA_INDIVIDUALES!$B$2:$B923,0),1),"CÓDIGO DE EXPEDIENTE INVÁLIDO"))</f>
        <v/>
      </c>
      <c r="I244" s="76"/>
      <c r="J244" s="76"/>
      <c r="K244" s="75"/>
      <c r="L244" s="74" t="str">
        <f>IF(A244="","",IF(K244="","",_xlfn.WORKDAY.INTL(K244,5,1,FERIADOS)))</f>
        <v/>
      </c>
      <c r="M244" s="76"/>
      <c r="N244" s="75"/>
      <c r="O244" s="76"/>
      <c r="P244" s="77" t="str">
        <f t="shared" si="3"/>
        <v/>
      </c>
      <c r="Q244" s="75"/>
      <c r="R244" s="76"/>
      <c r="S244" s="75"/>
      <c r="T244" s="75"/>
      <c r="U244" s="76"/>
      <c r="V244" s="76"/>
      <c r="W244" s="75"/>
      <c r="X244" s="76"/>
      <c r="Y244" s="29" t="str">
        <f t="shared" si="4"/>
        <v/>
      </c>
      <c r="Z244" s="29" t="str">
        <f t="shared" si="5"/>
        <v/>
      </c>
      <c r="AA244" s="76"/>
      <c r="AB244" s="76"/>
      <c r="AC244" s="75"/>
      <c r="AD244" s="75"/>
      <c r="AE244" s="78" t="str">
        <f>IF(U244="","",IF(AD244="","",_xlfn.WORKDAY.INTL(AD244,7,1,FERIADOS)))</f>
        <v/>
      </c>
      <c r="AF244" s="104"/>
      <c r="AG244" s="80" t="str">
        <f t="array" ref="AG244">IF(A244="","",IF(AF244="","",AF244*INDEX(PARAMETROS!F$2:F1307,MATCH(YEAR(AC244),PARAMETROS!E$2:E1307,0),1)))</f>
        <v/>
      </c>
      <c r="AH244" s="81"/>
      <c r="AI244" s="82"/>
      <c r="AJ244" s="81"/>
      <c r="AK244" s="81"/>
      <c r="AL244" s="76"/>
      <c r="AM244" s="75"/>
      <c r="AN244" s="76"/>
      <c r="AO244" s="95"/>
      <c r="AP244" s="96"/>
      <c r="AQ244" s="85" t="str">
        <f t="shared" si="6"/>
        <v/>
      </c>
      <c r="AR244" s="86" t="str">
        <f t="array" ref="AR244">IF(A244="","",IFERROR(INDEX('2) Etapas'!L$3:L923,MATCH(B244,'2) Etapas'!$A$4:$A923,0),1),-1))</f>
        <v/>
      </c>
      <c r="AS244" s="87" t="str">
        <f t="shared" si="7"/>
        <v/>
      </c>
      <c r="AT244" s="87" t="str">
        <f t="shared" si="8"/>
        <v/>
      </c>
      <c r="AU244" s="87" t="str">
        <f t="shared" si="9"/>
        <v/>
      </c>
      <c r="AV244" s="89" t="str">
        <f t="array" ref="AV244">IF(OR($A244="",$AB244="", $AC244=""),"",MAXA(IF($A244=$A$4:$A923,$AC$4:$AC923)))</f>
        <v/>
      </c>
    </row>
    <row r="245" ht="22.5" customHeight="1">
      <c r="A245" s="76"/>
      <c r="B245" s="68" t="str">
        <f t="shared" si="1"/>
        <v/>
      </c>
      <c r="C245" s="110"/>
      <c r="D245" s="70" t="str">
        <f t="shared" si="2"/>
        <v/>
      </c>
      <c r="E245" s="76"/>
      <c r="F245" s="68" t="str">
        <f t="array" ref="F245">IF($A245="","",IFERROR(INDEX(MA_INDIVIDUALES!C$2:C923, MATCH($A245,MA_INDIVIDUALES!$B$2:$B923,0),1),"CÓDIGO DE EXPEDIENTE INVÁLIDO"))</f>
        <v/>
      </c>
      <c r="G245" s="68" t="str">
        <f t="array" ref="G245">IF($A245="","",IFERROR(INDEX(MA_INDIVIDUALES!K$2:K923, MATCH($A245,MA_INDIVIDUALES!$B$2:$B923,0),1),"CÓDIGO DE EXPEDIENTE INVÁLIDO"))</f>
        <v/>
      </c>
      <c r="H245" s="68" t="str">
        <f t="array" ref="H245">IF($A245="","",IFERROR(INDEX(MA_INDIVIDUALES!L$2:L923, MATCH($A245,MA_INDIVIDUALES!$B$2:$B923,0),1),"CÓDIGO DE EXPEDIENTE INVÁLIDO"))</f>
        <v/>
      </c>
      <c r="I245" s="76"/>
      <c r="J245" s="76"/>
      <c r="K245" s="75"/>
      <c r="L245" s="74" t="str">
        <f>IF(A245="","",IF(K245="","",_xlfn.WORKDAY.INTL(K245,5,1,FERIADOS)))</f>
        <v/>
      </c>
      <c r="M245" s="76"/>
      <c r="N245" s="75"/>
      <c r="O245" s="76"/>
      <c r="P245" s="77" t="str">
        <f t="shared" si="3"/>
        <v/>
      </c>
      <c r="Q245" s="75"/>
      <c r="R245" s="76"/>
      <c r="S245" s="75"/>
      <c r="T245" s="75"/>
      <c r="U245" s="76"/>
      <c r="V245" s="76"/>
      <c r="W245" s="75"/>
      <c r="X245" s="76"/>
      <c r="Y245" s="29" t="str">
        <f t="shared" si="4"/>
        <v/>
      </c>
      <c r="Z245" s="29" t="str">
        <f t="shared" si="5"/>
        <v/>
      </c>
      <c r="AA245" s="76"/>
      <c r="AB245" s="76"/>
      <c r="AC245" s="75"/>
      <c r="AD245" s="75"/>
      <c r="AE245" s="78" t="str">
        <f>IF(U245="","",IF(AD245="","",_xlfn.WORKDAY.INTL(AD245,7,1,FERIADOS)))</f>
        <v/>
      </c>
      <c r="AF245" s="104"/>
      <c r="AG245" s="80" t="str">
        <f t="array" ref="AG245">IF(A245="","",IF(AF245="","",AF245*INDEX(PARAMETROS!F$2:F1308,MATCH(YEAR(AC245),PARAMETROS!E$2:E1308,0),1)))</f>
        <v/>
      </c>
      <c r="AH245" s="81"/>
      <c r="AI245" s="82"/>
      <c r="AJ245" s="81"/>
      <c r="AK245" s="81"/>
      <c r="AL245" s="76"/>
      <c r="AM245" s="75"/>
      <c r="AN245" s="76"/>
      <c r="AO245" s="95"/>
      <c r="AP245" s="96"/>
      <c r="AQ245" s="85" t="str">
        <f t="shared" si="6"/>
        <v/>
      </c>
      <c r="AR245" s="86" t="str">
        <f t="array" ref="AR245">IF(A245="","",IFERROR(INDEX('2) Etapas'!L$3:L923,MATCH(B245,'2) Etapas'!$A$4:$A923,0),1),-1))</f>
        <v/>
      </c>
      <c r="AS245" s="87" t="str">
        <f t="shared" si="7"/>
        <v/>
      </c>
      <c r="AT245" s="87" t="str">
        <f t="shared" si="8"/>
        <v/>
      </c>
      <c r="AU245" s="87" t="str">
        <f t="shared" si="9"/>
        <v/>
      </c>
      <c r="AV245" s="89" t="str">
        <f t="array" ref="AV245">IF(OR($A245="",$AB245="", $AC245=""),"",MAXA(IF($A245=$A$4:$A923,$AC$4:$AC923)))</f>
        <v/>
      </c>
    </row>
    <row r="246" ht="22.5" customHeight="1">
      <c r="A246" s="76"/>
      <c r="B246" s="68" t="str">
        <f t="shared" si="1"/>
        <v/>
      </c>
      <c r="C246" s="110"/>
      <c r="D246" s="70" t="str">
        <f t="shared" si="2"/>
        <v/>
      </c>
      <c r="E246" s="76"/>
      <c r="F246" s="68" t="str">
        <f t="array" ref="F246">IF($A246="","",IFERROR(INDEX(MA_INDIVIDUALES!C$2:C923, MATCH($A246,MA_INDIVIDUALES!$B$2:$B923,0),1),"CÓDIGO DE EXPEDIENTE INVÁLIDO"))</f>
        <v/>
      </c>
      <c r="G246" s="68" t="str">
        <f t="array" ref="G246">IF($A246="","",IFERROR(INDEX(MA_INDIVIDUALES!K$2:K923, MATCH($A246,MA_INDIVIDUALES!$B$2:$B923,0),1),"CÓDIGO DE EXPEDIENTE INVÁLIDO"))</f>
        <v/>
      </c>
      <c r="H246" s="68" t="str">
        <f t="array" ref="H246">IF($A246="","",IFERROR(INDEX(MA_INDIVIDUALES!L$2:L923, MATCH($A246,MA_INDIVIDUALES!$B$2:$B923,0),1),"CÓDIGO DE EXPEDIENTE INVÁLIDO"))</f>
        <v/>
      </c>
      <c r="I246" s="76"/>
      <c r="J246" s="76"/>
      <c r="K246" s="75"/>
      <c r="L246" s="74" t="str">
        <f>IF(A246="","",IF(K246="","",_xlfn.WORKDAY.INTL(K246,5,1,FERIADOS)))</f>
        <v/>
      </c>
      <c r="M246" s="76"/>
      <c r="N246" s="75"/>
      <c r="O246" s="76"/>
      <c r="P246" s="77" t="str">
        <f t="shared" si="3"/>
        <v/>
      </c>
      <c r="Q246" s="75"/>
      <c r="R246" s="76"/>
      <c r="S246" s="75"/>
      <c r="T246" s="75"/>
      <c r="U246" s="76"/>
      <c r="V246" s="76"/>
      <c r="W246" s="75"/>
      <c r="X246" s="76"/>
      <c r="Y246" s="29" t="str">
        <f t="shared" si="4"/>
        <v/>
      </c>
      <c r="Z246" s="29" t="str">
        <f t="shared" si="5"/>
        <v/>
      </c>
      <c r="AA246" s="76"/>
      <c r="AB246" s="76"/>
      <c r="AC246" s="75"/>
      <c r="AD246" s="75"/>
      <c r="AE246" s="78" t="str">
        <f>IF(U246="","",IF(AD246="","",_xlfn.WORKDAY.INTL(AD246,7,1,FERIADOS)))</f>
        <v/>
      </c>
      <c r="AF246" s="104"/>
      <c r="AG246" s="80" t="str">
        <f t="array" ref="AG246">IF(A246="","",IF(AF246="","",AF246*INDEX(PARAMETROS!F$2:F1309,MATCH(YEAR(AC246),PARAMETROS!E$2:E1309,0),1)))</f>
        <v/>
      </c>
      <c r="AH246" s="81"/>
      <c r="AI246" s="82"/>
      <c r="AJ246" s="81"/>
      <c r="AK246" s="81"/>
      <c r="AL246" s="76"/>
      <c r="AM246" s="75"/>
      <c r="AN246" s="76"/>
      <c r="AO246" s="95"/>
      <c r="AP246" s="96"/>
      <c r="AQ246" s="85" t="str">
        <f t="shared" si="6"/>
        <v/>
      </c>
      <c r="AR246" s="86" t="str">
        <f t="array" ref="AR246">IF(A246="","",IFERROR(INDEX('2) Etapas'!L$3:L923,MATCH(B246,'2) Etapas'!$A$4:$A923,0),1),-1))</f>
        <v/>
      </c>
      <c r="AS246" s="87" t="str">
        <f t="shared" si="7"/>
        <v/>
      </c>
      <c r="AT246" s="87" t="str">
        <f t="shared" si="8"/>
        <v/>
      </c>
      <c r="AU246" s="87" t="str">
        <f t="shared" si="9"/>
        <v/>
      </c>
      <c r="AV246" s="89" t="str">
        <f t="array" ref="AV246">IF(OR($A246="",$AB246="", $AC246=""),"",MAXA(IF($A246=$A$4:$A923,$AC$4:$AC923)))</f>
        <v/>
      </c>
    </row>
    <row r="247" ht="22.5" customHeight="1">
      <c r="A247" s="76"/>
      <c r="B247" s="68" t="str">
        <f t="shared" si="1"/>
        <v/>
      </c>
      <c r="C247" s="110"/>
      <c r="D247" s="70" t="str">
        <f t="shared" si="2"/>
        <v/>
      </c>
      <c r="E247" s="76"/>
      <c r="F247" s="68" t="str">
        <f t="array" ref="F247">IF($A247="","",IFERROR(INDEX(MA_INDIVIDUALES!C$2:C923, MATCH($A247,MA_INDIVIDUALES!$B$2:$B923,0),1),"CÓDIGO DE EXPEDIENTE INVÁLIDO"))</f>
        <v/>
      </c>
      <c r="G247" s="68" t="str">
        <f t="array" ref="G247">IF($A247="","",IFERROR(INDEX(MA_INDIVIDUALES!K$2:K923, MATCH($A247,MA_INDIVIDUALES!$B$2:$B923,0),1),"CÓDIGO DE EXPEDIENTE INVÁLIDO"))</f>
        <v/>
      </c>
      <c r="H247" s="68" t="str">
        <f t="array" ref="H247">IF($A247="","",IFERROR(INDEX(MA_INDIVIDUALES!L$2:L923, MATCH($A247,MA_INDIVIDUALES!$B$2:$B923,0),1),"CÓDIGO DE EXPEDIENTE INVÁLIDO"))</f>
        <v/>
      </c>
      <c r="I247" s="76"/>
      <c r="J247" s="76"/>
      <c r="K247" s="75"/>
      <c r="L247" s="74" t="str">
        <f>IF(A247="","",IF(K247="","",_xlfn.WORKDAY.INTL(K247,5,1,FERIADOS)))</f>
        <v/>
      </c>
      <c r="M247" s="76"/>
      <c r="N247" s="75"/>
      <c r="O247" s="76"/>
      <c r="P247" s="77" t="str">
        <f t="shared" si="3"/>
        <v/>
      </c>
      <c r="Q247" s="75"/>
      <c r="R247" s="76"/>
      <c r="S247" s="75"/>
      <c r="T247" s="75"/>
      <c r="U247" s="76"/>
      <c r="V247" s="76"/>
      <c r="W247" s="75"/>
      <c r="X247" s="76"/>
      <c r="Y247" s="29" t="str">
        <f t="shared" si="4"/>
        <v/>
      </c>
      <c r="Z247" s="29" t="str">
        <f t="shared" si="5"/>
        <v/>
      </c>
      <c r="AA247" s="76"/>
      <c r="AB247" s="76"/>
      <c r="AC247" s="75"/>
      <c r="AD247" s="75"/>
      <c r="AE247" s="78" t="str">
        <f>IF(U247="","",IF(AD247="","",_xlfn.WORKDAY.INTL(AD247,7,1,FERIADOS)))</f>
        <v/>
      </c>
      <c r="AF247" s="104"/>
      <c r="AG247" s="80" t="str">
        <f t="array" ref="AG247">IF(A247="","",IF(AF247="","",AF247*INDEX(PARAMETROS!F$2:F1310,MATCH(YEAR(AC247),PARAMETROS!E$2:E1310,0),1)))</f>
        <v/>
      </c>
      <c r="AH247" s="81"/>
      <c r="AI247" s="82"/>
      <c r="AJ247" s="81"/>
      <c r="AK247" s="81"/>
      <c r="AL247" s="76"/>
      <c r="AM247" s="75"/>
      <c r="AN247" s="76"/>
      <c r="AO247" s="95"/>
      <c r="AP247" s="96"/>
      <c r="AQ247" s="85" t="str">
        <f t="shared" si="6"/>
        <v/>
      </c>
      <c r="AR247" s="86" t="str">
        <f t="array" ref="AR247">IF(A247="","",IFERROR(INDEX('2) Etapas'!L$3:L923,MATCH(B247,'2) Etapas'!$A$4:$A923,0),1),-1))</f>
        <v/>
      </c>
      <c r="AS247" s="87" t="str">
        <f t="shared" si="7"/>
        <v/>
      </c>
      <c r="AT247" s="87" t="str">
        <f t="shared" si="8"/>
        <v/>
      </c>
      <c r="AU247" s="87" t="str">
        <f t="shared" si="9"/>
        <v/>
      </c>
      <c r="AV247" s="89" t="str">
        <f t="array" ref="AV247">IF(OR($A247="",$AB247="", $AC247=""),"",MAXA(IF($A247=$A$4:$A923,$AC$4:$AC923)))</f>
        <v/>
      </c>
    </row>
    <row r="248" ht="22.5" customHeight="1">
      <c r="A248" s="76"/>
      <c r="B248" s="68" t="str">
        <f t="shared" si="1"/>
        <v/>
      </c>
      <c r="C248" s="110"/>
      <c r="D248" s="70" t="str">
        <f t="shared" si="2"/>
        <v/>
      </c>
      <c r="E248" s="76"/>
      <c r="F248" s="68" t="str">
        <f t="array" ref="F248">IF($A248="","",IFERROR(INDEX(MA_INDIVIDUALES!C$2:C923, MATCH($A248,MA_INDIVIDUALES!$B$2:$B923,0),1),"CÓDIGO DE EXPEDIENTE INVÁLIDO"))</f>
        <v/>
      </c>
      <c r="G248" s="68" t="str">
        <f t="array" ref="G248">IF($A248="","",IFERROR(INDEX(MA_INDIVIDUALES!K$2:K923, MATCH($A248,MA_INDIVIDUALES!$B$2:$B923,0),1),"CÓDIGO DE EXPEDIENTE INVÁLIDO"))</f>
        <v/>
      </c>
      <c r="H248" s="68" t="str">
        <f t="array" ref="H248">IF($A248="","",IFERROR(INDEX(MA_INDIVIDUALES!L$2:L923, MATCH($A248,MA_INDIVIDUALES!$B$2:$B923,0),1),"CÓDIGO DE EXPEDIENTE INVÁLIDO"))</f>
        <v/>
      </c>
      <c r="I248" s="76"/>
      <c r="J248" s="76"/>
      <c r="K248" s="75"/>
      <c r="L248" s="74" t="str">
        <f>IF(A248="","",IF(K248="","",_xlfn.WORKDAY.INTL(K248,5,1,FERIADOS)))</f>
        <v/>
      </c>
      <c r="M248" s="76"/>
      <c r="N248" s="75"/>
      <c r="O248" s="76"/>
      <c r="P248" s="77" t="str">
        <f t="shared" si="3"/>
        <v/>
      </c>
      <c r="Q248" s="75"/>
      <c r="R248" s="76"/>
      <c r="S248" s="75"/>
      <c r="T248" s="75"/>
      <c r="U248" s="76"/>
      <c r="V248" s="76"/>
      <c r="W248" s="75"/>
      <c r="X248" s="76"/>
      <c r="Y248" s="29" t="str">
        <f t="shared" si="4"/>
        <v/>
      </c>
      <c r="Z248" s="29" t="str">
        <f t="shared" si="5"/>
        <v/>
      </c>
      <c r="AA248" s="76"/>
      <c r="AB248" s="76"/>
      <c r="AC248" s="75"/>
      <c r="AD248" s="75"/>
      <c r="AE248" s="78" t="str">
        <f>IF(U248="","",IF(AD248="","",_xlfn.WORKDAY.INTL(AD248,7,1,FERIADOS)))</f>
        <v/>
      </c>
      <c r="AF248" s="104"/>
      <c r="AG248" s="80" t="str">
        <f t="array" ref="AG248">IF(A248="","",IF(AF248="","",AF248*INDEX(PARAMETROS!F$2:F1311,MATCH(YEAR(AC248),PARAMETROS!E$2:E1311,0),1)))</f>
        <v/>
      </c>
      <c r="AH248" s="81"/>
      <c r="AI248" s="82"/>
      <c r="AJ248" s="81"/>
      <c r="AK248" s="81"/>
      <c r="AL248" s="76"/>
      <c r="AM248" s="75"/>
      <c r="AN248" s="76"/>
      <c r="AO248" s="95"/>
      <c r="AP248" s="96"/>
      <c r="AQ248" s="85" t="str">
        <f t="shared" si="6"/>
        <v/>
      </c>
      <c r="AR248" s="86" t="str">
        <f t="array" ref="AR248">IF(A248="","",IFERROR(INDEX('2) Etapas'!L$3:L923,MATCH(B248,'2) Etapas'!$A$4:$A923,0),1),-1))</f>
        <v/>
      </c>
      <c r="AS248" s="87" t="str">
        <f t="shared" si="7"/>
        <v/>
      </c>
      <c r="AT248" s="87" t="str">
        <f t="shared" si="8"/>
        <v/>
      </c>
      <c r="AU248" s="87" t="str">
        <f t="shared" si="9"/>
        <v/>
      </c>
      <c r="AV248" s="89" t="str">
        <f t="array" ref="AV248">IF(OR($A248="",$AB248="", $AC248=""),"",MAXA(IF($A248=$A$4:$A923,$AC$4:$AC923)))</f>
        <v/>
      </c>
    </row>
    <row r="249" ht="22.5" customHeight="1">
      <c r="A249" s="76"/>
      <c r="B249" s="68" t="str">
        <f t="shared" si="1"/>
        <v/>
      </c>
      <c r="C249" s="110"/>
      <c r="D249" s="70" t="str">
        <f t="shared" si="2"/>
        <v/>
      </c>
      <c r="E249" s="76"/>
      <c r="F249" s="68" t="str">
        <f t="array" ref="F249">IF($A249="","",IFERROR(INDEX(MA_INDIVIDUALES!C$2:C923, MATCH($A249,MA_INDIVIDUALES!$B$2:$B923,0),1),"CÓDIGO DE EXPEDIENTE INVÁLIDO"))</f>
        <v/>
      </c>
      <c r="G249" s="68" t="str">
        <f t="array" ref="G249">IF($A249="","",IFERROR(INDEX(MA_INDIVIDUALES!K$2:K923, MATCH($A249,MA_INDIVIDUALES!$B$2:$B923,0),1),"CÓDIGO DE EXPEDIENTE INVÁLIDO"))</f>
        <v/>
      </c>
      <c r="H249" s="68" t="str">
        <f t="array" ref="H249">IF($A249="","",IFERROR(INDEX(MA_INDIVIDUALES!L$2:L923, MATCH($A249,MA_INDIVIDUALES!$B$2:$B923,0),1),"CÓDIGO DE EXPEDIENTE INVÁLIDO"))</f>
        <v/>
      </c>
      <c r="I249" s="76"/>
      <c r="J249" s="76"/>
      <c r="K249" s="75"/>
      <c r="L249" s="74" t="str">
        <f>IF(A249="","",IF(K249="","",_xlfn.WORKDAY.INTL(K249,5,1,FERIADOS)))</f>
        <v/>
      </c>
      <c r="M249" s="76"/>
      <c r="N249" s="75"/>
      <c r="O249" s="76"/>
      <c r="P249" s="77" t="str">
        <f t="shared" si="3"/>
        <v/>
      </c>
      <c r="Q249" s="75"/>
      <c r="R249" s="76"/>
      <c r="S249" s="75"/>
      <c r="T249" s="75"/>
      <c r="U249" s="76"/>
      <c r="V249" s="76"/>
      <c r="W249" s="75"/>
      <c r="X249" s="76"/>
      <c r="Y249" s="29" t="str">
        <f t="shared" si="4"/>
        <v/>
      </c>
      <c r="Z249" s="29" t="str">
        <f t="shared" si="5"/>
        <v/>
      </c>
      <c r="AA249" s="76"/>
      <c r="AB249" s="76"/>
      <c r="AC249" s="75"/>
      <c r="AD249" s="75"/>
      <c r="AE249" s="78" t="str">
        <f>IF(U249="","",IF(AD249="","",_xlfn.WORKDAY.INTL(AD249,7,1,FERIADOS)))</f>
        <v/>
      </c>
      <c r="AF249" s="104"/>
      <c r="AG249" s="80" t="str">
        <f t="array" ref="AG249">IF(A249="","",IF(AF249="","",AF249*INDEX(PARAMETROS!F$2:F1312,MATCH(YEAR(AC249),PARAMETROS!E$2:E1312,0),1)))</f>
        <v/>
      </c>
      <c r="AH249" s="81"/>
      <c r="AI249" s="82"/>
      <c r="AJ249" s="81"/>
      <c r="AK249" s="81"/>
      <c r="AL249" s="76"/>
      <c r="AM249" s="75"/>
      <c r="AN249" s="76"/>
      <c r="AO249" s="95"/>
      <c r="AP249" s="96"/>
      <c r="AQ249" s="85" t="str">
        <f t="shared" si="6"/>
        <v/>
      </c>
      <c r="AR249" s="86" t="str">
        <f t="array" ref="AR249">IF(A249="","",IFERROR(INDEX('2) Etapas'!L$3:L923,MATCH(B249,'2) Etapas'!$A$4:$A923,0),1),-1))</f>
        <v/>
      </c>
      <c r="AS249" s="87" t="str">
        <f t="shared" si="7"/>
        <v/>
      </c>
      <c r="AT249" s="87" t="str">
        <f t="shared" si="8"/>
        <v/>
      </c>
      <c r="AU249" s="87" t="str">
        <f t="shared" si="9"/>
        <v/>
      </c>
      <c r="AV249" s="89" t="str">
        <f t="array" ref="AV249">IF(OR($A249="",$AB249="", $AC249=""),"",MAXA(IF($A249=$A$4:$A923,$AC$4:$AC923)))</f>
        <v/>
      </c>
    </row>
    <row r="250" ht="22.5" customHeight="1">
      <c r="A250" s="76"/>
      <c r="B250" s="68" t="str">
        <f t="shared" si="1"/>
        <v/>
      </c>
      <c r="C250" s="110"/>
      <c r="D250" s="70" t="str">
        <f t="shared" si="2"/>
        <v/>
      </c>
      <c r="E250" s="76"/>
      <c r="F250" s="68" t="str">
        <f t="array" ref="F250">IF($A250="","",IFERROR(INDEX(MA_INDIVIDUALES!C$2:C923, MATCH($A250,MA_INDIVIDUALES!$B$2:$B923,0),1),"CÓDIGO DE EXPEDIENTE INVÁLIDO"))</f>
        <v/>
      </c>
      <c r="G250" s="68" t="str">
        <f t="array" ref="G250">IF($A250="","",IFERROR(INDEX(MA_INDIVIDUALES!K$2:K923, MATCH($A250,MA_INDIVIDUALES!$B$2:$B923,0),1),"CÓDIGO DE EXPEDIENTE INVÁLIDO"))</f>
        <v/>
      </c>
      <c r="H250" s="68" t="str">
        <f t="array" ref="H250">IF($A250="","",IFERROR(INDEX(MA_INDIVIDUALES!L$2:L923, MATCH($A250,MA_INDIVIDUALES!$B$2:$B923,0),1),"CÓDIGO DE EXPEDIENTE INVÁLIDO"))</f>
        <v/>
      </c>
      <c r="I250" s="76"/>
      <c r="J250" s="76"/>
      <c r="K250" s="75"/>
      <c r="L250" s="74" t="str">
        <f>IF(A250="","",IF(K250="","",_xlfn.WORKDAY.INTL(K250,5,1,FERIADOS)))</f>
        <v/>
      </c>
      <c r="M250" s="76"/>
      <c r="N250" s="75"/>
      <c r="O250" s="76"/>
      <c r="P250" s="77" t="str">
        <f t="shared" si="3"/>
        <v/>
      </c>
      <c r="Q250" s="75"/>
      <c r="R250" s="76"/>
      <c r="S250" s="75"/>
      <c r="T250" s="75"/>
      <c r="U250" s="76"/>
      <c r="V250" s="76"/>
      <c r="W250" s="75"/>
      <c r="X250" s="76"/>
      <c r="Y250" s="29" t="str">
        <f t="shared" si="4"/>
        <v/>
      </c>
      <c r="Z250" s="29" t="str">
        <f t="shared" si="5"/>
        <v/>
      </c>
      <c r="AA250" s="76"/>
      <c r="AB250" s="76"/>
      <c r="AC250" s="75"/>
      <c r="AD250" s="75"/>
      <c r="AE250" s="78" t="str">
        <f>IF(U250="","",IF(AD250="","",_xlfn.WORKDAY.INTL(AD250,7,1,FERIADOS)))</f>
        <v/>
      </c>
      <c r="AF250" s="104"/>
      <c r="AG250" s="80" t="str">
        <f t="array" ref="AG250">IF(A250="","",IF(AF250="","",AF250*INDEX(PARAMETROS!F$2:F1313,MATCH(YEAR(AC250),PARAMETROS!E$2:E1313,0),1)))</f>
        <v/>
      </c>
      <c r="AH250" s="81"/>
      <c r="AI250" s="82"/>
      <c r="AJ250" s="81"/>
      <c r="AK250" s="81"/>
      <c r="AL250" s="76"/>
      <c r="AM250" s="75"/>
      <c r="AN250" s="76"/>
      <c r="AO250" s="95"/>
      <c r="AP250" s="96"/>
      <c r="AQ250" s="85" t="str">
        <f t="shared" si="6"/>
        <v/>
      </c>
      <c r="AR250" s="86" t="str">
        <f t="array" ref="AR250">IF(A250="","",IFERROR(INDEX('2) Etapas'!L$3:L923,MATCH(B250,'2) Etapas'!$A$4:$A923,0),1),-1))</f>
        <v/>
      </c>
      <c r="AS250" s="87" t="str">
        <f t="shared" si="7"/>
        <v/>
      </c>
      <c r="AT250" s="87" t="str">
        <f t="shared" si="8"/>
        <v/>
      </c>
      <c r="AU250" s="87" t="str">
        <f t="shared" si="9"/>
        <v/>
      </c>
      <c r="AV250" s="89" t="str">
        <f t="array" ref="AV250">IF(OR($A250="",$AB250="", $AC250=""),"",MAXA(IF($A250=$A$4:$A923,$AC$4:$AC923)))</f>
        <v/>
      </c>
    </row>
    <row r="251" ht="22.5" customHeight="1">
      <c r="A251" s="76"/>
      <c r="B251" s="68" t="str">
        <f t="shared" si="1"/>
        <v/>
      </c>
      <c r="C251" s="110"/>
      <c r="D251" s="70" t="str">
        <f t="shared" si="2"/>
        <v/>
      </c>
      <c r="E251" s="76"/>
      <c r="F251" s="68" t="str">
        <f t="array" ref="F251">IF($A251="","",IFERROR(INDEX(MA_INDIVIDUALES!C$2:C923, MATCH($A251,MA_INDIVIDUALES!$B$2:$B923,0),1),"CÓDIGO DE EXPEDIENTE INVÁLIDO"))</f>
        <v/>
      </c>
      <c r="G251" s="68" t="str">
        <f t="array" ref="G251">IF($A251="","",IFERROR(INDEX(MA_INDIVIDUALES!K$2:K923, MATCH($A251,MA_INDIVIDUALES!$B$2:$B923,0),1),"CÓDIGO DE EXPEDIENTE INVÁLIDO"))</f>
        <v/>
      </c>
      <c r="H251" s="68" t="str">
        <f t="array" ref="H251">IF($A251="","",IFERROR(INDEX(MA_INDIVIDUALES!L$2:L923, MATCH($A251,MA_INDIVIDUALES!$B$2:$B923,0),1),"CÓDIGO DE EXPEDIENTE INVÁLIDO"))</f>
        <v/>
      </c>
      <c r="I251" s="76"/>
      <c r="J251" s="76"/>
      <c r="K251" s="75"/>
      <c r="L251" s="74" t="str">
        <f>IF(A251="","",IF(K251="","",_xlfn.WORKDAY.INTL(K251,5,1,FERIADOS)))</f>
        <v/>
      </c>
      <c r="M251" s="76"/>
      <c r="N251" s="75"/>
      <c r="O251" s="76"/>
      <c r="P251" s="77" t="str">
        <f t="shared" si="3"/>
        <v/>
      </c>
      <c r="Q251" s="75"/>
      <c r="R251" s="76"/>
      <c r="S251" s="75"/>
      <c r="T251" s="75"/>
      <c r="U251" s="76"/>
      <c r="V251" s="76"/>
      <c r="W251" s="75"/>
      <c r="X251" s="76"/>
      <c r="Y251" s="29" t="str">
        <f t="shared" si="4"/>
        <v/>
      </c>
      <c r="Z251" s="29" t="str">
        <f t="shared" si="5"/>
        <v/>
      </c>
      <c r="AA251" s="76"/>
      <c r="AB251" s="76"/>
      <c r="AC251" s="75"/>
      <c r="AD251" s="75"/>
      <c r="AE251" s="78" t="str">
        <f>IF(U251="","",IF(AD251="","",_xlfn.WORKDAY.INTL(AD251,7,1,FERIADOS)))</f>
        <v/>
      </c>
      <c r="AF251" s="104"/>
      <c r="AG251" s="80" t="str">
        <f t="array" ref="AG251">IF(A251="","",IF(AF251="","",AF251*INDEX(PARAMETROS!F$2:F1314,MATCH(YEAR(AC251),PARAMETROS!E$2:E1314,0),1)))</f>
        <v/>
      </c>
      <c r="AH251" s="81"/>
      <c r="AI251" s="82"/>
      <c r="AJ251" s="81"/>
      <c r="AK251" s="81"/>
      <c r="AL251" s="76"/>
      <c r="AM251" s="75"/>
      <c r="AN251" s="76"/>
      <c r="AO251" s="95"/>
      <c r="AP251" s="96"/>
      <c r="AQ251" s="85" t="str">
        <f t="shared" si="6"/>
        <v/>
      </c>
      <c r="AR251" s="86" t="str">
        <f t="array" ref="AR251">IF(A251="","",IFERROR(INDEX('2) Etapas'!L$3:L923,MATCH(B251,'2) Etapas'!$A$4:$A923,0),1),-1))</f>
        <v/>
      </c>
      <c r="AS251" s="87" t="str">
        <f t="shared" si="7"/>
        <v/>
      </c>
      <c r="AT251" s="87" t="str">
        <f t="shared" si="8"/>
        <v/>
      </c>
      <c r="AU251" s="87" t="str">
        <f t="shared" si="9"/>
        <v/>
      </c>
      <c r="AV251" s="89" t="str">
        <f t="array" ref="AV251">IF(OR($A251="",$AB251="", $AC251=""),"",MAXA(IF($A251=$A$4:$A923,$AC$4:$AC923)))</f>
        <v/>
      </c>
    </row>
    <row r="252" ht="22.5" customHeight="1">
      <c r="A252" s="76"/>
      <c r="B252" s="68" t="str">
        <f t="shared" si="1"/>
        <v/>
      </c>
      <c r="C252" s="110"/>
      <c r="D252" s="70" t="str">
        <f t="shared" si="2"/>
        <v/>
      </c>
      <c r="E252" s="76"/>
      <c r="F252" s="68" t="str">
        <f t="array" ref="F252">IF($A252="","",IFERROR(INDEX(MA_INDIVIDUALES!C$2:C923, MATCH($A252,MA_INDIVIDUALES!$B$2:$B923,0),1),"CÓDIGO DE EXPEDIENTE INVÁLIDO"))</f>
        <v/>
      </c>
      <c r="G252" s="68" t="str">
        <f t="array" ref="G252">IF($A252="","",IFERROR(INDEX(MA_INDIVIDUALES!K$2:K923, MATCH($A252,MA_INDIVIDUALES!$B$2:$B923,0),1),"CÓDIGO DE EXPEDIENTE INVÁLIDO"))</f>
        <v/>
      </c>
      <c r="H252" s="68" t="str">
        <f t="array" ref="H252">IF($A252="","",IFERROR(INDEX(MA_INDIVIDUALES!L$2:L923, MATCH($A252,MA_INDIVIDUALES!$B$2:$B923,0),1),"CÓDIGO DE EXPEDIENTE INVÁLIDO"))</f>
        <v/>
      </c>
      <c r="I252" s="76"/>
      <c r="J252" s="76"/>
      <c r="K252" s="75"/>
      <c r="L252" s="74" t="str">
        <f>IF(A252="","",IF(K252="","",_xlfn.WORKDAY.INTL(K252,5,1,FERIADOS)))</f>
        <v/>
      </c>
      <c r="M252" s="76"/>
      <c r="N252" s="75"/>
      <c r="O252" s="76"/>
      <c r="P252" s="77" t="str">
        <f t="shared" si="3"/>
        <v/>
      </c>
      <c r="Q252" s="75"/>
      <c r="R252" s="76"/>
      <c r="S252" s="75"/>
      <c r="T252" s="75"/>
      <c r="U252" s="76"/>
      <c r="V252" s="76"/>
      <c r="W252" s="75"/>
      <c r="X252" s="76"/>
      <c r="Y252" s="29" t="str">
        <f t="shared" si="4"/>
        <v/>
      </c>
      <c r="Z252" s="29" t="str">
        <f t="shared" si="5"/>
        <v/>
      </c>
      <c r="AA252" s="76"/>
      <c r="AB252" s="76"/>
      <c r="AC252" s="75"/>
      <c r="AD252" s="75"/>
      <c r="AE252" s="78" t="str">
        <f>IF(U252="","",IF(AD252="","",_xlfn.WORKDAY.INTL(AD252,7,1,FERIADOS)))</f>
        <v/>
      </c>
      <c r="AF252" s="104"/>
      <c r="AG252" s="80" t="str">
        <f t="array" ref="AG252">IF(A252="","",IF(AF252="","",AF252*INDEX(PARAMETROS!F$2:F1315,MATCH(YEAR(AC252),PARAMETROS!E$2:E1315,0),1)))</f>
        <v/>
      </c>
      <c r="AH252" s="81"/>
      <c r="AI252" s="82"/>
      <c r="AJ252" s="81"/>
      <c r="AK252" s="81"/>
      <c r="AL252" s="76"/>
      <c r="AM252" s="75"/>
      <c r="AN252" s="76"/>
      <c r="AO252" s="95"/>
      <c r="AP252" s="96"/>
      <c r="AQ252" s="85" t="str">
        <f t="shared" si="6"/>
        <v/>
      </c>
      <c r="AR252" s="86" t="str">
        <f t="array" ref="AR252">IF(A252="","",IFERROR(INDEX('2) Etapas'!L$3:L923,MATCH(B252,'2) Etapas'!$A$4:$A923,0),1),-1))</f>
        <v/>
      </c>
      <c r="AS252" s="87" t="str">
        <f t="shared" si="7"/>
        <v/>
      </c>
      <c r="AT252" s="87" t="str">
        <f t="shared" si="8"/>
        <v/>
      </c>
      <c r="AU252" s="87" t="str">
        <f t="shared" si="9"/>
        <v/>
      </c>
      <c r="AV252" s="89" t="str">
        <f t="array" ref="AV252">IF(OR($A252="",$AB252="", $AC252=""),"",MAXA(IF($A252=$A$4:$A923,$AC$4:$AC923)))</f>
        <v/>
      </c>
    </row>
    <row r="253" ht="22.5" customHeight="1">
      <c r="A253" s="76"/>
      <c r="B253" s="68" t="str">
        <f t="shared" si="1"/>
        <v/>
      </c>
      <c r="C253" s="110"/>
      <c r="D253" s="70" t="str">
        <f t="shared" si="2"/>
        <v/>
      </c>
      <c r="E253" s="76"/>
      <c r="F253" s="68" t="str">
        <f t="array" ref="F253">IF($A253="","",IFERROR(INDEX(MA_INDIVIDUALES!C$2:C923, MATCH($A253,MA_INDIVIDUALES!$B$2:$B923,0),1),"CÓDIGO DE EXPEDIENTE INVÁLIDO"))</f>
        <v/>
      </c>
      <c r="G253" s="68" t="str">
        <f t="array" ref="G253">IF($A253="","",IFERROR(INDEX(MA_INDIVIDUALES!K$2:K923, MATCH($A253,MA_INDIVIDUALES!$B$2:$B923,0),1),"CÓDIGO DE EXPEDIENTE INVÁLIDO"))</f>
        <v/>
      </c>
      <c r="H253" s="68" t="str">
        <f t="array" ref="H253">IF($A253="","",IFERROR(INDEX(MA_INDIVIDUALES!L$2:L923, MATCH($A253,MA_INDIVIDUALES!$B$2:$B923,0),1),"CÓDIGO DE EXPEDIENTE INVÁLIDO"))</f>
        <v/>
      </c>
      <c r="I253" s="76"/>
      <c r="J253" s="76"/>
      <c r="K253" s="75"/>
      <c r="L253" s="74" t="str">
        <f>IF(A253="","",IF(K253="","",_xlfn.WORKDAY.INTL(K253,5,1,FERIADOS)))</f>
        <v/>
      </c>
      <c r="M253" s="76"/>
      <c r="N253" s="75"/>
      <c r="O253" s="76"/>
      <c r="P253" s="77" t="str">
        <f t="shared" si="3"/>
        <v/>
      </c>
      <c r="Q253" s="75"/>
      <c r="R253" s="76"/>
      <c r="S253" s="75"/>
      <c r="T253" s="75"/>
      <c r="U253" s="76"/>
      <c r="V253" s="76"/>
      <c r="W253" s="75"/>
      <c r="X253" s="76"/>
      <c r="Y253" s="29" t="str">
        <f t="shared" si="4"/>
        <v/>
      </c>
      <c r="Z253" s="29" t="str">
        <f t="shared" si="5"/>
        <v/>
      </c>
      <c r="AA253" s="76"/>
      <c r="AB253" s="76"/>
      <c r="AC253" s="75"/>
      <c r="AD253" s="75"/>
      <c r="AE253" s="78" t="str">
        <f>IF(U253="","",IF(AD253="","",_xlfn.WORKDAY.INTL(AD253,7,1,FERIADOS)))</f>
        <v/>
      </c>
      <c r="AF253" s="104"/>
      <c r="AG253" s="80" t="str">
        <f t="array" ref="AG253">IF(A253="","",IF(AF253="","",AF253*INDEX(PARAMETROS!F$2:F1316,MATCH(YEAR(AC253),PARAMETROS!E$2:E1316,0),1)))</f>
        <v/>
      </c>
      <c r="AH253" s="81"/>
      <c r="AI253" s="82"/>
      <c r="AJ253" s="81"/>
      <c r="AK253" s="81"/>
      <c r="AL253" s="76"/>
      <c r="AM253" s="75"/>
      <c r="AN253" s="76"/>
      <c r="AO253" s="95"/>
      <c r="AP253" s="96"/>
      <c r="AQ253" s="85" t="str">
        <f t="shared" si="6"/>
        <v/>
      </c>
      <c r="AR253" s="86" t="str">
        <f t="array" ref="AR253">IF(A253="","",IFERROR(INDEX('2) Etapas'!L$3:L923,MATCH(B253,'2) Etapas'!$A$4:$A923,0),1),-1))</f>
        <v/>
      </c>
      <c r="AS253" s="87" t="str">
        <f t="shared" si="7"/>
        <v/>
      </c>
      <c r="AT253" s="87" t="str">
        <f t="shared" si="8"/>
        <v/>
      </c>
      <c r="AU253" s="87" t="str">
        <f t="shared" si="9"/>
        <v/>
      </c>
      <c r="AV253" s="89" t="str">
        <f t="array" ref="AV253">IF(OR($A253="",$AB253="", $AC253=""),"",MAXA(IF($A253=$A$4:$A923,$AC$4:$AC923)))</f>
        <v/>
      </c>
    </row>
    <row r="254" ht="22.5" customHeight="1">
      <c r="A254" s="76"/>
      <c r="B254" s="68" t="str">
        <f t="shared" si="1"/>
        <v/>
      </c>
      <c r="C254" s="110"/>
      <c r="D254" s="70" t="str">
        <f t="shared" si="2"/>
        <v/>
      </c>
      <c r="E254" s="76"/>
      <c r="F254" s="68" t="str">
        <f t="array" ref="F254">IF($A254="","",IFERROR(INDEX(MA_INDIVIDUALES!C$2:C923, MATCH($A254,MA_INDIVIDUALES!$B$2:$B923,0),1),"CÓDIGO DE EXPEDIENTE INVÁLIDO"))</f>
        <v/>
      </c>
      <c r="G254" s="68" t="str">
        <f t="array" ref="G254">IF($A254="","",IFERROR(INDEX(MA_INDIVIDUALES!K$2:K923, MATCH($A254,MA_INDIVIDUALES!$B$2:$B923,0),1),"CÓDIGO DE EXPEDIENTE INVÁLIDO"))</f>
        <v/>
      </c>
      <c r="H254" s="68" t="str">
        <f t="array" ref="H254">IF($A254="","",IFERROR(INDEX(MA_INDIVIDUALES!L$2:L923, MATCH($A254,MA_INDIVIDUALES!$B$2:$B923,0),1),"CÓDIGO DE EXPEDIENTE INVÁLIDO"))</f>
        <v/>
      </c>
      <c r="I254" s="76"/>
      <c r="J254" s="76"/>
      <c r="K254" s="75"/>
      <c r="L254" s="74" t="str">
        <f>IF(A254="","",IF(K254="","",_xlfn.WORKDAY.INTL(K254,5,1,FERIADOS)))</f>
        <v/>
      </c>
      <c r="M254" s="76"/>
      <c r="N254" s="75"/>
      <c r="O254" s="76"/>
      <c r="P254" s="77" t="str">
        <f t="shared" si="3"/>
        <v/>
      </c>
      <c r="Q254" s="75"/>
      <c r="R254" s="76"/>
      <c r="S254" s="75"/>
      <c r="T254" s="75"/>
      <c r="U254" s="76"/>
      <c r="V254" s="76"/>
      <c r="W254" s="75"/>
      <c r="X254" s="76"/>
      <c r="Y254" s="29" t="str">
        <f t="shared" si="4"/>
        <v/>
      </c>
      <c r="Z254" s="29" t="str">
        <f t="shared" si="5"/>
        <v/>
      </c>
      <c r="AA254" s="76"/>
      <c r="AB254" s="76"/>
      <c r="AC254" s="75"/>
      <c r="AD254" s="75"/>
      <c r="AE254" s="78" t="str">
        <f>IF(U254="","",IF(AD254="","",_xlfn.WORKDAY.INTL(AD254,7,1,FERIADOS)))</f>
        <v/>
      </c>
      <c r="AF254" s="104"/>
      <c r="AG254" s="80" t="str">
        <f t="array" ref="AG254">IF(A254="","",IF(AF254="","",AF254*INDEX(PARAMETROS!F$2:F1317,MATCH(YEAR(AC254),PARAMETROS!E$2:E1317,0),1)))</f>
        <v/>
      </c>
      <c r="AH254" s="81"/>
      <c r="AI254" s="82"/>
      <c r="AJ254" s="81"/>
      <c r="AK254" s="81"/>
      <c r="AL254" s="76"/>
      <c r="AM254" s="75"/>
      <c r="AN254" s="76"/>
      <c r="AO254" s="95"/>
      <c r="AP254" s="96"/>
      <c r="AQ254" s="85" t="str">
        <f t="shared" si="6"/>
        <v/>
      </c>
      <c r="AR254" s="86" t="str">
        <f t="array" ref="AR254">IF(A254="","",IFERROR(INDEX('2) Etapas'!L$3:L923,MATCH(B254,'2) Etapas'!$A$4:$A923,0),1),-1))</f>
        <v/>
      </c>
      <c r="AS254" s="87" t="str">
        <f t="shared" si="7"/>
        <v/>
      </c>
      <c r="AT254" s="87" t="str">
        <f t="shared" si="8"/>
        <v/>
      </c>
      <c r="AU254" s="87" t="str">
        <f t="shared" si="9"/>
        <v/>
      </c>
      <c r="AV254" s="89" t="str">
        <f t="array" ref="AV254">IF(OR($A254="",$AB254="", $AC254=""),"",MAXA(IF($A254=$A$4:$A923,$AC$4:$AC923)))</f>
        <v/>
      </c>
    </row>
    <row r="255" ht="22.5" customHeight="1">
      <c r="A255" s="76"/>
      <c r="B255" s="68" t="str">
        <f t="shared" si="1"/>
        <v/>
      </c>
      <c r="C255" s="110"/>
      <c r="D255" s="70" t="str">
        <f t="shared" si="2"/>
        <v/>
      </c>
      <c r="E255" s="76"/>
      <c r="F255" s="68" t="str">
        <f t="array" ref="F255">IF($A255="","",IFERROR(INDEX(MA_INDIVIDUALES!C$2:C923, MATCH($A255,MA_INDIVIDUALES!$B$2:$B923,0),1),"CÓDIGO DE EXPEDIENTE INVÁLIDO"))</f>
        <v/>
      </c>
      <c r="G255" s="68" t="str">
        <f t="array" ref="G255">IF($A255="","",IFERROR(INDEX(MA_INDIVIDUALES!K$2:K923, MATCH($A255,MA_INDIVIDUALES!$B$2:$B923,0),1),"CÓDIGO DE EXPEDIENTE INVÁLIDO"))</f>
        <v/>
      </c>
      <c r="H255" s="68" t="str">
        <f t="array" ref="H255">IF($A255="","",IFERROR(INDEX(MA_INDIVIDUALES!L$2:L923, MATCH($A255,MA_INDIVIDUALES!$B$2:$B923,0),1),"CÓDIGO DE EXPEDIENTE INVÁLIDO"))</f>
        <v/>
      </c>
      <c r="I255" s="76"/>
      <c r="J255" s="76"/>
      <c r="K255" s="75"/>
      <c r="L255" s="74" t="str">
        <f>IF(A255="","",IF(K255="","",_xlfn.WORKDAY.INTL(K255,5,1,FERIADOS)))</f>
        <v/>
      </c>
      <c r="M255" s="76"/>
      <c r="N255" s="75"/>
      <c r="O255" s="76"/>
      <c r="P255" s="77" t="str">
        <f t="shared" si="3"/>
        <v/>
      </c>
      <c r="Q255" s="75"/>
      <c r="R255" s="76"/>
      <c r="S255" s="75"/>
      <c r="T255" s="75"/>
      <c r="U255" s="76"/>
      <c r="V255" s="76"/>
      <c r="W255" s="75"/>
      <c r="X255" s="76"/>
      <c r="Y255" s="29" t="str">
        <f t="shared" si="4"/>
        <v/>
      </c>
      <c r="Z255" s="29" t="str">
        <f t="shared" si="5"/>
        <v/>
      </c>
      <c r="AA255" s="76"/>
      <c r="AB255" s="76"/>
      <c r="AC255" s="75"/>
      <c r="AD255" s="75"/>
      <c r="AE255" s="78" t="str">
        <f>IF(U255="","",IF(AD255="","",_xlfn.WORKDAY.INTL(AD255,7,1,FERIADOS)))</f>
        <v/>
      </c>
      <c r="AF255" s="104"/>
      <c r="AG255" s="80" t="str">
        <f t="array" ref="AG255">IF(A255="","",IF(AF255="","",AF255*INDEX(PARAMETROS!F$2:F1318,MATCH(YEAR(AC255),PARAMETROS!E$2:E1318,0),1)))</f>
        <v/>
      </c>
      <c r="AH255" s="81"/>
      <c r="AI255" s="82"/>
      <c r="AJ255" s="81"/>
      <c r="AK255" s="81"/>
      <c r="AL255" s="76"/>
      <c r="AM255" s="75"/>
      <c r="AN255" s="76"/>
      <c r="AO255" s="95"/>
      <c r="AP255" s="96"/>
      <c r="AQ255" s="85" t="str">
        <f t="shared" si="6"/>
        <v/>
      </c>
      <c r="AR255" s="86" t="str">
        <f t="array" ref="AR255">IF(A255="","",IFERROR(INDEX('2) Etapas'!L$3:L923,MATCH(B255,'2) Etapas'!$A$4:$A923,0),1),-1))</f>
        <v/>
      </c>
      <c r="AS255" s="87" t="str">
        <f t="shared" si="7"/>
        <v/>
      </c>
      <c r="AT255" s="87" t="str">
        <f t="shared" si="8"/>
        <v/>
      </c>
      <c r="AU255" s="87" t="str">
        <f t="shared" si="9"/>
        <v/>
      </c>
      <c r="AV255" s="89" t="str">
        <f t="array" ref="AV255">IF(OR($A255="",$AB255="", $AC255=""),"",MAXA(IF($A255=$A$4:$A923,$AC$4:$AC923)))</f>
        <v/>
      </c>
    </row>
    <row r="256" ht="22.5" customHeight="1">
      <c r="A256" s="76"/>
      <c r="B256" s="68" t="str">
        <f t="shared" si="1"/>
        <v/>
      </c>
      <c r="C256" s="110"/>
      <c r="D256" s="70" t="str">
        <f t="shared" si="2"/>
        <v/>
      </c>
      <c r="E256" s="76"/>
      <c r="F256" s="68" t="str">
        <f t="array" ref="F256">IF($A256="","",IFERROR(INDEX(MA_INDIVIDUALES!C$2:C923, MATCH($A256,MA_INDIVIDUALES!$B$2:$B923,0),1),"CÓDIGO DE EXPEDIENTE INVÁLIDO"))</f>
        <v/>
      </c>
      <c r="G256" s="68" t="str">
        <f t="array" ref="G256">IF($A256="","",IFERROR(INDEX(MA_INDIVIDUALES!K$2:K923, MATCH($A256,MA_INDIVIDUALES!$B$2:$B923,0),1),"CÓDIGO DE EXPEDIENTE INVÁLIDO"))</f>
        <v/>
      </c>
      <c r="H256" s="68" t="str">
        <f t="array" ref="H256">IF($A256="","",IFERROR(INDEX(MA_INDIVIDUALES!L$2:L923, MATCH($A256,MA_INDIVIDUALES!$B$2:$B923,0),1),"CÓDIGO DE EXPEDIENTE INVÁLIDO"))</f>
        <v/>
      </c>
      <c r="I256" s="76"/>
      <c r="J256" s="76"/>
      <c r="K256" s="75"/>
      <c r="L256" s="74" t="str">
        <f>IF(A256="","",IF(K256="","",_xlfn.WORKDAY.INTL(K256,5,1,FERIADOS)))</f>
        <v/>
      </c>
      <c r="M256" s="76"/>
      <c r="N256" s="75"/>
      <c r="O256" s="76"/>
      <c r="P256" s="77" t="str">
        <f t="shared" si="3"/>
        <v/>
      </c>
      <c r="Q256" s="75"/>
      <c r="R256" s="76"/>
      <c r="S256" s="75"/>
      <c r="T256" s="75"/>
      <c r="U256" s="76"/>
      <c r="V256" s="76"/>
      <c r="W256" s="75"/>
      <c r="X256" s="76"/>
      <c r="Y256" s="29" t="str">
        <f t="shared" si="4"/>
        <v/>
      </c>
      <c r="Z256" s="29" t="str">
        <f t="shared" si="5"/>
        <v/>
      </c>
      <c r="AA256" s="76"/>
      <c r="AB256" s="76"/>
      <c r="AC256" s="75"/>
      <c r="AD256" s="75"/>
      <c r="AE256" s="78" t="str">
        <f>IF(U256="","",IF(AD256="","",_xlfn.WORKDAY.INTL(AD256,7,1,FERIADOS)))</f>
        <v/>
      </c>
      <c r="AF256" s="104"/>
      <c r="AG256" s="80" t="str">
        <f t="array" ref="AG256">IF(A256="","",IF(AF256="","",AF256*INDEX(PARAMETROS!F$2:F1319,MATCH(YEAR(AC256),PARAMETROS!E$2:E1319,0),1)))</f>
        <v/>
      </c>
      <c r="AH256" s="81"/>
      <c r="AI256" s="82"/>
      <c r="AJ256" s="81"/>
      <c r="AK256" s="81"/>
      <c r="AL256" s="76"/>
      <c r="AM256" s="75"/>
      <c r="AN256" s="76"/>
      <c r="AO256" s="95"/>
      <c r="AP256" s="96"/>
      <c r="AQ256" s="85" t="str">
        <f t="shared" si="6"/>
        <v/>
      </c>
      <c r="AR256" s="86" t="str">
        <f t="array" ref="AR256">IF(A256="","",IFERROR(INDEX('2) Etapas'!L$3:L923,MATCH(B256,'2) Etapas'!$A$4:$A923,0),1),-1))</f>
        <v/>
      </c>
      <c r="AS256" s="87" t="str">
        <f t="shared" si="7"/>
        <v/>
      </c>
      <c r="AT256" s="87" t="str">
        <f t="shared" si="8"/>
        <v/>
      </c>
      <c r="AU256" s="87" t="str">
        <f t="shared" si="9"/>
        <v/>
      </c>
      <c r="AV256" s="89" t="str">
        <f t="array" ref="AV256">IF(OR($A256="",$AB256="", $AC256=""),"",MAXA(IF($A256=$A$4:$A923,$AC$4:$AC923)))</f>
        <v/>
      </c>
    </row>
    <row r="257" ht="22.5" customHeight="1">
      <c r="A257" s="76"/>
      <c r="B257" s="68" t="str">
        <f t="shared" si="1"/>
        <v/>
      </c>
      <c r="C257" s="110"/>
      <c r="D257" s="70" t="str">
        <f t="shared" si="2"/>
        <v/>
      </c>
      <c r="E257" s="76"/>
      <c r="F257" s="68" t="str">
        <f t="array" ref="F257">IF($A257="","",IFERROR(INDEX(MA_INDIVIDUALES!C$2:C923, MATCH($A257,MA_INDIVIDUALES!$B$2:$B923,0),1),"CÓDIGO DE EXPEDIENTE INVÁLIDO"))</f>
        <v/>
      </c>
      <c r="G257" s="68" t="str">
        <f t="array" ref="G257">IF($A257="","",IFERROR(INDEX(MA_INDIVIDUALES!K$2:K923, MATCH($A257,MA_INDIVIDUALES!$B$2:$B923,0),1),"CÓDIGO DE EXPEDIENTE INVÁLIDO"))</f>
        <v/>
      </c>
      <c r="H257" s="68" t="str">
        <f t="array" ref="H257">IF($A257="","",IFERROR(INDEX(MA_INDIVIDUALES!L$2:L923, MATCH($A257,MA_INDIVIDUALES!$B$2:$B923,0),1),"CÓDIGO DE EXPEDIENTE INVÁLIDO"))</f>
        <v/>
      </c>
      <c r="I257" s="76"/>
      <c r="J257" s="76"/>
      <c r="K257" s="75"/>
      <c r="L257" s="74" t="str">
        <f>IF(A257="","",IF(K257="","",_xlfn.WORKDAY.INTL(K257,5,1,FERIADOS)))</f>
        <v/>
      </c>
      <c r="M257" s="76"/>
      <c r="N257" s="75"/>
      <c r="O257" s="76"/>
      <c r="P257" s="77" t="str">
        <f t="shared" si="3"/>
        <v/>
      </c>
      <c r="Q257" s="75"/>
      <c r="R257" s="76"/>
      <c r="S257" s="75"/>
      <c r="T257" s="75"/>
      <c r="U257" s="76"/>
      <c r="V257" s="76"/>
      <c r="W257" s="75"/>
      <c r="X257" s="76"/>
      <c r="Y257" s="29" t="str">
        <f t="shared" si="4"/>
        <v/>
      </c>
      <c r="Z257" s="29" t="str">
        <f t="shared" si="5"/>
        <v/>
      </c>
      <c r="AA257" s="76"/>
      <c r="AB257" s="76"/>
      <c r="AC257" s="75"/>
      <c r="AD257" s="75"/>
      <c r="AE257" s="78" t="str">
        <f>IF(U257="","",IF(AD257="","",_xlfn.WORKDAY.INTL(AD257,7,1,FERIADOS)))</f>
        <v/>
      </c>
      <c r="AF257" s="104"/>
      <c r="AG257" s="80" t="str">
        <f t="array" ref="AG257">IF(A257="","",IF(AF257="","",AF257*INDEX(PARAMETROS!F$2:F1320,MATCH(YEAR(AC257),PARAMETROS!E$2:E1320,0),1)))</f>
        <v/>
      </c>
      <c r="AH257" s="81"/>
      <c r="AI257" s="82"/>
      <c r="AJ257" s="81"/>
      <c r="AK257" s="81"/>
      <c r="AL257" s="76"/>
      <c r="AM257" s="75"/>
      <c r="AN257" s="76"/>
      <c r="AO257" s="95"/>
      <c r="AP257" s="96"/>
      <c r="AQ257" s="85" t="str">
        <f t="shared" si="6"/>
        <v/>
      </c>
      <c r="AR257" s="86" t="str">
        <f t="array" ref="AR257">IF(A257="","",IFERROR(INDEX('2) Etapas'!L$3:L923,MATCH(B257,'2) Etapas'!$A$4:$A923,0),1),-1))</f>
        <v/>
      </c>
      <c r="AS257" s="87" t="str">
        <f t="shared" si="7"/>
        <v/>
      </c>
      <c r="AT257" s="87" t="str">
        <f t="shared" si="8"/>
        <v/>
      </c>
      <c r="AU257" s="87" t="str">
        <f t="shared" si="9"/>
        <v/>
      </c>
      <c r="AV257" s="89" t="str">
        <f t="array" ref="AV257">IF(OR($A257="",$AB257="", $AC257=""),"",MAXA(IF($A257=$A$4:$A923,$AC$4:$AC923)))</f>
        <v/>
      </c>
    </row>
    <row r="258" ht="22.5" customHeight="1">
      <c r="A258" s="76"/>
      <c r="B258" s="68" t="str">
        <f t="shared" si="1"/>
        <v/>
      </c>
      <c r="C258" s="110"/>
      <c r="D258" s="70" t="str">
        <f t="shared" si="2"/>
        <v/>
      </c>
      <c r="E258" s="76"/>
      <c r="F258" s="68" t="str">
        <f t="array" ref="F258">IF($A258="","",IFERROR(INDEX(MA_INDIVIDUALES!C$2:C923, MATCH($A258,MA_INDIVIDUALES!$B$2:$B923,0),1),"CÓDIGO DE EXPEDIENTE INVÁLIDO"))</f>
        <v/>
      </c>
      <c r="G258" s="68" t="str">
        <f t="array" ref="G258">IF($A258="","",IFERROR(INDEX(MA_INDIVIDUALES!K$2:K923, MATCH($A258,MA_INDIVIDUALES!$B$2:$B923,0),1),"CÓDIGO DE EXPEDIENTE INVÁLIDO"))</f>
        <v/>
      </c>
      <c r="H258" s="68" t="str">
        <f t="array" ref="H258">IF($A258="","",IFERROR(INDEX(MA_INDIVIDUALES!L$2:L923, MATCH($A258,MA_INDIVIDUALES!$B$2:$B923,0),1),"CÓDIGO DE EXPEDIENTE INVÁLIDO"))</f>
        <v/>
      </c>
      <c r="I258" s="76"/>
      <c r="J258" s="76"/>
      <c r="K258" s="75"/>
      <c r="L258" s="74" t="str">
        <f>IF(A258="","",IF(K258="","",_xlfn.WORKDAY.INTL(K258,5,1,FERIADOS)))</f>
        <v/>
      </c>
      <c r="M258" s="76"/>
      <c r="N258" s="75"/>
      <c r="O258" s="76"/>
      <c r="P258" s="77" t="str">
        <f t="shared" si="3"/>
        <v/>
      </c>
      <c r="Q258" s="75"/>
      <c r="R258" s="76"/>
      <c r="S258" s="75"/>
      <c r="T258" s="75"/>
      <c r="U258" s="76"/>
      <c r="V258" s="76"/>
      <c r="W258" s="75"/>
      <c r="X258" s="76"/>
      <c r="Y258" s="29" t="str">
        <f t="shared" si="4"/>
        <v/>
      </c>
      <c r="Z258" s="29" t="str">
        <f t="shared" si="5"/>
        <v/>
      </c>
      <c r="AA258" s="76"/>
      <c r="AB258" s="76"/>
      <c r="AC258" s="75"/>
      <c r="AD258" s="75"/>
      <c r="AE258" s="78" t="str">
        <f>IF(U258="","",IF(AD258="","",_xlfn.WORKDAY.INTL(AD258,7,1,FERIADOS)))</f>
        <v/>
      </c>
      <c r="AF258" s="104"/>
      <c r="AG258" s="80" t="str">
        <f t="array" ref="AG258">IF(A258="","",IF(AF258="","",AF258*INDEX(PARAMETROS!F$2:F1321,MATCH(YEAR(AC258),PARAMETROS!E$2:E1321,0),1)))</f>
        <v/>
      </c>
      <c r="AH258" s="81"/>
      <c r="AI258" s="82"/>
      <c r="AJ258" s="81"/>
      <c r="AK258" s="81"/>
      <c r="AL258" s="76"/>
      <c r="AM258" s="75"/>
      <c r="AN258" s="76"/>
      <c r="AO258" s="95"/>
      <c r="AP258" s="96"/>
      <c r="AQ258" s="85" t="str">
        <f t="shared" si="6"/>
        <v/>
      </c>
      <c r="AR258" s="86" t="str">
        <f t="array" ref="AR258">IF(A258="","",IFERROR(INDEX('2) Etapas'!L$3:L923,MATCH(B258,'2) Etapas'!$A$4:$A923,0),1),-1))</f>
        <v/>
      </c>
      <c r="AS258" s="87" t="str">
        <f t="shared" si="7"/>
        <v/>
      </c>
      <c r="AT258" s="87" t="str">
        <f t="shared" si="8"/>
        <v/>
      </c>
      <c r="AU258" s="87" t="str">
        <f t="shared" si="9"/>
        <v/>
      </c>
      <c r="AV258" s="89" t="str">
        <f t="array" ref="AV258">IF(OR($A258="",$AB258="", $AC258=""),"",MAXA(IF($A258=$A$4:$A923,$AC$4:$AC923)))</f>
        <v/>
      </c>
    </row>
    <row r="259" ht="22.5" customHeight="1">
      <c r="A259" s="76"/>
      <c r="B259" s="68" t="str">
        <f t="shared" si="1"/>
        <v/>
      </c>
      <c r="C259" s="110"/>
      <c r="D259" s="70" t="str">
        <f t="shared" si="2"/>
        <v/>
      </c>
      <c r="E259" s="76"/>
      <c r="F259" s="68" t="str">
        <f t="array" ref="F259">IF($A259="","",IFERROR(INDEX(MA_INDIVIDUALES!C$2:C923, MATCH($A259,MA_INDIVIDUALES!$B$2:$B923,0),1),"CÓDIGO DE EXPEDIENTE INVÁLIDO"))</f>
        <v/>
      </c>
      <c r="G259" s="68" t="str">
        <f t="array" ref="G259">IF($A259="","",IFERROR(INDEX(MA_INDIVIDUALES!K$2:K923, MATCH($A259,MA_INDIVIDUALES!$B$2:$B923,0),1),"CÓDIGO DE EXPEDIENTE INVÁLIDO"))</f>
        <v/>
      </c>
      <c r="H259" s="68" t="str">
        <f t="array" ref="H259">IF($A259="","",IFERROR(INDEX(MA_INDIVIDUALES!L$2:L923, MATCH($A259,MA_INDIVIDUALES!$B$2:$B923,0),1),"CÓDIGO DE EXPEDIENTE INVÁLIDO"))</f>
        <v/>
      </c>
      <c r="I259" s="76"/>
      <c r="J259" s="76"/>
      <c r="K259" s="75"/>
      <c r="L259" s="74" t="str">
        <f>IF(A259="","",IF(K259="","",_xlfn.WORKDAY.INTL(K259,5,1,FERIADOS)))</f>
        <v/>
      </c>
      <c r="M259" s="76"/>
      <c r="N259" s="75"/>
      <c r="O259" s="76"/>
      <c r="P259" s="77" t="str">
        <f t="shared" si="3"/>
        <v/>
      </c>
      <c r="Q259" s="75"/>
      <c r="R259" s="76"/>
      <c r="S259" s="75"/>
      <c r="T259" s="75"/>
      <c r="U259" s="76"/>
      <c r="V259" s="76"/>
      <c r="W259" s="75"/>
      <c r="X259" s="76"/>
      <c r="Y259" s="29" t="str">
        <f t="shared" si="4"/>
        <v/>
      </c>
      <c r="Z259" s="29" t="str">
        <f t="shared" si="5"/>
        <v/>
      </c>
      <c r="AA259" s="76"/>
      <c r="AB259" s="76"/>
      <c r="AC259" s="75"/>
      <c r="AD259" s="75"/>
      <c r="AE259" s="78" t="str">
        <f>IF(U259="","",IF(AD259="","",_xlfn.WORKDAY.INTL(AD259,7,1,FERIADOS)))</f>
        <v/>
      </c>
      <c r="AF259" s="104"/>
      <c r="AG259" s="80" t="str">
        <f t="array" ref="AG259">IF(A259="","",IF(AF259="","",AF259*INDEX(PARAMETROS!F$2:F1322,MATCH(YEAR(AC259),PARAMETROS!E$2:E1322,0),1)))</f>
        <v/>
      </c>
      <c r="AH259" s="81"/>
      <c r="AI259" s="82"/>
      <c r="AJ259" s="81"/>
      <c r="AK259" s="81"/>
      <c r="AL259" s="76"/>
      <c r="AM259" s="75"/>
      <c r="AN259" s="76"/>
      <c r="AO259" s="95"/>
      <c r="AP259" s="96"/>
      <c r="AQ259" s="85" t="str">
        <f t="shared" si="6"/>
        <v/>
      </c>
      <c r="AR259" s="86" t="str">
        <f t="array" ref="AR259">IF(A259="","",IFERROR(INDEX('2) Etapas'!L$3:L923,MATCH(B259,'2) Etapas'!$A$4:$A923,0),1),-1))</f>
        <v/>
      </c>
      <c r="AS259" s="87" t="str">
        <f t="shared" si="7"/>
        <v/>
      </c>
      <c r="AT259" s="87" t="str">
        <f t="shared" si="8"/>
        <v/>
      </c>
      <c r="AU259" s="87" t="str">
        <f t="shared" si="9"/>
        <v/>
      </c>
      <c r="AV259" s="89" t="str">
        <f t="array" ref="AV259">IF(OR($A259="",$AB259="", $AC259=""),"",MAXA(IF($A259=$A$4:$A923,$AC$4:$AC923)))</f>
        <v/>
      </c>
    </row>
    <row r="260" ht="22.5" customHeight="1">
      <c r="A260" s="76"/>
      <c r="B260" s="68" t="str">
        <f t="shared" si="1"/>
        <v/>
      </c>
      <c r="C260" s="110"/>
      <c r="D260" s="70" t="str">
        <f t="shared" si="2"/>
        <v/>
      </c>
      <c r="E260" s="76"/>
      <c r="F260" s="68" t="str">
        <f t="array" ref="F260">IF($A260="","",IFERROR(INDEX(MA_INDIVIDUALES!C$2:C923, MATCH($A260,MA_INDIVIDUALES!$B$2:$B923,0),1),"CÓDIGO DE EXPEDIENTE INVÁLIDO"))</f>
        <v/>
      </c>
      <c r="G260" s="68" t="str">
        <f t="array" ref="G260">IF($A260="","",IFERROR(INDEX(MA_INDIVIDUALES!K$2:K923, MATCH($A260,MA_INDIVIDUALES!$B$2:$B923,0),1),"CÓDIGO DE EXPEDIENTE INVÁLIDO"))</f>
        <v/>
      </c>
      <c r="H260" s="68" t="str">
        <f t="array" ref="H260">IF($A260="","",IFERROR(INDEX(MA_INDIVIDUALES!L$2:L923, MATCH($A260,MA_INDIVIDUALES!$B$2:$B923,0),1),"CÓDIGO DE EXPEDIENTE INVÁLIDO"))</f>
        <v/>
      </c>
      <c r="I260" s="76"/>
      <c r="J260" s="76"/>
      <c r="K260" s="75"/>
      <c r="L260" s="74" t="str">
        <f>IF(A260="","",IF(K260="","",_xlfn.WORKDAY.INTL(K260,5,1,FERIADOS)))</f>
        <v/>
      </c>
      <c r="M260" s="76"/>
      <c r="N260" s="75"/>
      <c r="O260" s="76"/>
      <c r="P260" s="77" t="str">
        <f t="shared" si="3"/>
        <v/>
      </c>
      <c r="Q260" s="75"/>
      <c r="R260" s="76"/>
      <c r="S260" s="75"/>
      <c r="T260" s="75"/>
      <c r="U260" s="76"/>
      <c r="V260" s="76"/>
      <c r="W260" s="75"/>
      <c r="X260" s="76"/>
      <c r="Y260" s="29" t="str">
        <f t="shared" si="4"/>
        <v/>
      </c>
      <c r="Z260" s="29" t="str">
        <f t="shared" si="5"/>
        <v/>
      </c>
      <c r="AA260" s="76"/>
      <c r="AB260" s="76"/>
      <c r="AC260" s="75"/>
      <c r="AD260" s="75"/>
      <c r="AE260" s="78" t="str">
        <f>IF(U260="","",IF(AD260="","",_xlfn.WORKDAY.INTL(AD260,7,1,FERIADOS)))</f>
        <v/>
      </c>
      <c r="AF260" s="104"/>
      <c r="AG260" s="80" t="str">
        <f t="array" ref="AG260">IF(A260="","",IF(AF260="","",AF260*INDEX(PARAMETROS!F$2:F1323,MATCH(YEAR(AC260),PARAMETROS!E$2:E1323,0),1)))</f>
        <v/>
      </c>
      <c r="AH260" s="81"/>
      <c r="AI260" s="82"/>
      <c r="AJ260" s="81"/>
      <c r="AK260" s="81"/>
      <c r="AL260" s="76"/>
      <c r="AM260" s="75"/>
      <c r="AN260" s="76"/>
      <c r="AO260" s="95"/>
      <c r="AP260" s="96"/>
      <c r="AQ260" s="85" t="str">
        <f t="shared" si="6"/>
        <v/>
      </c>
      <c r="AR260" s="86" t="str">
        <f t="array" ref="AR260">IF(A260="","",IFERROR(INDEX('2) Etapas'!L$3:L923,MATCH(B260,'2) Etapas'!$A$4:$A923,0),1),-1))</f>
        <v/>
      </c>
      <c r="AS260" s="87" t="str">
        <f t="shared" si="7"/>
        <v/>
      </c>
      <c r="AT260" s="87" t="str">
        <f t="shared" si="8"/>
        <v/>
      </c>
      <c r="AU260" s="87" t="str">
        <f t="shared" si="9"/>
        <v/>
      </c>
      <c r="AV260" s="89" t="str">
        <f t="array" ref="AV260">IF(OR($A260="",$AB260="", $AC260=""),"",MAXA(IF($A260=$A$4:$A923,$AC$4:$AC923)))</f>
        <v/>
      </c>
    </row>
    <row r="261" ht="22.5" customHeight="1">
      <c r="A261" s="76"/>
      <c r="B261" s="68" t="str">
        <f t="shared" si="1"/>
        <v/>
      </c>
      <c r="C261" s="110"/>
      <c r="D261" s="70" t="str">
        <f t="shared" si="2"/>
        <v/>
      </c>
      <c r="E261" s="76"/>
      <c r="F261" s="68" t="str">
        <f t="array" ref="F261">IF($A261="","",IFERROR(INDEX(MA_INDIVIDUALES!C$2:C923, MATCH($A261,MA_INDIVIDUALES!$B$2:$B923,0),1),"CÓDIGO DE EXPEDIENTE INVÁLIDO"))</f>
        <v/>
      </c>
      <c r="G261" s="68" t="str">
        <f t="array" ref="G261">IF($A261="","",IFERROR(INDEX(MA_INDIVIDUALES!K$2:K923, MATCH($A261,MA_INDIVIDUALES!$B$2:$B923,0),1),"CÓDIGO DE EXPEDIENTE INVÁLIDO"))</f>
        <v/>
      </c>
      <c r="H261" s="68" t="str">
        <f t="array" ref="H261">IF($A261="","",IFERROR(INDEX(MA_INDIVIDUALES!L$2:L923, MATCH($A261,MA_INDIVIDUALES!$B$2:$B923,0),1),"CÓDIGO DE EXPEDIENTE INVÁLIDO"))</f>
        <v/>
      </c>
      <c r="I261" s="76"/>
      <c r="J261" s="76"/>
      <c r="K261" s="75"/>
      <c r="L261" s="74" t="str">
        <f>IF(A261="","",IF(K261="","",_xlfn.WORKDAY.INTL(K261,5,1,FERIADOS)))</f>
        <v/>
      </c>
      <c r="M261" s="76"/>
      <c r="N261" s="75"/>
      <c r="O261" s="76"/>
      <c r="P261" s="77" t="str">
        <f t="shared" si="3"/>
        <v/>
      </c>
      <c r="Q261" s="75"/>
      <c r="R261" s="76"/>
      <c r="S261" s="75"/>
      <c r="T261" s="75"/>
      <c r="U261" s="76"/>
      <c r="V261" s="76"/>
      <c r="W261" s="75"/>
      <c r="X261" s="76"/>
      <c r="Y261" s="29" t="str">
        <f t="shared" si="4"/>
        <v/>
      </c>
      <c r="Z261" s="29" t="str">
        <f t="shared" si="5"/>
        <v/>
      </c>
      <c r="AA261" s="76"/>
      <c r="AB261" s="76"/>
      <c r="AC261" s="75"/>
      <c r="AD261" s="75"/>
      <c r="AE261" s="78" t="str">
        <f>IF(U261="","",IF(AD261="","",_xlfn.WORKDAY.INTL(AD261,7,1,FERIADOS)))</f>
        <v/>
      </c>
      <c r="AF261" s="104"/>
      <c r="AG261" s="80" t="str">
        <f t="array" ref="AG261">IF(A261="","",IF(AF261="","",AF261*INDEX(PARAMETROS!F$2:F1324,MATCH(YEAR(AC261),PARAMETROS!E$2:E1324,0),1)))</f>
        <v/>
      </c>
      <c r="AH261" s="81"/>
      <c r="AI261" s="82"/>
      <c r="AJ261" s="81"/>
      <c r="AK261" s="81"/>
      <c r="AL261" s="76"/>
      <c r="AM261" s="75"/>
      <c r="AN261" s="76"/>
      <c r="AO261" s="95"/>
      <c r="AP261" s="96"/>
      <c r="AQ261" s="85" t="str">
        <f t="shared" si="6"/>
        <v/>
      </c>
      <c r="AR261" s="86" t="str">
        <f t="array" ref="AR261">IF(A261="","",IFERROR(INDEX('2) Etapas'!L$3:L923,MATCH(B261,'2) Etapas'!$A$4:$A923,0),1),-1))</f>
        <v/>
      </c>
      <c r="AS261" s="87" t="str">
        <f t="shared" si="7"/>
        <v/>
      </c>
      <c r="AT261" s="87" t="str">
        <f t="shared" si="8"/>
        <v/>
      </c>
      <c r="AU261" s="87" t="str">
        <f t="shared" si="9"/>
        <v/>
      </c>
      <c r="AV261" s="89" t="str">
        <f t="array" ref="AV261">IF(OR($A261="",$AB261="", $AC261=""),"",MAXA(IF($A261=$A$4:$A923,$AC$4:$AC923)))</f>
        <v/>
      </c>
    </row>
    <row r="262" ht="22.5" customHeight="1">
      <c r="A262" s="76"/>
      <c r="B262" s="68" t="str">
        <f t="shared" si="1"/>
        <v/>
      </c>
      <c r="C262" s="110"/>
      <c r="D262" s="70" t="str">
        <f t="shared" si="2"/>
        <v/>
      </c>
      <c r="E262" s="76"/>
      <c r="F262" s="68" t="str">
        <f t="array" ref="F262">IF($A262="","",IFERROR(INDEX(MA_INDIVIDUALES!C$2:C923, MATCH($A262,MA_INDIVIDUALES!$B$2:$B923,0),1),"CÓDIGO DE EXPEDIENTE INVÁLIDO"))</f>
        <v/>
      </c>
      <c r="G262" s="68" t="str">
        <f t="array" ref="G262">IF($A262="","",IFERROR(INDEX(MA_INDIVIDUALES!K$2:K923, MATCH($A262,MA_INDIVIDUALES!$B$2:$B923,0),1),"CÓDIGO DE EXPEDIENTE INVÁLIDO"))</f>
        <v/>
      </c>
      <c r="H262" s="68" t="str">
        <f t="array" ref="H262">IF($A262="","",IFERROR(INDEX(MA_INDIVIDUALES!L$2:L923, MATCH($A262,MA_INDIVIDUALES!$B$2:$B923,0),1),"CÓDIGO DE EXPEDIENTE INVÁLIDO"))</f>
        <v/>
      </c>
      <c r="I262" s="76"/>
      <c r="J262" s="76"/>
      <c r="K262" s="75"/>
      <c r="L262" s="74" t="str">
        <f>IF(A262="","",IF(K262="","",_xlfn.WORKDAY.INTL(K262,5,1,FERIADOS)))</f>
        <v/>
      </c>
      <c r="M262" s="76"/>
      <c r="N262" s="75"/>
      <c r="O262" s="76"/>
      <c r="P262" s="77" t="str">
        <f t="shared" si="3"/>
        <v/>
      </c>
      <c r="Q262" s="75"/>
      <c r="R262" s="76"/>
      <c r="S262" s="75"/>
      <c r="T262" s="75"/>
      <c r="U262" s="76"/>
      <c r="V262" s="76"/>
      <c r="W262" s="75"/>
      <c r="X262" s="76"/>
      <c r="Y262" s="29" t="str">
        <f t="shared" si="4"/>
        <v/>
      </c>
      <c r="Z262" s="29" t="str">
        <f t="shared" si="5"/>
        <v/>
      </c>
      <c r="AA262" s="76"/>
      <c r="AB262" s="76"/>
      <c r="AC262" s="75"/>
      <c r="AD262" s="75"/>
      <c r="AE262" s="78" t="str">
        <f>IF(U262="","",IF(AD262="","",_xlfn.WORKDAY.INTL(AD262,7,1,FERIADOS)))</f>
        <v/>
      </c>
      <c r="AF262" s="104"/>
      <c r="AG262" s="80" t="str">
        <f t="array" ref="AG262">IF(A262="","",IF(AF262="","",AF262*INDEX(PARAMETROS!F$2:F1325,MATCH(YEAR(AC262),PARAMETROS!E$2:E1325,0),1)))</f>
        <v/>
      </c>
      <c r="AH262" s="81"/>
      <c r="AI262" s="82"/>
      <c r="AJ262" s="81"/>
      <c r="AK262" s="81"/>
      <c r="AL262" s="76"/>
      <c r="AM262" s="75"/>
      <c r="AN262" s="76"/>
      <c r="AO262" s="95"/>
      <c r="AP262" s="96"/>
      <c r="AQ262" s="85" t="str">
        <f t="shared" si="6"/>
        <v/>
      </c>
      <c r="AR262" s="86" t="str">
        <f t="array" ref="AR262">IF(A262="","",IFERROR(INDEX('2) Etapas'!L$3:L923,MATCH(B262,'2) Etapas'!$A$4:$A923,0),1),-1))</f>
        <v/>
      </c>
      <c r="AS262" s="87" t="str">
        <f t="shared" si="7"/>
        <v/>
      </c>
      <c r="AT262" s="87" t="str">
        <f t="shared" si="8"/>
        <v/>
      </c>
      <c r="AU262" s="87" t="str">
        <f t="shared" si="9"/>
        <v/>
      </c>
      <c r="AV262" s="89" t="str">
        <f t="array" ref="AV262">IF(OR($A262="",$AB262="", $AC262=""),"",MAXA(IF($A262=$A$4:$A923,$AC$4:$AC923)))</f>
        <v/>
      </c>
    </row>
    <row r="263" ht="22.5" customHeight="1">
      <c r="A263" s="76"/>
      <c r="B263" s="68" t="str">
        <f t="shared" si="1"/>
        <v/>
      </c>
      <c r="C263" s="110"/>
      <c r="D263" s="70" t="str">
        <f t="shared" si="2"/>
        <v/>
      </c>
      <c r="E263" s="76"/>
      <c r="F263" s="68" t="str">
        <f t="array" ref="F263">IF($A263="","",IFERROR(INDEX(MA_INDIVIDUALES!C$2:C923, MATCH($A263,MA_INDIVIDUALES!$B$2:$B923,0),1),"CÓDIGO DE EXPEDIENTE INVÁLIDO"))</f>
        <v/>
      </c>
      <c r="G263" s="68" t="str">
        <f t="array" ref="G263">IF($A263="","",IFERROR(INDEX(MA_INDIVIDUALES!K$2:K923, MATCH($A263,MA_INDIVIDUALES!$B$2:$B923,0),1),"CÓDIGO DE EXPEDIENTE INVÁLIDO"))</f>
        <v/>
      </c>
      <c r="H263" s="68" t="str">
        <f t="array" ref="H263">IF($A263="","",IFERROR(INDEX(MA_INDIVIDUALES!L$2:L923, MATCH($A263,MA_INDIVIDUALES!$B$2:$B923,0),1),"CÓDIGO DE EXPEDIENTE INVÁLIDO"))</f>
        <v/>
      </c>
      <c r="I263" s="76"/>
      <c r="J263" s="76"/>
      <c r="K263" s="75"/>
      <c r="L263" s="74" t="str">
        <f>IF(A263="","",IF(K263="","",_xlfn.WORKDAY.INTL(K263,5,1,FERIADOS)))</f>
        <v/>
      </c>
      <c r="M263" s="76"/>
      <c r="N263" s="75"/>
      <c r="O263" s="76"/>
      <c r="P263" s="77" t="str">
        <f t="shared" si="3"/>
        <v/>
      </c>
      <c r="Q263" s="75"/>
      <c r="R263" s="76"/>
      <c r="S263" s="75"/>
      <c r="T263" s="75"/>
      <c r="U263" s="76"/>
      <c r="V263" s="76"/>
      <c r="W263" s="75"/>
      <c r="X263" s="76"/>
      <c r="Y263" s="29" t="str">
        <f t="shared" si="4"/>
        <v/>
      </c>
      <c r="Z263" s="29" t="str">
        <f t="shared" si="5"/>
        <v/>
      </c>
      <c r="AA263" s="76"/>
      <c r="AB263" s="76"/>
      <c r="AC263" s="75"/>
      <c r="AD263" s="75"/>
      <c r="AE263" s="78" t="str">
        <f>IF(U263="","",IF(AD263="","",_xlfn.WORKDAY.INTL(AD263,7,1,FERIADOS)))</f>
        <v/>
      </c>
      <c r="AF263" s="104"/>
      <c r="AG263" s="80" t="str">
        <f t="array" ref="AG263">IF(A263="","",IF(AF263="","",AF263*INDEX(PARAMETROS!F$2:F1326,MATCH(YEAR(AC263),PARAMETROS!E$2:E1326,0),1)))</f>
        <v/>
      </c>
      <c r="AH263" s="81"/>
      <c r="AI263" s="82"/>
      <c r="AJ263" s="81"/>
      <c r="AK263" s="81"/>
      <c r="AL263" s="76"/>
      <c r="AM263" s="75"/>
      <c r="AN263" s="76"/>
      <c r="AO263" s="95"/>
      <c r="AP263" s="96"/>
      <c r="AQ263" s="85" t="str">
        <f t="shared" si="6"/>
        <v/>
      </c>
      <c r="AR263" s="86" t="str">
        <f t="array" ref="AR263">IF(A263="","",IFERROR(INDEX('2) Etapas'!L$3:L923,MATCH(B263,'2) Etapas'!$A$4:$A923,0),1),-1))</f>
        <v/>
      </c>
      <c r="AS263" s="87" t="str">
        <f t="shared" si="7"/>
        <v/>
      </c>
      <c r="AT263" s="87" t="str">
        <f t="shared" si="8"/>
        <v/>
      </c>
      <c r="AU263" s="87" t="str">
        <f t="shared" si="9"/>
        <v/>
      </c>
      <c r="AV263" s="89" t="str">
        <f t="array" ref="AV263">IF(OR($A263="",$AB263="", $AC263=""),"",MAXA(IF($A263=$A$4:$A923,$AC$4:$AC923)))</f>
        <v/>
      </c>
    </row>
    <row r="264" ht="22.5" customHeight="1">
      <c r="A264" s="76"/>
      <c r="B264" s="68" t="str">
        <f t="shared" si="1"/>
        <v/>
      </c>
      <c r="C264" s="110"/>
      <c r="D264" s="70" t="str">
        <f t="shared" si="2"/>
        <v/>
      </c>
      <c r="E264" s="76"/>
      <c r="F264" s="68" t="str">
        <f t="array" ref="F264">IF($A264="","",IFERROR(INDEX(MA_INDIVIDUALES!C$2:C923, MATCH($A264,MA_INDIVIDUALES!$B$2:$B923,0),1),"CÓDIGO DE EXPEDIENTE INVÁLIDO"))</f>
        <v/>
      </c>
      <c r="G264" s="68" t="str">
        <f t="array" ref="G264">IF($A264="","",IFERROR(INDEX(MA_INDIVIDUALES!K$2:K923, MATCH($A264,MA_INDIVIDUALES!$B$2:$B923,0),1),"CÓDIGO DE EXPEDIENTE INVÁLIDO"))</f>
        <v/>
      </c>
      <c r="H264" s="68" t="str">
        <f t="array" ref="H264">IF($A264="","",IFERROR(INDEX(MA_INDIVIDUALES!L$2:L923, MATCH($A264,MA_INDIVIDUALES!$B$2:$B923,0),1),"CÓDIGO DE EXPEDIENTE INVÁLIDO"))</f>
        <v/>
      </c>
      <c r="I264" s="76"/>
      <c r="J264" s="76"/>
      <c r="K264" s="75"/>
      <c r="L264" s="74" t="str">
        <f>IF(A264="","",IF(K264="","",_xlfn.WORKDAY.INTL(K264,5,1,FERIADOS)))</f>
        <v/>
      </c>
      <c r="M264" s="76"/>
      <c r="N264" s="75"/>
      <c r="O264" s="76"/>
      <c r="P264" s="77" t="str">
        <f t="shared" si="3"/>
        <v/>
      </c>
      <c r="Q264" s="75"/>
      <c r="R264" s="76"/>
      <c r="S264" s="75"/>
      <c r="T264" s="75"/>
      <c r="U264" s="76"/>
      <c r="V264" s="76"/>
      <c r="W264" s="75"/>
      <c r="X264" s="76"/>
      <c r="Y264" s="29" t="str">
        <f t="shared" si="4"/>
        <v/>
      </c>
      <c r="Z264" s="29" t="str">
        <f t="shared" si="5"/>
        <v/>
      </c>
      <c r="AA264" s="76"/>
      <c r="AB264" s="76"/>
      <c r="AC264" s="75"/>
      <c r="AD264" s="75"/>
      <c r="AE264" s="78" t="str">
        <f>IF(U264="","",IF(AD264="","",_xlfn.WORKDAY.INTL(AD264,7,1,FERIADOS)))</f>
        <v/>
      </c>
      <c r="AF264" s="104"/>
      <c r="AG264" s="80" t="str">
        <f t="array" ref="AG264">IF(A264="","",IF(AF264="","",AF264*INDEX(PARAMETROS!F$2:F1327,MATCH(YEAR(AC264),PARAMETROS!E$2:E1327,0),1)))</f>
        <v/>
      </c>
      <c r="AH264" s="81"/>
      <c r="AI264" s="82"/>
      <c r="AJ264" s="81"/>
      <c r="AK264" s="81"/>
      <c r="AL264" s="76"/>
      <c r="AM264" s="75"/>
      <c r="AN264" s="76"/>
      <c r="AO264" s="95"/>
      <c r="AP264" s="96"/>
      <c r="AQ264" s="85" t="str">
        <f t="shared" si="6"/>
        <v/>
      </c>
      <c r="AR264" s="86" t="str">
        <f t="array" ref="AR264">IF(A264="","",IFERROR(INDEX('2) Etapas'!L$3:L923,MATCH(B264,'2) Etapas'!$A$4:$A923,0),1),-1))</f>
        <v/>
      </c>
      <c r="AS264" s="87" t="str">
        <f t="shared" si="7"/>
        <v/>
      </c>
      <c r="AT264" s="87" t="str">
        <f t="shared" si="8"/>
        <v/>
      </c>
      <c r="AU264" s="87" t="str">
        <f t="shared" si="9"/>
        <v/>
      </c>
      <c r="AV264" s="89" t="str">
        <f t="array" ref="AV264">IF(OR($A264="",$AB264="", $AC264=""),"",MAXA(IF($A264=$A$4:$A923,$AC$4:$AC923)))</f>
        <v/>
      </c>
    </row>
    <row r="265" ht="22.5" customHeight="1">
      <c r="A265" s="76"/>
      <c r="B265" s="68" t="str">
        <f t="shared" si="1"/>
        <v/>
      </c>
      <c r="C265" s="110"/>
      <c r="D265" s="70" t="str">
        <f t="shared" si="2"/>
        <v/>
      </c>
      <c r="E265" s="76"/>
      <c r="F265" s="68" t="str">
        <f t="array" ref="F265">IF($A265="","",IFERROR(INDEX(MA_INDIVIDUALES!C$2:C923, MATCH($A265,MA_INDIVIDUALES!$B$2:$B923,0),1),"CÓDIGO DE EXPEDIENTE INVÁLIDO"))</f>
        <v/>
      </c>
      <c r="G265" s="68" t="str">
        <f t="array" ref="G265">IF($A265="","",IFERROR(INDEX(MA_INDIVIDUALES!K$2:K923, MATCH($A265,MA_INDIVIDUALES!$B$2:$B923,0),1),"CÓDIGO DE EXPEDIENTE INVÁLIDO"))</f>
        <v/>
      </c>
      <c r="H265" s="68" t="str">
        <f t="array" ref="H265">IF($A265="","",IFERROR(INDEX(MA_INDIVIDUALES!L$2:L923, MATCH($A265,MA_INDIVIDUALES!$B$2:$B923,0),1),"CÓDIGO DE EXPEDIENTE INVÁLIDO"))</f>
        <v/>
      </c>
      <c r="I265" s="76"/>
      <c r="J265" s="76"/>
      <c r="K265" s="75"/>
      <c r="L265" s="74" t="str">
        <f>IF(A265="","",IF(K265="","",_xlfn.WORKDAY.INTL(K265,5,1,FERIADOS)))</f>
        <v/>
      </c>
      <c r="M265" s="76"/>
      <c r="N265" s="75"/>
      <c r="O265" s="76"/>
      <c r="P265" s="77" t="str">
        <f t="shared" si="3"/>
        <v/>
      </c>
      <c r="Q265" s="75"/>
      <c r="R265" s="76"/>
      <c r="S265" s="75"/>
      <c r="T265" s="75"/>
      <c r="U265" s="76"/>
      <c r="V265" s="76"/>
      <c r="W265" s="75"/>
      <c r="X265" s="76"/>
      <c r="Y265" s="29" t="str">
        <f t="shared" si="4"/>
        <v/>
      </c>
      <c r="Z265" s="29" t="str">
        <f t="shared" si="5"/>
        <v/>
      </c>
      <c r="AA265" s="76"/>
      <c r="AB265" s="76"/>
      <c r="AC265" s="75"/>
      <c r="AD265" s="75"/>
      <c r="AE265" s="78" t="str">
        <f>IF(U265="","",IF(AD265="","",_xlfn.WORKDAY.INTL(AD265,7,1,FERIADOS)))</f>
        <v/>
      </c>
      <c r="AF265" s="104"/>
      <c r="AG265" s="80" t="str">
        <f t="array" ref="AG265">IF(A265="","",IF(AF265="","",AF265*INDEX(PARAMETROS!F$2:F1328,MATCH(YEAR(AC265),PARAMETROS!E$2:E1328,0),1)))</f>
        <v/>
      </c>
      <c r="AH265" s="81"/>
      <c r="AI265" s="82"/>
      <c r="AJ265" s="81"/>
      <c r="AK265" s="81"/>
      <c r="AL265" s="76"/>
      <c r="AM265" s="75"/>
      <c r="AN265" s="76"/>
      <c r="AO265" s="95"/>
      <c r="AP265" s="96"/>
      <c r="AQ265" s="85" t="str">
        <f t="shared" si="6"/>
        <v/>
      </c>
      <c r="AR265" s="86" t="str">
        <f t="array" ref="AR265">IF(A265="","",IFERROR(INDEX('2) Etapas'!L$3:L923,MATCH(B265,'2) Etapas'!$A$4:$A923,0),1),-1))</f>
        <v/>
      </c>
      <c r="AS265" s="87" t="str">
        <f t="shared" si="7"/>
        <v/>
      </c>
      <c r="AT265" s="87" t="str">
        <f t="shared" si="8"/>
        <v/>
      </c>
      <c r="AU265" s="87" t="str">
        <f t="shared" si="9"/>
        <v/>
      </c>
      <c r="AV265" s="89" t="str">
        <f t="array" ref="AV265">IF(OR($A265="",$AB265="", $AC265=""),"",MAXA(IF($A265=$A$4:$A923,$AC$4:$AC923)))</f>
        <v/>
      </c>
    </row>
    <row r="266" ht="22.5" customHeight="1">
      <c r="A266" s="76"/>
      <c r="B266" s="68" t="str">
        <f t="shared" si="1"/>
        <v/>
      </c>
      <c r="C266" s="110"/>
      <c r="D266" s="70" t="str">
        <f t="shared" si="2"/>
        <v/>
      </c>
      <c r="E266" s="76"/>
      <c r="F266" s="68" t="str">
        <f t="array" ref="F266">IF($A266="","",IFERROR(INDEX(MA_INDIVIDUALES!C$2:C923, MATCH($A266,MA_INDIVIDUALES!$B$2:$B923,0),1),"CÓDIGO DE EXPEDIENTE INVÁLIDO"))</f>
        <v/>
      </c>
      <c r="G266" s="68" t="str">
        <f t="array" ref="G266">IF($A266="","",IFERROR(INDEX(MA_INDIVIDUALES!K$2:K923, MATCH($A266,MA_INDIVIDUALES!$B$2:$B923,0),1),"CÓDIGO DE EXPEDIENTE INVÁLIDO"))</f>
        <v/>
      </c>
      <c r="H266" s="68" t="str">
        <f t="array" ref="H266">IF($A266="","",IFERROR(INDEX(MA_INDIVIDUALES!L$2:L923, MATCH($A266,MA_INDIVIDUALES!$B$2:$B923,0),1),"CÓDIGO DE EXPEDIENTE INVÁLIDO"))</f>
        <v/>
      </c>
      <c r="I266" s="76"/>
      <c r="J266" s="76"/>
      <c r="K266" s="75"/>
      <c r="L266" s="74" t="str">
        <f>IF(A266="","",IF(K266="","",_xlfn.WORKDAY.INTL(K266,5,1,FERIADOS)))</f>
        <v/>
      </c>
      <c r="M266" s="76"/>
      <c r="N266" s="75"/>
      <c r="O266" s="76"/>
      <c r="P266" s="77" t="str">
        <f t="shared" si="3"/>
        <v/>
      </c>
      <c r="Q266" s="75"/>
      <c r="R266" s="76"/>
      <c r="S266" s="75"/>
      <c r="T266" s="75"/>
      <c r="U266" s="76"/>
      <c r="V266" s="76"/>
      <c r="W266" s="75"/>
      <c r="X266" s="76"/>
      <c r="Y266" s="29" t="str">
        <f t="shared" si="4"/>
        <v/>
      </c>
      <c r="Z266" s="29" t="str">
        <f t="shared" si="5"/>
        <v/>
      </c>
      <c r="AA266" s="76"/>
      <c r="AB266" s="76"/>
      <c r="AC266" s="75"/>
      <c r="AD266" s="75"/>
      <c r="AE266" s="78" t="str">
        <f>IF(U266="","",IF(AD266="","",_xlfn.WORKDAY.INTL(AD266,7,1,FERIADOS)))</f>
        <v/>
      </c>
      <c r="AF266" s="104"/>
      <c r="AG266" s="80" t="str">
        <f t="array" ref="AG266">IF(A266="","",IF(AF266="","",AF266*INDEX(PARAMETROS!F$2:F1329,MATCH(YEAR(AC266),PARAMETROS!E$2:E1329,0),1)))</f>
        <v/>
      </c>
      <c r="AH266" s="81"/>
      <c r="AI266" s="82"/>
      <c r="AJ266" s="81"/>
      <c r="AK266" s="81"/>
      <c r="AL266" s="76"/>
      <c r="AM266" s="75"/>
      <c r="AN266" s="76"/>
      <c r="AO266" s="95"/>
      <c r="AP266" s="96"/>
      <c r="AQ266" s="85" t="str">
        <f t="shared" si="6"/>
        <v/>
      </c>
      <c r="AR266" s="86" t="str">
        <f t="array" ref="AR266">IF(A266="","",IFERROR(INDEX('2) Etapas'!L$3:L923,MATCH(B266,'2) Etapas'!$A$4:$A923,0),1),-1))</f>
        <v/>
      </c>
      <c r="AS266" s="87" t="str">
        <f t="shared" si="7"/>
        <v/>
      </c>
      <c r="AT266" s="87" t="str">
        <f t="shared" si="8"/>
        <v/>
      </c>
      <c r="AU266" s="87" t="str">
        <f t="shared" si="9"/>
        <v/>
      </c>
      <c r="AV266" s="89" t="str">
        <f t="array" ref="AV266">IF(OR($A266="",$AB266="", $AC266=""),"",MAXA(IF($A266=$A$4:$A923,$AC$4:$AC923)))</f>
        <v/>
      </c>
    </row>
    <row r="267" ht="22.5" customHeight="1">
      <c r="A267" s="76"/>
      <c r="B267" s="68" t="str">
        <f t="shared" si="1"/>
        <v/>
      </c>
      <c r="C267" s="110"/>
      <c r="D267" s="70" t="str">
        <f t="shared" si="2"/>
        <v/>
      </c>
      <c r="E267" s="76"/>
      <c r="F267" s="68" t="str">
        <f t="array" ref="F267">IF($A267="","",IFERROR(INDEX(MA_INDIVIDUALES!C$2:C923, MATCH($A267,MA_INDIVIDUALES!$B$2:$B923,0),1),"CÓDIGO DE EXPEDIENTE INVÁLIDO"))</f>
        <v/>
      </c>
      <c r="G267" s="68" t="str">
        <f t="array" ref="G267">IF($A267="","",IFERROR(INDEX(MA_INDIVIDUALES!K$2:K923, MATCH($A267,MA_INDIVIDUALES!$B$2:$B923,0),1),"CÓDIGO DE EXPEDIENTE INVÁLIDO"))</f>
        <v/>
      </c>
      <c r="H267" s="68" t="str">
        <f t="array" ref="H267">IF($A267="","",IFERROR(INDEX(MA_INDIVIDUALES!L$2:L923, MATCH($A267,MA_INDIVIDUALES!$B$2:$B923,0),1),"CÓDIGO DE EXPEDIENTE INVÁLIDO"))</f>
        <v/>
      </c>
      <c r="I267" s="76"/>
      <c r="J267" s="76"/>
      <c r="K267" s="75"/>
      <c r="L267" s="74" t="str">
        <f>IF(A267="","",IF(K267="","",_xlfn.WORKDAY.INTL(K267,5,1,FERIADOS)))</f>
        <v/>
      </c>
      <c r="M267" s="76"/>
      <c r="N267" s="75"/>
      <c r="O267" s="76"/>
      <c r="P267" s="77" t="str">
        <f t="shared" si="3"/>
        <v/>
      </c>
      <c r="Q267" s="75"/>
      <c r="R267" s="76"/>
      <c r="S267" s="75"/>
      <c r="T267" s="75"/>
      <c r="U267" s="76"/>
      <c r="V267" s="76"/>
      <c r="W267" s="75"/>
      <c r="X267" s="76"/>
      <c r="Y267" s="29" t="str">
        <f t="shared" si="4"/>
        <v/>
      </c>
      <c r="Z267" s="29" t="str">
        <f t="shared" si="5"/>
        <v/>
      </c>
      <c r="AA267" s="76"/>
      <c r="AB267" s="76"/>
      <c r="AC267" s="75"/>
      <c r="AD267" s="75"/>
      <c r="AE267" s="78" t="str">
        <f>IF(U267="","",IF(AD267="","",_xlfn.WORKDAY.INTL(AD267,7,1,FERIADOS)))</f>
        <v/>
      </c>
      <c r="AF267" s="104"/>
      <c r="AG267" s="80" t="str">
        <f t="array" ref="AG267">IF(A267="","",IF(AF267="","",AF267*INDEX(PARAMETROS!F$2:F1330,MATCH(YEAR(AC267),PARAMETROS!E$2:E1330,0),1)))</f>
        <v/>
      </c>
      <c r="AH267" s="81"/>
      <c r="AI267" s="82"/>
      <c r="AJ267" s="81"/>
      <c r="AK267" s="81"/>
      <c r="AL267" s="76"/>
      <c r="AM267" s="75"/>
      <c r="AN267" s="76"/>
      <c r="AO267" s="95"/>
      <c r="AP267" s="96"/>
      <c r="AQ267" s="85" t="str">
        <f t="shared" si="6"/>
        <v/>
      </c>
      <c r="AR267" s="86" t="str">
        <f t="array" ref="AR267">IF(A267="","",IFERROR(INDEX('2) Etapas'!L$3:L923,MATCH(B267,'2) Etapas'!$A$4:$A923,0),1),-1))</f>
        <v/>
      </c>
      <c r="AS267" s="87" t="str">
        <f t="shared" si="7"/>
        <v/>
      </c>
      <c r="AT267" s="87" t="str">
        <f t="shared" si="8"/>
        <v/>
      </c>
      <c r="AU267" s="87" t="str">
        <f t="shared" si="9"/>
        <v/>
      </c>
      <c r="AV267" s="89" t="str">
        <f t="array" ref="AV267">IF(OR($A267="",$AB267="", $AC267=""),"",MAXA(IF($A267=$A$4:$A923,$AC$4:$AC923)))</f>
        <v/>
      </c>
    </row>
    <row r="268" ht="22.5" customHeight="1">
      <c r="A268" s="76"/>
      <c r="B268" s="68" t="str">
        <f t="shared" si="1"/>
        <v/>
      </c>
      <c r="C268" s="110"/>
      <c r="D268" s="70" t="str">
        <f t="shared" si="2"/>
        <v/>
      </c>
      <c r="E268" s="76"/>
      <c r="F268" s="68" t="str">
        <f t="array" ref="F268">IF($A268="","",IFERROR(INDEX(MA_INDIVIDUALES!C$2:C923, MATCH($A268,MA_INDIVIDUALES!$B$2:$B923,0),1),"CÓDIGO DE EXPEDIENTE INVÁLIDO"))</f>
        <v/>
      </c>
      <c r="G268" s="68" t="str">
        <f t="array" ref="G268">IF($A268="","",IFERROR(INDEX(MA_INDIVIDUALES!K$2:K923, MATCH($A268,MA_INDIVIDUALES!$B$2:$B923,0),1),"CÓDIGO DE EXPEDIENTE INVÁLIDO"))</f>
        <v/>
      </c>
      <c r="H268" s="68" t="str">
        <f t="array" ref="H268">IF($A268="","",IFERROR(INDEX(MA_INDIVIDUALES!L$2:L923, MATCH($A268,MA_INDIVIDUALES!$B$2:$B923,0),1),"CÓDIGO DE EXPEDIENTE INVÁLIDO"))</f>
        <v/>
      </c>
      <c r="I268" s="76"/>
      <c r="J268" s="76"/>
      <c r="K268" s="75"/>
      <c r="L268" s="74" t="str">
        <f>IF(A268="","",IF(K268="","",_xlfn.WORKDAY.INTL(K268,5,1,FERIADOS)))</f>
        <v/>
      </c>
      <c r="M268" s="76"/>
      <c r="N268" s="75"/>
      <c r="O268" s="76"/>
      <c r="P268" s="77" t="str">
        <f t="shared" si="3"/>
        <v/>
      </c>
      <c r="Q268" s="75"/>
      <c r="R268" s="76"/>
      <c r="S268" s="75"/>
      <c r="T268" s="75"/>
      <c r="U268" s="76"/>
      <c r="V268" s="76"/>
      <c r="W268" s="75"/>
      <c r="X268" s="76"/>
      <c r="Y268" s="29" t="str">
        <f t="shared" si="4"/>
        <v/>
      </c>
      <c r="Z268" s="29" t="str">
        <f t="shared" si="5"/>
        <v/>
      </c>
      <c r="AA268" s="76"/>
      <c r="AB268" s="76"/>
      <c r="AC268" s="75"/>
      <c r="AD268" s="75"/>
      <c r="AE268" s="78" t="str">
        <f>IF(U268="","",IF(AD268="","",_xlfn.WORKDAY.INTL(AD268,7,1,FERIADOS)))</f>
        <v/>
      </c>
      <c r="AF268" s="104"/>
      <c r="AG268" s="80" t="str">
        <f t="array" ref="AG268">IF(A268="","",IF(AF268="","",AF268*INDEX(PARAMETROS!F$2:F1331,MATCH(YEAR(AC268),PARAMETROS!E$2:E1331,0),1)))</f>
        <v/>
      </c>
      <c r="AH268" s="81"/>
      <c r="AI268" s="82"/>
      <c r="AJ268" s="81"/>
      <c r="AK268" s="81"/>
      <c r="AL268" s="76"/>
      <c r="AM268" s="75"/>
      <c r="AN268" s="76"/>
      <c r="AO268" s="95"/>
      <c r="AP268" s="96"/>
      <c r="AQ268" s="85" t="str">
        <f t="shared" si="6"/>
        <v/>
      </c>
      <c r="AR268" s="86" t="str">
        <f t="array" ref="AR268">IF(A268="","",IFERROR(INDEX('2) Etapas'!L$3:L923,MATCH(B268,'2) Etapas'!$A$4:$A923,0),1),-1))</f>
        <v/>
      </c>
      <c r="AS268" s="87" t="str">
        <f t="shared" si="7"/>
        <v/>
      </c>
      <c r="AT268" s="87" t="str">
        <f t="shared" si="8"/>
        <v/>
      </c>
      <c r="AU268" s="87" t="str">
        <f t="shared" si="9"/>
        <v/>
      </c>
      <c r="AV268" s="89" t="str">
        <f t="array" ref="AV268">IF(OR($A268="",$AB268="", $AC268=""),"",MAXA(IF($A268=$A$4:$A923,$AC$4:$AC923)))</f>
        <v/>
      </c>
    </row>
    <row r="269" ht="22.5" customHeight="1">
      <c r="A269" s="76"/>
      <c r="B269" s="68" t="str">
        <f t="shared" si="1"/>
        <v/>
      </c>
      <c r="C269" s="110"/>
      <c r="D269" s="70" t="str">
        <f t="shared" si="2"/>
        <v/>
      </c>
      <c r="E269" s="76"/>
      <c r="F269" s="68" t="str">
        <f t="array" ref="F269">IF($A269="","",IFERROR(INDEX(MA_INDIVIDUALES!C$2:C923, MATCH($A269,MA_INDIVIDUALES!$B$2:$B923,0),1),"CÓDIGO DE EXPEDIENTE INVÁLIDO"))</f>
        <v/>
      </c>
      <c r="G269" s="68" t="str">
        <f t="array" ref="G269">IF($A269="","",IFERROR(INDEX(MA_INDIVIDUALES!K$2:K923, MATCH($A269,MA_INDIVIDUALES!$B$2:$B923,0),1),"CÓDIGO DE EXPEDIENTE INVÁLIDO"))</f>
        <v/>
      </c>
      <c r="H269" s="68" t="str">
        <f t="array" ref="H269">IF($A269="","",IFERROR(INDEX(MA_INDIVIDUALES!L$2:L923, MATCH($A269,MA_INDIVIDUALES!$B$2:$B923,0),1),"CÓDIGO DE EXPEDIENTE INVÁLIDO"))</f>
        <v/>
      </c>
      <c r="I269" s="76"/>
      <c r="J269" s="76"/>
      <c r="K269" s="75"/>
      <c r="L269" s="74" t="str">
        <f>IF(A269="","",IF(K269="","",_xlfn.WORKDAY.INTL(K269,5,1,FERIADOS)))</f>
        <v/>
      </c>
      <c r="M269" s="76"/>
      <c r="N269" s="75"/>
      <c r="O269" s="76"/>
      <c r="P269" s="77" t="str">
        <f t="shared" si="3"/>
        <v/>
      </c>
      <c r="Q269" s="75"/>
      <c r="R269" s="76"/>
      <c r="S269" s="75"/>
      <c r="T269" s="75"/>
      <c r="U269" s="76"/>
      <c r="V269" s="76"/>
      <c r="W269" s="75"/>
      <c r="X269" s="76"/>
      <c r="Y269" s="29" t="str">
        <f t="shared" si="4"/>
        <v/>
      </c>
      <c r="Z269" s="29" t="str">
        <f t="shared" si="5"/>
        <v/>
      </c>
      <c r="AA269" s="76"/>
      <c r="AB269" s="76"/>
      <c r="AC269" s="75"/>
      <c r="AD269" s="75"/>
      <c r="AE269" s="78" t="str">
        <f>IF(U269="","",IF(AD269="","",_xlfn.WORKDAY.INTL(AD269,7,1,FERIADOS)))</f>
        <v/>
      </c>
      <c r="AF269" s="104"/>
      <c r="AG269" s="80" t="str">
        <f t="array" ref="AG269">IF(A269="","",IF(AF269="","",AF269*INDEX(PARAMETROS!F$2:F1332,MATCH(YEAR(AC269),PARAMETROS!E$2:E1332,0),1)))</f>
        <v/>
      </c>
      <c r="AH269" s="81"/>
      <c r="AI269" s="82"/>
      <c r="AJ269" s="81"/>
      <c r="AK269" s="81"/>
      <c r="AL269" s="76"/>
      <c r="AM269" s="75"/>
      <c r="AN269" s="76"/>
      <c r="AO269" s="95"/>
      <c r="AP269" s="96"/>
      <c r="AQ269" s="85" t="str">
        <f t="shared" si="6"/>
        <v/>
      </c>
      <c r="AR269" s="86" t="str">
        <f t="array" ref="AR269">IF(A269="","",IFERROR(INDEX('2) Etapas'!L$3:L923,MATCH(B269,'2) Etapas'!$A$4:$A923,0),1),-1))</f>
        <v/>
      </c>
      <c r="AS269" s="87" t="str">
        <f t="shared" si="7"/>
        <v/>
      </c>
      <c r="AT269" s="87" t="str">
        <f t="shared" si="8"/>
        <v/>
      </c>
      <c r="AU269" s="87" t="str">
        <f t="shared" si="9"/>
        <v/>
      </c>
      <c r="AV269" s="89" t="str">
        <f t="array" ref="AV269">IF(OR($A269="",$AB269="", $AC269=""),"",MAXA(IF($A269=$A$4:$A923,$AC$4:$AC923)))</f>
        <v/>
      </c>
    </row>
    <row r="270" ht="22.5" customHeight="1">
      <c r="A270" s="76"/>
      <c r="B270" s="68" t="str">
        <f t="shared" si="1"/>
        <v/>
      </c>
      <c r="C270" s="110"/>
      <c r="D270" s="70" t="str">
        <f t="shared" si="2"/>
        <v/>
      </c>
      <c r="E270" s="76"/>
      <c r="F270" s="68" t="str">
        <f t="array" ref="F270">IF($A270="","",IFERROR(INDEX(MA_INDIVIDUALES!C$2:C923, MATCH($A270,MA_INDIVIDUALES!$B$2:$B923,0),1),"CÓDIGO DE EXPEDIENTE INVÁLIDO"))</f>
        <v/>
      </c>
      <c r="G270" s="68" t="str">
        <f t="array" ref="G270">IF($A270="","",IFERROR(INDEX(MA_INDIVIDUALES!K$2:K923, MATCH($A270,MA_INDIVIDUALES!$B$2:$B923,0),1),"CÓDIGO DE EXPEDIENTE INVÁLIDO"))</f>
        <v/>
      </c>
      <c r="H270" s="68" t="str">
        <f t="array" ref="H270">IF($A270="","",IFERROR(INDEX(MA_INDIVIDUALES!L$2:L923, MATCH($A270,MA_INDIVIDUALES!$B$2:$B923,0),1),"CÓDIGO DE EXPEDIENTE INVÁLIDO"))</f>
        <v/>
      </c>
      <c r="I270" s="76"/>
      <c r="J270" s="76"/>
      <c r="K270" s="75"/>
      <c r="L270" s="74" t="str">
        <f>IF(A270="","",IF(K270="","",_xlfn.WORKDAY.INTL(K270,5,1,FERIADOS)))</f>
        <v/>
      </c>
      <c r="M270" s="76"/>
      <c r="N270" s="75"/>
      <c r="O270" s="76"/>
      <c r="P270" s="77" t="str">
        <f t="shared" si="3"/>
        <v/>
      </c>
      <c r="Q270" s="75"/>
      <c r="R270" s="76"/>
      <c r="S270" s="75"/>
      <c r="T270" s="75"/>
      <c r="U270" s="76"/>
      <c r="V270" s="76"/>
      <c r="W270" s="75"/>
      <c r="X270" s="76"/>
      <c r="Y270" s="29" t="str">
        <f t="shared" si="4"/>
        <v/>
      </c>
      <c r="Z270" s="29" t="str">
        <f t="shared" si="5"/>
        <v/>
      </c>
      <c r="AA270" s="76"/>
      <c r="AB270" s="76"/>
      <c r="AC270" s="75"/>
      <c r="AD270" s="75"/>
      <c r="AE270" s="78" t="str">
        <f>IF(U270="","",IF(AD270="","",_xlfn.WORKDAY.INTL(AD270,7,1,FERIADOS)))</f>
        <v/>
      </c>
      <c r="AF270" s="104"/>
      <c r="AG270" s="80" t="str">
        <f t="array" ref="AG270">IF(A270="","",IF(AF270="","",AF270*INDEX(PARAMETROS!F$2:F1333,MATCH(YEAR(AC270),PARAMETROS!E$2:E1333,0),1)))</f>
        <v/>
      </c>
      <c r="AH270" s="81"/>
      <c r="AI270" s="82"/>
      <c r="AJ270" s="81"/>
      <c r="AK270" s="81"/>
      <c r="AL270" s="76"/>
      <c r="AM270" s="75"/>
      <c r="AN270" s="76"/>
      <c r="AO270" s="95"/>
      <c r="AP270" s="96"/>
      <c r="AQ270" s="85" t="str">
        <f t="shared" si="6"/>
        <v/>
      </c>
      <c r="AR270" s="86" t="str">
        <f t="array" ref="AR270">IF(A270="","",IFERROR(INDEX('2) Etapas'!L$3:L923,MATCH(B270,'2) Etapas'!$A$4:$A923,0),1),-1))</f>
        <v/>
      </c>
      <c r="AS270" s="87" t="str">
        <f t="shared" si="7"/>
        <v/>
      </c>
      <c r="AT270" s="87" t="str">
        <f t="shared" si="8"/>
        <v/>
      </c>
      <c r="AU270" s="87" t="str">
        <f t="shared" si="9"/>
        <v/>
      </c>
      <c r="AV270" s="89" t="str">
        <f t="array" ref="AV270">IF(OR($A270="",$AB270="", $AC270=""),"",MAXA(IF($A270=$A$4:$A923,$AC$4:$AC923)))</f>
        <v/>
      </c>
    </row>
    <row r="271" ht="22.5" customHeight="1">
      <c r="A271" s="76"/>
      <c r="B271" s="68" t="str">
        <f t="shared" si="1"/>
        <v/>
      </c>
      <c r="C271" s="110"/>
      <c r="D271" s="70" t="str">
        <f t="shared" si="2"/>
        <v/>
      </c>
      <c r="E271" s="76"/>
      <c r="F271" s="68" t="str">
        <f t="array" ref="F271">IF($A271="","",IFERROR(INDEX(MA_INDIVIDUALES!C$2:C923, MATCH($A271,MA_INDIVIDUALES!$B$2:$B923,0),1),"CÓDIGO DE EXPEDIENTE INVÁLIDO"))</f>
        <v/>
      </c>
      <c r="G271" s="68" t="str">
        <f t="array" ref="G271">IF($A271="","",IFERROR(INDEX(MA_INDIVIDUALES!K$2:K923, MATCH($A271,MA_INDIVIDUALES!$B$2:$B923,0),1),"CÓDIGO DE EXPEDIENTE INVÁLIDO"))</f>
        <v/>
      </c>
      <c r="H271" s="68" t="str">
        <f t="array" ref="H271">IF($A271="","",IFERROR(INDEX(MA_INDIVIDUALES!L$2:L923, MATCH($A271,MA_INDIVIDUALES!$B$2:$B923,0),1),"CÓDIGO DE EXPEDIENTE INVÁLIDO"))</f>
        <v/>
      </c>
      <c r="I271" s="76"/>
      <c r="J271" s="76"/>
      <c r="K271" s="75"/>
      <c r="L271" s="74" t="str">
        <f>IF(A271="","",IF(K271="","",_xlfn.WORKDAY.INTL(K271,5,1,FERIADOS)))</f>
        <v/>
      </c>
      <c r="M271" s="76"/>
      <c r="N271" s="75"/>
      <c r="O271" s="76"/>
      <c r="P271" s="77" t="str">
        <f t="shared" si="3"/>
        <v/>
      </c>
      <c r="Q271" s="75"/>
      <c r="R271" s="76"/>
      <c r="S271" s="75"/>
      <c r="T271" s="75"/>
      <c r="U271" s="76"/>
      <c r="V271" s="76"/>
      <c r="W271" s="75"/>
      <c r="X271" s="76"/>
      <c r="Y271" s="29" t="str">
        <f t="shared" si="4"/>
        <v/>
      </c>
      <c r="Z271" s="29" t="str">
        <f t="shared" si="5"/>
        <v/>
      </c>
      <c r="AA271" s="76"/>
      <c r="AB271" s="76"/>
      <c r="AC271" s="75"/>
      <c r="AD271" s="75"/>
      <c r="AE271" s="78" t="str">
        <f>IF(U271="","",IF(AD271="","",_xlfn.WORKDAY.INTL(AD271,7,1,FERIADOS)))</f>
        <v/>
      </c>
      <c r="AF271" s="104"/>
      <c r="AG271" s="80" t="str">
        <f t="array" ref="AG271">IF(A271="","",IF(AF271="","",AF271*INDEX(PARAMETROS!F$2:F1334,MATCH(YEAR(AC271),PARAMETROS!E$2:E1334,0),1)))</f>
        <v/>
      </c>
      <c r="AH271" s="81"/>
      <c r="AI271" s="82"/>
      <c r="AJ271" s="81"/>
      <c r="AK271" s="81"/>
      <c r="AL271" s="76"/>
      <c r="AM271" s="75"/>
      <c r="AN271" s="76"/>
      <c r="AO271" s="95"/>
      <c r="AP271" s="96"/>
      <c r="AQ271" s="85" t="str">
        <f t="shared" si="6"/>
        <v/>
      </c>
      <c r="AR271" s="86" t="str">
        <f t="array" ref="AR271">IF(A271="","",IFERROR(INDEX('2) Etapas'!L$3:L923,MATCH(B271,'2) Etapas'!$A$4:$A923,0),1),-1))</f>
        <v/>
      </c>
      <c r="AS271" s="87" t="str">
        <f t="shared" si="7"/>
        <v/>
      </c>
      <c r="AT271" s="87" t="str">
        <f t="shared" si="8"/>
        <v/>
      </c>
      <c r="AU271" s="87" t="str">
        <f t="shared" si="9"/>
        <v/>
      </c>
      <c r="AV271" s="89" t="str">
        <f t="array" ref="AV271">IF(OR($A271="",$AB271="", $AC271=""),"",MAXA(IF($A271=$A$4:$A923,$AC$4:$AC923)))</f>
        <v/>
      </c>
    </row>
    <row r="272" ht="22.5" customHeight="1">
      <c r="A272" s="76"/>
      <c r="B272" s="68" t="str">
        <f t="shared" si="1"/>
        <v/>
      </c>
      <c r="C272" s="110"/>
      <c r="D272" s="70" t="str">
        <f t="shared" si="2"/>
        <v/>
      </c>
      <c r="E272" s="76"/>
      <c r="F272" s="68" t="str">
        <f t="array" ref="F272">IF($A272="","",IFERROR(INDEX(MA_INDIVIDUALES!C$2:C923, MATCH($A272,MA_INDIVIDUALES!$B$2:$B923,0),1),"CÓDIGO DE EXPEDIENTE INVÁLIDO"))</f>
        <v/>
      </c>
      <c r="G272" s="68" t="str">
        <f t="array" ref="G272">IF($A272="","",IFERROR(INDEX(MA_INDIVIDUALES!K$2:K923, MATCH($A272,MA_INDIVIDUALES!$B$2:$B923,0),1),"CÓDIGO DE EXPEDIENTE INVÁLIDO"))</f>
        <v/>
      </c>
      <c r="H272" s="68" t="str">
        <f t="array" ref="H272">IF($A272="","",IFERROR(INDEX(MA_INDIVIDUALES!L$2:L923, MATCH($A272,MA_INDIVIDUALES!$B$2:$B923,0),1),"CÓDIGO DE EXPEDIENTE INVÁLIDO"))</f>
        <v/>
      </c>
      <c r="I272" s="76"/>
      <c r="J272" s="76"/>
      <c r="K272" s="75"/>
      <c r="L272" s="74" t="str">
        <f>IF(A272="","",IF(K272="","",_xlfn.WORKDAY.INTL(K272,5,1,FERIADOS)))</f>
        <v/>
      </c>
      <c r="M272" s="76"/>
      <c r="N272" s="75"/>
      <c r="O272" s="76"/>
      <c r="P272" s="77" t="str">
        <f t="shared" si="3"/>
        <v/>
      </c>
      <c r="Q272" s="75"/>
      <c r="R272" s="76"/>
      <c r="S272" s="75"/>
      <c r="T272" s="75"/>
      <c r="U272" s="76"/>
      <c r="V272" s="76"/>
      <c r="W272" s="75"/>
      <c r="X272" s="76"/>
      <c r="Y272" s="29" t="str">
        <f t="shared" si="4"/>
        <v/>
      </c>
      <c r="Z272" s="29" t="str">
        <f t="shared" si="5"/>
        <v/>
      </c>
      <c r="AA272" s="76"/>
      <c r="AB272" s="76"/>
      <c r="AC272" s="75"/>
      <c r="AD272" s="75"/>
      <c r="AE272" s="78" t="str">
        <f>IF(U272="","",IF(AD272="","",_xlfn.WORKDAY.INTL(AD272,7,1,FERIADOS)))</f>
        <v/>
      </c>
      <c r="AF272" s="104"/>
      <c r="AG272" s="80" t="str">
        <f t="array" ref="AG272">IF(A272="","",IF(AF272="","",AF272*INDEX(PARAMETROS!F$2:F1335,MATCH(YEAR(AC272),PARAMETROS!E$2:E1335,0),1)))</f>
        <v/>
      </c>
      <c r="AH272" s="81"/>
      <c r="AI272" s="82"/>
      <c r="AJ272" s="81"/>
      <c r="AK272" s="81"/>
      <c r="AL272" s="76"/>
      <c r="AM272" s="75"/>
      <c r="AN272" s="76"/>
      <c r="AO272" s="95"/>
      <c r="AP272" s="96"/>
      <c r="AQ272" s="85" t="str">
        <f t="shared" si="6"/>
        <v/>
      </c>
      <c r="AR272" s="86" t="str">
        <f t="array" ref="AR272">IF(A272="","",IFERROR(INDEX('2) Etapas'!L$3:L923,MATCH(B272,'2) Etapas'!$A$4:$A923,0),1),-1))</f>
        <v/>
      </c>
      <c r="AS272" s="87" t="str">
        <f t="shared" si="7"/>
        <v/>
      </c>
      <c r="AT272" s="87" t="str">
        <f t="shared" si="8"/>
        <v/>
      </c>
      <c r="AU272" s="87" t="str">
        <f t="shared" si="9"/>
        <v/>
      </c>
      <c r="AV272" s="89" t="str">
        <f t="array" ref="AV272">IF(OR($A272="",$AB272="", $AC272=""),"",MAXA(IF($A272=$A$4:$A923,$AC$4:$AC923)))</f>
        <v/>
      </c>
    </row>
    <row r="273" ht="22.5" customHeight="1">
      <c r="A273" s="76"/>
      <c r="B273" s="68" t="str">
        <f t="shared" si="1"/>
        <v/>
      </c>
      <c r="C273" s="110"/>
      <c r="D273" s="70" t="str">
        <f t="shared" si="2"/>
        <v/>
      </c>
      <c r="E273" s="76"/>
      <c r="F273" s="68" t="str">
        <f t="array" ref="F273">IF($A273="","",IFERROR(INDEX(MA_INDIVIDUALES!C$2:C923, MATCH($A273,MA_INDIVIDUALES!$B$2:$B923,0),1),"CÓDIGO DE EXPEDIENTE INVÁLIDO"))</f>
        <v/>
      </c>
      <c r="G273" s="68" t="str">
        <f t="array" ref="G273">IF($A273="","",IFERROR(INDEX(MA_INDIVIDUALES!K$2:K923, MATCH($A273,MA_INDIVIDUALES!$B$2:$B923,0),1),"CÓDIGO DE EXPEDIENTE INVÁLIDO"))</f>
        <v/>
      </c>
      <c r="H273" s="68" t="str">
        <f t="array" ref="H273">IF($A273="","",IFERROR(INDEX(MA_INDIVIDUALES!L$2:L923, MATCH($A273,MA_INDIVIDUALES!$B$2:$B923,0),1),"CÓDIGO DE EXPEDIENTE INVÁLIDO"))</f>
        <v/>
      </c>
      <c r="I273" s="76"/>
      <c r="J273" s="76"/>
      <c r="K273" s="75"/>
      <c r="L273" s="74" t="str">
        <f>IF(A273="","",IF(K273="","",_xlfn.WORKDAY.INTL(K273,5,1,FERIADOS)))</f>
        <v/>
      </c>
      <c r="M273" s="76"/>
      <c r="N273" s="75"/>
      <c r="O273" s="76"/>
      <c r="P273" s="77" t="str">
        <f t="shared" si="3"/>
        <v/>
      </c>
      <c r="Q273" s="75"/>
      <c r="R273" s="76"/>
      <c r="S273" s="75"/>
      <c r="T273" s="75"/>
      <c r="U273" s="76"/>
      <c r="V273" s="76"/>
      <c r="W273" s="75"/>
      <c r="X273" s="76"/>
      <c r="Y273" s="29" t="str">
        <f t="shared" si="4"/>
        <v/>
      </c>
      <c r="Z273" s="29" t="str">
        <f t="shared" si="5"/>
        <v/>
      </c>
      <c r="AA273" s="76"/>
      <c r="AB273" s="76"/>
      <c r="AC273" s="75"/>
      <c r="AD273" s="75"/>
      <c r="AE273" s="78" t="str">
        <f>IF(U273="","",IF(AD273="","",_xlfn.WORKDAY.INTL(AD273,7,1,FERIADOS)))</f>
        <v/>
      </c>
      <c r="AF273" s="104"/>
      <c r="AG273" s="80" t="str">
        <f t="array" ref="AG273">IF(A273="","",IF(AF273="","",AF273*INDEX(PARAMETROS!F$2:F1336,MATCH(YEAR(AC273),PARAMETROS!E$2:E1336,0),1)))</f>
        <v/>
      </c>
      <c r="AH273" s="81"/>
      <c r="AI273" s="82"/>
      <c r="AJ273" s="81"/>
      <c r="AK273" s="81"/>
      <c r="AL273" s="76"/>
      <c r="AM273" s="75"/>
      <c r="AN273" s="76"/>
      <c r="AO273" s="95"/>
      <c r="AP273" s="96"/>
      <c r="AQ273" s="85" t="str">
        <f t="shared" si="6"/>
        <v/>
      </c>
      <c r="AR273" s="86" t="str">
        <f t="array" ref="AR273">IF(A273="","",IFERROR(INDEX('2) Etapas'!L$3:L923,MATCH(B273,'2) Etapas'!$A$4:$A923,0),1),-1))</f>
        <v/>
      </c>
      <c r="AS273" s="87" t="str">
        <f t="shared" si="7"/>
        <v/>
      </c>
      <c r="AT273" s="87" t="str">
        <f t="shared" si="8"/>
        <v/>
      </c>
      <c r="AU273" s="87" t="str">
        <f t="shared" si="9"/>
        <v/>
      </c>
      <c r="AV273" s="89" t="str">
        <f t="array" ref="AV273">IF(OR($A273="",$AB273="", $AC273=""),"",MAXA(IF($A273=$A$4:$A923,$AC$4:$AC923)))</f>
        <v/>
      </c>
    </row>
    <row r="274" ht="22.5" customHeight="1">
      <c r="A274" s="76"/>
      <c r="B274" s="68" t="str">
        <f t="shared" si="1"/>
        <v/>
      </c>
      <c r="C274" s="110"/>
      <c r="D274" s="70" t="str">
        <f t="shared" si="2"/>
        <v/>
      </c>
      <c r="E274" s="76"/>
      <c r="F274" s="68" t="str">
        <f t="array" ref="F274">IF($A274="","",IFERROR(INDEX(MA_INDIVIDUALES!C$2:C923, MATCH($A274,MA_INDIVIDUALES!$B$2:$B923,0),1),"CÓDIGO DE EXPEDIENTE INVÁLIDO"))</f>
        <v/>
      </c>
      <c r="G274" s="68" t="str">
        <f t="array" ref="G274">IF($A274="","",IFERROR(INDEX(MA_INDIVIDUALES!K$2:K923, MATCH($A274,MA_INDIVIDUALES!$B$2:$B923,0),1),"CÓDIGO DE EXPEDIENTE INVÁLIDO"))</f>
        <v/>
      </c>
      <c r="H274" s="68" t="str">
        <f t="array" ref="H274">IF($A274="","",IFERROR(INDEX(MA_INDIVIDUALES!L$2:L923, MATCH($A274,MA_INDIVIDUALES!$B$2:$B923,0),1),"CÓDIGO DE EXPEDIENTE INVÁLIDO"))</f>
        <v/>
      </c>
      <c r="I274" s="76"/>
      <c r="J274" s="76"/>
      <c r="K274" s="75"/>
      <c r="L274" s="74" t="str">
        <f>IF(A274="","",IF(K274="","",_xlfn.WORKDAY.INTL(K274,5,1,FERIADOS)))</f>
        <v/>
      </c>
      <c r="M274" s="76"/>
      <c r="N274" s="75"/>
      <c r="O274" s="76"/>
      <c r="P274" s="77" t="str">
        <f t="shared" si="3"/>
        <v/>
      </c>
      <c r="Q274" s="75"/>
      <c r="R274" s="76"/>
      <c r="S274" s="75"/>
      <c r="T274" s="75"/>
      <c r="U274" s="76"/>
      <c r="V274" s="76"/>
      <c r="W274" s="75"/>
      <c r="X274" s="76"/>
      <c r="Y274" s="29" t="str">
        <f t="shared" si="4"/>
        <v/>
      </c>
      <c r="Z274" s="29" t="str">
        <f t="shared" si="5"/>
        <v/>
      </c>
      <c r="AA274" s="76"/>
      <c r="AB274" s="76"/>
      <c r="AC274" s="75"/>
      <c r="AD274" s="75"/>
      <c r="AE274" s="78" t="str">
        <f>IF(U274="","",IF(AD274="","",_xlfn.WORKDAY.INTL(AD274,7,1,FERIADOS)))</f>
        <v/>
      </c>
      <c r="AF274" s="104"/>
      <c r="AG274" s="80" t="str">
        <f t="array" ref="AG274">IF(A274="","",IF(AF274="","",AF274*INDEX(PARAMETROS!F$2:F1337,MATCH(YEAR(AC274),PARAMETROS!E$2:E1337,0),1)))</f>
        <v/>
      </c>
      <c r="AH274" s="81"/>
      <c r="AI274" s="82"/>
      <c r="AJ274" s="81"/>
      <c r="AK274" s="81"/>
      <c r="AL274" s="76"/>
      <c r="AM274" s="75"/>
      <c r="AN274" s="76"/>
      <c r="AO274" s="95"/>
      <c r="AP274" s="96"/>
      <c r="AQ274" s="85" t="str">
        <f t="shared" si="6"/>
        <v/>
      </c>
      <c r="AR274" s="86" t="str">
        <f t="array" ref="AR274">IF(A274="","",IFERROR(INDEX('2) Etapas'!L$3:L923,MATCH(B274,'2) Etapas'!$A$4:$A923,0),1),-1))</f>
        <v/>
      </c>
      <c r="AS274" s="87" t="str">
        <f t="shared" si="7"/>
        <v/>
      </c>
      <c r="AT274" s="87" t="str">
        <f t="shared" si="8"/>
        <v/>
      </c>
      <c r="AU274" s="87" t="str">
        <f t="shared" si="9"/>
        <v/>
      </c>
      <c r="AV274" s="89" t="str">
        <f t="array" ref="AV274">IF(OR($A274="",$AB274="", $AC274=""),"",MAXA(IF($A274=$A$4:$A923,$AC$4:$AC923)))</f>
        <v/>
      </c>
    </row>
    <row r="275" ht="22.5" customHeight="1">
      <c r="A275" s="76"/>
      <c r="B275" s="68" t="str">
        <f t="shared" si="1"/>
        <v/>
      </c>
      <c r="C275" s="110"/>
      <c r="D275" s="70" t="str">
        <f t="shared" si="2"/>
        <v/>
      </c>
      <c r="E275" s="76"/>
      <c r="F275" s="68" t="str">
        <f t="array" ref="F275">IF($A275="","",IFERROR(INDEX(MA_INDIVIDUALES!C$2:C923, MATCH($A275,MA_INDIVIDUALES!$B$2:$B923,0),1),"CÓDIGO DE EXPEDIENTE INVÁLIDO"))</f>
        <v/>
      </c>
      <c r="G275" s="68" t="str">
        <f t="array" ref="G275">IF($A275="","",IFERROR(INDEX(MA_INDIVIDUALES!K$2:K923, MATCH($A275,MA_INDIVIDUALES!$B$2:$B923,0),1),"CÓDIGO DE EXPEDIENTE INVÁLIDO"))</f>
        <v/>
      </c>
      <c r="H275" s="68" t="str">
        <f t="array" ref="H275">IF($A275="","",IFERROR(INDEX(MA_INDIVIDUALES!L$2:L923, MATCH($A275,MA_INDIVIDUALES!$B$2:$B923,0),1),"CÓDIGO DE EXPEDIENTE INVÁLIDO"))</f>
        <v/>
      </c>
      <c r="I275" s="76"/>
      <c r="J275" s="76"/>
      <c r="K275" s="75"/>
      <c r="L275" s="74" t="str">
        <f>IF(A275="","",IF(K275="","",_xlfn.WORKDAY.INTL(K275,5,1,FERIADOS)))</f>
        <v/>
      </c>
      <c r="M275" s="76"/>
      <c r="N275" s="75"/>
      <c r="O275" s="76"/>
      <c r="P275" s="77" t="str">
        <f t="shared" si="3"/>
        <v/>
      </c>
      <c r="Q275" s="75"/>
      <c r="R275" s="76"/>
      <c r="S275" s="75"/>
      <c r="T275" s="75"/>
      <c r="U275" s="76"/>
      <c r="V275" s="76"/>
      <c r="W275" s="75"/>
      <c r="X275" s="76"/>
      <c r="Y275" s="29" t="str">
        <f t="shared" si="4"/>
        <v/>
      </c>
      <c r="Z275" s="29" t="str">
        <f t="shared" si="5"/>
        <v/>
      </c>
      <c r="AA275" s="76"/>
      <c r="AB275" s="76"/>
      <c r="AC275" s="75"/>
      <c r="AD275" s="75"/>
      <c r="AE275" s="78" t="str">
        <f>IF(U275="","",IF(AD275="","",_xlfn.WORKDAY.INTL(AD275,7,1,FERIADOS)))</f>
        <v/>
      </c>
      <c r="AF275" s="104"/>
      <c r="AG275" s="80" t="str">
        <f t="array" ref="AG275">IF(A275="","",IF(AF275="","",AF275*INDEX(PARAMETROS!F$2:F1338,MATCH(YEAR(AC275),PARAMETROS!E$2:E1338,0),1)))</f>
        <v/>
      </c>
      <c r="AH275" s="81"/>
      <c r="AI275" s="82"/>
      <c r="AJ275" s="81"/>
      <c r="AK275" s="81"/>
      <c r="AL275" s="76"/>
      <c r="AM275" s="75"/>
      <c r="AN275" s="76"/>
      <c r="AO275" s="95"/>
      <c r="AP275" s="96"/>
      <c r="AQ275" s="85" t="str">
        <f t="shared" si="6"/>
        <v/>
      </c>
      <c r="AR275" s="86" t="str">
        <f t="array" ref="AR275">IF(A275="","",IFERROR(INDEX('2) Etapas'!L$3:L923,MATCH(B275,'2) Etapas'!$A$4:$A923,0),1),-1))</f>
        <v/>
      </c>
      <c r="AS275" s="87" t="str">
        <f t="shared" si="7"/>
        <v/>
      </c>
      <c r="AT275" s="87" t="str">
        <f t="shared" si="8"/>
        <v/>
      </c>
      <c r="AU275" s="87" t="str">
        <f t="shared" si="9"/>
        <v/>
      </c>
      <c r="AV275" s="89" t="str">
        <f t="array" ref="AV275">IF(OR($A275="",$AB275="", $AC275=""),"",MAXA(IF($A275=$A$4:$A923,$AC$4:$AC923)))</f>
        <v/>
      </c>
    </row>
    <row r="276" ht="22.5" customHeight="1">
      <c r="A276" s="76"/>
      <c r="B276" s="68" t="str">
        <f t="shared" si="1"/>
        <v/>
      </c>
      <c r="C276" s="110"/>
      <c r="D276" s="70" t="str">
        <f t="shared" si="2"/>
        <v/>
      </c>
      <c r="E276" s="76"/>
      <c r="F276" s="68" t="str">
        <f t="array" ref="F276">IF($A276="","",IFERROR(INDEX(MA_INDIVIDUALES!C$2:C923, MATCH($A276,MA_INDIVIDUALES!$B$2:$B923,0),1),"CÓDIGO DE EXPEDIENTE INVÁLIDO"))</f>
        <v/>
      </c>
      <c r="G276" s="68" t="str">
        <f t="array" ref="G276">IF($A276="","",IFERROR(INDEX(MA_INDIVIDUALES!K$2:K923, MATCH($A276,MA_INDIVIDUALES!$B$2:$B923,0),1),"CÓDIGO DE EXPEDIENTE INVÁLIDO"))</f>
        <v/>
      </c>
      <c r="H276" s="68" t="str">
        <f t="array" ref="H276">IF($A276="","",IFERROR(INDEX(MA_INDIVIDUALES!L$2:L923, MATCH($A276,MA_INDIVIDUALES!$B$2:$B923,0),1),"CÓDIGO DE EXPEDIENTE INVÁLIDO"))</f>
        <v/>
      </c>
      <c r="I276" s="76"/>
      <c r="J276" s="76"/>
      <c r="K276" s="75"/>
      <c r="L276" s="74" t="str">
        <f>IF(A276="","",IF(K276="","",_xlfn.WORKDAY.INTL(K276,5,1,FERIADOS)))</f>
        <v/>
      </c>
      <c r="M276" s="76"/>
      <c r="N276" s="75"/>
      <c r="O276" s="76"/>
      <c r="P276" s="77" t="str">
        <f t="shared" si="3"/>
        <v/>
      </c>
      <c r="Q276" s="75"/>
      <c r="R276" s="76"/>
      <c r="S276" s="75"/>
      <c r="T276" s="75"/>
      <c r="U276" s="76"/>
      <c r="V276" s="76"/>
      <c r="W276" s="75"/>
      <c r="X276" s="76"/>
      <c r="Y276" s="29" t="str">
        <f t="shared" si="4"/>
        <v/>
      </c>
      <c r="Z276" s="29" t="str">
        <f t="shared" si="5"/>
        <v/>
      </c>
      <c r="AA276" s="76"/>
      <c r="AB276" s="76"/>
      <c r="AC276" s="75"/>
      <c r="AD276" s="75"/>
      <c r="AE276" s="78" t="str">
        <f>IF(U276="","",IF(AD276="","",_xlfn.WORKDAY.INTL(AD276,7,1,FERIADOS)))</f>
        <v/>
      </c>
      <c r="AF276" s="104"/>
      <c r="AG276" s="80" t="str">
        <f t="array" ref="AG276">IF(A276="","",IF(AF276="","",AF276*INDEX(PARAMETROS!F$2:F1339,MATCH(YEAR(AC276),PARAMETROS!E$2:E1339,0),1)))</f>
        <v/>
      </c>
      <c r="AH276" s="81"/>
      <c r="AI276" s="82"/>
      <c r="AJ276" s="81"/>
      <c r="AK276" s="81"/>
      <c r="AL276" s="76"/>
      <c r="AM276" s="75"/>
      <c r="AN276" s="76"/>
      <c r="AO276" s="95"/>
      <c r="AP276" s="96"/>
      <c r="AQ276" s="85" t="str">
        <f t="shared" si="6"/>
        <v/>
      </c>
      <c r="AR276" s="86" t="str">
        <f t="array" ref="AR276">IF(A276="","",IFERROR(INDEX('2) Etapas'!L$3:L923,MATCH(B276,'2) Etapas'!$A$4:$A923,0),1),-1))</f>
        <v/>
      </c>
      <c r="AS276" s="87" t="str">
        <f t="shared" si="7"/>
        <v/>
      </c>
      <c r="AT276" s="87" t="str">
        <f t="shared" si="8"/>
        <v/>
      </c>
      <c r="AU276" s="87" t="str">
        <f t="shared" si="9"/>
        <v/>
      </c>
      <c r="AV276" s="89" t="str">
        <f t="array" ref="AV276">IF(OR($A276="",$AB276="", $AC276=""),"",MAXA(IF($A276=$A$4:$A923,$AC$4:$AC923)))</f>
        <v/>
      </c>
    </row>
    <row r="277" ht="22.5" customHeight="1">
      <c r="A277" s="76"/>
      <c r="B277" s="68" t="str">
        <f t="shared" si="1"/>
        <v/>
      </c>
      <c r="C277" s="110"/>
      <c r="D277" s="70" t="str">
        <f t="shared" si="2"/>
        <v/>
      </c>
      <c r="E277" s="76"/>
      <c r="F277" s="68" t="str">
        <f t="array" ref="F277">IF($A277="","",IFERROR(INDEX(MA_INDIVIDUALES!C$2:C923, MATCH($A277,MA_INDIVIDUALES!$B$2:$B923,0),1),"CÓDIGO DE EXPEDIENTE INVÁLIDO"))</f>
        <v/>
      </c>
      <c r="G277" s="68" t="str">
        <f t="array" ref="G277">IF($A277="","",IFERROR(INDEX(MA_INDIVIDUALES!K$2:K923, MATCH($A277,MA_INDIVIDUALES!$B$2:$B923,0),1),"CÓDIGO DE EXPEDIENTE INVÁLIDO"))</f>
        <v/>
      </c>
      <c r="H277" s="68" t="str">
        <f t="array" ref="H277">IF($A277="","",IFERROR(INDEX(MA_INDIVIDUALES!L$2:L923, MATCH($A277,MA_INDIVIDUALES!$B$2:$B923,0),1),"CÓDIGO DE EXPEDIENTE INVÁLIDO"))</f>
        <v/>
      </c>
      <c r="I277" s="76"/>
      <c r="J277" s="76"/>
      <c r="K277" s="75"/>
      <c r="L277" s="74" t="str">
        <f>IF(A277="","",IF(K277="","",_xlfn.WORKDAY.INTL(K277,5,1,FERIADOS)))</f>
        <v/>
      </c>
      <c r="M277" s="76"/>
      <c r="N277" s="75"/>
      <c r="O277" s="76"/>
      <c r="P277" s="77" t="str">
        <f t="shared" si="3"/>
        <v/>
      </c>
      <c r="Q277" s="75"/>
      <c r="R277" s="76"/>
      <c r="S277" s="75"/>
      <c r="T277" s="75"/>
      <c r="U277" s="76"/>
      <c r="V277" s="76"/>
      <c r="W277" s="75"/>
      <c r="X277" s="76"/>
      <c r="Y277" s="29" t="str">
        <f t="shared" si="4"/>
        <v/>
      </c>
      <c r="Z277" s="29" t="str">
        <f t="shared" si="5"/>
        <v/>
      </c>
      <c r="AA277" s="76"/>
      <c r="AB277" s="76"/>
      <c r="AC277" s="75"/>
      <c r="AD277" s="75"/>
      <c r="AE277" s="78" t="str">
        <f>IF(U277="","",IF(AD277="","",_xlfn.WORKDAY.INTL(AD277,7,1,FERIADOS)))</f>
        <v/>
      </c>
      <c r="AF277" s="104"/>
      <c r="AG277" s="80" t="str">
        <f t="array" ref="AG277">IF(A277="","",IF(AF277="","",AF277*INDEX(PARAMETROS!F$2:F1340,MATCH(YEAR(AC277),PARAMETROS!E$2:E1340,0),1)))</f>
        <v/>
      </c>
      <c r="AH277" s="81"/>
      <c r="AI277" s="82"/>
      <c r="AJ277" s="81"/>
      <c r="AK277" s="81"/>
      <c r="AL277" s="76"/>
      <c r="AM277" s="75"/>
      <c r="AN277" s="76"/>
      <c r="AO277" s="95"/>
      <c r="AP277" s="96"/>
      <c r="AQ277" s="85" t="str">
        <f t="shared" si="6"/>
        <v/>
      </c>
      <c r="AR277" s="86" t="str">
        <f t="array" ref="AR277">IF(A277="","",IFERROR(INDEX('2) Etapas'!L$3:L923,MATCH(B277,'2) Etapas'!$A$4:$A923,0),1),-1))</f>
        <v/>
      </c>
      <c r="AS277" s="87" t="str">
        <f t="shared" si="7"/>
        <v/>
      </c>
      <c r="AT277" s="87" t="str">
        <f t="shared" si="8"/>
        <v/>
      </c>
      <c r="AU277" s="87" t="str">
        <f t="shared" si="9"/>
        <v/>
      </c>
      <c r="AV277" s="89" t="str">
        <f t="array" ref="AV277">IF(OR($A277="",$AB277="", $AC277=""),"",MAXA(IF($A277=$A$4:$A923,$AC$4:$AC923)))</f>
        <v/>
      </c>
    </row>
    <row r="278" ht="22.5" customHeight="1">
      <c r="A278" s="76"/>
      <c r="B278" s="68" t="str">
        <f t="shared" si="1"/>
        <v/>
      </c>
      <c r="C278" s="110"/>
      <c r="D278" s="70" t="str">
        <f t="shared" si="2"/>
        <v/>
      </c>
      <c r="E278" s="76"/>
      <c r="F278" s="68" t="str">
        <f t="array" ref="F278">IF($A278="","",IFERROR(INDEX(MA_INDIVIDUALES!C$2:C923, MATCH($A278,MA_INDIVIDUALES!$B$2:$B923,0),1),"CÓDIGO DE EXPEDIENTE INVÁLIDO"))</f>
        <v/>
      </c>
      <c r="G278" s="68" t="str">
        <f t="array" ref="G278">IF($A278="","",IFERROR(INDEX(MA_INDIVIDUALES!K$2:K923, MATCH($A278,MA_INDIVIDUALES!$B$2:$B923,0),1),"CÓDIGO DE EXPEDIENTE INVÁLIDO"))</f>
        <v/>
      </c>
      <c r="H278" s="68" t="str">
        <f t="array" ref="H278">IF($A278="","",IFERROR(INDEX(MA_INDIVIDUALES!L$2:L923, MATCH($A278,MA_INDIVIDUALES!$B$2:$B923,0),1),"CÓDIGO DE EXPEDIENTE INVÁLIDO"))</f>
        <v/>
      </c>
      <c r="I278" s="76"/>
      <c r="J278" s="76"/>
      <c r="K278" s="75"/>
      <c r="L278" s="74" t="str">
        <f>IF(A278="","",IF(K278="","",_xlfn.WORKDAY.INTL(K278,5,1,FERIADOS)))</f>
        <v/>
      </c>
      <c r="M278" s="76"/>
      <c r="N278" s="75"/>
      <c r="O278" s="76"/>
      <c r="P278" s="77" t="str">
        <f t="shared" si="3"/>
        <v/>
      </c>
      <c r="Q278" s="75"/>
      <c r="R278" s="76"/>
      <c r="S278" s="75"/>
      <c r="T278" s="75"/>
      <c r="U278" s="76"/>
      <c r="V278" s="76"/>
      <c r="W278" s="75"/>
      <c r="X278" s="76"/>
      <c r="Y278" s="29" t="str">
        <f t="shared" si="4"/>
        <v/>
      </c>
      <c r="Z278" s="29" t="str">
        <f t="shared" si="5"/>
        <v/>
      </c>
      <c r="AA278" s="76"/>
      <c r="AB278" s="76"/>
      <c r="AC278" s="75"/>
      <c r="AD278" s="75"/>
      <c r="AE278" s="78" t="str">
        <f>IF(U278="","",IF(AD278="","",_xlfn.WORKDAY.INTL(AD278,7,1,FERIADOS)))</f>
        <v/>
      </c>
      <c r="AF278" s="104"/>
      <c r="AG278" s="80" t="str">
        <f t="array" ref="AG278">IF(A278="","",IF(AF278="","",AF278*INDEX(PARAMETROS!F$2:F1341,MATCH(YEAR(AC278),PARAMETROS!E$2:E1341,0),1)))</f>
        <v/>
      </c>
      <c r="AH278" s="81"/>
      <c r="AI278" s="82"/>
      <c r="AJ278" s="81"/>
      <c r="AK278" s="81"/>
      <c r="AL278" s="76"/>
      <c r="AM278" s="75"/>
      <c r="AN278" s="76"/>
      <c r="AO278" s="95"/>
      <c r="AP278" s="96"/>
      <c r="AQ278" s="85" t="str">
        <f t="shared" si="6"/>
        <v/>
      </c>
      <c r="AR278" s="86" t="str">
        <f t="array" ref="AR278">IF(A278="","",IFERROR(INDEX('2) Etapas'!L$3:L923,MATCH(B278,'2) Etapas'!$A$4:$A923,0),1),-1))</f>
        <v/>
      </c>
      <c r="AS278" s="87" t="str">
        <f t="shared" si="7"/>
        <v/>
      </c>
      <c r="AT278" s="87" t="str">
        <f t="shared" si="8"/>
        <v/>
      </c>
      <c r="AU278" s="87" t="str">
        <f t="shared" si="9"/>
        <v/>
      </c>
      <c r="AV278" s="89" t="str">
        <f t="array" ref="AV278">IF(OR($A278="",$AB278="", $AC278=""),"",MAXA(IF($A278=$A$4:$A923,$AC$4:$AC923)))</f>
        <v/>
      </c>
    </row>
    <row r="279" ht="22.5" customHeight="1">
      <c r="A279" s="76"/>
      <c r="B279" s="68" t="str">
        <f t="shared" si="1"/>
        <v/>
      </c>
      <c r="C279" s="110"/>
      <c r="D279" s="70" t="str">
        <f t="shared" si="2"/>
        <v/>
      </c>
      <c r="E279" s="76"/>
      <c r="F279" s="68" t="str">
        <f t="array" ref="F279">IF($A279="","",IFERROR(INDEX(MA_INDIVIDUALES!C$2:C923, MATCH($A279,MA_INDIVIDUALES!$B$2:$B923,0),1),"CÓDIGO DE EXPEDIENTE INVÁLIDO"))</f>
        <v/>
      </c>
      <c r="G279" s="68" t="str">
        <f t="array" ref="G279">IF($A279="","",IFERROR(INDEX(MA_INDIVIDUALES!K$2:K923, MATCH($A279,MA_INDIVIDUALES!$B$2:$B923,0),1),"CÓDIGO DE EXPEDIENTE INVÁLIDO"))</f>
        <v/>
      </c>
      <c r="H279" s="68" t="str">
        <f t="array" ref="H279">IF($A279="","",IFERROR(INDEX(MA_INDIVIDUALES!L$2:L923, MATCH($A279,MA_INDIVIDUALES!$B$2:$B923,0),1),"CÓDIGO DE EXPEDIENTE INVÁLIDO"))</f>
        <v/>
      </c>
      <c r="I279" s="76"/>
      <c r="J279" s="76"/>
      <c r="K279" s="75"/>
      <c r="L279" s="74" t="str">
        <f>IF(A279="","",IF(K279="","",_xlfn.WORKDAY.INTL(K279,5,1,FERIADOS)))</f>
        <v/>
      </c>
      <c r="M279" s="76"/>
      <c r="N279" s="75"/>
      <c r="O279" s="76"/>
      <c r="P279" s="77" t="str">
        <f t="shared" si="3"/>
        <v/>
      </c>
      <c r="Q279" s="75"/>
      <c r="R279" s="76"/>
      <c r="S279" s="75"/>
      <c r="T279" s="75"/>
      <c r="U279" s="76"/>
      <c r="V279" s="76"/>
      <c r="W279" s="75"/>
      <c r="X279" s="76"/>
      <c r="Y279" s="29" t="str">
        <f t="shared" si="4"/>
        <v/>
      </c>
      <c r="Z279" s="29" t="str">
        <f t="shared" si="5"/>
        <v/>
      </c>
      <c r="AA279" s="76"/>
      <c r="AB279" s="76"/>
      <c r="AC279" s="75"/>
      <c r="AD279" s="75"/>
      <c r="AE279" s="78" t="str">
        <f>IF(U279="","",IF(AD279="","",_xlfn.WORKDAY.INTL(AD279,7,1,FERIADOS)))</f>
        <v/>
      </c>
      <c r="AF279" s="104"/>
      <c r="AG279" s="80" t="str">
        <f t="array" ref="AG279">IF(A279="","",IF(AF279="","",AF279*INDEX(PARAMETROS!F$2:F1342,MATCH(YEAR(AC279),PARAMETROS!E$2:E1342,0),1)))</f>
        <v/>
      </c>
      <c r="AH279" s="81"/>
      <c r="AI279" s="82"/>
      <c r="AJ279" s="81"/>
      <c r="AK279" s="81"/>
      <c r="AL279" s="76"/>
      <c r="AM279" s="75"/>
      <c r="AN279" s="76"/>
      <c r="AO279" s="95"/>
      <c r="AP279" s="96"/>
      <c r="AQ279" s="85" t="str">
        <f t="shared" si="6"/>
        <v/>
      </c>
      <c r="AR279" s="86" t="str">
        <f t="array" ref="AR279">IF(A279="","",IFERROR(INDEX('2) Etapas'!L$3:L923,MATCH(B279,'2) Etapas'!$A$4:$A923,0),1),-1))</f>
        <v/>
      </c>
      <c r="AS279" s="87" t="str">
        <f t="shared" si="7"/>
        <v/>
      </c>
      <c r="AT279" s="87" t="str">
        <f t="shared" si="8"/>
        <v/>
      </c>
      <c r="AU279" s="87" t="str">
        <f t="shared" si="9"/>
        <v/>
      </c>
      <c r="AV279" s="89" t="str">
        <f t="array" ref="AV279">IF(OR($A279="",$AB279="", $AC279=""),"",MAXA(IF($A279=$A$4:$A923,$AC$4:$AC923)))</f>
        <v/>
      </c>
    </row>
    <row r="280" ht="22.5" customHeight="1">
      <c r="A280" s="76"/>
      <c r="B280" s="68" t="str">
        <f t="shared" si="1"/>
        <v/>
      </c>
      <c r="C280" s="110"/>
      <c r="D280" s="70" t="str">
        <f t="shared" si="2"/>
        <v/>
      </c>
      <c r="E280" s="76"/>
      <c r="F280" s="68" t="str">
        <f t="array" ref="F280">IF($A280="","",IFERROR(INDEX(MA_INDIVIDUALES!C$2:C923, MATCH($A280,MA_INDIVIDUALES!$B$2:$B923,0),1),"CÓDIGO DE EXPEDIENTE INVÁLIDO"))</f>
        <v/>
      </c>
      <c r="G280" s="68" t="str">
        <f t="array" ref="G280">IF($A280="","",IFERROR(INDEX(MA_INDIVIDUALES!K$2:K923, MATCH($A280,MA_INDIVIDUALES!$B$2:$B923,0),1),"CÓDIGO DE EXPEDIENTE INVÁLIDO"))</f>
        <v/>
      </c>
      <c r="H280" s="68" t="str">
        <f t="array" ref="H280">IF($A280="","",IFERROR(INDEX(MA_INDIVIDUALES!L$2:L923, MATCH($A280,MA_INDIVIDUALES!$B$2:$B923,0),1),"CÓDIGO DE EXPEDIENTE INVÁLIDO"))</f>
        <v/>
      </c>
      <c r="I280" s="76"/>
      <c r="J280" s="76"/>
      <c r="K280" s="75"/>
      <c r="L280" s="74" t="str">
        <f>IF(A280="","",IF(K280="","",_xlfn.WORKDAY.INTL(K280,5,1,FERIADOS)))</f>
        <v/>
      </c>
      <c r="M280" s="76"/>
      <c r="N280" s="75"/>
      <c r="O280" s="76"/>
      <c r="P280" s="77" t="str">
        <f t="shared" si="3"/>
        <v/>
      </c>
      <c r="Q280" s="75"/>
      <c r="R280" s="76"/>
      <c r="S280" s="75"/>
      <c r="T280" s="75"/>
      <c r="U280" s="76"/>
      <c r="V280" s="76"/>
      <c r="W280" s="75"/>
      <c r="X280" s="76"/>
      <c r="Y280" s="29" t="str">
        <f t="shared" si="4"/>
        <v/>
      </c>
      <c r="Z280" s="29" t="str">
        <f t="shared" si="5"/>
        <v/>
      </c>
      <c r="AA280" s="76"/>
      <c r="AB280" s="76"/>
      <c r="AC280" s="75"/>
      <c r="AD280" s="75"/>
      <c r="AE280" s="78" t="str">
        <f>IF(U280="","",IF(AD280="","",_xlfn.WORKDAY.INTL(AD280,7,1,FERIADOS)))</f>
        <v/>
      </c>
      <c r="AF280" s="104"/>
      <c r="AG280" s="80" t="str">
        <f t="array" ref="AG280">IF(A280="","",IF(AF280="","",AF280*INDEX(PARAMETROS!F$2:F1343,MATCH(YEAR(AC280),PARAMETROS!E$2:E1343,0),1)))</f>
        <v/>
      </c>
      <c r="AH280" s="81"/>
      <c r="AI280" s="82"/>
      <c r="AJ280" s="81"/>
      <c r="AK280" s="81"/>
      <c r="AL280" s="76"/>
      <c r="AM280" s="75"/>
      <c r="AN280" s="76"/>
      <c r="AO280" s="95"/>
      <c r="AP280" s="96"/>
      <c r="AQ280" s="85" t="str">
        <f t="shared" si="6"/>
        <v/>
      </c>
      <c r="AR280" s="86" t="str">
        <f t="array" ref="AR280">IF(A280="","",IFERROR(INDEX('2) Etapas'!L$3:L923,MATCH(B280,'2) Etapas'!$A$4:$A923,0),1),-1))</f>
        <v/>
      </c>
      <c r="AS280" s="87" t="str">
        <f t="shared" si="7"/>
        <v/>
      </c>
      <c r="AT280" s="87" t="str">
        <f t="shared" si="8"/>
        <v/>
      </c>
      <c r="AU280" s="87" t="str">
        <f t="shared" si="9"/>
        <v/>
      </c>
      <c r="AV280" s="89" t="str">
        <f t="array" ref="AV280">IF(OR($A280="",$AB280="", $AC280=""),"",MAXA(IF($A280=$A$4:$A923,$AC$4:$AC923)))</f>
        <v/>
      </c>
    </row>
    <row r="281" ht="22.5" customHeight="1">
      <c r="A281" s="76"/>
      <c r="B281" s="68" t="str">
        <f t="shared" si="1"/>
        <v/>
      </c>
      <c r="C281" s="110"/>
      <c r="D281" s="70" t="str">
        <f t="shared" si="2"/>
        <v/>
      </c>
      <c r="E281" s="76"/>
      <c r="F281" s="68" t="str">
        <f t="array" ref="F281">IF($A281="","",IFERROR(INDEX(MA_INDIVIDUALES!C$2:C923, MATCH($A281,MA_INDIVIDUALES!$B$2:$B923,0),1),"CÓDIGO DE EXPEDIENTE INVÁLIDO"))</f>
        <v/>
      </c>
      <c r="G281" s="68" t="str">
        <f t="array" ref="G281">IF($A281="","",IFERROR(INDEX(MA_INDIVIDUALES!K$2:K923, MATCH($A281,MA_INDIVIDUALES!$B$2:$B923,0),1),"CÓDIGO DE EXPEDIENTE INVÁLIDO"))</f>
        <v/>
      </c>
      <c r="H281" s="68" t="str">
        <f t="array" ref="H281">IF($A281="","",IFERROR(INDEX(MA_INDIVIDUALES!L$2:L923, MATCH($A281,MA_INDIVIDUALES!$B$2:$B923,0),1),"CÓDIGO DE EXPEDIENTE INVÁLIDO"))</f>
        <v/>
      </c>
      <c r="I281" s="76"/>
      <c r="J281" s="76"/>
      <c r="K281" s="75"/>
      <c r="L281" s="74" t="str">
        <f>IF(A281="","",IF(K281="","",_xlfn.WORKDAY.INTL(K281,5,1,FERIADOS)))</f>
        <v/>
      </c>
      <c r="M281" s="76"/>
      <c r="N281" s="75"/>
      <c r="O281" s="76"/>
      <c r="P281" s="77" t="str">
        <f t="shared" si="3"/>
        <v/>
      </c>
      <c r="Q281" s="75"/>
      <c r="R281" s="76"/>
      <c r="S281" s="75"/>
      <c r="T281" s="75"/>
      <c r="U281" s="76"/>
      <c r="V281" s="76"/>
      <c r="W281" s="75"/>
      <c r="X281" s="76"/>
      <c r="Y281" s="29" t="str">
        <f t="shared" si="4"/>
        <v/>
      </c>
      <c r="Z281" s="29" t="str">
        <f t="shared" si="5"/>
        <v/>
      </c>
      <c r="AA281" s="76"/>
      <c r="AB281" s="76"/>
      <c r="AC281" s="75"/>
      <c r="AD281" s="75"/>
      <c r="AE281" s="78" t="str">
        <f>IF(U281="","",IF(AD281="","",_xlfn.WORKDAY.INTL(AD281,7,1,FERIADOS)))</f>
        <v/>
      </c>
      <c r="AF281" s="104"/>
      <c r="AG281" s="80" t="str">
        <f t="array" ref="AG281">IF(A281="","",IF(AF281="","",AF281*INDEX(PARAMETROS!F$2:F1344,MATCH(YEAR(AC281),PARAMETROS!E$2:E1344,0),1)))</f>
        <v/>
      </c>
      <c r="AH281" s="81"/>
      <c r="AI281" s="82"/>
      <c r="AJ281" s="81"/>
      <c r="AK281" s="81"/>
      <c r="AL281" s="76"/>
      <c r="AM281" s="75"/>
      <c r="AN281" s="76"/>
      <c r="AO281" s="95"/>
      <c r="AP281" s="96"/>
      <c r="AQ281" s="85" t="str">
        <f t="shared" si="6"/>
        <v/>
      </c>
      <c r="AR281" s="86" t="str">
        <f t="array" ref="AR281">IF(A281="","",IFERROR(INDEX('2) Etapas'!L$3:L923,MATCH(B281,'2) Etapas'!$A$4:$A923,0),1),-1))</f>
        <v/>
      </c>
      <c r="AS281" s="87" t="str">
        <f t="shared" si="7"/>
        <v/>
      </c>
      <c r="AT281" s="87" t="str">
        <f t="shared" si="8"/>
        <v/>
      </c>
      <c r="AU281" s="87" t="str">
        <f t="shared" si="9"/>
        <v/>
      </c>
      <c r="AV281" s="89" t="str">
        <f t="array" ref="AV281">IF(OR($A281="",$AB281="", $AC281=""),"",MAXA(IF($A281=$A$4:$A923,$AC$4:$AC923)))</f>
        <v/>
      </c>
    </row>
    <row r="282" ht="22.5" customHeight="1">
      <c r="A282" s="76"/>
      <c r="B282" s="68" t="str">
        <f t="shared" si="1"/>
        <v/>
      </c>
      <c r="C282" s="110"/>
      <c r="D282" s="70" t="str">
        <f t="shared" si="2"/>
        <v/>
      </c>
      <c r="E282" s="76"/>
      <c r="F282" s="68" t="str">
        <f t="array" ref="F282">IF($A282="","",IFERROR(INDEX(MA_INDIVIDUALES!C$2:C923, MATCH($A282,MA_INDIVIDUALES!$B$2:$B923,0),1),"CÓDIGO DE EXPEDIENTE INVÁLIDO"))</f>
        <v/>
      </c>
      <c r="G282" s="68" t="str">
        <f t="array" ref="G282">IF($A282="","",IFERROR(INDEX(MA_INDIVIDUALES!K$2:K923, MATCH($A282,MA_INDIVIDUALES!$B$2:$B923,0),1),"CÓDIGO DE EXPEDIENTE INVÁLIDO"))</f>
        <v/>
      </c>
      <c r="H282" s="68" t="str">
        <f t="array" ref="H282">IF($A282="","",IFERROR(INDEX(MA_INDIVIDUALES!L$2:L923, MATCH($A282,MA_INDIVIDUALES!$B$2:$B923,0),1),"CÓDIGO DE EXPEDIENTE INVÁLIDO"))</f>
        <v/>
      </c>
      <c r="I282" s="76"/>
      <c r="J282" s="76"/>
      <c r="K282" s="75"/>
      <c r="L282" s="74" t="str">
        <f>IF(A282="","",IF(K282="","",_xlfn.WORKDAY.INTL(K282,5,1,FERIADOS)))</f>
        <v/>
      </c>
      <c r="M282" s="76"/>
      <c r="N282" s="75"/>
      <c r="O282" s="76"/>
      <c r="P282" s="77" t="str">
        <f t="shared" si="3"/>
        <v/>
      </c>
      <c r="Q282" s="75"/>
      <c r="R282" s="76"/>
      <c r="S282" s="75"/>
      <c r="T282" s="75"/>
      <c r="U282" s="76"/>
      <c r="V282" s="76"/>
      <c r="W282" s="75"/>
      <c r="X282" s="76"/>
      <c r="Y282" s="29" t="str">
        <f t="shared" si="4"/>
        <v/>
      </c>
      <c r="Z282" s="29" t="str">
        <f t="shared" si="5"/>
        <v/>
      </c>
      <c r="AA282" s="76"/>
      <c r="AB282" s="76"/>
      <c r="AC282" s="75"/>
      <c r="AD282" s="75"/>
      <c r="AE282" s="78" t="str">
        <f>IF(U282="","",IF(AD282="","",_xlfn.WORKDAY.INTL(AD282,7,1,FERIADOS)))</f>
        <v/>
      </c>
      <c r="AF282" s="104"/>
      <c r="AG282" s="80" t="str">
        <f t="array" ref="AG282">IF(A282="","",IF(AF282="","",AF282*INDEX(PARAMETROS!F$2:F1345,MATCH(YEAR(AC282),PARAMETROS!E$2:E1345,0),1)))</f>
        <v/>
      </c>
      <c r="AH282" s="81"/>
      <c r="AI282" s="82"/>
      <c r="AJ282" s="81"/>
      <c r="AK282" s="81"/>
      <c r="AL282" s="76"/>
      <c r="AM282" s="75"/>
      <c r="AN282" s="76"/>
      <c r="AO282" s="95"/>
      <c r="AP282" s="96"/>
      <c r="AQ282" s="85" t="str">
        <f t="shared" si="6"/>
        <v/>
      </c>
      <c r="AR282" s="86" t="str">
        <f t="array" ref="AR282">IF(A282="","",IFERROR(INDEX('2) Etapas'!L$3:L923,MATCH(B282,'2) Etapas'!$A$4:$A923,0),1),-1))</f>
        <v/>
      </c>
      <c r="AS282" s="87" t="str">
        <f t="shared" si="7"/>
        <v/>
      </c>
      <c r="AT282" s="87" t="str">
        <f t="shared" si="8"/>
        <v/>
      </c>
      <c r="AU282" s="87" t="str">
        <f t="shared" si="9"/>
        <v/>
      </c>
      <c r="AV282" s="89" t="str">
        <f t="array" ref="AV282">IF(OR($A282="",$AB282="", $AC282=""),"",MAXA(IF($A282=$A$4:$A923,$AC$4:$AC923)))</f>
        <v/>
      </c>
    </row>
    <row r="283" ht="22.5" customHeight="1">
      <c r="A283" s="76"/>
      <c r="B283" s="68" t="str">
        <f t="shared" si="1"/>
        <v/>
      </c>
      <c r="C283" s="110"/>
      <c r="D283" s="70" t="str">
        <f t="shared" si="2"/>
        <v/>
      </c>
      <c r="E283" s="76"/>
      <c r="F283" s="68" t="str">
        <f t="array" ref="F283">IF($A283="","",IFERROR(INDEX(MA_INDIVIDUALES!C$2:C923, MATCH($A283,MA_INDIVIDUALES!$B$2:$B923,0),1),"CÓDIGO DE EXPEDIENTE INVÁLIDO"))</f>
        <v/>
      </c>
      <c r="G283" s="68" t="str">
        <f t="array" ref="G283">IF($A283="","",IFERROR(INDEX(MA_INDIVIDUALES!K$2:K923, MATCH($A283,MA_INDIVIDUALES!$B$2:$B923,0),1),"CÓDIGO DE EXPEDIENTE INVÁLIDO"))</f>
        <v/>
      </c>
      <c r="H283" s="68" t="str">
        <f t="array" ref="H283">IF($A283="","",IFERROR(INDEX(MA_INDIVIDUALES!L$2:L923, MATCH($A283,MA_INDIVIDUALES!$B$2:$B923,0),1),"CÓDIGO DE EXPEDIENTE INVÁLIDO"))</f>
        <v/>
      </c>
      <c r="I283" s="76"/>
      <c r="J283" s="76"/>
      <c r="K283" s="75"/>
      <c r="L283" s="74" t="str">
        <f>IF(A283="","",IF(K283="","",_xlfn.WORKDAY.INTL(K283,5,1,FERIADOS)))</f>
        <v/>
      </c>
      <c r="M283" s="76"/>
      <c r="N283" s="75"/>
      <c r="O283" s="76"/>
      <c r="P283" s="77" t="str">
        <f t="shared" si="3"/>
        <v/>
      </c>
      <c r="Q283" s="75"/>
      <c r="R283" s="76"/>
      <c r="S283" s="75"/>
      <c r="T283" s="75"/>
      <c r="U283" s="76"/>
      <c r="V283" s="76"/>
      <c r="W283" s="75"/>
      <c r="X283" s="76"/>
      <c r="Y283" s="29" t="str">
        <f t="shared" si="4"/>
        <v/>
      </c>
      <c r="Z283" s="29" t="str">
        <f t="shared" si="5"/>
        <v/>
      </c>
      <c r="AA283" s="76"/>
      <c r="AB283" s="76"/>
      <c r="AC283" s="75"/>
      <c r="AD283" s="75"/>
      <c r="AE283" s="78" t="str">
        <f>IF(U283="","",IF(AD283="","",_xlfn.WORKDAY.INTL(AD283,7,1,FERIADOS)))</f>
        <v/>
      </c>
      <c r="AF283" s="104"/>
      <c r="AG283" s="80" t="str">
        <f t="array" ref="AG283">IF(A283="","",IF(AF283="","",AF283*INDEX(PARAMETROS!F$2:F1346,MATCH(YEAR(AC283),PARAMETROS!E$2:E1346,0),1)))</f>
        <v/>
      </c>
      <c r="AH283" s="81"/>
      <c r="AI283" s="82"/>
      <c r="AJ283" s="81"/>
      <c r="AK283" s="81"/>
      <c r="AL283" s="76"/>
      <c r="AM283" s="75"/>
      <c r="AN283" s="76"/>
      <c r="AO283" s="95"/>
      <c r="AP283" s="96"/>
      <c r="AQ283" s="85" t="str">
        <f t="shared" si="6"/>
        <v/>
      </c>
      <c r="AR283" s="86" t="str">
        <f t="array" ref="AR283">IF(A283="","",IFERROR(INDEX('2) Etapas'!L$3:L923,MATCH(B283,'2) Etapas'!$A$4:$A923,0),1),-1))</f>
        <v/>
      </c>
      <c r="AS283" s="87" t="str">
        <f t="shared" si="7"/>
        <v/>
      </c>
      <c r="AT283" s="87" t="str">
        <f t="shared" si="8"/>
        <v/>
      </c>
      <c r="AU283" s="87" t="str">
        <f t="shared" si="9"/>
        <v/>
      </c>
      <c r="AV283" s="89" t="str">
        <f t="array" ref="AV283">IF(OR($A283="",$AB283="", $AC283=""),"",MAXA(IF($A283=$A$4:$A923,$AC$4:$AC923)))</f>
        <v/>
      </c>
    </row>
    <row r="284" ht="22.5" customHeight="1">
      <c r="A284" s="76"/>
      <c r="B284" s="68" t="str">
        <f t="shared" si="1"/>
        <v/>
      </c>
      <c r="C284" s="110"/>
      <c r="D284" s="70" t="str">
        <f t="shared" si="2"/>
        <v/>
      </c>
      <c r="E284" s="76"/>
      <c r="F284" s="68" t="str">
        <f t="array" ref="F284">IF($A284="","",IFERROR(INDEX(MA_INDIVIDUALES!C$2:C923, MATCH($A284,MA_INDIVIDUALES!$B$2:$B923,0),1),"CÓDIGO DE EXPEDIENTE INVÁLIDO"))</f>
        <v/>
      </c>
      <c r="G284" s="68" t="str">
        <f t="array" ref="G284">IF($A284="","",IFERROR(INDEX(MA_INDIVIDUALES!K$2:K923, MATCH($A284,MA_INDIVIDUALES!$B$2:$B923,0),1),"CÓDIGO DE EXPEDIENTE INVÁLIDO"))</f>
        <v/>
      </c>
      <c r="H284" s="68" t="str">
        <f t="array" ref="H284">IF($A284="","",IFERROR(INDEX(MA_INDIVIDUALES!L$2:L923, MATCH($A284,MA_INDIVIDUALES!$B$2:$B923,0),1),"CÓDIGO DE EXPEDIENTE INVÁLIDO"))</f>
        <v/>
      </c>
      <c r="I284" s="76"/>
      <c r="J284" s="76"/>
      <c r="K284" s="75"/>
      <c r="L284" s="74" t="str">
        <f>IF(A284="","",IF(K284="","",_xlfn.WORKDAY.INTL(K284,5,1,FERIADOS)))</f>
        <v/>
      </c>
      <c r="M284" s="76"/>
      <c r="N284" s="75"/>
      <c r="O284" s="76"/>
      <c r="P284" s="77" t="str">
        <f t="shared" si="3"/>
        <v/>
      </c>
      <c r="Q284" s="75"/>
      <c r="R284" s="76"/>
      <c r="S284" s="75"/>
      <c r="T284" s="75"/>
      <c r="U284" s="76"/>
      <c r="V284" s="76"/>
      <c r="W284" s="75"/>
      <c r="X284" s="76"/>
      <c r="Y284" s="29" t="str">
        <f t="shared" si="4"/>
        <v/>
      </c>
      <c r="Z284" s="29" t="str">
        <f t="shared" si="5"/>
        <v/>
      </c>
      <c r="AA284" s="76"/>
      <c r="AB284" s="76"/>
      <c r="AC284" s="75"/>
      <c r="AD284" s="75"/>
      <c r="AE284" s="78" t="str">
        <f>IF(U284="","",IF(AD284="","",_xlfn.WORKDAY.INTL(AD284,7,1,FERIADOS)))</f>
        <v/>
      </c>
      <c r="AF284" s="104"/>
      <c r="AG284" s="80" t="str">
        <f t="array" ref="AG284">IF(A284="","",IF(AF284="","",AF284*INDEX(PARAMETROS!F$2:F1347,MATCH(YEAR(AC284),PARAMETROS!E$2:E1347,0),1)))</f>
        <v/>
      </c>
      <c r="AH284" s="81"/>
      <c r="AI284" s="82"/>
      <c r="AJ284" s="81"/>
      <c r="AK284" s="81"/>
      <c r="AL284" s="76"/>
      <c r="AM284" s="75"/>
      <c r="AN284" s="76"/>
      <c r="AO284" s="95"/>
      <c r="AP284" s="96"/>
      <c r="AQ284" s="85" t="str">
        <f t="shared" si="6"/>
        <v/>
      </c>
      <c r="AR284" s="86" t="str">
        <f t="array" ref="AR284">IF(A284="","",IFERROR(INDEX('2) Etapas'!L$3:L923,MATCH(B284,'2) Etapas'!$A$4:$A923,0),1),-1))</f>
        <v/>
      </c>
      <c r="AS284" s="87" t="str">
        <f t="shared" si="7"/>
        <v/>
      </c>
      <c r="AT284" s="87" t="str">
        <f t="shared" si="8"/>
        <v/>
      </c>
      <c r="AU284" s="87" t="str">
        <f t="shared" si="9"/>
        <v/>
      </c>
      <c r="AV284" s="89" t="str">
        <f t="array" ref="AV284">IF(OR($A284="",$AB284="", $AC284=""),"",MAXA(IF($A284=$A$4:$A923,$AC$4:$AC923)))</f>
        <v/>
      </c>
    </row>
    <row r="285" ht="22.5" customHeight="1">
      <c r="A285" s="76"/>
      <c r="B285" s="68" t="str">
        <f t="shared" si="1"/>
        <v/>
      </c>
      <c r="C285" s="110"/>
      <c r="D285" s="70" t="str">
        <f t="shared" si="2"/>
        <v/>
      </c>
      <c r="E285" s="76"/>
      <c r="F285" s="68" t="str">
        <f t="array" ref="F285">IF($A285="","",IFERROR(INDEX(MA_INDIVIDUALES!C$2:C923, MATCH($A285,MA_INDIVIDUALES!$B$2:$B923,0),1),"CÓDIGO DE EXPEDIENTE INVÁLIDO"))</f>
        <v/>
      </c>
      <c r="G285" s="68" t="str">
        <f t="array" ref="G285">IF($A285="","",IFERROR(INDEX(MA_INDIVIDUALES!K$2:K923, MATCH($A285,MA_INDIVIDUALES!$B$2:$B923,0),1),"CÓDIGO DE EXPEDIENTE INVÁLIDO"))</f>
        <v/>
      </c>
      <c r="H285" s="68" t="str">
        <f t="array" ref="H285">IF($A285="","",IFERROR(INDEX(MA_INDIVIDUALES!L$2:L923, MATCH($A285,MA_INDIVIDUALES!$B$2:$B923,0),1),"CÓDIGO DE EXPEDIENTE INVÁLIDO"))</f>
        <v/>
      </c>
      <c r="I285" s="76"/>
      <c r="J285" s="76"/>
      <c r="K285" s="75"/>
      <c r="L285" s="74" t="str">
        <f>IF(A285="","",IF(K285="","",_xlfn.WORKDAY.INTL(K285,5,1,FERIADOS)))</f>
        <v/>
      </c>
      <c r="M285" s="76"/>
      <c r="N285" s="75"/>
      <c r="O285" s="76"/>
      <c r="P285" s="77" t="str">
        <f t="shared" si="3"/>
        <v/>
      </c>
      <c r="Q285" s="75"/>
      <c r="R285" s="76"/>
      <c r="S285" s="75"/>
      <c r="T285" s="75"/>
      <c r="U285" s="76"/>
      <c r="V285" s="76"/>
      <c r="W285" s="75"/>
      <c r="X285" s="76"/>
      <c r="Y285" s="29" t="str">
        <f t="shared" si="4"/>
        <v/>
      </c>
      <c r="Z285" s="29" t="str">
        <f t="shared" si="5"/>
        <v/>
      </c>
      <c r="AA285" s="76"/>
      <c r="AB285" s="76"/>
      <c r="AC285" s="75"/>
      <c r="AD285" s="75"/>
      <c r="AE285" s="78" t="str">
        <f>IF(U285="","",IF(AD285="","",_xlfn.WORKDAY.INTL(AD285,7,1,FERIADOS)))</f>
        <v/>
      </c>
      <c r="AF285" s="104"/>
      <c r="AG285" s="80" t="str">
        <f t="array" ref="AG285">IF(A285="","",IF(AF285="","",AF285*INDEX(PARAMETROS!F$2:F1348,MATCH(YEAR(AC285),PARAMETROS!E$2:E1348,0),1)))</f>
        <v/>
      </c>
      <c r="AH285" s="81"/>
      <c r="AI285" s="82"/>
      <c r="AJ285" s="81"/>
      <c r="AK285" s="81"/>
      <c r="AL285" s="76"/>
      <c r="AM285" s="75"/>
      <c r="AN285" s="76"/>
      <c r="AO285" s="95"/>
      <c r="AP285" s="96"/>
      <c r="AQ285" s="85" t="str">
        <f t="shared" si="6"/>
        <v/>
      </c>
      <c r="AR285" s="86" t="str">
        <f t="array" ref="AR285">IF(A285="","",IFERROR(INDEX('2) Etapas'!L$3:L923,MATCH(B285,'2) Etapas'!$A$4:$A923,0),1),-1))</f>
        <v/>
      </c>
      <c r="AS285" s="87" t="str">
        <f t="shared" si="7"/>
        <v/>
      </c>
      <c r="AT285" s="87" t="str">
        <f t="shared" si="8"/>
        <v/>
      </c>
      <c r="AU285" s="87" t="str">
        <f t="shared" si="9"/>
        <v/>
      </c>
      <c r="AV285" s="89" t="str">
        <f t="array" ref="AV285">IF(OR($A285="",$AB285="", $AC285=""),"",MAXA(IF($A285=$A$4:$A923,$AC$4:$AC923)))</f>
        <v/>
      </c>
    </row>
    <row r="286" ht="22.5" customHeight="1">
      <c r="A286" s="76"/>
      <c r="B286" s="68" t="str">
        <f t="shared" si="1"/>
        <v/>
      </c>
      <c r="C286" s="110"/>
      <c r="D286" s="70" t="str">
        <f t="shared" si="2"/>
        <v/>
      </c>
      <c r="E286" s="76"/>
      <c r="F286" s="68" t="str">
        <f t="array" ref="F286">IF($A286="","",IFERROR(INDEX(MA_INDIVIDUALES!C$2:C923, MATCH($A286,MA_INDIVIDUALES!$B$2:$B923,0),1),"CÓDIGO DE EXPEDIENTE INVÁLIDO"))</f>
        <v/>
      </c>
      <c r="G286" s="68" t="str">
        <f t="array" ref="G286">IF($A286="","",IFERROR(INDEX(MA_INDIVIDUALES!K$2:K923, MATCH($A286,MA_INDIVIDUALES!$B$2:$B923,0),1),"CÓDIGO DE EXPEDIENTE INVÁLIDO"))</f>
        <v/>
      </c>
      <c r="H286" s="68" t="str">
        <f t="array" ref="H286">IF($A286="","",IFERROR(INDEX(MA_INDIVIDUALES!L$2:L923, MATCH($A286,MA_INDIVIDUALES!$B$2:$B923,0),1),"CÓDIGO DE EXPEDIENTE INVÁLIDO"))</f>
        <v/>
      </c>
      <c r="I286" s="76"/>
      <c r="J286" s="76"/>
      <c r="K286" s="75"/>
      <c r="L286" s="74" t="str">
        <f>IF(A286="","",IF(K286="","",_xlfn.WORKDAY.INTL(K286,5,1,FERIADOS)))</f>
        <v/>
      </c>
      <c r="M286" s="76"/>
      <c r="N286" s="75"/>
      <c r="O286" s="76"/>
      <c r="P286" s="77" t="str">
        <f t="shared" si="3"/>
        <v/>
      </c>
      <c r="Q286" s="75"/>
      <c r="R286" s="76"/>
      <c r="S286" s="75"/>
      <c r="T286" s="75"/>
      <c r="U286" s="76"/>
      <c r="V286" s="76"/>
      <c r="W286" s="75"/>
      <c r="X286" s="76"/>
      <c r="Y286" s="29" t="str">
        <f t="shared" si="4"/>
        <v/>
      </c>
      <c r="Z286" s="29" t="str">
        <f t="shared" si="5"/>
        <v/>
      </c>
      <c r="AA286" s="76"/>
      <c r="AB286" s="76"/>
      <c r="AC286" s="75"/>
      <c r="AD286" s="75"/>
      <c r="AE286" s="78" t="str">
        <f>IF(U286="","",IF(AD286="","",_xlfn.WORKDAY.INTL(AD286,7,1,FERIADOS)))</f>
        <v/>
      </c>
      <c r="AF286" s="104"/>
      <c r="AG286" s="80" t="str">
        <f t="array" ref="AG286">IF(A286="","",IF(AF286="","",AF286*INDEX(PARAMETROS!F$2:F1349,MATCH(YEAR(AC286),PARAMETROS!E$2:E1349,0),1)))</f>
        <v/>
      </c>
      <c r="AH286" s="81"/>
      <c r="AI286" s="82"/>
      <c r="AJ286" s="81"/>
      <c r="AK286" s="81"/>
      <c r="AL286" s="76"/>
      <c r="AM286" s="75"/>
      <c r="AN286" s="76"/>
      <c r="AO286" s="95"/>
      <c r="AP286" s="96"/>
      <c r="AQ286" s="85" t="str">
        <f t="shared" si="6"/>
        <v/>
      </c>
      <c r="AR286" s="86" t="str">
        <f t="array" ref="AR286">IF(A286="","",IFERROR(INDEX('2) Etapas'!L$3:L923,MATCH(B286,'2) Etapas'!$A$4:$A923,0),1),-1))</f>
        <v/>
      </c>
      <c r="AS286" s="87" t="str">
        <f t="shared" si="7"/>
        <v/>
      </c>
      <c r="AT286" s="87" t="str">
        <f t="shared" si="8"/>
        <v/>
      </c>
      <c r="AU286" s="87" t="str">
        <f t="shared" si="9"/>
        <v/>
      </c>
      <c r="AV286" s="89" t="str">
        <f t="array" ref="AV286">IF(OR($A286="",$AB286="", $AC286=""),"",MAXA(IF($A286=$A$4:$A923,$AC$4:$AC923)))</f>
        <v/>
      </c>
    </row>
    <row r="287" ht="22.5" customHeight="1">
      <c r="A287" s="76"/>
      <c r="B287" s="68" t="str">
        <f t="shared" si="1"/>
        <v/>
      </c>
      <c r="C287" s="110"/>
      <c r="D287" s="70" t="str">
        <f t="shared" si="2"/>
        <v/>
      </c>
      <c r="E287" s="76"/>
      <c r="F287" s="68" t="str">
        <f t="array" ref="F287">IF($A287="","",IFERROR(INDEX(MA_INDIVIDUALES!C$2:C923, MATCH($A287,MA_INDIVIDUALES!$B$2:$B923,0),1),"CÓDIGO DE EXPEDIENTE INVÁLIDO"))</f>
        <v/>
      </c>
      <c r="G287" s="68" t="str">
        <f t="array" ref="G287">IF($A287="","",IFERROR(INDEX(MA_INDIVIDUALES!K$2:K923, MATCH($A287,MA_INDIVIDUALES!$B$2:$B923,0),1),"CÓDIGO DE EXPEDIENTE INVÁLIDO"))</f>
        <v/>
      </c>
      <c r="H287" s="68" t="str">
        <f t="array" ref="H287">IF($A287="","",IFERROR(INDEX(MA_INDIVIDUALES!L$2:L923, MATCH($A287,MA_INDIVIDUALES!$B$2:$B923,0),1),"CÓDIGO DE EXPEDIENTE INVÁLIDO"))</f>
        <v/>
      </c>
      <c r="I287" s="76"/>
      <c r="J287" s="76"/>
      <c r="K287" s="75"/>
      <c r="L287" s="74" t="str">
        <f>IF(A287="","",IF(K287="","",_xlfn.WORKDAY.INTL(K287,5,1,FERIADOS)))</f>
        <v/>
      </c>
      <c r="M287" s="76"/>
      <c r="N287" s="75"/>
      <c r="O287" s="76"/>
      <c r="P287" s="77" t="str">
        <f t="shared" si="3"/>
        <v/>
      </c>
      <c r="Q287" s="75"/>
      <c r="R287" s="76"/>
      <c r="S287" s="75"/>
      <c r="T287" s="75"/>
      <c r="U287" s="76"/>
      <c r="V287" s="76"/>
      <c r="W287" s="75"/>
      <c r="X287" s="76"/>
      <c r="Y287" s="29" t="str">
        <f t="shared" si="4"/>
        <v/>
      </c>
      <c r="Z287" s="29" t="str">
        <f t="shared" si="5"/>
        <v/>
      </c>
      <c r="AA287" s="76"/>
      <c r="AB287" s="76"/>
      <c r="AC287" s="75"/>
      <c r="AD287" s="75"/>
      <c r="AE287" s="78" t="str">
        <f>IF(U287="","",IF(AD287="","",_xlfn.WORKDAY.INTL(AD287,7,1,FERIADOS)))</f>
        <v/>
      </c>
      <c r="AF287" s="104"/>
      <c r="AG287" s="80" t="str">
        <f t="array" ref="AG287">IF(A287="","",IF(AF287="","",AF287*INDEX(PARAMETROS!F$2:F1350,MATCH(YEAR(AC287),PARAMETROS!E$2:E1350,0),1)))</f>
        <v/>
      </c>
      <c r="AH287" s="81"/>
      <c r="AI287" s="82"/>
      <c r="AJ287" s="81"/>
      <c r="AK287" s="81"/>
      <c r="AL287" s="76"/>
      <c r="AM287" s="75"/>
      <c r="AN287" s="76"/>
      <c r="AO287" s="95"/>
      <c r="AP287" s="96"/>
      <c r="AQ287" s="85" t="str">
        <f t="shared" si="6"/>
        <v/>
      </c>
      <c r="AR287" s="86" t="str">
        <f t="array" ref="AR287">IF(A287="","",IFERROR(INDEX('2) Etapas'!L$3:L923,MATCH(B287,'2) Etapas'!$A$4:$A923,0),1),-1))</f>
        <v/>
      </c>
      <c r="AS287" s="87" t="str">
        <f t="shared" si="7"/>
        <v/>
      </c>
      <c r="AT287" s="87" t="str">
        <f t="shared" si="8"/>
        <v/>
      </c>
      <c r="AU287" s="87" t="str">
        <f t="shared" si="9"/>
        <v/>
      </c>
      <c r="AV287" s="89" t="str">
        <f t="array" ref="AV287">IF(OR($A287="",$AB287="", $AC287=""),"",MAXA(IF($A287=$A$4:$A923,$AC$4:$AC923)))</f>
        <v/>
      </c>
    </row>
    <row r="288" ht="22.5" customHeight="1">
      <c r="A288" s="76"/>
      <c r="B288" s="68" t="str">
        <f t="shared" si="1"/>
        <v/>
      </c>
      <c r="C288" s="110"/>
      <c r="D288" s="70" t="str">
        <f t="shared" si="2"/>
        <v/>
      </c>
      <c r="E288" s="76"/>
      <c r="F288" s="68" t="str">
        <f t="array" ref="F288">IF($A288="","",IFERROR(INDEX(MA_INDIVIDUALES!C$2:C923, MATCH($A288,MA_INDIVIDUALES!$B$2:$B923,0),1),"CÓDIGO DE EXPEDIENTE INVÁLIDO"))</f>
        <v/>
      </c>
      <c r="G288" s="68" t="str">
        <f t="array" ref="G288">IF($A288="","",IFERROR(INDEX(MA_INDIVIDUALES!K$2:K923, MATCH($A288,MA_INDIVIDUALES!$B$2:$B923,0),1),"CÓDIGO DE EXPEDIENTE INVÁLIDO"))</f>
        <v/>
      </c>
      <c r="H288" s="68" t="str">
        <f t="array" ref="H288">IF($A288="","",IFERROR(INDEX(MA_INDIVIDUALES!L$2:L923, MATCH($A288,MA_INDIVIDUALES!$B$2:$B923,0),1),"CÓDIGO DE EXPEDIENTE INVÁLIDO"))</f>
        <v/>
      </c>
      <c r="I288" s="76"/>
      <c r="J288" s="76"/>
      <c r="K288" s="75"/>
      <c r="L288" s="74" t="str">
        <f>IF(A288="","",IF(K288="","",_xlfn.WORKDAY.INTL(K288,5,1,FERIADOS)))</f>
        <v/>
      </c>
      <c r="M288" s="76"/>
      <c r="N288" s="75"/>
      <c r="O288" s="76"/>
      <c r="P288" s="77" t="str">
        <f t="shared" si="3"/>
        <v/>
      </c>
      <c r="Q288" s="75"/>
      <c r="R288" s="76"/>
      <c r="S288" s="75"/>
      <c r="T288" s="75"/>
      <c r="U288" s="76"/>
      <c r="V288" s="76"/>
      <c r="W288" s="75"/>
      <c r="X288" s="76"/>
      <c r="Y288" s="29" t="str">
        <f t="shared" si="4"/>
        <v/>
      </c>
      <c r="Z288" s="29" t="str">
        <f t="shared" si="5"/>
        <v/>
      </c>
      <c r="AA288" s="76"/>
      <c r="AB288" s="76"/>
      <c r="AC288" s="75"/>
      <c r="AD288" s="75"/>
      <c r="AE288" s="78" t="str">
        <f>IF(U288="","",IF(AD288="","",_xlfn.WORKDAY.INTL(AD288,7,1,FERIADOS)))</f>
        <v/>
      </c>
      <c r="AF288" s="104"/>
      <c r="AG288" s="80" t="str">
        <f t="array" ref="AG288">IF(A288="","",IF(AF288="","",AF288*INDEX(PARAMETROS!F$2:F1351,MATCH(YEAR(AC288),PARAMETROS!E$2:E1351,0),1)))</f>
        <v/>
      </c>
      <c r="AH288" s="81"/>
      <c r="AI288" s="82"/>
      <c r="AJ288" s="81"/>
      <c r="AK288" s="81"/>
      <c r="AL288" s="76"/>
      <c r="AM288" s="75"/>
      <c r="AN288" s="76"/>
      <c r="AO288" s="95"/>
      <c r="AP288" s="96"/>
      <c r="AQ288" s="85" t="str">
        <f t="shared" si="6"/>
        <v/>
      </c>
      <c r="AR288" s="86" t="str">
        <f t="array" ref="AR288">IF(A288="","",IFERROR(INDEX('2) Etapas'!L$3:L923,MATCH(B288,'2) Etapas'!$A$4:$A923,0),1),-1))</f>
        <v/>
      </c>
      <c r="AS288" s="87" t="str">
        <f t="shared" si="7"/>
        <v/>
      </c>
      <c r="AT288" s="87" t="str">
        <f t="shared" si="8"/>
        <v/>
      </c>
      <c r="AU288" s="87" t="str">
        <f t="shared" si="9"/>
        <v/>
      </c>
      <c r="AV288" s="89" t="str">
        <f t="array" ref="AV288">IF(OR($A288="",$AB288="", $AC288=""),"",MAXA(IF($A288=$A$4:$A923,$AC$4:$AC923)))</f>
        <v/>
      </c>
    </row>
    <row r="289" ht="22.5" customHeight="1">
      <c r="A289" s="76"/>
      <c r="B289" s="68" t="str">
        <f t="shared" si="1"/>
        <v/>
      </c>
      <c r="C289" s="110"/>
      <c r="D289" s="70" t="str">
        <f t="shared" si="2"/>
        <v/>
      </c>
      <c r="E289" s="76"/>
      <c r="F289" s="68" t="str">
        <f t="array" ref="F289">IF($A289="","",IFERROR(INDEX(MA_INDIVIDUALES!C$2:C923, MATCH($A289,MA_INDIVIDUALES!$B$2:$B923,0),1),"CÓDIGO DE EXPEDIENTE INVÁLIDO"))</f>
        <v/>
      </c>
      <c r="G289" s="68" t="str">
        <f t="array" ref="G289">IF($A289="","",IFERROR(INDEX(MA_INDIVIDUALES!K$2:K923, MATCH($A289,MA_INDIVIDUALES!$B$2:$B923,0),1),"CÓDIGO DE EXPEDIENTE INVÁLIDO"))</f>
        <v/>
      </c>
      <c r="H289" s="68" t="str">
        <f t="array" ref="H289">IF($A289="","",IFERROR(INDEX(MA_INDIVIDUALES!L$2:L923, MATCH($A289,MA_INDIVIDUALES!$B$2:$B923,0),1),"CÓDIGO DE EXPEDIENTE INVÁLIDO"))</f>
        <v/>
      </c>
      <c r="I289" s="76"/>
      <c r="J289" s="76"/>
      <c r="K289" s="75"/>
      <c r="L289" s="74" t="str">
        <f>IF(A289="","",IF(K289="","",_xlfn.WORKDAY.INTL(K289,5,1,FERIADOS)))</f>
        <v/>
      </c>
      <c r="M289" s="76"/>
      <c r="N289" s="75"/>
      <c r="O289" s="76"/>
      <c r="P289" s="77" t="str">
        <f t="shared" si="3"/>
        <v/>
      </c>
      <c r="Q289" s="75"/>
      <c r="R289" s="76"/>
      <c r="S289" s="75"/>
      <c r="T289" s="75"/>
      <c r="U289" s="76"/>
      <c r="V289" s="76"/>
      <c r="W289" s="75"/>
      <c r="X289" s="76"/>
      <c r="Y289" s="29" t="str">
        <f t="shared" si="4"/>
        <v/>
      </c>
      <c r="Z289" s="29" t="str">
        <f t="shared" si="5"/>
        <v/>
      </c>
      <c r="AA289" s="76"/>
      <c r="AB289" s="76"/>
      <c r="AC289" s="75"/>
      <c r="AD289" s="75"/>
      <c r="AE289" s="78" t="str">
        <f>IF(U289="","",IF(AD289="","",_xlfn.WORKDAY.INTL(AD289,7,1,FERIADOS)))</f>
        <v/>
      </c>
      <c r="AF289" s="104"/>
      <c r="AG289" s="80" t="str">
        <f t="array" ref="AG289">IF(A289="","",IF(AF289="","",AF289*INDEX(PARAMETROS!F$2:F1352,MATCH(YEAR(AC289),PARAMETROS!E$2:E1352,0),1)))</f>
        <v/>
      </c>
      <c r="AH289" s="81"/>
      <c r="AI289" s="82"/>
      <c r="AJ289" s="81"/>
      <c r="AK289" s="81"/>
      <c r="AL289" s="76"/>
      <c r="AM289" s="75"/>
      <c r="AN289" s="76"/>
      <c r="AO289" s="95"/>
      <c r="AP289" s="96"/>
      <c r="AQ289" s="85" t="str">
        <f t="shared" si="6"/>
        <v/>
      </c>
      <c r="AR289" s="86" t="str">
        <f t="array" ref="AR289">IF(A289="","",IFERROR(INDEX('2) Etapas'!L$3:L923,MATCH(B289,'2) Etapas'!$A$4:$A923,0),1),-1))</f>
        <v/>
      </c>
      <c r="AS289" s="87" t="str">
        <f t="shared" si="7"/>
        <v/>
      </c>
      <c r="AT289" s="87" t="str">
        <f t="shared" si="8"/>
        <v/>
      </c>
      <c r="AU289" s="87" t="str">
        <f t="shared" si="9"/>
        <v/>
      </c>
      <c r="AV289" s="89" t="str">
        <f t="array" ref="AV289">IF(OR($A289="",$AB289="", $AC289=""),"",MAXA(IF($A289=$A$4:$A923,$AC$4:$AC923)))</f>
        <v/>
      </c>
    </row>
    <row r="290" ht="22.5" customHeight="1">
      <c r="A290" s="76"/>
      <c r="B290" s="68" t="str">
        <f t="shared" si="1"/>
        <v/>
      </c>
      <c r="C290" s="110"/>
      <c r="D290" s="70" t="str">
        <f t="shared" si="2"/>
        <v/>
      </c>
      <c r="E290" s="76"/>
      <c r="F290" s="68" t="str">
        <f t="array" ref="F290">IF($A290="","",IFERROR(INDEX(MA_INDIVIDUALES!C$2:C923, MATCH($A290,MA_INDIVIDUALES!$B$2:$B923,0),1),"CÓDIGO DE EXPEDIENTE INVÁLIDO"))</f>
        <v/>
      </c>
      <c r="G290" s="68" t="str">
        <f t="array" ref="G290">IF($A290="","",IFERROR(INDEX(MA_INDIVIDUALES!K$2:K923, MATCH($A290,MA_INDIVIDUALES!$B$2:$B923,0),1),"CÓDIGO DE EXPEDIENTE INVÁLIDO"))</f>
        <v/>
      </c>
      <c r="H290" s="68" t="str">
        <f t="array" ref="H290">IF($A290="","",IFERROR(INDEX(MA_INDIVIDUALES!L$2:L923, MATCH($A290,MA_INDIVIDUALES!$B$2:$B923,0),1),"CÓDIGO DE EXPEDIENTE INVÁLIDO"))</f>
        <v/>
      </c>
      <c r="I290" s="76"/>
      <c r="J290" s="76"/>
      <c r="K290" s="75"/>
      <c r="L290" s="74" t="str">
        <f>IF(A290="","",IF(K290="","",_xlfn.WORKDAY.INTL(K290,5,1,FERIADOS)))</f>
        <v/>
      </c>
      <c r="M290" s="76"/>
      <c r="N290" s="75"/>
      <c r="O290" s="76"/>
      <c r="P290" s="77" t="str">
        <f t="shared" si="3"/>
        <v/>
      </c>
      <c r="Q290" s="75"/>
      <c r="R290" s="76"/>
      <c r="S290" s="75"/>
      <c r="T290" s="75"/>
      <c r="U290" s="76"/>
      <c r="V290" s="76"/>
      <c r="W290" s="75"/>
      <c r="X290" s="76"/>
      <c r="Y290" s="29" t="str">
        <f t="shared" si="4"/>
        <v/>
      </c>
      <c r="Z290" s="29" t="str">
        <f t="shared" si="5"/>
        <v/>
      </c>
      <c r="AA290" s="76"/>
      <c r="AB290" s="76"/>
      <c r="AC290" s="75"/>
      <c r="AD290" s="75"/>
      <c r="AE290" s="78" t="str">
        <f>IF(U290="","",IF(AD290="","",_xlfn.WORKDAY.INTL(AD290,7,1,FERIADOS)))</f>
        <v/>
      </c>
      <c r="AF290" s="104"/>
      <c r="AG290" s="80" t="str">
        <f t="array" ref="AG290">IF(A290="","",IF(AF290="","",AF290*INDEX(PARAMETROS!F$2:F1353,MATCH(YEAR(AC290),PARAMETROS!E$2:E1353,0),1)))</f>
        <v/>
      </c>
      <c r="AH290" s="81"/>
      <c r="AI290" s="82"/>
      <c r="AJ290" s="81"/>
      <c r="AK290" s="81"/>
      <c r="AL290" s="76"/>
      <c r="AM290" s="75"/>
      <c r="AN290" s="76"/>
      <c r="AO290" s="95"/>
      <c r="AP290" s="96"/>
      <c r="AQ290" s="85" t="str">
        <f t="shared" si="6"/>
        <v/>
      </c>
      <c r="AR290" s="86" t="str">
        <f t="array" ref="AR290">IF(A290="","",IFERROR(INDEX('2) Etapas'!L$3:L923,MATCH(B290,'2) Etapas'!$A$4:$A923,0),1),-1))</f>
        <v/>
      </c>
      <c r="AS290" s="87" t="str">
        <f t="shared" si="7"/>
        <v/>
      </c>
      <c r="AT290" s="87" t="str">
        <f t="shared" si="8"/>
        <v/>
      </c>
      <c r="AU290" s="87" t="str">
        <f t="shared" si="9"/>
        <v/>
      </c>
      <c r="AV290" s="89" t="str">
        <f t="array" ref="AV290">IF(OR($A290="",$AB290="", $AC290=""),"",MAXA(IF($A290=$A$4:$A923,$AC$4:$AC923)))</f>
        <v/>
      </c>
    </row>
    <row r="291" ht="22.5" customHeight="1">
      <c r="A291" s="76"/>
      <c r="B291" s="68" t="str">
        <f t="shared" si="1"/>
        <v/>
      </c>
      <c r="C291" s="110"/>
      <c r="D291" s="70" t="str">
        <f t="shared" si="2"/>
        <v/>
      </c>
      <c r="E291" s="76"/>
      <c r="F291" s="68" t="str">
        <f t="array" ref="F291">IF($A291="","",IFERROR(INDEX(MA_INDIVIDUALES!C$2:C923, MATCH($A291,MA_INDIVIDUALES!$B$2:$B923,0),1),"CÓDIGO DE EXPEDIENTE INVÁLIDO"))</f>
        <v/>
      </c>
      <c r="G291" s="68" t="str">
        <f t="array" ref="G291">IF($A291="","",IFERROR(INDEX(MA_INDIVIDUALES!K$2:K923, MATCH($A291,MA_INDIVIDUALES!$B$2:$B923,0),1),"CÓDIGO DE EXPEDIENTE INVÁLIDO"))</f>
        <v/>
      </c>
      <c r="H291" s="68" t="str">
        <f t="array" ref="H291">IF($A291="","",IFERROR(INDEX(MA_INDIVIDUALES!L$2:L923, MATCH($A291,MA_INDIVIDUALES!$B$2:$B923,0),1),"CÓDIGO DE EXPEDIENTE INVÁLIDO"))</f>
        <v/>
      </c>
      <c r="I291" s="76"/>
      <c r="J291" s="76"/>
      <c r="K291" s="75"/>
      <c r="L291" s="74" t="str">
        <f>IF(A291="","",IF(K291="","",_xlfn.WORKDAY.INTL(K291,5,1,FERIADOS)))</f>
        <v/>
      </c>
      <c r="M291" s="76"/>
      <c r="N291" s="75"/>
      <c r="O291" s="76"/>
      <c r="P291" s="77" t="str">
        <f t="shared" si="3"/>
        <v/>
      </c>
      <c r="Q291" s="75"/>
      <c r="R291" s="76"/>
      <c r="S291" s="75"/>
      <c r="T291" s="75"/>
      <c r="U291" s="76"/>
      <c r="V291" s="76"/>
      <c r="W291" s="75"/>
      <c r="X291" s="76"/>
      <c r="Y291" s="29" t="str">
        <f t="shared" si="4"/>
        <v/>
      </c>
      <c r="Z291" s="29" t="str">
        <f t="shared" si="5"/>
        <v/>
      </c>
      <c r="AA291" s="76"/>
      <c r="AB291" s="76"/>
      <c r="AC291" s="75"/>
      <c r="AD291" s="75"/>
      <c r="AE291" s="78" t="str">
        <f>IF(U291="","",IF(AD291="","",_xlfn.WORKDAY.INTL(AD291,7,1,FERIADOS)))</f>
        <v/>
      </c>
      <c r="AF291" s="104"/>
      <c r="AG291" s="80" t="str">
        <f t="array" ref="AG291">IF(A291="","",IF(AF291="","",AF291*INDEX(PARAMETROS!F$2:F1354,MATCH(YEAR(AC291),PARAMETROS!E$2:E1354,0),1)))</f>
        <v/>
      </c>
      <c r="AH291" s="81"/>
      <c r="AI291" s="82"/>
      <c r="AJ291" s="81"/>
      <c r="AK291" s="81"/>
      <c r="AL291" s="76"/>
      <c r="AM291" s="75"/>
      <c r="AN291" s="76"/>
      <c r="AO291" s="95"/>
      <c r="AP291" s="96"/>
      <c r="AQ291" s="85" t="str">
        <f t="shared" si="6"/>
        <v/>
      </c>
      <c r="AR291" s="86" t="str">
        <f t="array" ref="AR291">IF(A291="","",IFERROR(INDEX('2) Etapas'!L$3:L923,MATCH(B291,'2) Etapas'!$A$4:$A923,0),1),-1))</f>
        <v/>
      </c>
      <c r="AS291" s="87" t="str">
        <f t="shared" si="7"/>
        <v/>
      </c>
      <c r="AT291" s="87" t="str">
        <f t="shared" si="8"/>
        <v/>
      </c>
      <c r="AU291" s="87" t="str">
        <f t="shared" si="9"/>
        <v/>
      </c>
      <c r="AV291" s="89" t="str">
        <f t="array" ref="AV291">IF(OR($A291="",$AB291="", $AC291=""),"",MAXA(IF($A291=$A$4:$A923,$AC$4:$AC923)))</f>
        <v/>
      </c>
    </row>
    <row r="292" ht="22.5" customHeight="1">
      <c r="A292" s="76"/>
      <c r="B292" s="68" t="str">
        <f t="shared" si="1"/>
        <v/>
      </c>
      <c r="C292" s="110"/>
      <c r="D292" s="70" t="str">
        <f t="shared" si="2"/>
        <v/>
      </c>
      <c r="E292" s="76"/>
      <c r="F292" s="68" t="str">
        <f t="array" ref="F292">IF($A292="","",IFERROR(INDEX(MA_INDIVIDUALES!C$2:C923, MATCH($A292,MA_INDIVIDUALES!$B$2:$B923,0),1),"CÓDIGO DE EXPEDIENTE INVÁLIDO"))</f>
        <v/>
      </c>
      <c r="G292" s="68" t="str">
        <f t="array" ref="G292">IF($A292="","",IFERROR(INDEX(MA_INDIVIDUALES!K$2:K923, MATCH($A292,MA_INDIVIDUALES!$B$2:$B923,0),1),"CÓDIGO DE EXPEDIENTE INVÁLIDO"))</f>
        <v/>
      </c>
      <c r="H292" s="68" t="str">
        <f t="array" ref="H292">IF($A292="","",IFERROR(INDEX(MA_INDIVIDUALES!L$2:L923, MATCH($A292,MA_INDIVIDUALES!$B$2:$B923,0),1),"CÓDIGO DE EXPEDIENTE INVÁLIDO"))</f>
        <v/>
      </c>
      <c r="I292" s="76"/>
      <c r="J292" s="76"/>
      <c r="K292" s="75"/>
      <c r="L292" s="74" t="str">
        <f>IF(A292="","",IF(K292="","",_xlfn.WORKDAY.INTL(K292,5,1,FERIADOS)))</f>
        <v/>
      </c>
      <c r="M292" s="76"/>
      <c r="N292" s="75"/>
      <c r="O292" s="76"/>
      <c r="P292" s="77" t="str">
        <f t="shared" si="3"/>
        <v/>
      </c>
      <c r="Q292" s="75"/>
      <c r="R292" s="76"/>
      <c r="S292" s="75"/>
      <c r="T292" s="75"/>
      <c r="U292" s="76"/>
      <c r="V292" s="76"/>
      <c r="W292" s="75"/>
      <c r="X292" s="76"/>
      <c r="Y292" s="29" t="str">
        <f t="shared" si="4"/>
        <v/>
      </c>
      <c r="Z292" s="29" t="str">
        <f t="shared" si="5"/>
        <v/>
      </c>
      <c r="AA292" s="76"/>
      <c r="AB292" s="76"/>
      <c r="AC292" s="75"/>
      <c r="AD292" s="75"/>
      <c r="AE292" s="78" t="str">
        <f>IF(U292="","",IF(AD292="","",_xlfn.WORKDAY.INTL(AD292,7,1,FERIADOS)))</f>
        <v/>
      </c>
      <c r="AF292" s="104"/>
      <c r="AG292" s="80" t="str">
        <f t="array" ref="AG292">IF(A292="","",IF(AF292="","",AF292*INDEX(PARAMETROS!F$2:F1355,MATCH(YEAR(AC292),PARAMETROS!E$2:E1355,0),1)))</f>
        <v/>
      </c>
      <c r="AH292" s="81"/>
      <c r="AI292" s="82"/>
      <c r="AJ292" s="81"/>
      <c r="AK292" s="81"/>
      <c r="AL292" s="76"/>
      <c r="AM292" s="75"/>
      <c r="AN292" s="76"/>
      <c r="AO292" s="95"/>
      <c r="AP292" s="96"/>
      <c r="AQ292" s="85" t="str">
        <f t="shared" si="6"/>
        <v/>
      </c>
      <c r="AR292" s="86" t="str">
        <f t="array" ref="AR292">IF(A292="","",IFERROR(INDEX('2) Etapas'!L$3:L923,MATCH(B292,'2) Etapas'!$A$4:$A923,0),1),-1))</f>
        <v/>
      </c>
      <c r="AS292" s="87" t="str">
        <f t="shared" si="7"/>
        <v/>
      </c>
      <c r="AT292" s="87" t="str">
        <f t="shared" si="8"/>
        <v/>
      </c>
      <c r="AU292" s="87" t="str">
        <f t="shared" si="9"/>
        <v/>
      </c>
      <c r="AV292" s="89" t="str">
        <f t="array" ref="AV292">IF(OR($A292="",$AB292="", $AC292=""),"",MAXA(IF($A292=$A$4:$A923,$AC$4:$AC923)))</f>
        <v/>
      </c>
    </row>
    <row r="293" ht="22.5" customHeight="1">
      <c r="A293" s="76"/>
      <c r="B293" s="68" t="str">
        <f t="shared" si="1"/>
        <v/>
      </c>
      <c r="C293" s="110"/>
      <c r="D293" s="70" t="str">
        <f t="shared" si="2"/>
        <v/>
      </c>
      <c r="E293" s="76"/>
      <c r="F293" s="68" t="str">
        <f t="array" ref="F293">IF($A293="","",IFERROR(INDEX(MA_INDIVIDUALES!C$2:C923, MATCH($A293,MA_INDIVIDUALES!$B$2:$B923,0),1),"CÓDIGO DE EXPEDIENTE INVÁLIDO"))</f>
        <v/>
      </c>
      <c r="G293" s="68" t="str">
        <f t="array" ref="G293">IF($A293="","",IFERROR(INDEX(MA_INDIVIDUALES!K$2:K923, MATCH($A293,MA_INDIVIDUALES!$B$2:$B923,0),1),"CÓDIGO DE EXPEDIENTE INVÁLIDO"))</f>
        <v/>
      </c>
      <c r="H293" s="68" t="str">
        <f t="array" ref="H293">IF($A293="","",IFERROR(INDEX(MA_INDIVIDUALES!L$2:L923, MATCH($A293,MA_INDIVIDUALES!$B$2:$B923,0),1),"CÓDIGO DE EXPEDIENTE INVÁLIDO"))</f>
        <v/>
      </c>
      <c r="I293" s="76"/>
      <c r="J293" s="76"/>
      <c r="K293" s="75"/>
      <c r="L293" s="74" t="str">
        <f>IF(A293="","",IF(K293="","",_xlfn.WORKDAY.INTL(K293,5,1,FERIADOS)))</f>
        <v/>
      </c>
      <c r="M293" s="76"/>
      <c r="N293" s="75"/>
      <c r="O293" s="76"/>
      <c r="P293" s="77" t="str">
        <f t="shared" si="3"/>
        <v/>
      </c>
      <c r="Q293" s="75"/>
      <c r="R293" s="76"/>
      <c r="S293" s="75"/>
      <c r="T293" s="75"/>
      <c r="U293" s="76"/>
      <c r="V293" s="76"/>
      <c r="W293" s="75"/>
      <c r="X293" s="76"/>
      <c r="Y293" s="29" t="str">
        <f t="shared" si="4"/>
        <v/>
      </c>
      <c r="Z293" s="29" t="str">
        <f t="shared" si="5"/>
        <v/>
      </c>
      <c r="AA293" s="76"/>
      <c r="AB293" s="76"/>
      <c r="AC293" s="75"/>
      <c r="AD293" s="75"/>
      <c r="AE293" s="78" t="str">
        <f>IF(U293="","",IF(AD293="","",_xlfn.WORKDAY.INTL(AD293,7,1,FERIADOS)))</f>
        <v/>
      </c>
      <c r="AF293" s="104"/>
      <c r="AG293" s="80" t="str">
        <f t="array" ref="AG293">IF(A293="","",IF(AF293="","",AF293*INDEX(PARAMETROS!F$2:F1356,MATCH(YEAR(AC293),PARAMETROS!E$2:E1356,0),1)))</f>
        <v/>
      </c>
      <c r="AH293" s="81"/>
      <c r="AI293" s="82"/>
      <c r="AJ293" s="81"/>
      <c r="AK293" s="81"/>
      <c r="AL293" s="76"/>
      <c r="AM293" s="75"/>
      <c r="AN293" s="76"/>
      <c r="AO293" s="95"/>
      <c r="AP293" s="96"/>
      <c r="AQ293" s="85" t="str">
        <f t="shared" si="6"/>
        <v/>
      </c>
      <c r="AR293" s="86" t="str">
        <f t="array" ref="AR293">IF(A293="","",IFERROR(INDEX('2) Etapas'!L$3:L923,MATCH(B293,'2) Etapas'!$A$4:$A923,0),1),-1))</f>
        <v/>
      </c>
      <c r="AS293" s="87" t="str">
        <f t="shared" si="7"/>
        <v/>
      </c>
      <c r="AT293" s="87" t="str">
        <f t="shared" si="8"/>
        <v/>
      </c>
      <c r="AU293" s="87" t="str">
        <f t="shared" si="9"/>
        <v/>
      </c>
      <c r="AV293" s="89" t="str">
        <f t="array" ref="AV293">IF(OR($A293="",$AB293="", $AC293=""),"",MAXA(IF($A293=$A$4:$A923,$AC$4:$AC923)))</f>
        <v/>
      </c>
    </row>
    <row r="294" ht="22.5" customHeight="1">
      <c r="A294" s="76"/>
      <c r="B294" s="68" t="str">
        <f t="shared" si="1"/>
        <v/>
      </c>
      <c r="C294" s="110"/>
      <c r="D294" s="70" t="str">
        <f t="shared" si="2"/>
        <v/>
      </c>
      <c r="E294" s="76"/>
      <c r="F294" s="68" t="str">
        <f t="array" ref="F294">IF($A294="","",IFERROR(INDEX(MA_INDIVIDUALES!C$2:C923, MATCH($A294,MA_INDIVIDUALES!$B$2:$B923,0),1),"CÓDIGO DE EXPEDIENTE INVÁLIDO"))</f>
        <v/>
      </c>
      <c r="G294" s="68" t="str">
        <f t="array" ref="G294">IF($A294="","",IFERROR(INDEX(MA_INDIVIDUALES!K$2:K923, MATCH($A294,MA_INDIVIDUALES!$B$2:$B923,0),1),"CÓDIGO DE EXPEDIENTE INVÁLIDO"))</f>
        <v/>
      </c>
      <c r="H294" s="68" t="str">
        <f t="array" ref="H294">IF($A294="","",IFERROR(INDEX(MA_INDIVIDUALES!L$2:L923, MATCH($A294,MA_INDIVIDUALES!$B$2:$B923,0),1),"CÓDIGO DE EXPEDIENTE INVÁLIDO"))</f>
        <v/>
      </c>
      <c r="I294" s="76"/>
      <c r="J294" s="76"/>
      <c r="K294" s="75"/>
      <c r="L294" s="74" t="str">
        <f>IF(A294="","",IF(K294="","",_xlfn.WORKDAY.INTL(K294,5,1,FERIADOS)))</f>
        <v/>
      </c>
      <c r="M294" s="76"/>
      <c r="N294" s="75"/>
      <c r="O294" s="76"/>
      <c r="P294" s="77" t="str">
        <f t="shared" si="3"/>
        <v/>
      </c>
      <c r="Q294" s="75"/>
      <c r="R294" s="76"/>
      <c r="S294" s="75"/>
      <c r="T294" s="75"/>
      <c r="U294" s="76"/>
      <c r="V294" s="76"/>
      <c r="W294" s="75"/>
      <c r="X294" s="76"/>
      <c r="Y294" s="29" t="str">
        <f t="shared" si="4"/>
        <v/>
      </c>
      <c r="Z294" s="29" t="str">
        <f t="shared" si="5"/>
        <v/>
      </c>
      <c r="AA294" s="76"/>
      <c r="AB294" s="76"/>
      <c r="AC294" s="75"/>
      <c r="AD294" s="75"/>
      <c r="AE294" s="78" t="str">
        <f>IF(U294="","",IF(AD294="","",_xlfn.WORKDAY.INTL(AD294,7,1,FERIADOS)))</f>
        <v/>
      </c>
      <c r="AF294" s="104"/>
      <c r="AG294" s="80" t="str">
        <f t="array" ref="AG294">IF(A294="","",IF(AF294="","",AF294*INDEX(PARAMETROS!F$2:F1357,MATCH(YEAR(AC294),PARAMETROS!E$2:E1357,0),1)))</f>
        <v/>
      </c>
      <c r="AH294" s="81"/>
      <c r="AI294" s="82"/>
      <c r="AJ294" s="81"/>
      <c r="AK294" s="81"/>
      <c r="AL294" s="76"/>
      <c r="AM294" s="75"/>
      <c r="AN294" s="76"/>
      <c r="AO294" s="95"/>
      <c r="AP294" s="96"/>
      <c r="AQ294" s="85" t="str">
        <f t="shared" si="6"/>
        <v/>
      </c>
      <c r="AR294" s="86" t="str">
        <f t="array" ref="AR294">IF(A294="","",IFERROR(INDEX('2) Etapas'!L$3:L923,MATCH(B294,'2) Etapas'!$A$4:$A923,0),1),-1))</f>
        <v/>
      </c>
      <c r="AS294" s="87" t="str">
        <f t="shared" si="7"/>
        <v/>
      </c>
      <c r="AT294" s="87" t="str">
        <f t="shared" si="8"/>
        <v/>
      </c>
      <c r="AU294" s="87" t="str">
        <f t="shared" si="9"/>
        <v/>
      </c>
      <c r="AV294" s="89" t="str">
        <f t="array" ref="AV294">IF(OR($A294="",$AB294="", $AC294=""),"",MAXA(IF($A294=$A$4:$A923,$AC$4:$AC923)))</f>
        <v/>
      </c>
    </row>
    <row r="295" ht="22.5" customHeight="1">
      <c r="A295" s="76"/>
      <c r="B295" s="68" t="str">
        <f t="shared" si="1"/>
        <v/>
      </c>
      <c r="C295" s="110"/>
      <c r="D295" s="70" t="str">
        <f t="shared" si="2"/>
        <v/>
      </c>
      <c r="E295" s="76"/>
      <c r="F295" s="68" t="str">
        <f t="array" ref="F295">IF($A295="","",IFERROR(INDEX(MA_INDIVIDUALES!C$2:C923, MATCH($A295,MA_INDIVIDUALES!$B$2:$B923,0),1),"CÓDIGO DE EXPEDIENTE INVÁLIDO"))</f>
        <v/>
      </c>
      <c r="G295" s="68" t="str">
        <f t="array" ref="G295">IF($A295="","",IFERROR(INDEX(MA_INDIVIDUALES!K$2:K923, MATCH($A295,MA_INDIVIDUALES!$B$2:$B923,0),1),"CÓDIGO DE EXPEDIENTE INVÁLIDO"))</f>
        <v/>
      </c>
      <c r="H295" s="68" t="str">
        <f t="array" ref="H295">IF($A295="","",IFERROR(INDEX(MA_INDIVIDUALES!L$2:L923, MATCH($A295,MA_INDIVIDUALES!$B$2:$B923,0),1),"CÓDIGO DE EXPEDIENTE INVÁLIDO"))</f>
        <v/>
      </c>
      <c r="I295" s="76"/>
      <c r="J295" s="76"/>
      <c r="K295" s="75"/>
      <c r="L295" s="74" t="str">
        <f>IF(A295="","",IF(K295="","",_xlfn.WORKDAY.INTL(K295,5,1,FERIADOS)))</f>
        <v/>
      </c>
      <c r="M295" s="76"/>
      <c r="N295" s="75"/>
      <c r="O295" s="76"/>
      <c r="P295" s="77" t="str">
        <f t="shared" si="3"/>
        <v/>
      </c>
      <c r="Q295" s="75"/>
      <c r="R295" s="76"/>
      <c r="S295" s="75"/>
      <c r="T295" s="75"/>
      <c r="U295" s="76"/>
      <c r="V295" s="76"/>
      <c r="W295" s="75"/>
      <c r="X295" s="76"/>
      <c r="Y295" s="29" t="str">
        <f t="shared" si="4"/>
        <v/>
      </c>
      <c r="Z295" s="29" t="str">
        <f t="shared" si="5"/>
        <v/>
      </c>
      <c r="AA295" s="76"/>
      <c r="AB295" s="76"/>
      <c r="AC295" s="75"/>
      <c r="AD295" s="75"/>
      <c r="AE295" s="78" t="str">
        <f>IF(U295="","",IF(AD295="","",_xlfn.WORKDAY.INTL(AD295,7,1,FERIADOS)))</f>
        <v/>
      </c>
      <c r="AF295" s="104"/>
      <c r="AG295" s="80" t="str">
        <f t="array" ref="AG295">IF(A295="","",IF(AF295="","",AF295*INDEX(PARAMETROS!F$2:F1358,MATCH(YEAR(AC295),PARAMETROS!E$2:E1358,0),1)))</f>
        <v/>
      </c>
      <c r="AH295" s="81"/>
      <c r="AI295" s="82"/>
      <c r="AJ295" s="81"/>
      <c r="AK295" s="81"/>
      <c r="AL295" s="76"/>
      <c r="AM295" s="75"/>
      <c r="AN295" s="76"/>
      <c r="AO295" s="95"/>
      <c r="AP295" s="96"/>
      <c r="AQ295" s="85" t="str">
        <f t="shared" si="6"/>
        <v/>
      </c>
      <c r="AR295" s="86" t="str">
        <f t="array" ref="AR295">IF(A295="","",IFERROR(INDEX('2) Etapas'!L$3:L923,MATCH(B295,'2) Etapas'!$A$4:$A923,0),1),-1))</f>
        <v/>
      </c>
      <c r="AS295" s="87" t="str">
        <f t="shared" si="7"/>
        <v/>
      </c>
      <c r="AT295" s="87" t="str">
        <f t="shared" si="8"/>
        <v/>
      </c>
      <c r="AU295" s="87" t="str">
        <f t="shared" si="9"/>
        <v/>
      </c>
      <c r="AV295" s="89" t="str">
        <f t="array" ref="AV295">IF(OR($A295="",$AB295="", $AC295=""),"",MAXA(IF($A295=$A$4:$A923,$AC$4:$AC923)))</f>
        <v/>
      </c>
    </row>
    <row r="296" ht="22.5" customHeight="1">
      <c r="A296" s="76"/>
      <c r="B296" s="68" t="str">
        <f t="shared" si="1"/>
        <v/>
      </c>
      <c r="C296" s="110"/>
      <c r="D296" s="70" t="str">
        <f t="shared" si="2"/>
        <v/>
      </c>
      <c r="E296" s="76"/>
      <c r="F296" s="68" t="str">
        <f t="array" ref="F296">IF($A296="","",IFERROR(INDEX(MA_INDIVIDUALES!C$2:C923, MATCH($A296,MA_INDIVIDUALES!$B$2:$B923,0),1),"CÓDIGO DE EXPEDIENTE INVÁLIDO"))</f>
        <v/>
      </c>
      <c r="G296" s="68" t="str">
        <f t="array" ref="G296">IF($A296="","",IFERROR(INDEX(MA_INDIVIDUALES!K$2:K923, MATCH($A296,MA_INDIVIDUALES!$B$2:$B923,0),1),"CÓDIGO DE EXPEDIENTE INVÁLIDO"))</f>
        <v/>
      </c>
      <c r="H296" s="68" t="str">
        <f t="array" ref="H296">IF($A296="","",IFERROR(INDEX(MA_INDIVIDUALES!L$2:L923, MATCH($A296,MA_INDIVIDUALES!$B$2:$B923,0),1),"CÓDIGO DE EXPEDIENTE INVÁLIDO"))</f>
        <v/>
      </c>
      <c r="I296" s="76"/>
      <c r="J296" s="76"/>
      <c r="K296" s="75"/>
      <c r="L296" s="74" t="str">
        <f>IF(A296="","",IF(K296="","",_xlfn.WORKDAY.INTL(K296,5,1,FERIADOS)))</f>
        <v/>
      </c>
      <c r="M296" s="76"/>
      <c r="N296" s="75"/>
      <c r="O296" s="76"/>
      <c r="P296" s="77" t="str">
        <f t="shared" si="3"/>
        <v/>
      </c>
      <c r="Q296" s="75"/>
      <c r="R296" s="76"/>
      <c r="S296" s="75"/>
      <c r="T296" s="75"/>
      <c r="U296" s="76"/>
      <c r="V296" s="76"/>
      <c r="W296" s="75"/>
      <c r="X296" s="76"/>
      <c r="Y296" s="29" t="str">
        <f t="shared" si="4"/>
        <v/>
      </c>
      <c r="Z296" s="29" t="str">
        <f t="shared" si="5"/>
        <v/>
      </c>
      <c r="AA296" s="76"/>
      <c r="AB296" s="76"/>
      <c r="AC296" s="75"/>
      <c r="AD296" s="75"/>
      <c r="AE296" s="78" t="str">
        <f>IF(U296="","",IF(AD296="","",_xlfn.WORKDAY.INTL(AD296,7,1,FERIADOS)))</f>
        <v/>
      </c>
      <c r="AF296" s="104"/>
      <c r="AG296" s="80" t="str">
        <f t="array" ref="AG296">IF(A296="","",IF(AF296="","",AF296*INDEX(PARAMETROS!F$2:F1359,MATCH(YEAR(AC296),PARAMETROS!E$2:E1359,0),1)))</f>
        <v/>
      </c>
      <c r="AH296" s="81"/>
      <c r="AI296" s="82"/>
      <c r="AJ296" s="81"/>
      <c r="AK296" s="81"/>
      <c r="AL296" s="76"/>
      <c r="AM296" s="75"/>
      <c r="AN296" s="76"/>
      <c r="AO296" s="95"/>
      <c r="AP296" s="96"/>
      <c r="AQ296" s="85" t="str">
        <f t="shared" si="6"/>
        <v/>
      </c>
      <c r="AR296" s="86" t="str">
        <f t="array" ref="AR296">IF(A296="","",IFERROR(INDEX('2) Etapas'!L$3:L923,MATCH(B296,'2) Etapas'!$A$4:$A923,0),1),-1))</f>
        <v/>
      </c>
      <c r="AS296" s="87" t="str">
        <f t="shared" si="7"/>
        <v/>
      </c>
      <c r="AT296" s="87" t="str">
        <f t="shared" si="8"/>
        <v/>
      </c>
      <c r="AU296" s="87" t="str">
        <f t="shared" si="9"/>
        <v/>
      </c>
      <c r="AV296" s="89" t="str">
        <f t="array" ref="AV296">IF(OR($A296="",$AB296="", $AC296=""),"",MAXA(IF($A296=$A$4:$A923,$AC$4:$AC923)))</f>
        <v/>
      </c>
    </row>
    <row r="297" ht="22.5" customHeight="1">
      <c r="A297" s="76"/>
      <c r="B297" s="68" t="str">
        <f t="shared" si="1"/>
        <v/>
      </c>
      <c r="C297" s="110"/>
      <c r="D297" s="70" t="str">
        <f t="shared" si="2"/>
        <v/>
      </c>
      <c r="E297" s="76"/>
      <c r="F297" s="68" t="str">
        <f t="array" ref="F297">IF($A297="","",IFERROR(INDEX(MA_INDIVIDUALES!C$2:C923, MATCH($A297,MA_INDIVIDUALES!$B$2:$B923,0),1),"CÓDIGO DE EXPEDIENTE INVÁLIDO"))</f>
        <v/>
      </c>
      <c r="G297" s="68" t="str">
        <f t="array" ref="G297">IF($A297="","",IFERROR(INDEX(MA_INDIVIDUALES!K$2:K923, MATCH($A297,MA_INDIVIDUALES!$B$2:$B923,0),1),"CÓDIGO DE EXPEDIENTE INVÁLIDO"))</f>
        <v/>
      </c>
      <c r="H297" s="68" t="str">
        <f t="array" ref="H297">IF($A297="","",IFERROR(INDEX(MA_INDIVIDUALES!L$2:L923, MATCH($A297,MA_INDIVIDUALES!$B$2:$B923,0),1),"CÓDIGO DE EXPEDIENTE INVÁLIDO"))</f>
        <v/>
      </c>
      <c r="I297" s="76"/>
      <c r="J297" s="76"/>
      <c r="K297" s="75"/>
      <c r="L297" s="74" t="str">
        <f>IF(A297="","",IF(K297="","",_xlfn.WORKDAY.INTL(K297,5,1,FERIADOS)))</f>
        <v/>
      </c>
      <c r="M297" s="76"/>
      <c r="N297" s="75"/>
      <c r="O297" s="76"/>
      <c r="P297" s="77" t="str">
        <f t="shared" si="3"/>
        <v/>
      </c>
      <c r="Q297" s="75"/>
      <c r="R297" s="76"/>
      <c r="S297" s="75"/>
      <c r="T297" s="75"/>
      <c r="U297" s="76"/>
      <c r="V297" s="76"/>
      <c r="W297" s="75"/>
      <c r="X297" s="76"/>
      <c r="Y297" s="29" t="str">
        <f t="shared" si="4"/>
        <v/>
      </c>
      <c r="Z297" s="29" t="str">
        <f t="shared" si="5"/>
        <v/>
      </c>
      <c r="AA297" s="76"/>
      <c r="AB297" s="76"/>
      <c r="AC297" s="75"/>
      <c r="AD297" s="75"/>
      <c r="AE297" s="78" t="str">
        <f>IF(U297="","",IF(AD297="","",_xlfn.WORKDAY.INTL(AD297,7,1,FERIADOS)))</f>
        <v/>
      </c>
      <c r="AF297" s="104"/>
      <c r="AG297" s="80" t="str">
        <f t="array" ref="AG297">IF(A297="","",IF(AF297="","",AF297*INDEX(PARAMETROS!F$2:F1360,MATCH(YEAR(AC297),PARAMETROS!E$2:E1360,0),1)))</f>
        <v/>
      </c>
      <c r="AH297" s="81"/>
      <c r="AI297" s="82"/>
      <c r="AJ297" s="81"/>
      <c r="AK297" s="81"/>
      <c r="AL297" s="76"/>
      <c r="AM297" s="75"/>
      <c r="AN297" s="76"/>
      <c r="AO297" s="95"/>
      <c r="AP297" s="96"/>
      <c r="AQ297" s="85" t="str">
        <f t="shared" si="6"/>
        <v/>
      </c>
      <c r="AR297" s="86" t="str">
        <f t="array" ref="AR297">IF(A297="","",IFERROR(INDEX('2) Etapas'!L$3:L923,MATCH(B297,'2) Etapas'!$A$4:$A923,0),1),-1))</f>
        <v/>
      </c>
      <c r="AS297" s="87" t="str">
        <f t="shared" si="7"/>
        <v/>
      </c>
      <c r="AT297" s="87" t="str">
        <f t="shared" si="8"/>
        <v/>
      </c>
      <c r="AU297" s="87" t="str">
        <f t="shared" si="9"/>
        <v/>
      </c>
      <c r="AV297" s="89" t="str">
        <f t="array" ref="AV297">IF(OR($A297="",$AB297="", $AC297=""),"",MAXA(IF($A297=$A$4:$A923,$AC$4:$AC923)))</f>
        <v/>
      </c>
    </row>
    <row r="298" ht="22.5" customHeight="1">
      <c r="A298" s="76"/>
      <c r="B298" s="68" t="str">
        <f t="shared" si="1"/>
        <v/>
      </c>
      <c r="C298" s="110"/>
      <c r="D298" s="70" t="str">
        <f t="shared" si="2"/>
        <v/>
      </c>
      <c r="E298" s="76"/>
      <c r="F298" s="68" t="str">
        <f t="array" ref="F298">IF($A298="","",IFERROR(INDEX(MA_INDIVIDUALES!C$2:C923, MATCH($A298,MA_INDIVIDUALES!$B$2:$B923,0),1),"CÓDIGO DE EXPEDIENTE INVÁLIDO"))</f>
        <v/>
      </c>
      <c r="G298" s="68" t="str">
        <f t="array" ref="G298">IF($A298="","",IFERROR(INDEX(MA_INDIVIDUALES!K$2:K923, MATCH($A298,MA_INDIVIDUALES!$B$2:$B923,0),1),"CÓDIGO DE EXPEDIENTE INVÁLIDO"))</f>
        <v/>
      </c>
      <c r="H298" s="68" t="str">
        <f t="array" ref="H298">IF($A298="","",IFERROR(INDEX(MA_INDIVIDUALES!L$2:L923, MATCH($A298,MA_INDIVIDUALES!$B$2:$B923,0),1),"CÓDIGO DE EXPEDIENTE INVÁLIDO"))</f>
        <v/>
      </c>
      <c r="I298" s="76"/>
      <c r="J298" s="76"/>
      <c r="K298" s="75"/>
      <c r="L298" s="74" t="str">
        <f>IF(A298="","",IF(K298="","",_xlfn.WORKDAY.INTL(K298,5,1,FERIADOS)))</f>
        <v/>
      </c>
      <c r="M298" s="76"/>
      <c r="N298" s="75"/>
      <c r="O298" s="76"/>
      <c r="P298" s="77" t="str">
        <f t="shared" si="3"/>
        <v/>
      </c>
      <c r="Q298" s="75"/>
      <c r="R298" s="76"/>
      <c r="S298" s="75"/>
      <c r="T298" s="75"/>
      <c r="U298" s="76"/>
      <c r="V298" s="76"/>
      <c r="W298" s="75"/>
      <c r="X298" s="76"/>
      <c r="Y298" s="29" t="str">
        <f t="shared" si="4"/>
        <v/>
      </c>
      <c r="Z298" s="29" t="str">
        <f t="shared" si="5"/>
        <v/>
      </c>
      <c r="AA298" s="76"/>
      <c r="AB298" s="76"/>
      <c r="AC298" s="75"/>
      <c r="AD298" s="75"/>
      <c r="AE298" s="78" t="str">
        <f>IF(U298="","",IF(AD298="","",_xlfn.WORKDAY.INTL(AD298,7,1,FERIADOS)))</f>
        <v/>
      </c>
      <c r="AF298" s="104"/>
      <c r="AG298" s="80" t="str">
        <f t="array" ref="AG298">IF(A298="","",IF(AF298="","",AF298*INDEX(PARAMETROS!F$2:F1361,MATCH(YEAR(AC298),PARAMETROS!E$2:E1361,0),1)))</f>
        <v/>
      </c>
      <c r="AH298" s="81"/>
      <c r="AI298" s="82"/>
      <c r="AJ298" s="81"/>
      <c r="AK298" s="81"/>
      <c r="AL298" s="76"/>
      <c r="AM298" s="75"/>
      <c r="AN298" s="76"/>
      <c r="AO298" s="95"/>
      <c r="AP298" s="96"/>
      <c r="AQ298" s="85" t="str">
        <f t="shared" si="6"/>
        <v/>
      </c>
      <c r="AR298" s="86" t="str">
        <f t="array" ref="AR298">IF(A298="","",IFERROR(INDEX('2) Etapas'!L$3:L923,MATCH(B298,'2) Etapas'!$A$4:$A923,0),1),-1))</f>
        <v/>
      </c>
      <c r="AS298" s="87" t="str">
        <f t="shared" si="7"/>
        <v/>
      </c>
      <c r="AT298" s="87" t="str">
        <f t="shared" si="8"/>
        <v/>
      </c>
      <c r="AU298" s="87" t="str">
        <f t="shared" si="9"/>
        <v/>
      </c>
      <c r="AV298" s="89" t="str">
        <f t="array" ref="AV298">IF(OR($A298="",$AB298="", $AC298=""),"",MAXA(IF($A298=$A$4:$A923,$AC$4:$AC923)))</f>
        <v/>
      </c>
    </row>
    <row r="299" ht="22.5" customHeight="1">
      <c r="A299" s="76"/>
      <c r="B299" s="68" t="str">
        <f t="shared" si="1"/>
        <v/>
      </c>
      <c r="C299" s="110"/>
      <c r="D299" s="70" t="str">
        <f t="shared" si="2"/>
        <v/>
      </c>
      <c r="E299" s="76"/>
      <c r="F299" s="68" t="str">
        <f t="array" ref="F299">IF($A299="","",IFERROR(INDEX(MA_INDIVIDUALES!C$2:C923, MATCH($A299,MA_INDIVIDUALES!$B$2:$B923,0),1),"CÓDIGO DE EXPEDIENTE INVÁLIDO"))</f>
        <v/>
      </c>
      <c r="G299" s="68" t="str">
        <f t="array" ref="G299">IF($A299="","",IFERROR(INDEX(MA_INDIVIDUALES!K$2:K923, MATCH($A299,MA_INDIVIDUALES!$B$2:$B923,0),1),"CÓDIGO DE EXPEDIENTE INVÁLIDO"))</f>
        <v/>
      </c>
      <c r="H299" s="68" t="str">
        <f t="array" ref="H299">IF($A299="","",IFERROR(INDEX(MA_INDIVIDUALES!L$2:L923, MATCH($A299,MA_INDIVIDUALES!$B$2:$B923,0),1),"CÓDIGO DE EXPEDIENTE INVÁLIDO"))</f>
        <v/>
      </c>
      <c r="I299" s="76"/>
      <c r="J299" s="76"/>
      <c r="K299" s="75"/>
      <c r="L299" s="74" t="str">
        <f>IF(A299="","",IF(K299="","",_xlfn.WORKDAY.INTL(K299,5,1,FERIADOS)))</f>
        <v/>
      </c>
      <c r="M299" s="76"/>
      <c r="N299" s="75"/>
      <c r="O299" s="76"/>
      <c r="P299" s="77" t="str">
        <f t="shared" si="3"/>
        <v/>
      </c>
      <c r="Q299" s="75"/>
      <c r="R299" s="76"/>
      <c r="S299" s="75"/>
      <c r="T299" s="75"/>
      <c r="U299" s="76"/>
      <c r="V299" s="76"/>
      <c r="W299" s="75"/>
      <c r="X299" s="76"/>
      <c r="Y299" s="29" t="str">
        <f t="shared" si="4"/>
        <v/>
      </c>
      <c r="Z299" s="29" t="str">
        <f t="shared" si="5"/>
        <v/>
      </c>
      <c r="AA299" s="76"/>
      <c r="AB299" s="76"/>
      <c r="AC299" s="75"/>
      <c r="AD299" s="75"/>
      <c r="AE299" s="78" t="str">
        <f>IF(U299="","",IF(AD299="","",_xlfn.WORKDAY.INTL(AD299,7,1,FERIADOS)))</f>
        <v/>
      </c>
      <c r="AF299" s="104"/>
      <c r="AG299" s="80" t="str">
        <f t="array" ref="AG299">IF(A299="","",IF(AF299="","",AF299*INDEX(PARAMETROS!F$2:F1362,MATCH(YEAR(AC299),PARAMETROS!E$2:E1362,0),1)))</f>
        <v/>
      </c>
      <c r="AH299" s="81"/>
      <c r="AI299" s="82"/>
      <c r="AJ299" s="81"/>
      <c r="AK299" s="81"/>
      <c r="AL299" s="76"/>
      <c r="AM299" s="75"/>
      <c r="AN299" s="76"/>
      <c r="AO299" s="95"/>
      <c r="AP299" s="96"/>
      <c r="AQ299" s="85" t="str">
        <f t="shared" si="6"/>
        <v/>
      </c>
      <c r="AR299" s="86" t="str">
        <f t="array" ref="AR299">IF(A299="","",IFERROR(INDEX('2) Etapas'!L$3:L923,MATCH(B299,'2) Etapas'!$A$4:$A923,0),1),-1))</f>
        <v/>
      </c>
      <c r="AS299" s="87" t="str">
        <f t="shared" si="7"/>
        <v/>
      </c>
      <c r="AT299" s="87" t="str">
        <f t="shared" si="8"/>
        <v/>
      </c>
      <c r="AU299" s="87" t="str">
        <f t="shared" si="9"/>
        <v/>
      </c>
      <c r="AV299" s="89" t="str">
        <f t="array" ref="AV299">IF(OR($A299="",$AB299="", $AC299=""),"",MAXA(IF($A299=$A$4:$A923,$AC$4:$AC923)))</f>
        <v/>
      </c>
    </row>
    <row r="300" ht="22.5" customHeight="1">
      <c r="A300" s="76"/>
      <c r="B300" s="68" t="str">
        <f t="shared" si="1"/>
        <v/>
      </c>
      <c r="C300" s="110"/>
      <c r="D300" s="70" t="str">
        <f t="shared" si="2"/>
        <v/>
      </c>
      <c r="E300" s="76"/>
      <c r="F300" s="68" t="str">
        <f t="array" ref="F300">IF($A300="","",IFERROR(INDEX(MA_INDIVIDUALES!C$2:C923, MATCH($A300,MA_INDIVIDUALES!$B$2:$B923,0),1),"CÓDIGO DE EXPEDIENTE INVÁLIDO"))</f>
        <v/>
      </c>
      <c r="G300" s="68" t="str">
        <f t="array" ref="G300">IF($A300="","",IFERROR(INDEX(MA_INDIVIDUALES!K$2:K923, MATCH($A300,MA_INDIVIDUALES!$B$2:$B923,0),1),"CÓDIGO DE EXPEDIENTE INVÁLIDO"))</f>
        <v/>
      </c>
      <c r="H300" s="68" t="str">
        <f t="array" ref="H300">IF($A300="","",IFERROR(INDEX(MA_INDIVIDUALES!L$2:L923, MATCH($A300,MA_INDIVIDUALES!$B$2:$B923,0),1),"CÓDIGO DE EXPEDIENTE INVÁLIDO"))</f>
        <v/>
      </c>
      <c r="I300" s="76"/>
      <c r="J300" s="76"/>
      <c r="K300" s="75"/>
      <c r="L300" s="74" t="str">
        <f>IF(A300="","",IF(K300="","",_xlfn.WORKDAY.INTL(K300,5,1,FERIADOS)))</f>
        <v/>
      </c>
      <c r="M300" s="76"/>
      <c r="N300" s="75"/>
      <c r="O300" s="76"/>
      <c r="P300" s="77" t="str">
        <f t="shared" si="3"/>
        <v/>
      </c>
      <c r="Q300" s="75"/>
      <c r="R300" s="76"/>
      <c r="S300" s="75"/>
      <c r="T300" s="75"/>
      <c r="U300" s="76"/>
      <c r="V300" s="76"/>
      <c r="W300" s="75"/>
      <c r="X300" s="76"/>
      <c r="Y300" s="29" t="str">
        <f t="shared" si="4"/>
        <v/>
      </c>
      <c r="Z300" s="29" t="str">
        <f t="shared" si="5"/>
        <v/>
      </c>
      <c r="AA300" s="76"/>
      <c r="AB300" s="76"/>
      <c r="AC300" s="75"/>
      <c r="AD300" s="75"/>
      <c r="AE300" s="78" t="str">
        <f>IF(U300="","",IF(AD300="","",_xlfn.WORKDAY.INTL(AD300,7,1,FERIADOS)))</f>
        <v/>
      </c>
      <c r="AF300" s="104"/>
      <c r="AG300" s="80" t="str">
        <f t="array" ref="AG300">IF(A300="","",IF(AF300="","",AF300*INDEX(PARAMETROS!F$2:F1363,MATCH(YEAR(AC300),PARAMETROS!E$2:E1363,0),1)))</f>
        <v/>
      </c>
      <c r="AH300" s="81"/>
      <c r="AI300" s="82"/>
      <c r="AJ300" s="81"/>
      <c r="AK300" s="81"/>
      <c r="AL300" s="76"/>
      <c r="AM300" s="75"/>
      <c r="AN300" s="76"/>
      <c r="AO300" s="95"/>
      <c r="AP300" s="96"/>
      <c r="AQ300" s="85" t="str">
        <f t="shared" si="6"/>
        <v/>
      </c>
      <c r="AR300" s="86" t="str">
        <f t="array" ref="AR300">IF(A300="","",IFERROR(INDEX('2) Etapas'!L$3:L923,MATCH(B300,'2) Etapas'!$A$4:$A923,0),1),-1))</f>
        <v/>
      </c>
      <c r="AS300" s="87" t="str">
        <f t="shared" si="7"/>
        <v/>
      </c>
      <c r="AT300" s="87" t="str">
        <f t="shared" si="8"/>
        <v/>
      </c>
      <c r="AU300" s="87" t="str">
        <f t="shared" si="9"/>
        <v/>
      </c>
      <c r="AV300" s="89" t="str">
        <f t="array" ref="AV300">IF(OR($A300="",$AB300="", $AC300=""),"",MAXA(IF($A300=$A$4:$A923,$AC$4:$AC923)))</f>
        <v/>
      </c>
    </row>
    <row r="301" ht="22.5" customHeight="1">
      <c r="A301" s="76"/>
      <c r="B301" s="68" t="str">
        <f t="shared" si="1"/>
        <v/>
      </c>
      <c r="C301" s="110"/>
      <c r="D301" s="70" t="str">
        <f t="shared" si="2"/>
        <v/>
      </c>
      <c r="E301" s="76"/>
      <c r="F301" s="68" t="str">
        <f t="array" ref="F301">IF($A301="","",IFERROR(INDEX(MA_INDIVIDUALES!C$2:C923, MATCH($A301,MA_INDIVIDUALES!$B$2:$B923,0),1),"CÓDIGO DE EXPEDIENTE INVÁLIDO"))</f>
        <v/>
      </c>
      <c r="G301" s="68" t="str">
        <f t="array" ref="G301">IF($A301="","",IFERROR(INDEX(MA_INDIVIDUALES!K$2:K923, MATCH($A301,MA_INDIVIDUALES!$B$2:$B923,0),1),"CÓDIGO DE EXPEDIENTE INVÁLIDO"))</f>
        <v/>
      </c>
      <c r="H301" s="68" t="str">
        <f t="array" ref="H301">IF($A301="","",IFERROR(INDEX(MA_INDIVIDUALES!L$2:L923, MATCH($A301,MA_INDIVIDUALES!$B$2:$B923,0),1),"CÓDIGO DE EXPEDIENTE INVÁLIDO"))</f>
        <v/>
      </c>
      <c r="I301" s="76"/>
      <c r="J301" s="76"/>
      <c r="K301" s="75"/>
      <c r="L301" s="74" t="str">
        <f>IF(A301="","",IF(K301="","",_xlfn.WORKDAY.INTL(K301,5,1,FERIADOS)))</f>
        <v/>
      </c>
      <c r="M301" s="76"/>
      <c r="N301" s="75"/>
      <c r="O301" s="76"/>
      <c r="P301" s="77" t="str">
        <f t="shared" si="3"/>
        <v/>
      </c>
      <c r="Q301" s="75"/>
      <c r="R301" s="76"/>
      <c r="S301" s="75"/>
      <c r="T301" s="75"/>
      <c r="U301" s="76"/>
      <c r="V301" s="76"/>
      <c r="W301" s="75"/>
      <c r="X301" s="76"/>
      <c r="Y301" s="29" t="str">
        <f t="shared" si="4"/>
        <v/>
      </c>
      <c r="Z301" s="29" t="str">
        <f t="shared" si="5"/>
        <v/>
      </c>
      <c r="AA301" s="76"/>
      <c r="AB301" s="76"/>
      <c r="AC301" s="75"/>
      <c r="AD301" s="75"/>
      <c r="AE301" s="78" t="str">
        <f>IF(U301="","",IF(AD301="","",_xlfn.WORKDAY.INTL(AD301,7,1,FERIADOS)))</f>
        <v/>
      </c>
      <c r="AF301" s="104"/>
      <c r="AG301" s="80" t="str">
        <f t="array" ref="AG301">IF(A301="","",IF(AF301="","",AF301*INDEX(PARAMETROS!F$2:F1364,MATCH(YEAR(AC301),PARAMETROS!E$2:E1364,0),1)))</f>
        <v/>
      </c>
      <c r="AH301" s="81"/>
      <c r="AI301" s="82"/>
      <c r="AJ301" s="81"/>
      <c r="AK301" s="81"/>
      <c r="AL301" s="76"/>
      <c r="AM301" s="75"/>
      <c r="AN301" s="76"/>
      <c r="AO301" s="95"/>
      <c r="AP301" s="96"/>
      <c r="AQ301" s="85" t="str">
        <f t="shared" si="6"/>
        <v/>
      </c>
      <c r="AR301" s="86" t="str">
        <f t="array" ref="AR301">IF(A301="","",IFERROR(INDEX('2) Etapas'!L$3:L923,MATCH(B301,'2) Etapas'!$A$4:$A923,0),1),-1))</f>
        <v/>
      </c>
      <c r="AS301" s="87" t="str">
        <f t="shared" si="7"/>
        <v/>
      </c>
      <c r="AT301" s="87" t="str">
        <f t="shared" si="8"/>
        <v/>
      </c>
      <c r="AU301" s="87" t="str">
        <f t="shared" si="9"/>
        <v/>
      </c>
      <c r="AV301" s="89" t="str">
        <f t="array" ref="AV301">IF(OR($A301="",$AB301="", $AC301=""),"",MAXA(IF($A301=$A$4:$A923,$AC$4:$AC923)))</f>
        <v/>
      </c>
    </row>
    <row r="302" ht="22.5" customHeight="1">
      <c r="A302" s="76"/>
      <c r="B302" s="68" t="str">
        <f t="shared" si="1"/>
        <v/>
      </c>
      <c r="C302" s="110"/>
      <c r="D302" s="70" t="str">
        <f t="shared" si="2"/>
        <v/>
      </c>
      <c r="E302" s="76"/>
      <c r="F302" s="68" t="str">
        <f t="array" ref="F302">IF($A302="","",IFERROR(INDEX(MA_INDIVIDUALES!C$2:C923, MATCH($A302,MA_INDIVIDUALES!$B$2:$B923,0),1),"CÓDIGO DE EXPEDIENTE INVÁLIDO"))</f>
        <v/>
      </c>
      <c r="G302" s="68" t="str">
        <f t="array" ref="G302">IF($A302="","",IFERROR(INDEX(MA_INDIVIDUALES!K$2:K923, MATCH($A302,MA_INDIVIDUALES!$B$2:$B923,0),1),"CÓDIGO DE EXPEDIENTE INVÁLIDO"))</f>
        <v/>
      </c>
      <c r="H302" s="68" t="str">
        <f t="array" ref="H302">IF($A302="","",IFERROR(INDEX(MA_INDIVIDUALES!L$2:L923, MATCH($A302,MA_INDIVIDUALES!$B$2:$B923,0),1),"CÓDIGO DE EXPEDIENTE INVÁLIDO"))</f>
        <v/>
      </c>
      <c r="I302" s="76"/>
      <c r="J302" s="76"/>
      <c r="K302" s="75"/>
      <c r="L302" s="74" t="str">
        <f>IF(A302="","",IF(K302="","",_xlfn.WORKDAY.INTL(K302,5,1,FERIADOS)))</f>
        <v/>
      </c>
      <c r="M302" s="76"/>
      <c r="N302" s="75"/>
      <c r="O302" s="76"/>
      <c r="P302" s="77" t="str">
        <f t="shared" si="3"/>
        <v/>
      </c>
      <c r="Q302" s="75"/>
      <c r="R302" s="76"/>
      <c r="S302" s="75"/>
      <c r="T302" s="75"/>
      <c r="U302" s="76"/>
      <c r="V302" s="76"/>
      <c r="W302" s="75"/>
      <c r="X302" s="76"/>
      <c r="Y302" s="29" t="str">
        <f t="shared" si="4"/>
        <v/>
      </c>
      <c r="Z302" s="29" t="str">
        <f t="shared" si="5"/>
        <v/>
      </c>
      <c r="AA302" s="76"/>
      <c r="AB302" s="76"/>
      <c r="AC302" s="75"/>
      <c r="AD302" s="75"/>
      <c r="AE302" s="78" t="str">
        <f>IF(U302="","",IF(AD302="","",_xlfn.WORKDAY.INTL(AD302,7,1,FERIADOS)))</f>
        <v/>
      </c>
      <c r="AF302" s="104"/>
      <c r="AG302" s="80" t="str">
        <f t="array" ref="AG302">IF(A302="","",IF(AF302="","",AF302*INDEX(PARAMETROS!F$2:F1365,MATCH(YEAR(AC302),PARAMETROS!E$2:E1365,0),1)))</f>
        <v/>
      </c>
      <c r="AH302" s="81"/>
      <c r="AI302" s="82"/>
      <c r="AJ302" s="81"/>
      <c r="AK302" s="81"/>
      <c r="AL302" s="76"/>
      <c r="AM302" s="75"/>
      <c r="AN302" s="76"/>
      <c r="AO302" s="95"/>
      <c r="AP302" s="96"/>
      <c r="AQ302" s="85" t="str">
        <f t="shared" si="6"/>
        <v/>
      </c>
      <c r="AR302" s="86" t="str">
        <f t="array" ref="AR302">IF(A302="","",IFERROR(INDEX('2) Etapas'!L$3:L923,MATCH(B302,'2) Etapas'!$A$4:$A923,0),1),-1))</f>
        <v/>
      </c>
      <c r="AS302" s="87" t="str">
        <f t="shared" si="7"/>
        <v/>
      </c>
      <c r="AT302" s="87" t="str">
        <f t="shared" si="8"/>
        <v/>
      </c>
      <c r="AU302" s="87" t="str">
        <f t="shared" si="9"/>
        <v/>
      </c>
      <c r="AV302" s="89" t="str">
        <f t="array" ref="AV302">IF(OR($A302="",$AB302="", $AC302=""),"",MAXA(IF($A302=$A$4:$A923,$AC$4:$AC923)))</f>
        <v/>
      </c>
    </row>
    <row r="303" ht="22.5" customHeight="1">
      <c r="A303" s="76"/>
      <c r="B303" s="68" t="str">
        <f t="shared" si="1"/>
        <v/>
      </c>
      <c r="C303" s="110"/>
      <c r="D303" s="70" t="str">
        <f t="shared" si="2"/>
        <v/>
      </c>
      <c r="E303" s="76"/>
      <c r="F303" s="68" t="str">
        <f t="array" ref="F303">IF($A303="","",IFERROR(INDEX(MA_INDIVIDUALES!C$2:C923, MATCH($A303,MA_INDIVIDUALES!$B$2:$B923,0),1),"CÓDIGO DE EXPEDIENTE INVÁLIDO"))</f>
        <v/>
      </c>
      <c r="G303" s="68" t="str">
        <f t="array" ref="G303">IF($A303="","",IFERROR(INDEX(MA_INDIVIDUALES!K$2:K923, MATCH($A303,MA_INDIVIDUALES!$B$2:$B923,0),1),"CÓDIGO DE EXPEDIENTE INVÁLIDO"))</f>
        <v/>
      </c>
      <c r="H303" s="68" t="str">
        <f t="array" ref="H303">IF($A303="","",IFERROR(INDEX(MA_INDIVIDUALES!L$2:L923, MATCH($A303,MA_INDIVIDUALES!$B$2:$B923,0),1),"CÓDIGO DE EXPEDIENTE INVÁLIDO"))</f>
        <v/>
      </c>
      <c r="I303" s="76"/>
      <c r="J303" s="76"/>
      <c r="K303" s="75"/>
      <c r="L303" s="74" t="str">
        <f>IF(A303="","",IF(K303="","",_xlfn.WORKDAY.INTL(K303,5,1,FERIADOS)))</f>
        <v/>
      </c>
      <c r="M303" s="76"/>
      <c r="N303" s="75"/>
      <c r="O303" s="76"/>
      <c r="P303" s="77" t="str">
        <f t="shared" si="3"/>
        <v/>
      </c>
      <c r="Q303" s="75"/>
      <c r="R303" s="76"/>
      <c r="S303" s="75"/>
      <c r="T303" s="75"/>
      <c r="U303" s="76"/>
      <c r="V303" s="76"/>
      <c r="W303" s="75"/>
      <c r="X303" s="76"/>
      <c r="Y303" s="29" t="str">
        <f t="shared" si="4"/>
        <v/>
      </c>
      <c r="Z303" s="29" t="str">
        <f t="shared" si="5"/>
        <v/>
      </c>
      <c r="AA303" s="76"/>
      <c r="AB303" s="76"/>
      <c r="AC303" s="75"/>
      <c r="AD303" s="75"/>
      <c r="AE303" s="78" t="str">
        <f>IF(U303="","",IF(AD303="","",_xlfn.WORKDAY.INTL(AD303,7,1,FERIADOS)))</f>
        <v/>
      </c>
      <c r="AF303" s="104"/>
      <c r="AG303" s="80" t="str">
        <f t="array" ref="AG303">IF(A303="","",IF(AF303="","",AF303*INDEX(PARAMETROS!F$2:F1366,MATCH(YEAR(AC303),PARAMETROS!E$2:E1366,0),1)))</f>
        <v/>
      </c>
      <c r="AH303" s="81"/>
      <c r="AI303" s="82"/>
      <c r="AJ303" s="81"/>
      <c r="AK303" s="81"/>
      <c r="AL303" s="76"/>
      <c r="AM303" s="75"/>
      <c r="AN303" s="76"/>
      <c r="AO303" s="95"/>
      <c r="AP303" s="96"/>
      <c r="AQ303" s="85" t="str">
        <f t="shared" si="6"/>
        <v/>
      </c>
      <c r="AR303" s="86" t="str">
        <f t="array" ref="AR303">IF(A303="","",IFERROR(INDEX('2) Etapas'!L$3:L923,MATCH(B303,'2) Etapas'!$A$4:$A923,0),1),-1))</f>
        <v/>
      </c>
      <c r="AS303" s="87" t="str">
        <f t="shared" si="7"/>
        <v/>
      </c>
      <c r="AT303" s="87" t="str">
        <f t="shared" si="8"/>
        <v/>
      </c>
      <c r="AU303" s="87" t="str">
        <f t="shared" si="9"/>
        <v/>
      </c>
      <c r="AV303" s="89" t="str">
        <f t="array" ref="AV303">IF(OR($A303="",$AB303="", $AC303=""),"",MAXA(IF($A303=$A$4:$A923,$AC$4:$AC923)))</f>
        <v/>
      </c>
    </row>
    <row r="304" ht="22.5" customHeight="1">
      <c r="A304" s="76"/>
      <c r="B304" s="68" t="str">
        <f t="shared" si="1"/>
        <v/>
      </c>
      <c r="C304" s="110"/>
      <c r="D304" s="70" t="str">
        <f t="shared" si="2"/>
        <v/>
      </c>
      <c r="E304" s="76"/>
      <c r="F304" s="68" t="str">
        <f t="array" ref="F304">IF($A304="","",IFERROR(INDEX(MA_INDIVIDUALES!C$2:C923, MATCH($A304,MA_INDIVIDUALES!$B$2:$B923,0),1),"CÓDIGO DE EXPEDIENTE INVÁLIDO"))</f>
        <v/>
      </c>
      <c r="G304" s="68" t="str">
        <f t="array" ref="G304">IF($A304="","",IFERROR(INDEX(MA_INDIVIDUALES!K$2:K923, MATCH($A304,MA_INDIVIDUALES!$B$2:$B923,0),1),"CÓDIGO DE EXPEDIENTE INVÁLIDO"))</f>
        <v/>
      </c>
      <c r="H304" s="68" t="str">
        <f t="array" ref="H304">IF($A304="","",IFERROR(INDEX(MA_INDIVIDUALES!L$2:L923, MATCH($A304,MA_INDIVIDUALES!$B$2:$B923,0),1),"CÓDIGO DE EXPEDIENTE INVÁLIDO"))</f>
        <v/>
      </c>
      <c r="I304" s="76"/>
      <c r="J304" s="76"/>
      <c r="K304" s="75"/>
      <c r="L304" s="74" t="str">
        <f>IF(A304="","",IF(K304="","",_xlfn.WORKDAY.INTL(K304,5,1,FERIADOS)))</f>
        <v/>
      </c>
      <c r="M304" s="76"/>
      <c r="N304" s="75"/>
      <c r="O304" s="76"/>
      <c r="P304" s="77" t="str">
        <f t="shared" si="3"/>
        <v/>
      </c>
      <c r="Q304" s="75"/>
      <c r="R304" s="76"/>
      <c r="S304" s="75"/>
      <c r="T304" s="75"/>
      <c r="U304" s="76"/>
      <c r="V304" s="76"/>
      <c r="W304" s="75"/>
      <c r="X304" s="76"/>
      <c r="Y304" s="29" t="str">
        <f t="shared" si="4"/>
        <v/>
      </c>
      <c r="Z304" s="29" t="str">
        <f t="shared" si="5"/>
        <v/>
      </c>
      <c r="AA304" s="76"/>
      <c r="AB304" s="76"/>
      <c r="AC304" s="75"/>
      <c r="AD304" s="75"/>
      <c r="AE304" s="78" t="str">
        <f>IF(U304="","",IF(AD304="","",_xlfn.WORKDAY.INTL(AD304,7,1,FERIADOS)))</f>
        <v/>
      </c>
      <c r="AF304" s="104"/>
      <c r="AG304" s="80" t="str">
        <f t="array" ref="AG304">IF(A304="","",IF(AF304="","",AF304*INDEX(PARAMETROS!F$2:F1367,MATCH(YEAR(AC304),PARAMETROS!E$2:E1367,0),1)))</f>
        <v/>
      </c>
      <c r="AH304" s="81"/>
      <c r="AI304" s="82"/>
      <c r="AJ304" s="81"/>
      <c r="AK304" s="81"/>
      <c r="AL304" s="76"/>
      <c r="AM304" s="75"/>
      <c r="AN304" s="76"/>
      <c r="AO304" s="95"/>
      <c r="AP304" s="96"/>
      <c r="AQ304" s="85" t="str">
        <f t="shared" si="6"/>
        <v/>
      </c>
      <c r="AR304" s="86" t="str">
        <f t="array" ref="AR304">IF(A304="","",IFERROR(INDEX('2) Etapas'!L$3:L923,MATCH(B304,'2) Etapas'!$A$4:$A923,0),1),-1))</f>
        <v/>
      </c>
      <c r="AS304" s="87" t="str">
        <f t="shared" si="7"/>
        <v/>
      </c>
      <c r="AT304" s="87" t="str">
        <f t="shared" si="8"/>
        <v/>
      </c>
      <c r="AU304" s="87" t="str">
        <f t="shared" si="9"/>
        <v/>
      </c>
      <c r="AV304" s="89" t="str">
        <f t="array" ref="AV304">IF(OR($A304="",$AB304="", $AC304=""),"",MAXA(IF($A304=$A$4:$A923,$AC$4:$AC923)))</f>
        <v/>
      </c>
    </row>
    <row r="305" ht="22.5" customHeight="1">
      <c r="A305" s="76"/>
      <c r="B305" s="68" t="str">
        <f t="shared" si="1"/>
        <v/>
      </c>
      <c r="C305" s="110"/>
      <c r="D305" s="70" t="str">
        <f t="shared" si="2"/>
        <v/>
      </c>
      <c r="E305" s="76"/>
      <c r="F305" s="68" t="str">
        <f t="array" ref="F305">IF($A305="","",IFERROR(INDEX(MA_INDIVIDUALES!C$2:C923, MATCH($A305,MA_INDIVIDUALES!$B$2:$B923,0),1),"CÓDIGO DE EXPEDIENTE INVÁLIDO"))</f>
        <v/>
      </c>
      <c r="G305" s="68" t="str">
        <f t="array" ref="G305">IF($A305="","",IFERROR(INDEX(MA_INDIVIDUALES!K$2:K923, MATCH($A305,MA_INDIVIDUALES!$B$2:$B923,0),1),"CÓDIGO DE EXPEDIENTE INVÁLIDO"))</f>
        <v/>
      </c>
      <c r="H305" s="68" t="str">
        <f t="array" ref="H305">IF($A305="","",IFERROR(INDEX(MA_INDIVIDUALES!L$2:L923, MATCH($A305,MA_INDIVIDUALES!$B$2:$B923,0),1),"CÓDIGO DE EXPEDIENTE INVÁLIDO"))</f>
        <v/>
      </c>
      <c r="I305" s="76"/>
      <c r="J305" s="76"/>
      <c r="K305" s="75"/>
      <c r="L305" s="74" t="str">
        <f>IF(A305="","",IF(K305="","",_xlfn.WORKDAY.INTL(K305,5,1,FERIADOS)))</f>
        <v/>
      </c>
      <c r="M305" s="76"/>
      <c r="N305" s="75"/>
      <c r="O305" s="76"/>
      <c r="P305" s="77" t="str">
        <f t="shared" si="3"/>
        <v/>
      </c>
      <c r="Q305" s="75"/>
      <c r="R305" s="76"/>
      <c r="S305" s="75"/>
      <c r="T305" s="75"/>
      <c r="U305" s="76"/>
      <c r="V305" s="76"/>
      <c r="W305" s="75"/>
      <c r="X305" s="76"/>
      <c r="Y305" s="29" t="str">
        <f t="shared" si="4"/>
        <v/>
      </c>
      <c r="Z305" s="29" t="str">
        <f t="shared" si="5"/>
        <v/>
      </c>
      <c r="AA305" s="76"/>
      <c r="AB305" s="76"/>
      <c r="AC305" s="75"/>
      <c r="AD305" s="75"/>
      <c r="AE305" s="78" t="str">
        <f>IF(U305="","",IF(AD305="","",_xlfn.WORKDAY.INTL(AD305,7,1,FERIADOS)))</f>
        <v/>
      </c>
      <c r="AF305" s="104"/>
      <c r="AG305" s="80" t="str">
        <f t="array" ref="AG305">IF(A305="","",IF(AF305="","",AF305*INDEX(PARAMETROS!F$2:F1368,MATCH(YEAR(AC305),PARAMETROS!E$2:E1368,0),1)))</f>
        <v/>
      </c>
      <c r="AH305" s="81"/>
      <c r="AI305" s="82"/>
      <c r="AJ305" s="81"/>
      <c r="AK305" s="81"/>
      <c r="AL305" s="76"/>
      <c r="AM305" s="75"/>
      <c r="AN305" s="76"/>
      <c r="AO305" s="95"/>
      <c r="AP305" s="96"/>
      <c r="AQ305" s="85" t="str">
        <f t="shared" si="6"/>
        <v/>
      </c>
      <c r="AR305" s="86" t="str">
        <f t="array" ref="AR305">IF(A305="","",IFERROR(INDEX('2) Etapas'!L$3:L923,MATCH(B305,'2) Etapas'!$A$4:$A923,0),1),-1))</f>
        <v/>
      </c>
      <c r="AS305" s="87" t="str">
        <f t="shared" si="7"/>
        <v/>
      </c>
      <c r="AT305" s="87" t="str">
        <f t="shared" si="8"/>
        <v/>
      </c>
      <c r="AU305" s="87" t="str">
        <f t="shared" si="9"/>
        <v/>
      </c>
      <c r="AV305" s="89" t="str">
        <f t="array" ref="AV305">IF(OR($A305="",$AB305="", $AC305=""),"",MAXA(IF($A305=$A$4:$A923,$AC$4:$AC923)))</f>
        <v/>
      </c>
    </row>
    <row r="306" ht="22.5" customHeight="1">
      <c r="A306" s="76"/>
      <c r="B306" s="68" t="str">
        <f t="shared" si="1"/>
        <v/>
      </c>
      <c r="C306" s="110"/>
      <c r="D306" s="70" t="str">
        <f t="shared" si="2"/>
        <v/>
      </c>
      <c r="E306" s="76"/>
      <c r="F306" s="68" t="str">
        <f t="array" ref="F306">IF($A306="","",IFERROR(INDEX(MA_INDIVIDUALES!C$2:C923, MATCH($A306,MA_INDIVIDUALES!$B$2:$B923,0),1),"CÓDIGO DE EXPEDIENTE INVÁLIDO"))</f>
        <v/>
      </c>
      <c r="G306" s="68" t="str">
        <f t="array" ref="G306">IF($A306="","",IFERROR(INDEX(MA_INDIVIDUALES!K$2:K923, MATCH($A306,MA_INDIVIDUALES!$B$2:$B923,0),1),"CÓDIGO DE EXPEDIENTE INVÁLIDO"))</f>
        <v/>
      </c>
      <c r="H306" s="68" t="str">
        <f t="array" ref="H306">IF($A306="","",IFERROR(INDEX(MA_INDIVIDUALES!L$2:L923, MATCH($A306,MA_INDIVIDUALES!$B$2:$B923,0),1),"CÓDIGO DE EXPEDIENTE INVÁLIDO"))</f>
        <v/>
      </c>
      <c r="I306" s="76"/>
      <c r="J306" s="76"/>
      <c r="K306" s="75"/>
      <c r="L306" s="74" t="str">
        <f>IF(A306="","",IF(K306="","",_xlfn.WORKDAY.INTL(K306,5,1,FERIADOS)))</f>
        <v/>
      </c>
      <c r="M306" s="76"/>
      <c r="N306" s="75"/>
      <c r="O306" s="76"/>
      <c r="P306" s="77" t="str">
        <f t="shared" si="3"/>
        <v/>
      </c>
      <c r="Q306" s="75"/>
      <c r="R306" s="76"/>
      <c r="S306" s="75"/>
      <c r="T306" s="75"/>
      <c r="U306" s="76"/>
      <c r="V306" s="76"/>
      <c r="W306" s="75"/>
      <c r="X306" s="76"/>
      <c r="Y306" s="29" t="str">
        <f t="shared" si="4"/>
        <v/>
      </c>
      <c r="Z306" s="29" t="str">
        <f t="shared" si="5"/>
        <v/>
      </c>
      <c r="AA306" s="76"/>
      <c r="AB306" s="76"/>
      <c r="AC306" s="75"/>
      <c r="AD306" s="75"/>
      <c r="AE306" s="78" t="str">
        <f>IF(U306="","",IF(AD306="","",_xlfn.WORKDAY.INTL(AD306,7,1,FERIADOS)))</f>
        <v/>
      </c>
      <c r="AF306" s="104"/>
      <c r="AG306" s="80" t="str">
        <f t="array" ref="AG306">IF(A306="","",IF(AF306="","",AF306*INDEX(PARAMETROS!F$2:F1369,MATCH(YEAR(AC306),PARAMETROS!E$2:E1369,0),1)))</f>
        <v/>
      </c>
      <c r="AH306" s="81"/>
      <c r="AI306" s="82"/>
      <c r="AJ306" s="81"/>
      <c r="AK306" s="81"/>
      <c r="AL306" s="76"/>
      <c r="AM306" s="75"/>
      <c r="AN306" s="76"/>
      <c r="AO306" s="95"/>
      <c r="AP306" s="96"/>
      <c r="AQ306" s="85" t="str">
        <f t="shared" si="6"/>
        <v/>
      </c>
      <c r="AR306" s="86" t="str">
        <f t="array" ref="AR306">IF(A306="","",IFERROR(INDEX('2) Etapas'!L$3:L923,MATCH(B306,'2) Etapas'!$A$4:$A923,0),1),-1))</f>
        <v/>
      </c>
      <c r="AS306" s="87" t="str">
        <f t="shared" si="7"/>
        <v/>
      </c>
      <c r="AT306" s="87" t="str">
        <f t="shared" si="8"/>
        <v/>
      </c>
      <c r="AU306" s="87" t="str">
        <f t="shared" si="9"/>
        <v/>
      </c>
      <c r="AV306" s="89" t="str">
        <f t="array" ref="AV306">IF(OR($A306="",$AB306="", $AC306=""),"",MAXA(IF($A306=$A$4:$A923,$AC$4:$AC923)))</f>
        <v/>
      </c>
    </row>
    <row r="307" ht="22.5" customHeight="1">
      <c r="A307" s="76"/>
      <c r="B307" s="68" t="str">
        <f t="shared" si="1"/>
        <v/>
      </c>
      <c r="C307" s="110"/>
      <c r="D307" s="70" t="str">
        <f t="shared" si="2"/>
        <v/>
      </c>
      <c r="E307" s="76"/>
      <c r="F307" s="68" t="str">
        <f t="array" ref="F307">IF($A307="","",IFERROR(INDEX(MA_INDIVIDUALES!C$2:C923, MATCH($A307,MA_INDIVIDUALES!$B$2:$B923,0),1),"CÓDIGO DE EXPEDIENTE INVÁLIDO"))</f>
        <v/>
      </c>
      <c r="G307" s="68" t="str">
        <f t="array" ref="G307">IF($A307="","",IFERROR(INDEX(MA_INDIVIDUALES!K$2:K923, MATCH($A307,MA_INDIVIDUALES!$B$2:$B923,0),1),"CÓDIGO DE EXPEDIENTE INVÁLIDO"))</f>
        <v/>
      </c>
      <c r="H307" s="68" t="str">
        <f t="array" ref="H307">IF($A307="","",IFERROR(INDEX(MA_INDIVIDUALES!L$2:L923, MATCH($A307,MA_INDIVIDUALES!$B$2:$B923,0),1),"CÓDIGO DE EXPEDIENTE INVÁLIDO"))</f>
        <v/>
      </c>
      <c r="I307" s="76"/>
      <c r="J307" s="76"/>
      <c r="K307" s="75"/>
      <c r="L307" s="74" t="str">
        <f>IF(A307="","",IF(K307="","",_xlfn.WORKDAY.INTL(K307,5,1,FERIADOS)))</f>
        <v/>
      </c>
      <c r="M307" s="76"/>
      <c r="N307" s="75"/>
      <c r="O307" s="76"/>
      <c r="P307" s="77" t="str">
        <f t="shared" si="3"/>
        <v/>
      </c>
      <c r="Q307" s="75"/>
      <c r="R307" s="76"/>
      <c r="S307" s="75"/>
      <c r="T307" s="75"/>
      <c r="U307" s="76"/>
      <c r="V307" s="76"/>
      <c r="W307" s="75"/>
      <c r="X307" s="76"/>
      <c r="Y307" s="29" t="str">
        <f t="shared" si="4"/>
        <v/>
      </c>
      <c r="Z307" s="29" t="str">
        <f t="shared" si="5"/>
        <v/>
      </c>
      <c r="AA307" s="76"/>
      <c r="AB307" s="76"/>
      <c r="AC307" s="75"/>
      <c r="AD307" s="75"/>
      <c r="AE307" s="78" t="str">
        <f>IF(U307="","",IF(AD307="","",_xlfn.WORKDAY.INTL(AD307,7,1,FERIADOS)))</f>
        <v/>
      </c>
      <c r="AF307" s="104"/>
      <c r="AG307" s="80" t="str">
        <f t="array" ref="AG307">IF(A307="","",IF(AF307="","",AF307*INDEX(PARAMETROS!F$2:F1370,MATCH(YEAR(AC307),PARAMETROS!E$2:E1370,0),1)))</f>
        <v/>
      </c>
      <c r="AH307" s="81"/>
      <c r="AI307" s="82"/>
      <c r="AJ307" s="81"/>
      <c r="AK307" s="81"/>
      <c r="AL307" s="76"/>
      <c r="AM307" s="75"/>
      <c r="AN307" s="76"/>
      <c r="AO307" s="95"/>
      <c r="AP307" s="96"/>
      <c r="AQ307" s="85" t="str">
        <f t="shared" si="6"/>
        <v/>
      </c>
      <c r="AR307" s="86" t="str">
        <f t="array" ref="AR307">IF(A307="","",IFERROR(INDEX('2) Etapas'!L$3:L923,MATCH(B307,'2) Etapas'!$A$4:$A923,0),1),-1))</f>
        <v/>
      </c>
      <c r="AS307" s="87" t="str">
        <f t="shared" si="7"/>
        <v/>
      </c>
      <c r="AT307" s="87" t="str">
        <f t="shared" si="8"/>
        <v/>
      </c>
      <c r="AU307" s="87" t="str">
        <f t="shared" si="9"/>
        <v/>
      </c>
      <c r="AV307" s="89" t="str">
        <f t="array" ref="AV307">IF(OR($A307="",$AB307="", $AC307=""),"",MAXA(IF($A307=$A$4:$A923,$AC$4:$AC923)))</f>
        <v/>
      </c>
    </row>
    <row r="308" ht="22.5" customHeight="1">
      <c r="A308" s="76"/>
      <c r="B308" s="68" t="str">
        <f t="shared" si="1"/>
        <v/>
      </c>
      <c r="C308" s="110"/>
      <c r="D308" s="70" t="str">
        <f t="shared" si="2"/>
        <v/>
      </c>
      <c r="E308" s="76"/>
      <c r="F308" s="68" t="str">
        <f t="array" ref="F308">IF($A308="","",IFERROR(INDEX(MA_INDIVIDUALES!C$2:C923, MATCH($A308,MA_INDIVIDUALES!$B$2:$B923,0),1),"CÓDIGO DE EXPEDIENTE INVÁLIDO"))</f>
        <v/>
      </c>
      <c r="G308" s="68" t="str">
        <f t="array" ref="G308">IF($A308="","",IFERROR(INDEX(MA_INDIVIDUALES!K$2:K923, MATCH($A308,MA_INDIVIDUALES!$B$2:$B923,0),1),"CÓDIGO DE EXPEDIENTE INVÁLIDO"))</f>
        <v/>
      </c>
      <c r="H308" s="68" t="str">
        <f t="array" ref="H308">IF($A308="","",IFERROR(INDEX(MA_INDIVIDUALES!L$2:L923, MATCH($A308,MA_INDIVIDUALES!$B$2:$B923,0),1),"CÓDIGO DE EXPEDIENTE INVÁLIDO"))</f>
        <v/>
      </c>
      <c r="I308" s="76"/>
      <c r="J308" s="76"/>
      <c r="K308" s="75"/>
      <c r="L308" s="74" t="str">
        <f>IF(A308="","",IF(K308="","",_xlfn.WORKDAY.INTL(K308,5,1,FERIADOS)))</f>
        <v/>
      </c>
      <c r="M308" s="76"/>
      <c r="N308" s="75"/>
      <c r="O308" s="76"/>
      <c r="P308" s="77" t="str">
        <f t="shared" si="3"/>
        <v/>
      </c>
      <c r="Q308" s="75"/>
      <c r="R308" s="76"/>
      <c r="S308" s="75"/>
      <c r="T308" s="75"/>
      <c r="U308" s="76"/>
      <c r="V308" s="76"/>
      <c r="W308" s="75"/>
      <c r="X308" s="76"/>
      <c r="Y308" s="29" t="str">
        <f t="shared" si="4"/>
        <v/>
      </c>
      <c r="Z308" s="29" t="str">
        <f t="shared" si="5"/>
        <v/>
      </c>
      <c r="AA308" s="76"/>
      <c r="AB308" s="76"/>
      <c r="AC308" s="75"/>
      <c r="AD308" s="75"/>
      <c r="AE308" s="78" t="str">
        <f>IF(U308="","",IF(AD308="","",_xlfn.WORKDAY.INTL(AD308,7,1,FERIADOS)))</f>
        <v/>
      </c>
      <c r="AF308" s="104"/>
      <c r="AG308" s="80" t="str">
        <f t="array" ref="AG308">IF(A308="","",IF(AF308="","",AF308*INDEX(PARAMETROS!F$2:F1371,MATCH(YEAR(AC308),PARAMETROS!E$2:E1371,0),1)))</f>
        <v/>
      </c>
      <c r="AH308" s="81"/>
      <c r="AI308" s="82"/>
      <c r="AJ308" s="81"/>
      <c r="AK308" s="81"/>
      <c r="AL308" s="76"/>
      <c r="AM308" s="75"/>
      <c r="AN308" s="76"/>
      <c r="AO308" s="95"/>
      <c r="AP308" s="96"/>
      <c r="AQ308" s="85" t="str">
        <f t="shared" si="6"/>
        <v/>
      </c>
      <c r="AR308" s="86" t="str">
        <f t="array" ref="AR308">IF(A308="","",IFERROR(INDEX('2) Etapas'!L$3:L923,MATCH(B308,'2) Etapas'!$A$4:$A923,0),1),-1))</f>
        <v/>
      </c>
      <c r="AS308" s="87" t="str">
        <f t="shared" si="7"/>
        <v/>
      </c>
      <c r="AT308" s="87" t="str">
        <f t="shared" si="8"/>
        <v/>
      </c>
      <c r="AU308" s="87" t="str">
        <f t="shared" si="9"/>
        <v/>
      </c>
      <c r="AV308" s="89" t="str">
        <f t="array" ref="AV308">IF(OR($A308="",$AB308="", $AC308=""),"",MAXA(IF($A308=$A$4:$A923,$AC$4:$AC923)))</f>
        <v/>
      </c>
    </row>
    <row r="309" ht="22.5" customHeight="1">
      <c r="A309" s="76"/>
      <c r="B309" s="68" t="str">
        <f t="shared" si="1"/>
        <v/>
      </c>
      <c r="C309" s="110"/>
      <c r="D309" s="70" t="str">
        <f t="shared" si="2"/>
        <v/>
      </c>
      <c r="E309" s="76"/>
      <c r="F309" s="68" t="str">
        <f t="array" ref="F309">IF($A309="","",IFERROR(INDEX(MA_INDIVIDUALES!C$2:C923, MATCH($A309,MA_INDIVIDUALES!$B$2:$B923,0),1),"CÓDIGO DE EXPEDIENTE INVÁLIDO"))</f>
        <v/>
      </c>
      <c r="G309" s="68" t="str">
        <f t="array" ref="G309">IF($A309="","",IFERROR(INDEX(MA_INDIVIDUALES!K$2:K923, MATCH($A309,MA_INDIVIDUALES!$B$2:$B923,0),1),"CÓDIGO DE EXPEDIENTE INVÁLIDO"))</f>
        <v/>
      </c>
      <c r="H309" s="68" t="str">
        <f t="array" ref="H309">IF($A309="","",IFERROR(INDEX(MA_INDIVIDUALES!L$2:L923, MATCH($A309,MA_INDIVIDUALES!$B$2:$B923,0),1),"CÓDIGO DE EXPEDIENTE INVÁLIDO"))</f>
        <v/>
      </c>
      <c r="I309" s="76"/>
      <c r="J309" s="76"/>
      <c r="K309" s="75"/>
      <c r="L309" s="74" t="str">
        <f>IF(A309="","",IF(K309="","",_xlfn.WORKDAY.INTL(K309,5,1,FERIADOS)))</f>
        <v/>
      </c>
      <c r="M309" s="76"/>
      <c r="N309" s="75"/>
      <c r="O309" s="76"/>
      <c r="P309" s="77" t="str">
        <f t="shared" si="3"/>
        <v/>
      </c>
      <c r="Q309" s="75"/>
      <c r="R309" s="76"/>
      <c r="S309" s="75"/>
      <c r="T309" s="75"/>
      <c r="U309" s="76"/>
      <c r="V309" s="76"/>
      <c r="W309" s="75"/>
      <c r="X309" s="76"/>
      <c r="Y309" s="29" t="str">
        <f t="shared" si="4"/>
        <v/>
      </c>
      <c r="Z309" s="29" t="str">
        <f t="shared" si="5"/>
        <v/>
      </c>
      <c r="AA309" s="76"/>
      <c r="AB309" s="76"/>
      <c r="AC309" s="75"/>
      <c r="AD309" s="75"/>
      <c r="AE309" s="78" t="str">
        <f>IF(U309="","",IF(AD309="","",_xlfn.WORKDAY.INTL(AD309,7,1,FERIADOS)))</f>
        <v/>
      </c>
      <c r="AF309" s="104"/>
      <c r="AG309" s="80" t="str">
        <f t="array" ref="AG309">IF(A309="","",IF(AF309="","",AF309*INDEX(PARAMETROS!F$2:F1372,MATCH(YEAR(AC309),PARAMETROS!E$2:E1372,0),1)))</f>
        <v/>
      </c>
      <c r="AH309" s="81"/>
      <c r="AI309" s="82"/>
      <c r="AJ309" s="81"/>
      <c r="AK309" s="81"/>
      <c r="AL309" s="76"/>
      <c r="AM309" s="75"/>
      <c r="AN309" s="76"/>
      <c r="AO309" s="95"/>
      <c r="AP309" s="96"/>
      <c r="AQ309" s="85" t="str">
        <f t="shared" si="6"/>
        <v/>
      </c>
      <c r="AR309" s="86" t="str">
        <f t="array" ref="AR309">IF(A309="","",IFERROR(INDEX('2) Etapas'!L$3:L923,MATCH(B309,'2) Etapas'!$A$4:$A923,0),1),-1))</f>
        <v/>
      </c>
      <c r="AS309" s="87" t="str">
        <f t="shared" si="7"/>
        <v/>
      </c>
      <c r="AT309" s="87" t="str">
        <f t="shared" si="8"/>
        <v/>
      </c>
      <c r="AU309" s="87" t="str">
        <f t="shared" si="9"/>
        <v/>
      </c>
      <c r="AV309" s="89" t="str">
        <f t="array" ref="AV309">IF(OR($A309="",$AB309="", $AC309=""),"",MAXA(IF($A309=$A$4:$A923,$AC$4:$AC923)))</f>
        <v/>
      </c>
    </row>
    <row r="310" ht="22.5" customHeight="1">
      <c r="A310" s="76"/>
      <c r="B310" s="68" t="str">
        <f t="shared" si="1"/>
        <v/>
      </c>
      <c r="C310" s="110"/>
      <c r="D310" s="70" t="str">
        <f t="shared" si="2"/>
        <v/>
      </c>
      <c r="E310" s="76"/>
      <c r="F310" s="68" t="str">
        <f t="array" ref="F310">IF($A310="","",IFERROR(INDEX(MA_INDIVIDUALES!C$2:C923, MATCH($A310,MA_INDIVIDUALES!$B$2:$B923,0),1),"CÓDIGO DE EXPEDIENTE INVÁLIDO"))</f>
        <v/>
      </c>
      <c r="G310" s="68" t="str">
        <f t="array" ref="G310">IF($A310="","",IFERROR(INDEX(MA_INDIVIDUALES!K$2:K923, MATCH($A310,MA_INDIVIDUALES!$B$2:$B923,0),1),"CÓDIGO DE EXPEDIENTE INVÁLIDO"))</f>
        <v/>
      </c>
      <c r="H310" s="68" t="str">
        <f t="array" ref="H310">IF($A310="","",IFERROR(INDEX(MA_INDIVIDUALES!L$2:L923, MATCH($A310,MA_INDIVIDUALES!$B$2:$B923,0),1),"CÓDIGO DE EXPEDIENTE INVÁLIDO"))</f>
        <v/>
      </c>
      <c r="I310" s="76"/>
      <c r="J310" s="76"/>
      <c r="K310" s="75"/>
      <c r="L310" s="74" t="str">
        <f>IF(A310="","",IF(K310="","",_xlfn.WORKDAY.INTL(K310,5,1,FERIADOS)))</f>
        <v/>
      </c>
      <c r="M310" s="76"/>
      <c r="N310" s="75"/>
      <c r="O310" s="76"/>
      <c r="P310" s="77" t="str">
        <f t="shared" si="3"/>
        <v/>
      </c>
      <c r="Q310" s="75"/>
      <c r="R310" s="76"/>
      <c r="S310" s="75"/>
      <c r="T310" s="75"/>
      <c r="U310" s="76"/>
      <c r="V310" s="76"/>
      <c r="W310" s="75"/>
      <c r="X310" s="76"/>
      <c r="Y310" s="29" t="str">
        <f t="shared" si="4"/>
        <v/>
      </c>
      <c r="Z310" s="29" t="str">
        <f t="shared" si="5"/>
        <v/>
      </c>
      <c r="AA310" s="76"/>
      <c r="AB310" s="76"/>
      <c r="AC310" s="75"/>
      <c r="AD310" s="75"/>
      <c r="AE310" s="78" t="str">
        <f>IF(U310="","",IF(AD310="","",_xlfn.WORKDAY.INTL(AD310,7,1,FERIADOS)))</f>
        <v/>
      </c>
      <c r="AF310" s="104"/>
      <c r="AG310" s="80" t="str">
        <f t="array" ref="AG310">IF(A310="","",IF(AF310="","",AF310*INDEX(PARAMETROS!F$2:F1373,MATCH(YEAR(AC310),PARAMETROS!E$2:E1373,0),1)))</f>
        <v/>
      </c>
      <c r="AH310" s="81"/>
      <c r="AI310" s="82"/>
      <c r="AJ310" s="81"/>
      <c r="AK310" s="81"/>
      <c r="AL310" s="76"/>
      <c r="AM310" s="75"/>
      <c r="AN310" s="76"/>
      <c r="AO310" s="95"/>
      <c r="AP310" s="96"/>
      <c r="AQ310" s="85" t="str">
        <f t="shared" si="6"/>
        <v/>
      </c>
      <c r="AR310" s="86" t="str">
        <f t="array" ref="AR310">IF(A310="","",IFERROR(INDEX('2) Etapas'!L$3:L923,MATCH(B310,'2) Etapas'!$A$4:$A923,0),1),-1))</f>
        <v/>
      </c>
      <c r="AS310" s="87" t="str">
        <f t="shared" si="7"/>
        <v/>
      </c>
      <c r="AT310" s="87" t="str">
        <f t="shared" si="8"/>
        <v/>
      </c>
      <c r="AU310" s="87" t="str">
        <f t="shared" si="9"/>
        <v/>
      </c>
      <c r="AV310" s="89" t="str">
        <f t="array" ref="AV310">IF(OR($A310="",$AB310="", $AC310=""),"",MAXA(IF($A310=$A$4:$A923,$AC$4:$AC923)))</f>
        <v/>
      </c>
    </row>
    <row r="311" ht="22.5" customHeight="1">
      <c r="A311" s="76"/>
      <c r="B311" s="68" t="str">
        <f t="shared" si="1"/>
        <v/>
      </c>
      <c r="C311" s="110"/>
      <c r="D311" s="70" t="str">
        <f t="shared" si="2"/>
        <v/>
      </c>
      <c r="E311" s="76"/>
      <c r="F311" s="68" t="str">
        <f t="array" ref="F311">IF($A311="","",IFERROR(INDEX(MA_INDIVIDUALES!C$2:C923, MATCH($A311,MA_INDIVIDUALES!$B$2:$B923,0),1),"CÓDIGO DE EXPEDIENTE INVÁLIDO"))</f>
        <v/>
      </c>
      <c r="G311" s="68" t="str">
        <f t="array" ref="G311">IF($A311="","",IFERROR(INDEX(MA_INDIVIDUALES!K$2:K923, MATCH($A311,MA_INDIVIDUALES!$B$2:$B923,0),1),"CÓDIGO DE EXPEDIENTE INVÁLIDO"))</f>
        <v/>
      </c>
      <c r="H311" s="68" t="str">
        <f t="array" ref="H311">IF($A311="","",IFERROR(INDEX(MA_INDIVIDUALES!L$2:L923, MATCH($A311,MA_INDIVIDUALES!$B$2:$B923,0),1),"CÓDIGO DE EXPEDIENTE INVÁLIDO"))</f>
        <v/>
      </c>
      <c r="I311" s="76"/>
      <c r="J311" s="76"/>
      <c r="K311" s="75"/>
      <c r="L311" s="74" t="str">
        <f>IF(A311="","",IF(K311="","",_xlfn.WORKDAY.INTL(K311,5,1,FERIADOS)))</f>
        <v/>
      </c>
      <c r="M311" s="76"/>
      <c r="N311" s="75"/>
      <c r="O311" s="76"/>
      <c r="P311" s="77" t="str">
        <f t="shared" si="3"/>
        <v/>
      </c>
      <c r="Q311" s="75"/>
      <c r="R311" s="76"/>
      <c r="S311" s="75"/>
      <c r="T311" s="75"/>
      <c r="U311" s="76"/>
      <c r="V311" s="76"/>
      <c r="W311" s="75"/>
      <c r="X311" s="76"/>
      <c r="Y311" s="29" t="str">
        <f t="shared" si="4"/>
        <v/>
      </c>
      <c r="Z311" s="29" t="str">
        <f t="shared" si="5"/>
        <v/>
      </c>
      <c r="AA311" s="76"/>
      <c r="AB311" s="76"/>
      <c r="AC311" s="75"/>
      <c r="AD311" s="75"/>
      <c r="AE311" s="78" t="str">
        <f>IF(U311="","",IF(AD311="","",_xlfn.WORKDAY.INTL(AD311,7,1,FERIADOS)))</f>
        <v/>
      </c>
      <c r="AF311" s="104"/>
      <c r="AG311" s="80" t="str">
        <f t="array" ref="AG311">IF(A311="","",IF(AF311="","",AF311*INDEX(PARAMETROS!F$2:F1374,MATCH(YEAR(AC311),PARAMETROS!E$2:E1374,0),1)))</f>
        <v/>
      </c>
      <c r="AH311" s="81"/>
      <c r="AI311" s="82"/>
      <c r="AJ311" s="81"/>
      <c r="AK311" s="81"/>
      <c r="AL311" s="76"/>
      <c r="AM311" s="75"/>
      <c r="AN311" s="76"/>
      <c r="AO311" s="95"/>
      <c r="AP311" s="96"/>
      <c r="AQ311" s="85" t="str">
        <f t="shared" si="6"/>
        <v/>
      </c>
      <c r="AR311" s="86" t="str">
        <f t="array" ref="AR311">IF(A311="","",IFERROR(INDEX('2) Etapas'!L$3:L923,MATCH(B311,'2) Etapas'!$A$4:$A923,0),1),-1))</f>
        <v/>
      </c>
      <c r="AS311" s="87" t="str">
        <f t="shared" si="7"/>
        <v/>
      </c>
      <c r="AT311" s="87" t="str">
        <f t="shared" si="8"/>
        <v/>
      </c>
      <c r="AU311" s="87" t="str">
        <f t="shared" si="9"/>
        <v/>
      </c>
      <c r="AV311" s="89" t="str">
        <f t="array" ref="AV311">IF(OR($A311="",$AB311="", $AC311=""),"",MAXA(IF($A311=$A$4:$A923,$AC$4:$AC923)))</f>
        <v/>
      </c>
    </row>
    <row r="312" ht="22.5" customHeight="1">
      <c r="A312" s="76"/>
      <c r="B312" s="68" t="str">
        <f t="shared" si="1"/>
        <v/>
      </c>
      <c r="C312" s="110"/>
      <c r="D312" s="70" t="str">
        <f t="shared" si="2"/>
        <v/>
      </c>
      <c r="E312" s="76"/>
      <c r="F312" s="68" t="str">
        <f t="array" ref="F312">IF($A312="","",IFERROR(INDEX(MA_INDIVIDUALES!C$2:C923, MATCH($A312,MA_INDIVIDUALES!$B$2:$B923,0),1),"CÓDIGO DE EXPEDIENTE INVÁLIDO"))</f>
        <v/>
      </c>
      <c r="G312" s="68" t="str">
        <f t="array" ref="G312">IF($A312="","",IFERROR(INDEX(MA_INDIVIDUALES!K$2:K923, MATCH($A312,MA_INDIVIDUALES!$B$2:$B923,0),1),"CÓDIGO DE EXPEDIENTE INVÁLIDO"))</f>
        <v/>
      </c>
      <c r="H312" s="68" t="str">
        <f t="array" ref="H312">IF($A312="","",IFERROR(INDEX(MA_INDIVIDUALES!L$2:L923, MATCH($A312,MA_INDIVIDUALES!$B$2:$B923,0),1),"CÓDIGO DE EXPEDIENTE INVÁLIDO"))</f>
        <v/>
      </c>
      <c r="I312" s="76"/>
      <c r="J312" s="76"/>
      <c r="K312" s="75"/>
      <c r="L312" s="74" t="str">
        <f>IF(A312="","",IF(K312="","",_xlfn.WORKDAY.INTL(K312,5,1,FERIADOS)))</f>
        <v/>
      </c>
      <c r="M312" s="76"/>
      <c r="N312" s="75"/>
      <c r="O312" s="76"/>
      <c r="P312" s="77" t="str">
        <f t="shared" si="3"/>
        <v/>
      </c>
      <c r="Q312" s="75"/>
      <c r="R312" s="76"/>
      <c r="S312" s="75"/>
      <c r="T312" s="75"/>
      <c r="U312" s="76"/>
      <c r="V312" s="76"/>
      <c r="W312" s="75"/>
      <c r="X312" s="76"/>
      <c r="Y312" s="29" t="str">
        <f t="shared" si="4"/>
        <v/>
      </c>
      <c r="Z312" s="29" t="str">
        <f t="shared" si="5"/>
        <v/>
      </c>
      <c r="AA312" s="76"/>
      <c r="AB312" s="76"/>
      <c r="AC312" s="75"/>
      <c r="AD312" s="75"/>
      <c r="AE312" s="78" t="str">
        <f>IF(U312="","",IF(AD312="","",_xlfn.WORKDAY.INTL(AD312,7,1,FERIADOS)))</f>
        <v/>
      </c>
      <c r="AF312" s="104"/>
      <c r="AG312" s="80" t="str">
        <f t="array" ref="AG312">IF(A312="","",IF(AF312="","",AF312*INDEX(PARAMETROS!F$2:F1375,MATCH(YEAR(AC312),PARAMETROS!E$2:E1375,0),1)))</f>
        <v/>
      </c>
      <c r="AH312" s="81"/>
      <c r="AI312" s="82"/>
      <c r="AJ312" s="81"/>
      <c r="AK312" s="81"/>
      <c r="AL312" s="76"/>
      <c r="AM312" s="75"/>
      <c r="AN312" s="76"/>
      <c r="AO312" s="95"/>
      <c r="AP312" s="96"/>
      <c r="AQ312" s="85" t="str">
        <f t="shared" si="6"/>
        <v/>
      </c>
      <c r="AR312" s="86" t="str">
        <f t="array" ref="AR312">IF(A312="","",IFERROR(INDEX('2) Etapas'!L$3:L923,MATCH(B312,'2) Etapas'!$A$4:$A923,0),1),-1))</f>
        <v/>
      </c>
      <c r="AS312" s="87" t="str">
        <f t="shared" si="7"/>
        <v/>
      </c>
      <c r="AT312" s="87" t="str">
        <f t="shared" si="8"/>
        <v/>
      </c>
      <c r="AU312" s="87" t="str">
        <f t="shared" si="9"/>
        <v/>
      </c>
      <c r="AV312" s="89" t="str">
        <f t="array" ref="AV312">IF(OR($A312="",$AB312="", $AC312=""),"",MAXA(IF($A312=$A$4:$A923,$AC$4:$AC923)))</f>
        <v/>
      </c>
    </row>
    <row r="313" ht="22.5" customHeight="1">
      <c r="A313" s="76"/>
      <c r="B313" s="68" t="str">
        <f t="shared" si="1"/>
        <v/>
      </c>
      <c r="C313" s="110"/>
      <c r="D313" s="70" t="str">
        <f t="shared" si="2"/>
        <v/>
      </c>
      <c r="E313" s="76"/>
      <c r="F313" s="68" t="str">
        <f t="array" ref="F313">IF($A313="","",IFERROR(INDEX(MA_INDIVIDUALES!C$2:C923, MATCH($A313,MA_INDIVIDUALES!$B$2:$B923,0),1),"CÓDIGO DE EXPEDIENTE INVÁLIDO"))</f>
        <v/>
      </c>
      <c r="G313" s="68" t="str">
        <f t="array" ref="G313">IF($A313="","",IFERROR(INDEX(MA_INDIVIDUALES!K$2:K923, MATCH($A313,MA_INDIVIDUALES!$B$2:$B923,0),1),"CÓDIGO DE EXPEDIENTE INVÁLIDO"))</f>
        <v/>
      </c>
      <c r="H313" s="68" t="str">
        <f t="array" ref="H313">IF($A313="","",IFERROR(INDEX(MA_INDIVIDUALES!L$2:L923, MATCH($A313,MA_INDIVIDUALES!$B$2:$B923,0),1),"CÓDIGO DE EXPEDIENTE INVÁLIDO"))</f>
        <v/>
      </c>
      <c r="I313" s="76"/>
      <c r="J313" s="76"/>
      <c r="K313" s="75"/>
      <c r="L313" s="74" t="str">
        <f>IF(A313="","",IF(K313="","",_xlfn.WORKDAY.INTL(K313,5,1,FERIADOS)))</f>
        <v/>
      </c>
      <c r="M313" s="76"/>
      <c r="N313" s="75"/>
      <c r="O313" s="76"/>
      <c r="P313" s="77" t="str">
        <f t="shared" si="3"/>
        <v/>
      </c>
      <c r="Q313" s="75"/>
      <c r="R313" s="76"/>
      <c r="S313" s="75"/>
      <c r="T313" s="75"/>
      <c r="U313" s="76"/>
      <c r="V313" s="76"/>
      <c r="W313" s="75"/>
      <c r="X313" s="76"/>
      <c r="Y313" s="29" t="str">
        <f t="shared" si="4"/>
        <v/>
      </c>
      <c r="Z313" s="29" t="str">
        <f t="shared" si="5"/>
        <v/>
      </c>
      <c r="AA313" s="76"/>
      <c r="AB313" s="76"/>
      <c r="AC313" s="75"/>
      <c r="AD313" s="75"/>
      <c r="AE313" s="78" t="str">
        <f>IF(U313="","",IF(AD313="","",_xlfn.WORKDAY.INTL(AD313,7,1,FERIADOS)))</f>
        <v/>
      </c>
      <c r="AF313" s="104"/>
      <c r="AG313" s="80" t="str">
        <f t="array" ref="AG313">IF(A313="","",IF(AF313="","",AF313*INDEX(PARAMETROS!F$2:F1376,MATCH(YEAR(AC313),PARAMETROS!E$2:E1376,0),1)))</f>
        <v/>
      </c>
      <c r="AH313" s="81"/>
      <c r="AI313" s="82"/>
      <c r="AJ313" s="81"/>
      <c r="AK313" s="81"/>
      <c r="AL313" s="76"/>
      <c r="AM313" s="75"/>
      <c r="AN313" s="76"/>
      <c r="AO313" s="95"/>
      <c r="AP313" s="96"/>
      <c r="AQ313" s="85" t="str">
        <f t="shared" si="6"/>
        <v/>
      </c>
      <c r="AR313" s="86" t="str">
        <f t="array" ref="AR313">IF(A313="","",IFERROR(INDEX('2) Etapas'!L$3:L923,MATCH(B313,'2) Etapas'!$A$4:$A923,0),1),-1))</f>
        <v/>
      </c>
      <c r="AS313" s="87" t="str">
        <f t="shared" si="7"/>
        <v/>
      </c>
      <c r="AT313" s="87" t="str">
        <f t="shared" si="8"/>
        <v/>
      </c>
      <c r="AU313" s="87" t="str">
        <f t="shared" si="9"/>
        <v/>
      </c>
      <c r="AV313" s="89" t="str">
        <f t="array" ref="AV313">IF(OR($A313="",$AB313="", $AC313=""),"",MAXA(IF($A313=$A$4:$A923,$AC$4:$AC923)))</f>
        <v/>
      </c>
    </row>
    <row r="314" ht="22.5" customHeight="1">
      <c r="A314" s="76"/>
      <c r="B314" s="68" t="str">
        <f t="shared" si="1"/>
        <v/>
      </c>
      <c r="C314" s="110"/>
      <c r="D314" s="70" t="str">
        <f t="shared" si="2"/>
        <v/>
      </c>
      <c r="E314" s="76"/>
      <c r="F314" s="68" t="str">
        <f t="array" ref="F314">IF($A314="","",IFERROR(INDEX(MA_INDIVIDUALES!C$2:C923, MATCH($A314,MA_INDIVIDUALES!$B$2:$B923,0),1),"CÓDIGO DE EXPEDIENTE INVÁLIDO"))</f>
        <v/>
      </c>
      <c r="G314" s="68" t="str">
        <f t="array" ref="G314">IF($A314="","",IFERROR(INDEX(MA_INDIVIDUALES!K$2:K923, MATCH($A314,MA_INDIVIDUALES!$B$2:$B923,0),1),"CÓDIGO DE EXPEDIENTE INVÁLIDO"))</f>
        <v/>
      </c>
      <c r="H314" s="68" t="str">
        <f t="array" ref="H314">IF($A314="","",IFERROR(INDEX(MA_INDIVIDUALES!L$2:L923, MATCH($A314,MA_INDIVIDUALES!$B$2:$B923,0),1),"CÓDIGO DE EXPEDIENTE INVÁLIDO"))</f>
        <v/>
      </c>
      <c r="I314" s="76"/>
      <c r="J314" s="76"/>
      <c r="K314" s="75"/>
      <c r="L314" s="74" t="str">
        <f>IF(A314="","",IF(K314="","",_xlfn.WORKDAY.INTL(K314,5,1,FERIADOS)))</f>
        <v/>
      </c>
      <c r="M314" s="76"/>
      <c r="N314" s="75"/>
      <c r="O314" s="76"/>
      <c r="P314" s="77" t="str">
        <f t="shared" si="3"/>
        <v/>
      </c>
      <c r="Q314" s="75"/>
      <c r="R314" s="76"/>
      <c r="S314" s="75"/>
      <c r="T314" s="75"/>
      <c r="U314" s="76"/>
      <c r="V314" s="76"/>
      <c r="W314" s="75"/>
      <c r="X314" s="76"/>
      <c r="Y314" s="29" t="str">
        <f t="shared" si="4"/>
        <v/>
      </c>
      <c r="Z314" s="29" t="str">
        <f t="shared" si="5"/>
        <v/>
      </c>
      <c r="AA314" s="76"/>
      <c r="AB314" s="76"/>
      <c r="AC314" s="75"/>
      <c r="AD314" s="75"/>
      <c r="AE314" s="78" t="str">
        <f>IF(U314="","",IF(AD314="","",_xlfn.WORKDAY.INTL(AD314,7,1,FERIADOS)))</f>
        <v/>
      </c>
      <c r="AF314" s="104"/>
      <c r="AG314" s="80" t="str">
        <f t="array" ref="AG314">IF(A314="","",IF(AF314="","",AF314*INDEX(PARAMETROS!F$2:F1377,MATCH(YEAR(AC314),PARAMETROS!E$2:E1377,0),1)))</f>
        <v/>
      </c>
      <c r="AH314" s="81"/>
      <c r="AI314" s="82"/>
      <c r="AJ314" s="81"/>
      <c r="AK314" s="81"/>
      <c r="AL314" s="76"/>
      <c r="AM314" s="75"/>
      <c r="AN314" s="76"/>
      <c r="AO314" s="95"/>
      <c r="AP314" s="96"/>
      <c r="AQ314" s="85" t="str">
        <f t="shared" si="6"/>
        <v/>
      </c>
      <c r="AR314" s="86" t="str">
        <f t="array" ref="AR314">IF(A314="","",IFERROR(INDEX('2) Etapas'!L$3:L923,MATCH(B314,'2) Etapas'!$A$4:$A923,0),1),-1))</f>
        <v/>
      </c>
      <c r="AS314" s="87" t="str">
        <f t="shared" si="7"/>
        <v/>
      </c>
      <c r="AT314" s="87" t="str">
        <f t="shared" si="8"/>
        <v/>
      </c>
      <c r="AU314" s="87" t="str">
        <f t="shared" si="9"/>
        <v/>
      </c>
      <c r="AV314" s="89" t="str">
        <f t="array" ref="AV314">IF(OR($A314="",$AB314="", $AC314=""),"",MAXA(IF($A314=$A$4:$A923,$AC$4:$AC923)))</f>
        <v/>
      </c>
    </row>
    <row r="315" ht="22.5" customHeight="1">
      <c r="A315" s="76"/>
      <c r="B315" s="68" t="str">
        <f t="shared" si="1"/>
        <v/>
      </c>
      <c r="C315" s="110"/>
      <c r="D315" s="70" t="str">
        <f t="shared" si="2"/>
        <v/>
      </c>
      <c r="E315" s="76"/>
      <c r="F315" s="68" t="str">
        <f t="array" ref="F315">IF($A315="","",IFERROR(INDEX(MA_INDIVIDUALES!C$2:C923, MATCH($A315,MA_INDIVIDUALES!$B$2:$B923,0),1),"CÓDIGO DE EXPEDIENTE INVÁLIDO"))</f>
        <v/>
      </c>
      <c r="G315" s="68" t="str">
        <f t="array" ref="G315">IF($A315="","",IFERROR(INDEX(MA_INDIVIDUALES!K$2:K923, MATCH($A315,MA_INDIVIDUALES!$B$2:$B923,0),1),"CÓDIGO DE EXPEDIENTE INVÁLIDO"))</f>
        <v/>
      </c>
      <c r="H315" s="68" t="str">
        <f t="array" ref="H315">IF($A315="","",IFERROR(INDEX(MA_INDIVIDUALES!L$2:L923, MATCH($A315,MA_INDIVIDUALES!$B$2:$B923,0),1),"CÓDIGO DE EXPEDIENTE INVÁLIDO"))</f>
        <v/>
      </c>
      <c r="I315" s="76"/>
      <c r="J315" s="76"/>
      <c r="K315" s="75"/>
      <c r="L315" s="74" t="str">
        <f>IF(A315="","",IF(K315="","",_xlfn.WORKDAY.INTL(K315,5,1,FERIADOS)))</f>
        <v/>
      </c>
      <c r="M315" s="76"/>
      <c r="N315" s="75"/>
      <c r="O315" s="76"/>
      <c r="P315" s="77" t="str">
        <f t="shared" si="3"/>
        <v/>
      </c>
      <c r="Q315" s="75"/>
      <c r="R315" s="76"/>
      <c r="S315" s="75"/>
      <c r="T315" s="75"/>
      <c r="U315" s="76"/>
      <c r="V315" s="76"/>
      <c r="W315" s="75"/>
      <c r="X315" s="76"/>
      <c r="Y315" s="29" t="str">
        <f t="shared" si="4"/>
        <v/>
      </c>
      <c r="Z315" s="29" t="str">
        <f t="shared" si="5"/>
        <v/>
      </c>
      <c r="AA315" s="76"/>
      <c r="AB315" s="76"/>
      <c r="AC315" s="75"/>
      <c r="AD315" s="75"/>
      <c r="AE315" s="78" t="str">
        <f>IF(U315="","",IF(AD315="","",_xlfn.WORKDAY.INTL(AD315,7,1,FERIADOS)))</f>
        <v/>
      </c>
      <c r="AF315" s="104"/>
      <c r="AG315" s="80" t="str">
        <f t="array" ref="AG315">IF(A315="","",IF(AF315="","",AF315*INDEX(PARAMETROS!F$2:F1378,MATCH(YEAR(AC315),PARAMETROS!E$2:E1378,0),1)))</f>
        <v/>
      </c>
      <c r="AH315" s="81"/>
      <c r="AI315" s="82"/>
      <c r="AJ315" s="81"/>
      <c r="AK315" s="81"/>
      <c r="AL315" s="76"/>
      <c r="AM315" s="75"/>
      <c r="AN315" s="76"/>
      <c r="AO315" s="95"/>
      <c r="AP315" s="96"/>
      <c r="AQ315" s="85" t="str">
        <f t="shared" si="6"/>
        <v/>
      </c>
      <c r="AR315" s="86" t="str">
        <f t="array" ref="AR315">IF(A315="","",IFERROR(INDEX('2) Etapas'!L$3:L923,MATCH(B315,'2) Etapas'!$A$4:$A923,0),1),-1))</f>
        <v/>
      </c>
      <c r="AS315" s="87" t="str">
        <f t="shared" si="7"/>
        <v/>
      </c>
      <c r="AT315" s="87" t="str">
        <f t="shared" si="8"/>
        <v/>
      </c>
      <c r="AU315" s="87" t="str">
        <f t="shared" si="9"/>
        <v/>
      </c>
      <c r="AV315" s="89" t="str">
        <f t="array" ref="AV315">IF(OR($A315="",$AB315="", $AC315=""),"",MAXA(IF($A315=$A$4:$A923,$AC$4:$AC923)))</f>
        <v/>
      </c>
    </row>
    <row r="316" ht="22.5" customHeight="1">
      <c r="A316" s="76"/>
      <c r="B316" s="68" t="str">
        <f t="shared" si="1"/>
        <v/>
      </c>
      <c r="C316" s="110"/>
      <c r="D316" s="70" t="str">
        <f t="shared" si="2"/>
        <v/>
      </c>
      <c r="E316" s="76"/>
      <c r="F316" s="68" t="str">
        <f t="array" ref="F316">IF($A316="","",IFERROR(INDEX(MA_INDIVIDUALES!C$2:C923, MATCH($A316,MA_INDIVIDUALES!$B$2:$B923,0),1),"CÓDIGO DE EXPEDIENTE INVÁLIDO"))</f>
        <v/>
      </c>
      <c r="G316" s="68" t="str">
        <f t="array" ref="G316">IF($A316="","",IFERROR(INDEX(MA_INDIVIDUALES!K$2:K923, MATCH($A316,MA_INDIVIDUALES!$B$2:$B923,0),1),"CÓDIGO DE EXPEDIENTE INVÁLIDO"))</f>
        <v/>
      </c>
      <c r="H316" s="68" t="str">
        <f t="array" ref="H316">IF($A316="","",IFERROR(INDEX(MA_INDIVIDUALES!L$2:L923, MATCH($A316,MA_INDIVIDUALES!$B$2:$B923,0),1),"CÓDIGO DE EXPEDIENTE INVÁLIDO"))</f>
        <v/>
      </c>
      <c r="I316" s="76"/>
      <c r="J316" s="76"/>
      <c r="K316" s="75"/>
      <c r="L316" s="74" t="str">
        <f>IF(A316="","",IF(K316="","",_xlfn.WORKDAY.INTL(K316,5,1,FERIADOS)))</f>
        <v/>
      </c>
      <c r="M316" s="76"/>
      <c r="N316" s="75"/>
      <c r="O316" s="76"/>
      <c r="P316" s="77" t="str">
        <f t="shared" si="3"/>
        <v/>
      </c>
      <c r="Q316" s="75"/>
      <c r="R316" s="76"/>
      <c r="S316" s="75"/>
      <c r="T316" s="75"/>
      <c r="U316" s="76"/>
      <c r="V316" s="76"/>
      <c r="W316" s="75"/>
      <c r="X316" s="76"/>
      <c r="Y316" s="29" t="str">
        <f t="shared" si="4"/>
        <v/>
      </c>
      <c r="Z316" s="29" t="str">
        <f t="shared" si="5"/>
        <v/>
      </c>
      <c r="AA316" s="76"/>
      <c r="AB316" s="76"/>
      <c r="AC316" s="75"/>
      <c r="AD316" s="75"/>
      <c r="AE316" s="78" t="str">
        <f>IF(U316="","",IF(AD316="","",_xlfn.WORKDAY.INTL(AD316,7,1,FERIADOS)))</f>
        <v/>
      </c>
      <c r="AF316" s="104"/>
      <c r="AG316" s="80" t="str">
        <f t="array" ref="AG316">IF(A316="","",IF(AF316="","",AF316*INDEX(PARAMETROS!F$2:F1379,MATCH(YEAR(AC316),PARAMETROS!E$2:E1379,0),1)))</f>
        <v/>
      </c>
      <c r="AH316" s="81"/>
      <c r="AI316" s="82"/>
      <c r="AJ316" s="81"/>
      <c r="AK316" s="81"/>
      <c r="AL316" s="76"/>
      <c r="AM316" s="75"/>
      <c r="AN316" s="76"/>
      <c r="AO316" s="95"/>
      <c r="AP316" s="96"/>
      <c r="AQ316" s="85" t="str">
        <f t="shared" si="6"/>
        <v/>
      </c>
      <c r="AR316" s="86" t="str">
        <f t="array" ref="AR316">IF(A316="","",IFERROR(INDEX('2) Etapas'!L$3:L923,MATCH(B316,'2) Etapas'!$A$4:$A923,0),1),-1))</f>
        <v/>
      </c>
      <c r="AS316" s="87" t="str">
        <f t="shared" si="7"/>
        <v/>
      </c>
      <c r="AT316" s="87" t="str">
        <f t="shared" si="8"/>
        <v/>
      </c>
      <c r="AU316" s="87" t="str">
        <f t="shared" si="9"/>
        <v/>
      </c>
      <c r="AV316" s="89" t="str">
        <f t="array" ref="AV316">IF(OR($A316="",$AB316="", $AC316=""),"",MAXA(IF($A316=$A$4:$A923,$AC$4:$AC923)))</f>
        <v/>
      </c>
    </row>
    <row r="317" ht="22.5" customHeight="1">
      <c r="A317" s="76"/>
      <c r="B317" s="68" t="str">
        <f t="shared" si="1"/>
        <v/>
      </c>
      <c r="C317" s="110"/>
      <c r="D317" s="70" t="str">
        <f t="shared" si="2"/>
        <v/>
      </c>
      <c r="E317" s="76"/>
      <c r="F317" s="68" t="str">
        <f t="array" ref="F317">IF($A317="","",IFERROR(INDEX(MA_INDIVIDUALES!C$2:C923, MATCH($A317,MA_INDIVIDUALES!$B$2:$B923,0),1),"CÓDIGO DE EXPEDIENTE INVÁLIDO"))</f>
        <v/>
      </c>
      <c r="G317" s="68" t="str">
        <f t="array" ref="G317">IF($A317="","",IFERROR(INDEX(MA_INDIVIDUALES!K$2:K923, MATCH($A317,MA_INDIVIDUALES!$B$2:$B923,0),1),"CÓDIGO DE EXPEDIENTE INVÁLIDO"))</f>
        <v/>
      </c>
      <c r="H317" s="68" t="str">
        <f t="array" ref="H317">IF($A317="","",IFERROR(INDEX(MA_INDIVIDUALES!L$2:L923, MATCH($A317,MA_INDIVIDUALES!$B$2:$B923,0),1),"CÓDIGO DE EXPEDIENTE INVÁLIDO"))</f>
        <v/>
      </c>
      <c r="I317" s="76"/>
      <c r="J317" s="76"/>
      <c r="K317" s="75"/>
      <c r="L317" s="74" t="str">
        <f>IF(A317="","",IF(K317="","",_xlfn.WORKDAY.INTL(K317,5,1,FERIADOS)))</f>
        <v/>
      </c>
      <c r="M317" s="76"/>
      <c r="N317" s="75"/>
      <c r="O317" s="76"/>
      <c r="P317" s="77" t="str">
        <f t="shared" si="3"/>
        <v/>
      </c>
      <c r="Q317" s="75"/>
      <c r="R317" s="76"/>
      <c r="S317" s="75"/>
      <c r="T317" s="75"/>
      <c r="U317" s="76"/>
      <c r="V317" s="76"/>
      <c r="W317" s="75"/>
      <c r="X317" s="76"/>
      <c r="Y317" s="29" t="str">
        <f t="shared" si="4"/>
        <v/>
      </c>
      <c r="Z317" s="29" t="str">
        <f t="shared" si="5"/>
        <v/>
      </c>
      <c r="AA317" s="76"/>
      <c r="AB317" s="76"/>
      <c r="AC317" s="75"/>
      <c r="AD317" s="75"/>
      <c r="AE317" s="78" t="str">
        <f>IF(U317="","",IF(AD317="","",_xlfn.WORKDAY.INTL(AD317,7,1,FERIADOS)))</f>
        <v/>
      </c>
      <c r="AF317" s="104"/>
      <c r="AG317" s="80" t="str">
        <f t="array" ref="AG317">IF(A317="","",IF(AF317="","",AF317*INDEX(PARAMETROS!F$2:F1380,MATCH(YEAR(AC317),PARAMETROS!E$2:E1380,0),1)))</f>
        <v/>
      </c>
      <c r="AH317" s="81"/>
      <c r="AI317" s="82"/>
      <c r="AJ317" s="81"/>
      <c r="AK317" s="81"/>
      <c r="AL317" s="76"/>
      <c r="AM317" s="75"/>
      <c r="AN317" s="76"/>
      <c r="AO317" s="95"/>
      <c r="AP317" s="96"/>
      <c r="AQ317" s="85" t="str">
        <f t="shared" si="6"/>
        <v/>
      </c>
      <c r="AR317" s="86" t="str">
        <f t="array" ref="AR317">IF(A317="","",IFERROR(INDEX('2) Etapas'!L$3:L923,MATCH(B317,'2) Etapas'!$A$4:$A923,0),1),-1))</f>
        <v/>
      </c>
      <c r="AS317" s="87" t="str">
        <f t="shared" si="7"/>
        <v/>
      </c>
      <c r="AT317" s="87" t="str">
        <f t="shared" si="8"/>
        <v/>
      </c>
      <c r="AU317" s="87" t="str">
        <f t="shared" si="9"/>
        <v/>
      </c>
      <c r="AV317" s="89" t="str">
        <f t="array" ref="AV317">IF(OR($A317="",$AB317="", $AC317=""),"",MAXA(IF($A317=$A$4:$A923,$AC$4:$AC923)))</f>
        <v/>
      </c>
    </row>
    <row r="318" ht="22.5" customHeight="1">
      <c r="A318" s="76"/>
      <c r="B318" s="68" t="str">
        <f t="shared" si="1"/>
        <v/>
      </c>
      <c r="C318" s="110"/>
      <c r="D318" s="70" t="str">
        <f t="shared" si="2"/>
        <v/>
      </c>
      <c r="E318" s="76"/>
      <c r="F318" s="68" t="str">
        <f t="array" ref="F318">IF($A318="","",IFERROR(INDEX(MA_INDIVIDUALES!C$2:C923, MATCH($A318,MA_INDIVIDUALES!$B$2:$B923,0),1),"CÓDIGO DE EXPEDIENTE INVÁLIDO"))</f>
        <v/>
      </c>
      <c r="G318" s="68" t="str">
        <f t="array" ref="G318">IF($A318="","",IFERROR(INDEX(MA_INDIVIDUALES!K$2:K923, MATCH($A318,MA_INDIVIDUALES!$B$2:$B923,0),1),"CÓDIGO DE EXPEDIENTE INVÁLIDO"))</f>
        <v/>
      </c>
      <c r="H318" s="68" t="str">
        <f t="array" ref="H318">IF($A318="","",IFERROR(INDEX(MA_INDIVIDUALES!L$2:L923, MATCH($A318,MA_INDIVIDUALES!$B$2:$B923,0),1),"CÓDIGO DE EXPEDIENTE INVÁLIDO"))</f>
        <v/>
      </c>
      <c r="I318" s="76"/>
      <c r="J318" s="76"/>
      <c r="K318" s="75"/>
      <c r="L318" s="74" t="str">
        <f>IF(A318="","",IF(K318="","",_xlfn.WORKDAY.INTL(K318,5,1,FERIADOS)))</f>
        <v/>
      </c>
      <c r="M318" s="76"/>
      <c r="N318" s="75"/>
      <c r="O318" s="76"/>
      <c r="P318" s="77" t="str">
        <f t="shared" si="3"/>
        <v/>
      </c>
      <c r="Q318" s="75"/>
      <c r="R318" s="76"/>
      <c r="S318" s="75"/>
      <c r="T318" s="75"/>
      <c r="U318" s="76"/>
      <c r="V318" s="76"/>
      <c r="W318" s="75"/>
      <c r="X318" s="76"/>
      <c r="Y318" s="29" t="str">
        <f t="shared" si="4"/>
        <v/>
      </c>
      <c r="Z318" s="29" t="str">
        <f t="shared" si="5"/>
        <v/>
      </c>
      <c r="AA318" s="76"/>
      <c r="AB318" s="76"/>
      <c r="AC318" s="75"/>
      <c r="AD318" s="75"/>
      <c r="AE318" s="78" t="str">
        <f>IF(U318="","",IF(AD318="","",_xlfn.WORKDAY.INTL(AD318,7,1,FERIADOS)))</f>
        <v/>
      </c>
      <c r="AF318" s="104"/>
      <c r="AG318" s="80" t="str">
        <f t="array" ref="AG318">IF(A318="","",IF(AF318="","",AF318*INDEX(PARAMETROS!F$2:F1381,MATCH(YEAR(AC318),PARAMETROS!E$2:E1381,0),1)))</f>
        <v/>
      </c>
      <c r="AH318" s="81"/>
      <c r="AI318" s="82"/>
      <c r="AJ318" s="81"/>
      <c r="AK318" s="81"/>
      <c r="AL318" s="76"/>
      <c r="AM318" s="75"/>
      <c r="AN318" s="76"/>
      <c r="AO318" s="95"/>
      <c r="AP318" s="96"/>
      <c r="AQ318" s="85" t="str">
        <f t="shared" si="6"/>
        <v/>
      </c>
      <c r="AR318" s="86" t="str">
        <f t="array" ref="AR318">IF(A318="","",IFERROR(INDEX('2) Etapas'!L$3:L923,MATCH(B318,'2) Etapas'!$A$4:$A923,0),1),-1))</f>
        <v/>
      </c>
      <c r="AS318" s="87" t="str">
        <f t="shared" si="7"/>
        <v/>
      </c>
      <c r="AT318" s="87" t="str">
        <f t="shared" si="8"/>
        <v/>
      </c>
      <c r="AU318" s="87" t="str">
        <f t="shared" si="9"/>
        <v/>
      </c>
      <c r="AV318" s="89" t="str">
        <f t="array" ref="AV318">IF(OR($A318="",$AB318="", $AC318=""),"",MAXA(IF($A318=$A$4:$A923,$AC$4:$AC923)))</f>
        <v/>
      </c>
    </row>
    <row r="319" ht="22.5" customHeight="1">
      <c r="A319" s="76"/>
      <c r="B319" s="68" t="str">
        <f t="shared" si="1"/>
        <v/>
      </c>
      <c r="C319" s="110"/>
      <c r="D319" s="70" t="str">
        <f t="shared" si="2"/>
        <v/>
      </c>
      <c r="E319" s="76"/>
      <c r="F319" s="68" t="str">
        <f t="array" ref="F319">IF($A319="","",IFERROR(INDEX(MA_INDIVIDUALES!C$2:C923, MATCH($A319,MA_INDIVIDUALES!$B$2:$B923,0),1),"CÓDIGO DE EXPEDIENTE INVÁLIDO"))</f>
        <v/>
      </c>
      <c r="G319" s="68" t="str">
        <f t="array" ref="G319">IF($A319="","",IFERROR(INDEX(MA_INDIVIDUALES!K$2:K923, MATCH($A319,MA_INDIVIDUALES!$B$2:$B923,0),1),"CÓDIGO DE EXPEDIENTE INVÁLIDO"))</f>
        <v/>
      </c>
      <c r="H319" s="68" t="str">
        <f t="array" ref="H319">IF($A319="","",IFERROR(INDEX(MA_INDIVIDUALES!L$2:L923, MATCH($A319,MA_INDIVIDUALES!$B$2:$B923,0),1),"CÓDIGO DE EXPEDIENTE INVÁLIDO"))</f>
        <v/>
      </c>
      <c r="I319" s="76"/>
      <c r="J319" s="76"/>
      <c r="K319" s="75"/>
      <c r="L319" s="74" t="str">
        <f>IF(A319="","",IF(K319="","",_xlfn.WORKDAY.INTL(K319,5,1,FERIADOS)))</f>
        <v/>
      </c>
      <c r="M319" s="76"/>
      <c r="N319" s="75"/>
      <c r="O319" s="76"/>
      <c r="P319" s="77" t="str">
        <f t="shared" si="3"/>
        <v/>
      </c>
      <c r="Q319" s="75"/>
      <c r="R319" s="76"/>
      <c r="S319" s="75"/>
      <c r="T319" s="75"/>
      <c r="U319" s="76"/>
      <c r="V319" s="76"/>
      <c r="W319" s="75"/>
      <c r="X319" s="76"/>
      <c r="Y319" s="29" t="str">
        <f t="shared" si="4"/>
        <v/>
      </c>
      <c r="Z319" s="29" t="str">
        <f t="shared" si="5"/>
        <v/>
      </c>
      <c r="AA319" s="76"/>
      <c r="AB319" s="76"/>
      <c r="AC319" s="75"/>
      <c r="AD319" s="75"/>
      <c r="AE319" s="78" t="str">
        <f>IF(U319="","",IF(AD319="","",_xlfn.WORKDAY.INTL(AD319,7,1,FERIADOS)))</f>
        <v/>
      </c>
      <c r="AF319" s="104"/>
      <c r="AG319" s="80" t="str">
        <f t="array" ref="AG319">IF(A319="","",IF(AF319="","",AF319*INDEX(PARAMETROS!F$2:F1382,MATCH(YEAR(AC319),PARAMETROS!E$2:E1382,0),1)))</f>
        <v/>
      </c>
      <c r="AH319" s="81"/>
      <c r="AI319" s="82"/>
      <c r="AJ319" s="81"/>
      <c r="AK319" s="81"/>
      <c r="AL319" s="76"/>
      <c r="AM319" s="75"/>
      <c r="AN319" s="76"/>
      <c r="AO319" s="95"/>
      <c r="AP319" s="96"/>
      <c r="AQ319" s="85" t="str">
        <f t="shared" si="6"/>
        <v/>
      </c>
      <c r="AR319" s="86" t="str">
        <f t="array" ref="AR319">IF(A319="","",IFERROR(INDEX('2) Etapas'!L$3:L923,MATCH(B319,'2) Etapas'!$A$4:$A923,0),1),-1))</f>
        <v/>
      </c>
      <c r="AS319" s="87" t="str">
        <f t="shared" si="7"/>
        <v/>
      </c>
      <c r="AT319" s="87" t="str">
        <f t="shared" si="8"/>
        <v/>
      </c>
      <c r="AU319" s="87" t="str">
        <f t="shared" si="9"/>
        <v/>
      </c>
      <c r="AV319" s="89" t="str">
        <f t="array" ref="AV319">IF(OR($A319="",$AB319="", $AC319=""),"",MAXA(IF($A319=$A$4:$A923,$AC$4:$AC923)))</f>
        <v/>
      </c>
    </row>
    <row r="320" ht="22.5" customHeight="1">
      <c r="A320" s="76"/>
      <c r="B320" s="68" t="str">
        <f t="shared" si="1"/>
        <v/>
      </c>
      <c r="C320" s="110"/>
      <c r="D320" s="70" t="str">
        <f t="shared" si="2"/>
        <v/>
      </c>
      <c r="E320" s="76"/>
      <c r="F320" s="68" t="str">
        <f t="array" ref="F320">IF($A320="","",IFERROR(INDEX(MA_INDIVIDUALES!C$2:C923, MATCH($A320,MA_INDIVIDUALES!$B$2:$B923,0),1),"CÓDIGO DE EXPEDIENTE INVÁLIDO"))</f>
        <v/>
      </c>
      <c r="G320" s="68" t="str">
        <f t="array" ref="G320">IF($A320="","",IFERROR(INDEX(MA_INDIVIDUALES!K$2:K923, MATCH($A320,MA_INDIVIDUALES!$B$2:$B923,0),1),"CÓDIGO DE EXPEDIENTE INVÁLIDO"))</f>
        <v/>
      </c>
      <c r="H320" s="68" t="str">
        <f t="array" ref="H320">IF($A320="","",IFERROR(INDEX(MA_INDIVIDUALES!L$2:L923, MATCH($A320,MA_INDIVIDUALES!$B$2:$B923,0),1),"CÓDIGO DE EXPEDIENTE INVÁLIDO"))</f>
        <v/>
      </c>
      <c r="I320" s="76"/>
      <c r="J320" s="76"/>
      <c r="K320" s="75"/>
      <c r="L320" s="74" t="str">
        <f>IF(A320="","",IF(K320="","",_xlfn.WORKDAY.INTL(K320,5,1,FERIADOS)))</f>
        <v/>
      </c>
      <c r="M320" s="76"/>
      <c r="N320" s="75"/>
      <c r="O320" s="76"/>
      <c r="P320" s="77" t="str">
        <f t="shared" si="3"/>
        <v/>
      </c>
      <c r="Q320" s="75"/>
      <c r="R320" s="76"/>
      <c r="S320" s="75"/>
      <c r="T320" s="75"/>
      <c r="U320" s="76"/>
      <c r="V320" s="76"/>
      <c r="W320" s="75"/>
      <c r="X320" s="76"/>
      <c r="Y320" s="29" t="str">
        <f t="shared" si="4"/>
        <v/>
      </c>
      <c r="Z320" s="29" t="str">
        <f t="shared" si="5"/>
        <v/>
      </c>
      <c r="AA320" s="76"/>
      <c r="AB320" s="76"/>
      <c r="AC320" s="75"/>
      <c r="AD320" s="75"/>
      <c r="AE320" s="78" t="str">
        <f>IF(U320="","",IF(AD320="","",_xlfn.WORKDAY.INTL(AD320,7,1,FERIADOS)))</f>
        <v/>
      </c>
      <c r="AF320" s="104"/>
      <c r="AG320" s="80" t="str">
        <f t="array" ref="AG320">IF(A320="","",IF(AF320="","",AF320*INDEX(PARAMETROS!F$2:F1383,MATCH(YEAR(AC320),PARAMETROS!E$2:E1383,0),1)))</f>
        <v/>
      </c>
      <c r="AH320" s="81"/>
      <c r="AI320" s="82"/>
      <c r="AJ320" s="81"/>
      <c r="AK320" s="81"/>
      <c r="AL320" s="76"/>
      <c r="AM320" s="75"/>
      <c r="AN320" s="76"/>
      <c r="AO320" s="95"/>
      <c r="AP320" s="96"/>
      <c r="AQ320" s="85" t="str">
        <f t="shared" si="6"/>
        <v/>
      </c>
      <c r="AR320" s="86" t="str">
        <f t="array" ref="AR320">IF(A320="","",IFERROR(INDEX('2) Etapas'!L$3:L923,MATCH(B320,'2) Etapas'!$A$4:$A923,0),1),-1))</f>
        <v/>
      </c>
      <c r="AS320" s="87" t="str">
        <f t="shared" si="7"/>
        <v/>
      </c>
      <c r="AT320" s="87" t="str">
        <f t="shared" si="8"/>
        <v/>
      </c>
      <c r="AU320" s="87" t="str">
        <f t="shared" si="9"/>
        <v/>
      </c>
      <c r="AV320" s="89" t="str">
        <f t="array" ref="AV320">IF(OR($A320="",$AB320="", $AC320=""),"",MAXA(IF($A320=$A$4:$A923,$AC$4:$AC923)))</f>
        <v/>
      </c>
    </row>
    <row r="321" ht="22.5" customHeight="1">
      <c r="A321" s="76"/>
      <c r="B321" s="68" t="str">
        <f t="shared" si="1"/>
        <v/>
      </c>
      <c r="C321" s="110"/>
      <c r="D321" s="70" t="str">
        <f t="shared" si="2"/>
        <v/>
      </c>
      <c r="E321" s="76"/>
      <c r="F321" s="68" t="str">
        <f t="array" ref="F321">IF($A321="","",IFERROR(INDEX(MA_INDIVIDUALES!C$2:C923, MATCH($A321,MA_INDIVIDUALES!$B$2:$B923,0),1),"CÓDIGO DE EXPEDIENTE INVÁLIDO"))</f>
        <v/>
      </c>
      <c r="G321" s="68" t="str">
        <f t="array" ref="G321">IF($A321="","",IFERROR(INDEX(MA_INDIVIDUALES!K$2:K923, MATCH($A321,MA_INDIVIDUALES!$B$2:$B923,0),1),"CÓDIGO DE EXPEDIENTE INVÁLIDO"))</f>
        <v/>
      </c>
      <c r="H321" s="68" t="str">
        <f t="array" ref="H321">IF($A321="","",IFERROR(INDEX(MA_INDIVIDUALES!L$2:L923, MATCH($A321,MA_INDIVIDUALES!$B$2:$B923,0),1),"CÓDIGO DE EXPEDIENTE INVÁLIDO"))</f>
        <v/>
      </c>
      <c r="I321" s="76"/>
      <c r="J321" s="76"/>
      <c r="K321" s="75"/>
      <c r="L321" s="74" t="str">
        <f>IF(A321="","",IF(K321="","",_xlfn.WORKDAY.INTL(K321,5,1,FERIADOS)))</f>
        <v/>
      </c>
      <c r="M321" s="76"/>
      <c r="N321" s="75"/>
      <c r="O321" s="76"/>
      <c r="P321" s="77" t="str">
        <f t="shared" si="3"/>
        <v/>
      </c>
      <c r="Q321" s="75"/>
      <c r="R321" s="76"/>
      <c r="S321" s="75"/>
      <c r="T321" s="75"/>
      <c r="U321" s="76"/>
      <c r="V321" s="76"/>
      <c r="W321" s="75"/>
      <c r="X321" s="76"/>
      <c r="Y321" s="29" t="str">
        <f t="shared" si="4"/>
        <v/>
      </c>
      <c r="Z321" s="29" t="str">
        <f t="shared" si="5"/>
        <v/>
      </c>
      <c r="AA321" s="76"/>
      <c r="AB321" s="76"/>
      <c r="AC321" s="75"/>
      <c r="AD321" s="75"/>
      <c r="AE321" s="78" t="str">
        <f>IF(U321="","",IF(AD321="","",_xlfn.WORKDAY.INTL(AD321,7,1,FERIADOS)))</f>
        <v/>
      </c>
      <c r="AF321" s="104"/>
      <c r="AG321" s="80" t="str">
        <f t="array" ref="AG321">IF(A321="","",IF(AF321="","",AF321*INDEX(PARAMETROS!F$2:F1384,MATCH(YEAR(AC321),PARAMETROS!E$2:E1384,0),1)))</f>
        <v/>
      </c>
      <c r="AH321" s="81"/>
      <c r="AI321" s="82"/>
      <c r="AJ321" s="81"/>
      <c r="AK321" s="81"/>
      <c r="AL321" s="76"/>
      <c r="AM321" s="75"/>
      <c r="AN321" s="76"/>
      <c r="AO321" s="95"/>
      <c r="AP321" s="96"/>
      <c r="AQ321" s="85" t="str">
        <f t="shared" si="6"/>
        <v/>
      </c>
      <c r="AR321" s="86" t="str">
        <f t="array" ref="AR321">IF(A321="","",IFERROR(INDEX('2) Etapas'!L$3:L923,MATCH(B321,'2) Etapas'!$A$4:$A923,0),1),-1))</f>
        <v/>
      </c>
      <c r="AS321" s="87" t="str">
        <f t="shared" si="7"/>
        <v/>
      </c>
      <c r="AT321" s="87" t="str">
        <f t="shared" si="8"/>
        <v/>
      </c>
      <c r="AU321" s="87" t="str">
        <f t="shared" si="9"/>
        <v/>
      </c>
      <c r="AV321" s="89" t="str">
        <f t="array" ref="AV321">IF(OR($A321="",$AB321="", $AC321=""),"",MAXA(IF($A321=$A$4:$A923,$AC$4:$AC923)))</f>
        <v/>
      </c>
    </row>
    <row r="322" ht="22.5" customHeight="1">
      <c r="A322" s="76"/>
      <c r="B322" s="68" t="str">
        <f t="shared" si="1"/>
        <v/>
      </c>
      <c r="C322" s="110"/>
      <c r="D322" s="70" t="str">
        <f t="shared" si="2"/>
        <v/>
      </c>
      <c r="E322" s="76"/>
      <c r="F322" s="68" t="str">
        <f t="array" ref="F322">IF($A322="","",IFERROR(INDEX(MA_INDIVIDUALES!C$2:C923, MATCH($A322,MA_INDIVIDUALES!$B$2:$B923,0),1),"CÓDIGO DE EXPEDIENTE INVÁLIDO"))</f>
        <v/>
      </c>
      <c r="G322" s="68" t="str">
        <f t="array" ref="G322">IF($A322="","",IFERROR(INDEX(MA_INDIVIDUALES!K$2:K923, MATCH($A322,MA_INDIVIDUALES!$B$2:$B923,0),1),"CÓDIGO DE EXPEDIENTE INVÁLIDO"))</f>
        <v/>
      </c>
      <c r="H322" s="68" t="str">
        <f t="array" ref="H322">IF($A322="","",IFERROR(INDEX(MA_INDIVIDUALES!L$2:L923, MATCH($A322,MA_INDIVIDUALES!$B$2:$B923,0),1),"CÓDIGO DE EXPEDIENTE INVÁLIDO"))</f>
        <v/>
      </c>
      <c r="I322" s="76"/>
      <c r="J322" s="76"/>
      <c r="K322" s="75"/>
      <c r="L322" s="74" t="str">
        <f>IF(A322="","",IF(K322="","",_xlfn.WORKDAY.INTL(K322,5,1,FERIADOS)))</f>
        <v/>
      </c>
      <c r="M322" s="76"/>
      <c r="N322" s="75"/>
      <c r="O322" s="76"/>
      <c r="P322" s="77" t="str">
        <f t="shared" si="3"/>
        <v/>
      </c>
      <c r="Q322" s="75"/>
      <c r="R322" s="76"/>
      <c r="S322" s="75"/>
      <c r="T322" s="75"/>
      <c r="U322" s="76"/>
      <c r="V322" s="76"/>
      <c r="W322" s="75"/>
      <c r="X322" s="76"/>
      <c r="Y322" s="29" t="str">
        <f t="shared" si="4"/>
        <v/>
      </c>
      <c r="Z322" s="29" t="str">
        <f t="shared" si="5"/>
        <v/>
      </c>
      <c r="AA322" s="76"/>
      <c r="AB322" s="76"/>
      <c r="AC322" s="75"/>
      <c r="AD322" s="75"/>
      <c r="AE322" s="78" t="str">
        <f>IF(U322="","",IF(AD322="","",_xlfn.WORKDAY.INTL(AD322,7,1,FERIADOS)))</f>
        <v/>
      </c>
      <c r="AF322" s="104"/>
      <c r="AG322" s="80" t="str">
        <f t="array" ref="AG322">IF(A322="","",IF(AF322="","",AF322*INDEX(PARAMETROS!F$2:F1385,MATCH(YEAR(AC322),PARAMETROS!E$2:E1385,0),1)))</f>
        <v/>
      </c>
      <c r="AH322" s="81"/>
      <c r="AI322" s="82"/>
      <c r="AJ322" s="81"/>
      <c r="AK322" s="81"/>
      <c r="AL322" s="76"/>
      <c r="AM322" s="75"/>
      <c r="AN322" s="76"/>
      <c r="AO322" s="95"/>
      <c r="AP322" s="96"/>
      <c r="AQ322" s="85" t="str">
        <f t="shared" si="6"/>
        <v/>
      </c>
      <c r="AR322" s="86" t="str">
        <f t="array" ref="AR322">IF(A322="","",IFERROR(INDEX('2) Etapas'!L$3:L923,MATCH(B322,'2) Etapas'!$A$4:$A923,0),1),-1))</f>
        <v/>
      </c>
      <c r="AS322" s="87" t="str">
        <f t="shared" si="7"/>
        <v/>
      </c>
      <c r="AT322" s="87" t="str">
        <f t="shared" si="8"/>
        <v/>
      </c>
      <c r="AU322" s="87" t="str">
        <f t="shared" si="9"/>
        <v/>
      </c>
      <c r="AV322" s="89" t="str">
        <f t="array" ref="AV322">IF(OR($A322="",$AB322="", $AC322=""),"",MAXA(IF($A322=$A$4:$A923,$AC$4:$AC923)))</f>
        <v/>
      </c>
    </row>
    <row r="323" ht="22.5" customHeight="1">
      <c r="A323" s="76"/>
      <c r="B323" s="68" t="str">
        <f t="shared" si="1"/>
        <v/>
      </c>
      <c r="C323" s="110"/>
      <c r="D323" s="70" t="str">
        <f t="shared" si="2"/>
        <v/>
      </c>
      <c r="E323" s="76"/>
      <c r="F323" s="68" t="str">
        <f t="array" ref="F323">IF($A323="","",IFERROR(INDEX(MA_INDIVIDUALES!C$2:C923, MATCH($A323,MA_INDIVIDUALES!$B$2:$B923,0),1),"CÓDIGO DE EXPEDIENTE INVÁLIDO"))</f>
        <v/>
      </c>
      <c r="G323" s="68" t="str">
        <f t="array" ref="G323">IF($A323="","",IFERROR(INDEX(MA_INDIVIDUALES!K$2:K923, MATCH($A323,MA_INDIVIDUALES!$B$2:$B923,0),1),"CÓDIGO DE EXPEDIENTE INVÁLIDO"))</f>
        <v/>
      </c>
      <c r="H323" s="68" t="str">
        <f t="array" ref="H323">IF($A323="","",IFERROR(INDEX(MA_INDIVIDUALES!L$2:L923, MATCH($A323,MA_INDIVIDUALES!$B$2:$B923,0),1),"CÓDIGO DE EXPEDIENTE INVÁLIDO"))</f>
        <v/>
      </c>
      <c r="I323" s="76"/>
      <c r="J323" s="76"/>
      <c r="K323" s="75"/>
      <c r="L323" s="74" t="str">
        <f>IF(A323="","",IF(K323="","",_xlfn.WORKDAY.INTL(K323,5,1,FERIADOS)))</f>
        <v/>
      </c>
      <c r="M323" s="76"/>
      <c r="N323" s="75"/>
      <c r="O323" s="76"/>
      <c r="P323" s="77" t="str">
        <f t="shared" si="3"/>
        <v/>
      </c>
      <c r="Q323" s="75"/>
      <c r="R323" s="76"/>
      <c r="S323" s="75"/>
      <c r="T323" s="75"/>
      <c r="U323" s="76"/>
      <c r="V323" s="76"/>
      <c r="W323" s="75"/>
      <c r="X323" s="76"/>
      <c r="Y323" s="29" t="str">
        <f t="shared" si="4"/>
        <v/>
      </c>
      <c r="Z323" s="29" t="str">
        <f t="shared" si="5"/>
        <v/>
      </c>
      <c r="AA323" s="76"/>
      <c r="AB323" s="76"/>
      <c r="AC323" s="75"/>
      <c r="AD323" s="75"/>
      <c r="AE323" s="78" t="str">
        <f>IF(U323="","",IF(AD323="","",_xlfn.WORKDAY.INTL(AD323,7,1,FERIADOS)))</f>
        <v/>
      </c>
      <c r="AF323" s="104"/>
      <c r="AG323" s="80" t="str">
        <f t="array" ref="AG323">IF(A323="","",IF(AF323="","",AF323*INDEX(PARAMETROS!F$2:F1386,MATCH(YEAR(AC323),PARAMETROS!E$2:E1386,0),1)))</f>
        <v/>
      </c>
      <c r="AH323" s="81"/>
      <c r="AI323" s="82"/>
      <c r="AJ323" s="81"/>
      <c r="AK323" s="81"/>
      <c r="AL323" s="76"/>
      <c r="AM323" s="75"/>
      <c r="AN323" s="76"/>
      <c r="AO323" s="95"/>
      <c r="AP323" s="96"/>
      <c r="AQ323" s="85" t="str">
        <f t="shared" si="6"/>
        <v/>
      </c>
      <c r="AR323" s="86" t="str">
        <f t="array" ref="AR323">IF(A323="","",IFERROR(INDEX('2) Etapas'!L$3:L923,MATCH(B323,'2) Etapas'!$A$4:$A923,0),1),-1))</f>
        <v/>
      </c>
      <c r="AS323" s="87" t="str">
        <f t="shared" si="7"/>
        <v/>
      </c>
      <c r="AT323" s="87" t="str">
        <f t="shared" si="8"/>
        <v/>
      </c>
      <c r="AU323" s="87" t="str">
        <f t="shared" si="9"/>
        <v/>
      </c>
      <c r="AV323" s="89" t="str">
        <f t="array" ref="AV323">IF(OR($A323="",$AB323="", $AC323=""),"",MAXA(IF($A323=$A$4:$A923,$AC$4:$AC923)))</f>
        <v/>
      </c>
    </row>
    <row r="324" ht="22.5" customHeight="1">
      <c r="A324" s="76"/>
      <c r="B324" s="68" t="str">
        <f t="shared" si="1"/>
        <v/>
      </c>
      <c r="C324" s="110"/>
      <c r="D324" s="70" t="str">
        <f t="shared" si="2"/>
        <v/>
      </c>
      <c r="E324" s="76"/>
      <c r="F324" s="68" t="str">
        <f t="array" ref="F324">IF($A324="","",IFERROR(INDEX(MA_INDIVIDUALES!C$2:C923, MATCH($A324,MA_INDIVIDUALES!$B$2:$B923,0),1),"CÓDIGO DE EXPEDIENTE INVÁLIDO"))</f>
        <v/>
      </c>
      <c r="G324" s="68" t="str">
        <f t="array" ref="G324">IF($A324="","",IFERROR(INDEX(MA_INDIVIDUALES!K$2:K923, MATCH($A324,MA_INDIVIDUALES!$B$2:$B923,0),1),"CÓDIGO DE EXPEDIENTE INVÁLIDO"))</f>
        <v/>
      </c>
      <c r="H324" s="68" t="str">
        <f t="array" ref="H324">IF($A324="","",IFERROR(INDEX(MA_INDIVIDUALES!L$2:L923, MATCH($A324,MA_INDIVIDUALES!$B$2:$B923,0),1),"CÓDIGO DE EXPEDIENTE INVÁLIDO"))</f>
        <v/>
      </c>
      <c r="I324" s="76"/>
      <c r="J324" s="76"/>
      <c r="K324" s="75"/>
      <c r="L324" s="74" t="str">
        <f>IF(A324="","",IF(K324="","",_xlfn.WORKDAY.INTL(K324,5,1,FERIADOS)))</f>
        <v/>
      </c>
      <c r="M324" s="76"/>
      <c r="N324" s="75"/>
      <c r="O324" s="76"/>
      <c r="P324" s="77" t="str">
        <f t="shared" si="3"/>
        <v/>
      </c>
      <c r="Q324" s="75"/>
      <c r="R324" s="76"/>
      <c r="S324" s="75"/>
      <c r="T324" s="75"/>
      <c r="U324" s="76"/>
      <c r="V324" s="76"/>
      <c r="W324" s="75"/>
      <c r="X324" s="76"/>
      <c r="Y324" s="29" t="str">
        <f t="shared" si="4"/>
        <v/>
      </c>
      <c r="Z324" s="29" t="str">
        <f t="shared" si="5"/>
        <v/>
      </c>
      <c r="AA324" s="76"/>
      <c r="AB324" s="76"/>
      <c r="AC324" s="75"/>
      <c r="AD324" s="75"/>
      <c r="AE324" s="78" t="str">
        <f>IF(U324="","",IF(AD324="","",_xlfn.WORKDAY.INTL(AD324,7,1,FERIADOS)))</f>
        <v/>
      </c>
      <c r="AF324" s="104"/>
      <c r="AG324" s="80" t="str">
        <f t="array" ref="AG324">IF(A324="","",IF(AF324="","",AF324*INDEX(PARAMETROS!F$2:F1387,MATCH(YEAR(AC324),PARAMETROS!E$2:E1387,0),1)))</f>
        <v/>
      </c>
      <c r="AH324" s="81"/>
      <c r="AI324" s="82"/>
      <c r="AJ324" s="81"/>
      <c r="AK324" s="81"/>
      <c r="AL324" s="76"/>
      <c r="AM324" s="75"/>
      <c r="AN324" s="76"/>
      <c r="AO324" s="95"/>
      <c r="AP324" s="96"/>
      <c r="AQ324" s="85" t="str">
        <f t="shared" si="6"/>
        <v/>
      </c>
      <c r="AR324" s="86" t="str">
        <f t="array" ref="AR324">IF(A324="","",IFERROR(INDEX('2) Etapas'!L$3:L923,MATCH(B324,'2) Etapas'!$A$4:$A923,0),1),-1))</f>
        <v/>
      </c>
      <c r="AS324" s="87" t="str">
        <f t="shared" si="7"/>
        <v/>
      </c>
      <c r="AT324" s="87" t="str">
        <f t="shared" si="8"/>
        <v/>
      </c>
      <c r="AU324" s="87" t="str">
        <f t="shared" si="9"/>
        <v/>
      </c>
      <c r="AV324" s="89" t="str">
        <f t="array" ref="AV324">IF(OR($A324="",$AB324="", $AC324=""),"",MAXA(IF($A324=$A$4:$A923,$AC$4:$AC923)))</f>
        <v/>
      </c>
    </row>
    <row r="325" ht="22.5" customHeight="1">
      <c r="A325" s="76"/>
      <c r="B325" s="68" t="str">
        <f t="shared" si="1"/>
        <v/>
      </c>
      <c r="C325" s="110"/>
      <c r="D325" s="70" t="str">
        <f t="shared" si="2"/>
        <v/>
      </c>
      <c r="E325" s="76"/>
      <c r="F325" s="68" t="str">
        <f t="array" ref="F325">IF($A325="","",IFERROR(INDEX(MA_INDIVIDUALES!C$2:C923, MATCH($A325,MA_INDIVIDUALES!$B$2:$B923,0),1),"CÓDIGO DE EXPEDIENTE INVÁLIDO"))</f>
        <v/>
      </c>
      <c r="G325" s="68" t="str">
        <f t="array" ref="G325">IF($A325="","",IFERROR(INDEX(MA_INDIVIDUALES!K$2:K923, MATCH($A325,MA_INDIVIDUALES!$B$2:$B923,0),1),"CÓDIGO DE EXPEDIENTE INVÁLIDO"))</f>
        <v/>
      </c>
      <c r="H325" s="68" t="str">
        <f t="array" ref="H325">IF($A325="","",IFERROR(INDEX(MA_INDIVIDUALES!L$2:L923, MATCH($A325,MA_INDIVIDUALES!$B$2:$B923,0),1),"CÓDIGO DE EXPEDIENTE INVÁLIDO"))</f>
        <v/>
      </c>
      <c r="I325" s="76"/>
      <c r="J325" s="76"/>
      <c r="K325" s="75"/>
      <c r="L325" s="74" t="str">
        <f>IF(A325="","",IF(K325="","",_xlfn.WORKDAY.INTL(K325,5,1,FERIADOS)))</f>
        <v/>
      </c>
      <c r="M325" s="76"/>
      <c r="N325" s="75"/>
      <c r="O325" s="76"/>
      <c r="P325" s="77" t="str">
        <f t="shared" si="3"/>
        <v/>
      </c>
      <c r="Q325" s="75"/>
      <c r="R325" s="76"/>
      <c r="S325" s="75"/>
      <c r="T325" s="75"/>
      <c r="U325" s="76"/>
      <c r="V325" s="76"/>
      <c r="W325" s="75"/>
      <c r="X325" s="76"/>
      <c r="Y325" s="29" t="str">
        <f t="shared" si="4"/>
        <v/>
      </c>
      <c r="Z325" s="29" t="str">
        <f t="shared" si="5"/>
        <v/>
      </c>
      <c r="AA325" s="76"/>
      <c r="AB325" s="76"/>
      <c r="AC325" s="75"/>
      <c r="AD325" s="75"/>
      <c r="AE325" s="78" t="str">
        <f>IF(U325="","",IF(AD325="","",_xlfn.WORKDAY.INTL(AD325,7,1,FERIADOS)))</f>
        <v/>
      </c>
      <c r="AF325" s="104"/>
      <c r="AG325" s="80" t="str">
        <f t="array" ref="AG325">IF(A325="","",IF(AF325="","",AF325*INDEX(PARAMETROS!F$2:F1388,MATCH(YEAR(AC325),PARAMETROS!E$2:E1388,0),1)))</f>
        <v/>
      </c>
      <c r="AH325" s="81"/>
      <c r="AI325" s="82"/>
      <c r="AJ325" s="81"/>
      <c r="AK325" s="81"/>
      <c r="AL325" s="76"/>
      <c r="AM325" s="75"/>
      <c r="AN325" s="76"/>
      <c r="AO325" s="95"/>
      <c r="AP325" s="96"/>
      <c r="AQ325" s="85" t="str">
        <f t="shared" si="6"/>
        <v/>
      </c>
      <c r="AR325" s="86" t="str">
        <f t="array" ref="AR325">IF(A325="","",IFERROR(INDEX('2) Etapas'!L$3:L923,MATCH(B325,'2) Etapas'!$A$4:$A923,0),1),-1))</f>
        <v/>
      </c>
      <c r="AS325" s="87" t="str">
        <f t="shared" si="7"/>
        <v/>
      </c>
      <c r="AT325" s="87" t="str">
        <f t="shared" si="8"/>
        <v/>
      </c>
      <c r="AU325" s="87" t="str">
        <f t="shared" si="9"/>
        <v/>
      </c>
      <c r="AV325" s="89" t="str">
        <f t="array" ref="AV325">IF(OR($A325="",$AB325="", $AC325=""),"",MAXA(IF($A325=$A$4:$A923,$AC$4:$AC923)))</f>
        <v/>
      </c>
    </row>
    <row r="326" ht="22.5" customHeight="1">
      <c r="A326" s="76"/>
      <c r="B326" s="68" t="str">
        <f t="shared" si="1"/>
        <v/>
      </c>
      <c r="C326" s="110"/>
      <c r="D326" s="70" t="str">
        <f t="shared" si="2"/>
        <v/>
      </c>
      <c r="E326" s="76"/>
      <c r="F326" s="68" t="str">
        <f t="array" ref="F326">IF($A326="","",IFERROR(INDEX(MA_INDIVIDUALES!C$2:C923, MATCH($A326,MA_INDIVIDUALES!$B$2:$B923,0),1),"CÓDIGO DE EXPEDIENTE INVÁLIDO"))</f>
        <v/>
      </c>
      <c r="G326" s="68" t="str">
        <f t="array" ref="G326">IF($A326="","",IFERROR(INDEX(MA_INDIVIDUALES!K$2:K923, MATCH($A326,MA_INDIVIDUALES!$B$2:$B923,0),1),"CÓDIGO DE EXPEDIENTE INVÁLIDO"))</f>
        <v/>
      </c>
      <c r="H326" s="68" t="str">
        <f t="array" ref="H326">IF($A326="","",IFERROR(INDEX(MA_INDIVIDUALES!L$2:L923, MATCH($A326,MA_INDIVIDUALES!$B$2:$B923,0),1),"CÓDIGO DE EXPEDIENTE INVÁLIDO"))</f>
        <v/>
      </c>
      <c r="I326" s="76"/>
      <c r="J326" s="76"/>
      <c r="K326" s="75"/>
      <c r="L326" s="74" t="str">
        <f>IF(A326="","",IF(K326="","",_xlfn.WORKDAY.INTL(K326,5,1,FERIADOS)))</f>
        <v/>
      </c>
      <c r="M326" s="76"/>
      <c r="N326" s="75"/>
      <c r="O326" s="76"/>
      <c r="P326" s="77" t="str">
        <f t="shared" si="3"/>
        <v/>
      </c>
      <c r="Q326" s="75"/>
      <c r="R326" s="76"/>
      <c r="S326" s="75"/>
      <c r="T326" s="75"/>
      <c r="U326" s="76"/>
      <c r="V326" s="76"/>
      <c r="W326" s="75"/>
      <c r="X326" s="76"/>
      <c r="Y326" s="29" t="str">
        <f t="shared" si="4"/>
        <v/>
      </c>
      <c r="Z326" s="29" t="str">
        <f t="shared" si="5"/>
        <v/>
      </c>
      <c r="AA326" s="76"/>
      <c r="AB326" s="76"/>
      <c r="AC326" s="75"/>
      <c r="AD326" s="75"/>
      <c r="AE326" s="78" t="str">
        <f>IF(U326="","",IF(AD326="","",_xlfn.WORKDAY.INTL(AD326,7,1,FERIADOS)))</f>
        <v/>
      </c>
      <c r="AF326" s="104"/>
      <c r="AG326" s="80" t="str">
        <f t="array" ref="AG326">IF(A326="","",IF(AF326="","",AF326*INDEX(PARAMETROS!F$2:F1389,MATCH(YEAR(AC326),PARAMETROS!E$2:E1389,0),1)))</f>
        <v/>
      </c>
      <c r="AH326" s="81"/>
      <c r="AI326" s="82"/>
      <c r="AJ326" s="81"/>
      <c r="AK326" s="81"/>
      <c r="AL326" s="76"/>
      <c r="AM326" s="75"/>
      <c r="AN326" s="76"/>
      <c r="AO326" s="95"/>
      <c r="AP326" s="96"/>
      <c r="AQ326" s="85" t="str">
        <f t="shared" si="6"/>
        <v/>
      </c>
      <c r="AR326" s="86" t="str">
        <f t="array" ref="AR326">IF(A326="","",IFERROR(INDEX('2) Etapas'!L$3:L923,MATCH(B326,'2) Etapas'!$A$4:$A923,0),1),-1))</f>
        <v/>
      </c>
      <c r="AS326" s="87" t="str">
        <f t="shared" si="7"/>
        <v/>
      </c>
      <c r="AT326" s="87" t="str">
        <f t="shared" si="8"/>
        <v/>
      </c>
      <c r="AU326" s="87" t="str">
        <f t="shared" si="9"/>
        <v/>
      </c>
      <c r="AV326" s="89" t="str">
        <f t="array" ref="AV326">IF(OR($A326="",$AB326="", $AC326=""),"",MAXA(IF($A326=$A$4:$A923,$AC$4:$AC923)))</f>
        <v/>
      </c>
    </row>
    <row r="327" ht="22.5" customHeight="1">
      <c r="A327" s="76"/>
      <c r="B327" s="68" t="str">
        <f t="shared" si="1"/>
        <v/>
      </c>
      <c r="C327" s="110"/>
      <c r="D327" s="70" t="str">
        <f t="shared" si="2"/>
        <v/>
      </c>
      <c r="E327" s="76"/>
      <c r="F327" s="68" t="str">
        <f t="array" ref="F327">IF($A327="","",IFERROR(INDEX(MA_INDIVIDUALES!C$2:C923, MATCH($A327,MA_INDIVIDUALES!$B$2:$B923,0),1),"CÓDIGO DE EXPEDIENTE INVÁLIDO"))</f>
        <v/>
      </c>
      <c r="G327" s="68" t="str">
        <f t="array" ref="G327">IF($A327="","",IFERROR(INDEX(MA_INDIVIDUALES!K$2:K923, MATCH($A327,MA_INDIVIDUALES!$B$2:$B923,0),1),"CÓDIGO DE EXPEDIENTE INVÁLIDO"))</f>
        <v/>
      </c>
      <c r="H327" s="68" t="str">
        <f t="array" ref="H327">IF($A327="","",IFERROR(INDEX(MA_INDIVIDUALES!L$2:L923, MATCH($A327,MA_INDIVIDUALES!$B$2:$B923,0),1),"CÓDIGO DE EXPEDIENTE INVÁLIDO"))</f>
        <v/>
      </c>
      <c r="I327" s="76"/>
      <c r="J327" s="76"/>
      <c r="K327" s="75"/>
      <c r="L327" s="74" t="str">
        <f>IF(A327="","",IF(K327="","",_xlfn.WORKDAY.INTL(K327,5,1,FERIADOS)))</f>
        <v/>
      </c>
      <c r="M327" s="76"/>
      <c r="N327" s="75"/>
      <c r="O327" s="76"/>
      <c r="P327" s="77" t="str">
        <f t="shared" si="3"/>
        <v/>
      </c>
      <c r="Q327" s="75"/>
      <c r="R327" s="76"/>
      <c r="S327" s="75"/>
      <c r="T327" s="75"/>
      <c r="U327" s="76"/>
      <c r="V327" s="76"/>
      <c r="W327" s="75"/>
      <c r="X327" s="76"/>
      <c r="Y327" s="29" t="str">
        <f t="shared" si="4"/>
        <v/>
      </c>
      <c r="Z327" s="29" t="str">
        <f t="shared" si="5"/>
        <v/>
      </c>
      <c r="AA327" s="76"/>
      <c r="AB327" s="76"/>
      <c r="AC327" s="75"/>
      <c r="AD327" s="75"/>
      <c r="AE327" s="78" t="str">
        <f>IF(U327="","",IF(AD327="","",_xlfn.WORKDAY.INTL(AD327,7,1,FERIADOS)))</f>
        <v/>
      </c>
      <c r="AF327" s="104"/>
      <c r="AG327" s="80" t="str">
        <f t="array" ref="AG327">IF(A327="","",IF(AF327="","",AF327*INDEX(PARAMETROS!F$2:F1390,MATCH(YEAR(AC327),PARAMETROS!E$2:E1390,0),1)))</f>
        <v/>
      </c>
      <c r="AH327" s="81"/>
      <c r="AI327" s="82"/>
      <c r="AJ327" s="81"/>
      <c r="AK327" s="81"/>
      <c r="AL327" s="76"/>
      <c r="AM327" s="75"/>
      <c r="AN327" s="76"/>
      <c r="AO327" s="95"/>
      <c r="AP327" s="96"/>
      <c r="AQ327" s="85" t="str">
        <f t="shared" si="6"/>
        <v/>
      </c>
      <c r="AR327" s="86" t="str">
        <f t="array" ref="AR327">IF(A327="","",IFERROR(INDEX('2) Etapas'!L$3:L923,MATCH(B327,'2) Etapas'!$A$4:$A923,0),1),-1))</f>
        <v/>
      </c>
      <c r="AS327" s="87" t="str">
        <f t="shared" si="7"/>
        <v/>
      </c>
      <c r="AT327" s="87" t="str">
        <f t="shared" si="8"/>
        <v/>
      </c>
      <c r="AU327" s="87" t="str">
        <f t="shared" si="9"/>
        <v/>
      </c>
      <c r="AV327" s="89" t="str">
        <f t="array" ref="AV327">IF(OR($A327="",$AB327="", $AC327=""),"",MAXA(IF($A327=$A$4:$A923,$AC$4:$AC923)))</f>
        <v/>
      </c>
    </row>
    <row r="328" ht="22.5" customHeight="1">
      <c r="A328" s="76"/>
      <c r="B328" s="68" t="str">
        <f t="shared" si="1"/>
        <v/>
      </c>
      <c r="C328" s="110"/>
      <c r="D328" s="70" t="str">
        <f t="shared" si="2"/>
        <v/>
      </c>
      <c r="E328" s="76"/>
      <c r="F328" s="68" t="str">
        <f t="array" ref="F328">IF($A328="","",IFERROR(INDEX(MA_INDIVIDUALES!C$2:C923, MATCH($A328,MA_INDIVIDUALES!$B$2:$B923,0),1),"CÓDIGO DE EXPEDIENTE INVÁLIDO"))</f>
        <v/>
      </c>
      <c r="G328" s="68" t="str">
        <f t="array" ref="G328">IF($A328="","",IFERROR(INDEX(MA_INDIVIDUALES!K$2:K923, MATCH($A328,MA_INDIVIDUALES!$B$2:$B923,0),1),"CÓDIGO DE EXPEDIENTE INVÁLIDO"))</f>
        <v/>
      </c>
      <c r="H328" s="68" t="str">
        <f t="array" ref="H328">IF($A328="","",IFERROR(INDEX(MA_INDIVIDUALES!L$2:L923, MATCH($A328,MA_INDIVIDUALES!$B$2:$B923,0),1),"CÓDIGO DE EXPEDIENTE INVÁLIDO"))</f>
        <v/>
      </c>
      <c r="I328" s="76"/>
      <c r="J328" s="76"/>
      <c r="K328" s="75"/>
      <c r="L328" s="74" t="str">
        <f>IF(A328="","",IF(K328="","",_xlfn.WORKDAY.INTL(K328,5,1,FERIADOS)))</f>
        <v/>
      </c>
      <c r="M328" s="76"/>
      <c r="N328" s="75"/>
      <c r="O328" s="76"/>
      <c r="P328" s="77" t="str">
        <f t="shared" si="3"/>
        <v/>
      </c>
      <c r="Q328" s="75"/>
      <c r="R328" s="76"/>
      <c r="S328" s="75"/>
      <c r="T328" s="75"/>
      <c r="U328" s="76"/>
      <c r="V328" s="76"/>
      <c r="W328" s="75"/>
      <c r="X328" s="76"/>
      <c r="Y328" s="29" t="str">
        <f t="shared" si="4"/>
        <v/>
      </c>
      <c r="Z328" s="29" t="str">
        <f t="shared" si="5"/>
        <v/>
      </c>
      <c r="AA328" s="76"/>
      <c r="AB328" s="76"/>
      <c r="AC328" s="75"/>
      <c r="AD328" s="75"/>
      <c r="AE328" s="78" t="str">
        <f>IF(U328="","",IF(AD328="","",_xlfn.WORKDAY.INTL(AD328,7,1,FERIADOS)))</f>
        <v/>
      </c>
      <c r="AF328" s="104"/>
      <c r="AG328" s="80" t="str">
        <f t="array" ref="AG328">IF(A328="","",IF(AF328="","",AF328*INDEX(PARAMETROS!F$2:F1391,MATCH(YEAR(AC328),PARAMETROS!E$2:E1391,0),1)))</f>
        <v/>
      </c>
      <c r="AH328" s="81"/>
      <c r="AI328" s="82"/>
      <c r="AJ328" s="81"/>
      <c r="AK328" s="81"/>
      <c r="AL328" s="76"/>
      <c r="AM328" s="75"/>
      <c r="AN328" s="76"/>
      <c r="AO328" s="95"/>
      <c r="AP328" s="96"/>
      <c r="AQ328" s="85" t="str">
        <f t="shared" si="6"/>
        <v/>
      </c>
      <c r="AR328" s="86" t="str">
        <f t="array" ref="AR328">IF(A328="","",IFERROR(INDEX('2) Etapas'!L$3:L923,MATCH(B328,'2) Etapas'!$A$4:$A923,0),1),-1))</f>
        <v/>
      </c>
      <c r="AS328" s="87" t="str">
        <f t="shared" si="7"/>
        <v/>
      </c>
      <c r="AT328" s="87" t="str">
        <f t="shared" si="8"/>
        <v/>
      </c>
      <c r="AU328" s="87" t="str">
        <f t="shared" si="9"/>
        <v/>
      </c>
      <c r="AV328" s="89" t="str">
        <f t="array" ref="AV328">IF(OR($A328="",$AB328="", $AC328=""),"",MAXA(IF($A328=$A$4:$A923,$AC$4:$AC923)))</f>
        <v/>
      </c>
    </row>
    <row r="329" ht="22.5" customHeight="1">
      <c r="A329" s="76"/>
      <c r="B329" s="68" t="str">
        <f t="shared" si="1"/>
        <v/>
      </c>
      <c r="C329" s="110"/>
      <c r="D329" s="70" t="str">
        <f t="shared" si="2"/>
        <v/>
      </c>
      <c r="E329" s="76"/>
      <c r="F329" s="68" t="str">
        <f t="array" ref="F329">IF($A329="","",IFERROR(INDEX(MA_INDIVIDUALES!C$2:C923, MATCH($A329,MA_INDIVIDUALES!$B$2:$B923,0),1),"CÓDIGO DE EXPEDIENTE INVÁLIDO"))</f>
        <v/>
      </c>
      <c r="G329" s="68" t="str">
        <f t="array" ref="G329">IF($A329="","",IFERROR(INDEX(MA_INDIVIDUALES!K$2:K923, MATCH($A329,MA_INDIVIDUALES!$B$2:$B923,0),1),"CÓDIGO DE EXPEDIENTE INVÁLIDO"))</f>
        <v/>
      </c>
      <c r="H329" s="68" t="str">
        <f t="array" ref="H329">IF($A329="","",IFERROR(INDEX(MA_INDIVIDUALES!L$2:L923, MATCH($A329,MA_INDIVIDUALES!$B$2:$B923,0),1),"CÓDIGO DE EXPEDIENTE INVÁLIDO"))</f>
        <v/>
      </c>
      <c r="I329" s="76"/>
      <c r="J329" s="76"/>
      <c r="K329" s="75"/>
      <c r="L329" s="74" t="str">
        <f>IF(A329="","",IF(K329="","",_xlfn.WORKDAY.INTL(K329,5,1,FERIADOS)))</f>
        <v/>
      </c>
      <c r="M329" s="76"/>
      <c r="N329" s="75"/>
      <c r="O329" s="76"/>
      <c r="P329" s="77" t="str">
        <f t="shared" si="3"/>
        <v/>
      </c>
      <c r="Q329" s="75"/>
      <c r="R329" s="76"/>
      <c r="S329" s="75"/>
      <c r="T329" s="75"/>
      <c r="U329" s="76"/>
      <c r="V329" s="76"/>
      <c r="W329" s="75"/>
      <c r="X329" s="76"/>
      <c r="Y329" s="29" t="str">
        <f t="shared" si="4"/>
        <v/>
      </c>
      <c r="Z329" s="29" t="str">
        <f t="shared" si="5"/>
        <v/>
      </c>
      <c r="AA329" s="76"/>
      <c r="AB329" s="76"/>
      <c r="AC329" s="75"/>
      <c r="AD329" s="75"/>
      <c r="AE329" s="78" t="str">
        <f>IF(U329="","",IF(AD329="","",_xlfn.WORKDAY.INTL(AD329,7,1,FERIADOS)))</f>
        <v/>
      </c>
      <c r="AF329" s="104"/>
      <c r="AG329" s="80" t="str">
        <f t="array" ref="AG329">IF(A329="","",IF(AF329="","",AF329*INDEX(PARAMETROS!F$2:F1392,MATCH(YEAR(AC329),PARAMETROS!E$2:E1392,0),1)))</f>
        <v/>
      </c>
      <c r="AH329" s="81"/>
      <c r="AI329" s="82"/>
      <c r="AJ329" s="81"/>
      <c r="AK329" s="81"/>
      <c r="AL329" s="76"/>
      <c r="AM329" s="75"/>
      <c r="AN329" s="76"/>
      <c r="AO329" s="95"/>
      <c r="AP329" s="96"/>
      <c r="AQ329" s="85" t="str">
        <f t="shared" si="6"/>
        <v/>
      </c>
      <c r="AR329" s="86" t="str">
        <f t="array" ref="AR329">IF(A329="","",IFERROR(INDEX('2) Etapas'!L$3:L923,MATCH(B329,'2) Etapas'!$A$4:$A923,0),1),-1))</f>
        <v/>
      </c>
      <c r="AS329" s="87" t="str">
        <f t="shared" si="7"/>
        <v/>
      </c>
      <c r="AT329" s="87" t="str">
        <f t="shared" si="8"/>
        <v/>
      </c>
      <c r="AU329" s="87" t="str">
        <f t="shared" si="9"/>
        <v/>
      </c>
      <c r="AV329" s="89" t="str">
        <f t="array" ref="AV329">IF(OR($A329="",$AB329="", $AC329=""),"",MAXA(IF($A329=$A$4:$A923,$AC$4:$AC923)))</f>
        <v/>
      </c>
    </row>
    <row r="330" ht="22.5" customHeight="1">
      <c r="A330" s="76"/>
      <c r="B330" s="68" t="str">
        <f t="shared" si="1"/>
        <v/>
      </c>
      <c r="C330" s="110"/>
      <c r="D330" s="70" t="str">
        <f t="shared" si="2"/>
        <v/>
      </c>
      <c r="E330" s="76"/>
      <c r="F330" s="68" t="str">
        <f t="array" ref="F330">IF($A330="","",IFERROR(INDEX(MA_INDIVIDUALES!C$2:C923, MATCH($A330,MA_INDIVIDUALES!$B$2:$B923,0),1),"CÓDIGO DE EXPEDIENTE INVÁLIDO"))</f>
        <v/>
      </c>
      <c r="G330" s="68" t="str">
        <f t="array" ref="G330">IF($A330="","",IFERROR(INDEX(MA_INDIVIDUALES!K$2:K923, MATCH($A330,MA_INDIVIDUALES!$B$2:$B923,0),1),"CÓDIGO DE EXPEDIENTE INVÁLIDO"))</f>
        <v/>
      </c>
      <c r="H330" s="68" t="str">
        <f t="array" ref="H330">IF($A330="","",IFERROR(INDEX(MA_INDIVIDUALES!L$2:L923, MATCH($A330,MA_INDIVIDUALES!$B$2:$B923,0),1),"CÓDIGO DE EXPEDIENTE INVÁLIDO"))</f>
        <v/>
      </c>
      <c r="I330" s="76"/>
      <c r="J330" s="76"/>
      <c r="K330" s="75"/>
      <c r="L330" s="74" t="str">
        <f>IF(A330="","",IF(K330="","",_xlfn.WORKDAY.INTL(K330,5,1,FERIADOS)))</f>
        <v/>
      </c>
      <c r="M330" s="76"/>
      <c r="N330" s="75"/>
      <c r="O330" s="76"/>
      <c r="P330" s="77" t="str">
        <f t="shared" si="3"/>
        <v/>
      </c>
      <c r="Q330" s="75"/>
      <c r="R330" s="76"/>
      <c r="S330" s="75"/>
      <c r="T330" s="75"/>
      <c r="U330" s="76"/>
      <c r="V330" s="76"/>
      <c r="W330" s="75"/>
      <c r="X330" s="76"/>
      <c r="Y330" s="29" t="str">
        <f t="shared" si="4"/>
        <v/>
      </c>
      <c r="Z330" s="29" t="str">
        <f t="shared" si="5"/>
        <v/>
      </c>
      <c r="AA330" s="76"/>
      <c r="AB330" s="76"/>
      <c r="AC330" s="75"/>
      <c r="AD330" s="75"/>
      <c r="AE330" s="78" t="str">
        <f>IF(U330="","",IF(AD330="","",_xlfn.WORKDAY.INTL(AD330,7,1,FERIADOS)))</f>
        <v/>
      </c>
      <c r="AF330" s="104"/>
      <c r="AG330" s="80" t="str">
        <f t="array" ref="AG330">IF(A330="","",IF(AF330="","",AF330*INDEX(PARAMETROS!F$2:F1393,MATCH(YEAR(AC330),PARAMETROS!E$2:E1393,0),1)))</f>
        <v/>
      </c>
      <c r="AH330" s="81"/>
      <c r="AI330" s="82"/>
      <c r="AJ330" s="81"/>
      <c r="AK330" s="81"/>
      <c r="AL330" s="76"/>
      <c r="AM330" s="75"/>
      <c r="AN330" s="76"/>
      <c r="AO330" s="95"/>
      <c r="AP330" s="96"/>
      <c r="AQ330" s="85" t="str">
        <f t="shared" si="6"/>
        <v/>
      </c>
      <c r="AR330" s="86" t="str">
        <f t="array" ref="AR330">IF(A330="","",IFERROR(INDEX('2) Etapas'!L$3:L923,MATCH(B330,'2) Etapas'!$A$4:$A923,0),1),-1))</f>
        <v/>
      </c>
      <c r="AS330" s="87" t="str">
        <f t="shared" si="7"/>
        <v/>
      </c>
      <c r="AT330" s="87" t="str">
        <f t="shared" si="8"/>
        <v/>
      </c>
      <c r="AU330" s="87" t="str">
        <f t="shared" si="9"/>
        <v/>
      </c>
      <c r="AV330" s="89" t="str">
        <f t="array" ref="AV330">IF(OR($A330="",$AB330="", $AC330=""),"",MAXA(IF($A330=$A$4:$A923,$AC$4:$AC923)))</f>
        <v/>
      </c>
    </row>
    <row r="331" ht="22.5" customHeight="1">
      <c r="A331" s="76"/>
      <c r="B331" s="68" t="str">
        <f t="shared" si="1"/>
        <v/>
      </c>
      <c r="C331" s="110"/>
      <c r="D331" s="70" t="str">
        <f t="shared" si="2"/>
        <v/>
      </c>
      <c r="E331" s="76"/>
      <c r="F331" s="68" t="str">
        <f t="array" ref="F331">IF($A331="","",IFERROR(INDEX(MA_INDIVIDUALES!C$2:C923, MATCH($A331,MA_INDIVIDUALES!$B$2:$B923,0),1),"CÓDIGO DE EXPEDIENTE INVÁLIDO"))</f>
        <v/>
      </c>
      <c r="G331" s="68" t="str">
        <f t="array" ref="G331">IF($A331="","",IFERROR(INDEX(MA_INDIVIDUALES!K$2:K923, MATCH($A331,MA_INDIVIDUALES!$B$2:$B923,0),1),"CÓDIGO DE EXPEDIENTE INVÁLIDO"))</f>
        <v/>
      </c>
      <c r="H331" s="68" t="str">
        <f t="array" ref="H331">IF($A331="","",IFERROR(INDEX(MA_INDIVIDUALES!L$2:L923, MATCH($A331,MA_INDIVIDUALES!$B$2:$B923,0),1),"CÓDIGO DE EXPEDIENTE INVÁLIDO"))</f>
        <v/>
      </c>
      <c r="I331" s="76"/>
      <c r="J331" s="76"/>
      <c r="K331" s="75"/>
      <c r="L331" s="74" t="str">
        <f>IF(A331="","",IF(K331="","",_xlfn.WORKDAY.INTL(K331,5,1,FERIADOS)))</f>
        <v/>
      </c>
      <c r="M331" s="76"/>
      <c r="N331" s="75"/>
      <c r="O331" s="76"/>
      <c r="P331" s="77" t="str">
        <f t="shared" si="3"/>
        <v/>
      </c>
      <c r="Q331" s="75"/>
      <c r="R331" s="76"/>
      <c r="S331" s="75"/>
      <c r="T331" s="75"/>
      <c r="U331" s="76"/>
      <c r="V331" s="76"/>
      <c r="W331" s="75"/>
      <c r="X331" s="76"/>
      <c r="Y331" s="29" t="str">
        <f t="shared" si="4"/>
        <v/>
      </c>
      <c r="Z331" s="29" t="str">
        <f t="shared" si="5"/>
        <v/>
      </c>
      <c r="AA331" s="76"/>
      <c r="AB331" s="76"/>
      <c r="AC331" s="75"/>
      <c r="AD331" s="75"/>
      <c r="AE331" s="78" t="str">
        <f>IF(U331="","",IF(AD331="","",_xlfn.WORKDAY.INTL(AD331,7,1,FERIADOS)))</f>
        <v/>
      </c>
      <c r="AF331" s="104"/>
      <c r="AG331" s="80" t="str">
        <f t="array" ref="AG331">IF(A331="","",IF(AF331="","",AF331*INDEX(PARAMETROS!F$2:F1394,MATCH(YEAR(AC331),PARAMETROS!E$2:E1394,0),1)))</f>
        <v/>
      </c>
      <c r="AH331" s="81"/>
      <c r="AI331" s="82"/>
      <c r="AJ331" s="81"/>
      <c r="AK331" s="81"/>
      <c r="AL331" s="76"/>
      <c r="AM331" s="75"/>
      <c r="AN331" s="76"/>
      <c r="AO331" s="95"/>
      <c r="AP331" s="96"/>
      <c r="AQ331" s="85" t="str">
        <f t="shared" si="6"/>
        <v/>
      </c>
      <c r="AR331" s="86" t="str">
        <f t="array" ref="AR331">IF(A331="","",IFERROR(INDEX('2) Etapas'!L$3:L923,MATCH(B331,'2) Etapas'!$A$4:$A923,0),1),-1))</f>
        <v/>
      </c>
      <c r="AS331" s="87" t="str">
        <f t="shared" si="7"/>
        <v/>
      </c>
      <c r="AT331" s="87" t="str">
        <f t="shared" si="8"/>
        <v/>
      </c>
      <c r="AU331" s="87" t="str">
        <f t="shared" si="9"/>
        <v/>
      </c>
      <c r="AV331" s="89" t="str">
        <f t="array" ref="AV331">IF(OR($A331="",$AB331="", $AC331=""),"",MAXA(IF($A331=$A$4:$A923,$AC$4:$AC923)))</f>
        <v/>
      </c>
    </row>
    <row r="332" ht="22.5" customHeight="1">
      <c r="A332" s="76"/>
      <c r="B332" s="68" t="str">
        <f t="shared" si="1"/>
        <v/>
      </c>
      <c r="C332" s="110"/>
      <c r="D332" s="70" t="str">
        <f t="shared" si="2"/>
        <v/>
      </c>
      <c r="E332" s="76"/>
      <c r="F332" s="68" t="str">
        <f t="array" ref="F332">IF($A332="","",IFERROR(INDEX(MA_INDIVIDUALES!C$2:C923, MATCH($A332,MA_INDIVIDUALES!$B$2:$B923,0),1),"CÓDIGO DE EXPEDIENTE INVÁLIDO"))</f>
        <v/>
      </c>
      <c r="G332" s="68" t="str">
        <f t="array" ref="G332">IF($A332="","",IFERROR(INDEX(MA_INDIVIDUALES!K$2:K923, MATCH($A332,MA_INDIVIDUALES!$B$2:$B923,0),1),"CÓDIGO DE EXPEDIENTE INVÁLIDO"))</f>
        <v/>
      </c>
      <c r="H332" s="68" t="str">
        <f t="array" ref="H332">IF($A332="","",IFERROR(INDEX(MA_INDIVIDUALES!L$2:L923, MATCH($A332,MA_INDIVIDUALES!$B$2:$B923,0),1),"CÓDIGO DE EXPEDIENTE INVÁLIDO"))</f>
        <v/>
      </c>
      <c r="I332" s="76"/>
      <c r="J332" s="76"/>
      <c r="K332" s="75"/>
      <c r="L332" s="74" t="str">
        <f>IF(A332="","",IF(K332="","",_xlfn.WORKDAY.INTL(K332,5,1,FERIADOS)))</f>
        <v/>
      </c>
      <c r="M332" s="76"/>
      <c r="N332" s="75"/>
      <c r="O332" s="76"/>
      <c r="P332" s="77" t="str">
        <f t="shared" si="3"/>
        <v/>
      </c>
      <c r="Q332" s="75"/>
      <c r="R332" s="76"/>
      <c r="S332" s="75"/>
      <c r="T332" s="75"/>
      <c r="U332" s="76"/>
      <c r="V332" s="76"/>
      <c r="W332" s="75"/>
      <c r="X332" s="76"/>
      <c r="Y332" s="29" t="str">
        <f t="shared" si="4"/>
        <v/>
      </c>
      <c r="Z332" s="29" t="str">
        <f t="shared" si="5"/>
        <v/>
      </c>
      <c r="AA332" s="76"/>
      <c r="AB332" s="76"/>
      <c r="AC332" s="75"/>
      <c r="AD332" s="75"/>
      <c r="AE332" s="78" t="str">
        <f>IF(U332="","",IF(AD332="","",_xlfn.WORKDAY.INTL(AD332,7,1,FERIADOS)))</f>
        <v/>
      </c>
      <c r="AF332" s="104"/>
      <c r="AG332" s="80" t="str">
        <f t="array" ref="AG332">IF(A332="","",IF(AF332="","",AF332*INDEX(PARAMETROS!F$2:F1395,MATCH(YEAR(AC332),PARAMETROS!E$2:E1395,0),1)))</f>
        <v/>
      </c>
      <c r="AH332" s="81"/>
      <c r="AI332" s="82"/>
      <c r="AJ332" s="81"/>
      <c r="AK332" s="81"/>
      <c r="AL332" s="76"/>
      <c r="AM332" s="75"/>
      <c r="AN332" s="76"/>
      <c r="AO332" s="95"/>
      <c r="AP332" s="96"/>
      <c r="AQ332" s="85" t="str">
        <f t="shared" si="6"/>
        <v/>
      </c>
      <c r="AR332" s="86" t="str">
        <f t="array" ref="AR332">IF(A332="","",IFERROR(INDEX('2) Etapas'!L$3:L923,MATCH(B332,'2) Etapas'!$A$4:$A923,0),1),-1))</f>
        <v/>
      </c>
      <c r="AS332" s="87" t="str">
        <f t="shared" si="7"/>
        <v/>
      </c>
      <c r="AT332" s="87" t="str">
        <f t="shared" si="8"/>
        <v/>
      </c>
      <c r="AU332" s="87" t="str">
        <f t="shared" si="9"/>
        <v/>
      </c>
      <c r="AV332" s="89" t="str">
        <f t="array" ref="AV332">IF(OR($A332="",$AB332="", $AC332=""),"",MAXA(IF($A332=$A$4:$A923,$AC$4:$AC923)))</f>
        <v/>
      </c>
    </row>
    <row r="333" ht="22.5" customHeight="1">
      <c r="A333" s="76"/>
      <c r="B333" s="68" t="str">
        <f t="shared" si="1"/>
        <v/>
      </c>
      <c r="C333" s="110"/>
      <c r="D333" s="70" t="str">
        <f t="shared" si="2"/>
        <v/>
      </c>
      <c r="E333" s="76"/>
      <c r="F333" s="68" t="str">
        <f t="array" ref="F333">IF($A333="","",IFERROR(INDEX(MA_INDIVIDUALES!C$2:C923, MATCH($A333,MA_INDIVIDUALES!$B$2:$B923,0),1),"CÓDIGO DE EXPEDIENTE INVÁLIDO"))</f>
        <v/>
      </c>
      <c r="G333" s="68" t="str">
        <f t="array" ref="G333">IF($A333="","",IFERROR(INDEX(MA_INDIVIDUALES!K$2:K923, MATCH($A333,MA_INDIVIDUALES!$B$2:$B923,0),1),"CÓDIGO DE EXPEDIENTE INVÁLIDO"))</f>
        <v/>
      </c>
      <c r="H333" s="68" t="str">
        <f t="array" ref="H333">IF($A333="","",IFERROR(INDEX(MA_INDIVIDUALES!L$2:L923, MATCH($A333,MA_INDIVIDUALES!$B$2:$B923,0),1),"CÓDIGO DE EXPEDIENTE INVÁLIDO"))</f>
        <v/>
      </c>
      <c r="I333" s="76"/>
      <c r="J333" s="76"/>
      <c r="K333" s="75"/>
      <c r="L333" s="74" t="str">
        <f>IF(A333="","",IF(K333="","",_xlfn.WORKDAY.INTL(K333,5,1,FERIADOS)))</f>
        <v/>
      </c>
      <c r="M333" s="76"/>
      <c r="N333" s="75"/>
      <c r="O333" s="76"/>
      <c r="P333" s="77" t="str">
        <f t="shared" si="3"/>
        <v/>
      </c>
      <c r="Q333" s="75"/>
      <c r="R333" s="76"/>
      <c r="S333" s="75"/>
      <c r="T333" s="75"/>
      <c r="U333" s="76"/>
      <c r="V333" s="76"/>
      <c r="W333" s="75"/>
      <c r="X333" s="76"/>
      <c r="Y333" s="29" t="str">
        <f t="shared" si="4"/>
        <v/>
      </c>
      <c r="Z333" s="29" t="str">
        <f t="shared" si="5"/>
        <v/>
      </c>
      <c r="AA333" s="76"/>
      <c r="AB333" s="76"/>
      <c r="AC333" s="75"/>
      <c r="AD333" s="75"/>
      <c r="AE333" s="78" t="str">
        <f>IF(U333="","",IF(AD333="","",_xlfn.WORKDAY.INTL(AD333,7,1,FERIADOS)))</f>
        <v/>
      </c>
      <c r="AF333" s="104"/>
      <c r="AG333" s="80" t="str">
        <f t="array" ref="AG333">IF(A333="","",IF(AF333="","",AF333*INDEX(PARAMETROS!F$2:F1396,MATCH(YEAR(AC333),PARAMETROS!E$2:E1396,0),1)))</f>
        <v/>
      </c>
      <c r="AH333" s="81"/>
      <c r="AI333" s="82"/>
      <c r="AJ333" s="81"/>
      <c r="AK333" s="81"/>
      <c r="AL333" s="76"/>
      <c r="AM333" s="75"/>
      <c r="AN333" s="76"/>
      <c r="AO333" s="95"/>
      <c r="AP333" s="96"/>
      <c r="AQ333" s="85" t="str">
        <f t="shared" si="6"/>
        <v/>
      </c>
      <c r="AR333" s="86" t="str">
        <f t="array" ref="AR333">IF(A333="","",IFERROR(INDEX('2) Etapas'!L$3:L923,MATCH(B333,'2) Etapas'!$A$4:$A923,0),1),-1))</f>
        <v/>
      </c>
      <c r="AS333" s="87" t="str">
        <f t="shared" si="7"/>
        <v/>
      </c>
      <c r="AT333" s="87" t="str">
        <f t="shared" si="8"/>
        <v/>
      </c>
      <c r="AU333" s="87" t="str">
        <f t="shared" si="9"/>
        <v/>
      </c>
      <c r="AV333" s="89" t="str">
        <f t="array" ref="AV333">IF(OR($A333="",$AB333="", $AC333=""),"",MAXA(IF($A333=$A$4:$A923,$AC$4:$AC923)))</f>
        <v/>
      </c>
    </row>
    <row r="334" ht="22.5" customHeight="1">
      <c r="A334" s="76"/>
      <c r="B334" s="68" t="str">
        <f t="shared" si="1"/>
        <v/>
      </c>
      <c r="C334" s="110"/>
      <c r="D334" s="70" t="str">
        <f t="shared" si="2"/>
        <v/>
      </c>
      <c r="E334" s="76"/>
      <c r="F334" s="68" t="str">
        <f t="array" ref="F334">IF($A334="","",IFERROR(INDEX(MA_INDIVIDUALES!C$2:C923, MATCH($A334,MA_INDIVIDUALES!$B$2:$B923,0),1),"CÓDIGO DE EXPEDIENTE INVÁLIDO"))</f>
        <v/>
      </c>
      <c r="G334" s="68" t="str">
        <f t="array" ref="G334">IF($A334="","",IFERROR(INDEX(MA_INDIVIDUALES!K$2:K923, MATCH($A334,MA_INDIVIDUALES!$B$2:$B923,0),1),"CÓDIGO DE EXPEDIENTE INVÁLIDO"))</f>
        <v/>
      </c>
      <c r="H334" s="68" t="str">
        <f t="array" ref="H334">IF($A334="","",IFERROR(INDEX(MA_INDIVIDUALES!L$2:L923, MATCH($A334,MA_INDIVIDUALES!$B$2:$B923,0),1),"CÓDIGO DE EXPEDIENTE INVÁLIDO"))</f>
        <v/>
      </c>
      <c r="I334" s="76"/>
      <c r="J334" s="76"/>
      <c r="K334" s="75"/>
      <c r="L334" s="74" t="str">
        <f>IF(A334="","",IF(K334="","",_xlfn.WORKDAY.INTL(K334,5,1,FERIADOS)))</f>
        <v/>
      </c>
      <c r="M334" s="76"/>
      <c r="N334" s="75"/>
      <c r="O334" s="76"/>
      <c r="P334" s="77" t="str">
        <f t="shared" si="3"/>
        <v/>
      </c>
      <c r="Q334" s="75"/>
      <c r="R334" s="76"/>
      <c r="S334" s="75"/>
      <c r="T334" s="75"/>
      <c r="U334" s="76"/>
      <c r="V334" s="76"/>
      <c r="W334" s="75"/>
      <c r="X334" s="76"/>
      <c r="Y334" s="29" t="str">
        <f t="shared" si="4"/>
        <v/>
      </c>
      <c r="Z334" s="29" t="str">
        <f t="shared" si="5"/>
        <v/>
      </c>
      <c r="AA334" s="76"/>
      <c r="AB334" s="76"/>
      <c r="AC334" s="75"/>
      <c r="AD334" s="75"/>
      <c r="AE334" s="78" t="str">
        <f>IF(U334="","",IF(AD334="","",_xlfn.WORKDAY.INTL(AD334,7,1,FERIADOS)))</f>
        <v/>
      </c>
      <c r="AF334" s="104"/>
      <c r="AG334" s="80" t="str">
        <f t="array" ref="AG334">IF(A334="","",IF(AF334="","",AF334*INDEX(PARAMETROS!F$2:F1397,MATCH(YEAR(AC334),PARAMETROS!E$2:E1397,0),1)))</f>
        <v/>
      </c>
      <c r="AH334" s="81"/>
      <c r="AI334" s="82"/>
      <c r="AJ334" s="81"/>
      <c r="AK334" s="81"/>
      <c r="AL334" s="76"/>
      <c r="AM334" s="75"/>
      <c r="AN334" s="76"/>
      <c r="AO334" s="95"/>
      <c r="AP334" s="96"/>
      <c r="AQ334" s="85" t="str">
        <f t="shared" si="6"/>
        <v/>
      </c>
      <c r="AR334" s="86" t="str">
        <f t="array" ref="AR334">IF(A334="","",IFERROR(INDEX('2) Etapas'!L$3:L923,MATCH(B334,'2) Etapas'!$A$4:$A923,0),1),-1))</f>
        <v/>
      </c>
      <c r="AS334" s="87" t="str">
        <f t="shared" si="7"/>
        <v/>
      </c>
      <c r="AT334" s="87" t="str">
        <f t="shared" si="8"/>
        <v/>
      </c>
      <c r="AU334" s="87" t="str">
        <f t="shared" si="9"/>
        <v/>
      </c>
      <c r="AV334" s="89" t="str">
        <f t="array" ref="AV334">IF(OR($A334="",$AB334="", $AC334=""),"",MAXA(IF($A334=$A$4:$A923,$AC$4:$AC923)))</f>
        <v/>
      </c>
    </row>
    <row r="335" ht="22.5" customHeight="1">
      <c r="A335" s="76"/>
      <c r="B335" s="68" t="str">
        <f t="shared" si="1"/>
        <v/>
      </c>
      <c r="C335" s="110"/>
      <c r="D335" s="70" t="str">
        <f t="shared" si="2"/>
        <v/>
      </c>
      <c r="E335" s="76"/>
      <c r="F335" s="68" t="str">
        <f t="array" ref="F335">IF($A335="","",IFERROR(INDEX(MA_INDIVIDUALES!C$2:C923, MATCH($A335,MA_INDIVIDUALES!$B$2:$B923,0),1),"CÓDIGO DE EXPEDIENTE INVÁLIDO"))</f>
        <v/>
      </c>
      <c r="G335" s="68" t="str">
        <f t="array" ref="G335">IF($A335="","",IFERROR(INDEX(MA_INDIVIDUALES!K$2:K923, MATCH($A335,MA_INDIVIDUALES!$B$2:$B923,0),1),"CÓDIGO DE EXPEDIENTE INVÁLIDO"))</f>
        <v/>
      </c>
      <c r="H335" s="68" t="str">
        <f t="array" ref="H335">IF($A335="","",IFERROR(INDEX(MA_INDIVIDUALES!L$2:L923, MATCH($A335,MA_INDIVIDUALES!$B$2:$B923,0),1),"CÓDIGO DE EXPEDIENTE INVÁLIDO"))</f>
        <v/>
      </c>
      <c r="I335" s="76"/>
      <c r="J335" s="76"/>
      <c r="K335" s="75"/>
      <c r="L335" s="74" t="str">
        <f>IF(A335="","",IF(K335="","",_xlfn.WORKDAY.INTL(K335,5,1,FERIADOS)))</f>
        <v/>
      </c>
      <c r="M335" s="76"/>
      <c r="N335" s="75"/>
      <c r="O335" s="76"/>
      <c r="P335" s="77" t="str">
        <f t="shared" si="3"/>
        <v/>
      </c>
      <c r="Q335" s="75"/>
      <c r="R335" s="76"/>
      <c r="S335" s="75"/>
      <c r="T335" s="75"/>
      <c r="U335" s="76"/>
      <c r="V335" s="76"/>
      <c r="W335" s="75"/>
      <c r="X335" s="76"/>
      <c r="Y335" s="29" t="str">
        <f t="shared" si="4"/>
        <v/>
      </c>
      <c r="Z335" s="29" t="str">
        <f t="shared" si="5"/>
        <v/>
      </c>
      <c r="AA335" s="76"/>
      <c r="AB335" s="76"/>
      <c r="AC335" s="75"/>
      <c r="AD335" s="75"/>
      <c r="AE335" s="78" t="str">
        <f>IF(U335="","",IF(AD335="","",_xlfn.WORKDAY.INTL(AD335,7,1,FERIADOS)))</f>
        <v/>
      </c>
      <c r="AF335" s="104"/>
      <c r="AG335" s="80" t="str">
        <f t="array" ref="AG335">IF(A335="","",IF(AF335="","",AF335*INDEX(PARAMETROS!F$2:F1398,MATCH(YEAR(AC335),PARAMETROS!E$2:E1398,0),1)))</f>
        <v/>
      </c>
      <c r="AH335" s="81"/>
      <c r="AI335" s="82"/>
      <c r="AJ335" s="81"/>
      <c r="AK335" s="81"/>
      <c r="AL335" s="76"/>
      <c r="AM335" s="75"/>
      <c r="AN335" s="76"/>
      <c r="AO335" s="95"/>
      <c r="AP335" s="96"/>
      <c r="AQ335" s="85" t="str">
        <f t="shared" si="6"/>
        <v/>
      </c>
      <c r="AR335" s="86" t="str">
        <f t="array" ref="AR335">IF(A335="","",IFERROR(INDEX('2) Etapas'!L$3:L923,MATCH(B335,'2) Etapas'!$A$4:$A923,0),1),-1))</f>
        <v/>
      </c>
      <c r="AS335" s="87" t="str">
        <f t="shared" si="7"/>
        <v/>
      </c>
      <c r="AT335" s="87" t="str">
        <f t="shared" si="8"/>
        <v/>
      </c>
      <c r="AU335" s="87" t="str">
        <f t="shared" si="9"/>
        <v/>
      </c>
      <c r="AV335" s="89" t="str">
        <f t="array" ref="AV335">IF(OR($A335="",$AB335="", $AC335=""),"",MAXA(IF($A335=$A$4:$A923,$AC$4:$AC923)))</f>
        <v/>
      </c>
    </row>
    <row r="336" ht="22.5" customHeight="1">
      <c r="A336" s="76"/>
      <c r="B336" s="68" t="str">
        <f t="shared" si="1"/>
        <v/>
      </c>
      <c r="C336" s="110"/>
      <c r="D336" s="70" t="str">
        <f t="shared" si="2"/>
        <v/>
      </c>
      <c r="E336" s="76"/>
      <c r="F336" s="68" t="str">
        <f t="array" ref="F336">IF($A336="","",IFERROR(INDEX(MA_INDIVIDUALES!C$2:C923, MATCH($A336,MA_INDIVIDUALES!$B$2:$B923,0),1),"CÓDIGO DE EXPEDIENTE INVÁLIDO"))</f>
        <v/>
      </c>
      <c r="G336" s="68" t="str">
        <f t="array" ref="G336">IF($A336="","",IFERROR(INDEX(MA_INDIVIDUALES!K$2:K923, MATCH($A336,MA_INDIVIDUALES!$B$2:$B923,0),1),"CÓDIGO DE EXPEDIENTE INVÁLIDO"))</f>
        <v/>
      </c>
      <c r="H336" s="68" t="str">
        <f t="array" ref="H336">IF($A336="","",IFERROR(INDEX(MA_INDIVIDUALES!L$2:L923, MATCH($A336,MA_INDIVIDUALES!$B$2:$B923,0),1),"CÓDIGO DE EXPEDIENTE INVÁLIDO"))</f>
        <v/>
      </c>
      <c r="I336" s="76"/>
      <c r="J336" s="76"/>
      <c r="K336" s="75"/>
      <c r="L336" s="74" t="str">
        <f>IF(A336="","",IF(K336="","",_xlfn.WORKDAY.INTL(K336,5,1,FERIADOS)))</f>
        <v/>
      </c>
      <c r="M336" s="76"/>
      <c r="N336" s="75"/>
      <c r="O336" s="76"/>
      <c r="P336" s="77" t="str">
        <f t="shared" si="3"/>
        <v/>
      </c>
      <c r="Q336" s="75"/>
      <c r="R336" s="76"/>
      <c r="S336" s="75"/>
      <c r="T336" s="75"/>
      <c r="U336" s="76"/>
      <c r="V336" s="76"/>
      <c r="W336" s="75"/>
      <c r="X336" s="76"/>
      <c r="Y336" s="29" t="str">
        <f t="shared" si="4"/>
        <v/>
      </c>
      <c r="Z336" s="29" t="str">
        <f t="shared" si="5"/>
        <v/>
      </c>
      <c r="AA336" s="76"/>
      <c r="AB336" s="76"/>
      <c r="AC336" s="75"/>
      <c r="AD336" s="75"/>
      <c r="AE336" s="78" t="str">
        <f>IF(U336="","",IF(AD336="","",_xlfn.WORKDAY.INTL(AD336,7,1,FERIADOS)))</f>
        <v/>
      </c>
      <c r="AF336" s="104"/>
      <c r="AG336" s="80" t="str">
        <f t="array" ref="AG336">IF(A336="","",IF(AF336="","",AF336*INDEX(PARAMETROS!F$2:F1399,MATCH(YEAR(AC336),PARAMETROS!E$2:E1399,0),1)))</f>
        <v/>
      </c>
      <c r="AH336" s="81"/>
      <c r="AI336" s="82"/>
      <c r="AJ336" s="81"/>
      <c r="AK336" s="81"/>
      <c r="AL336" s="76"/>
      <c r="AM336" s="75"/>
      <c r="AN336" s="76"/>
      <c r="AO336" s="95"/>
      <c r="AP336" s="96"/>
      <c r="AQ336" s="85" t="str">
        <f t="shared" si="6"/>
        <v/>
      </c>
      <c r="AR336" s="86" t="str">
        <f t="array" ref="AR336">IF(A336="","",IFERROR(INDEX('2) Etapas'!L$3:L923,MATCH(B336,'2) Etapas'!$A$4:$A923,0),1),-1))</f>
        <v/>
      </c>
      <c r="AS336" s="87" t="str">
        <f t="shared" si="7"/>
        <v/>
      </c>
      <c r="AT336" s="87" t="str">
        <f t="shared" si="8"/>
        <v/>
      </c>
      <c r="AU336" s="87" t="str">
        <f t="shared" si="9"/>
        <v/>
      </c>
      <c r="AV336" s="89" t="str">
        <f t="array" ref="AV336">IF(OR($A336="",$AB336="", $AC336=""),"",MAXA(IF($A336=$A$4:$A923,$AC$4:$AC923)))</f>
        <v/>
      </c>
    </row>
    <row r="337" ht="22.5" customHeight="1">
      <c r="A337" s="76"/>
      <c r="B337" s="68" t="str">
        <f t="shared" si="1"/>
        <v/>
      </c>
      <c r="C337" s="110"/>
      <c r="D337" s="70" t="str">
        <f t="shared" si="2"/>
        <v/>
      </c>
      <c r="E337" s="76"/>
      <c r="F337" s="68" t="str">
        <f t="array" ref="F337">IF($A337="","",IFERROR(INDEX(MA_INDIVIDUALES!C$2:C923, MATCH($A337,MA_INDIVIDUALES!$B$2:$B923,0),1),"CÓDIGO DE EXPEDIENTE INVÁLIDO"))</f>
        <v/>
      </c>
      <c r="G337" s="68" t="str">
        <f t="array" ref="G337">IF($A337="","",IFERROR(INDEX(MA_INDIVIDUALES!K$2:K923, MATCH($A337,MA_INDIVIDUALES!$B$2:$B923,0),1),"CÓDIGO DE EXPEDIENTE INVÁLIDO"))</f>
        <v/>
      </c>
      <c r="H337" s="68" t="str">
        <f t="array" ref="H337">IF($A337="","",IFERROR(INDEX(MA_INDIVIDUALES!L$2:L923, MATCH($A337,MA_INDIVIDUALES!$B$2:$B923,0),1),"CÓDIGO DE EXPEDIENTE INVÁLIDO"))</f>
        <v/>
      </c>
      <c r="I337" s="76"/>
      <c r="J337" s="76"/>
      <c r="K337" s="75"/>
      <c r="L337" s="74" t="str">
        <f>IF(A337="","",IF(K337="","",_xlfn.WORKDAY.INTL(K337,5,1,FERIADOS)))</f>
        <v/>
      </c>
      <c r="M337" s="76"/>
      <c r="N337" s="75"/>
      <c r="O337" s="76"/>
      <c r="P337" s="77" t="str">
        <f t="shared" si="3"/>
        <v/>
      </c>
      <c r="Q337" s="75"/>
      <c r="R337" s="76"/>
      <c r="S337" s="75"/>
      <c r="T337" s="75"/>
      <c r="U337" s="76"/>
      <c r="V337" s="76"/>
      <c r="W337" s="75"/>
      <c r="X337" s="76"/>
      <c r="Y337" s="29" t="str">
        <f t="shared" si="4"/>
        <v/>
      </c>
      <c r="Z337" s="29" t="str">
        <f t="shared" si="5"/>
        <v/>
      </c>
      <c r="AA337" s="76"/>
      <c r="AB337" s="76"/>
      <c r="AC337" s="75"/>
      <c r="AD337" s="75"/>
      <c r="AE337" s="78" t="str">
        <f>IF(U337="","",IF(AD337="","",_xlfn.WORKDAY.INTL(AD337,7,1,FERIADOS)))</f>
        <v/>
      </c>
      <c r="AF337" s="104"/>
      <c r="AG337" s="80" t="str">
        <f t="array" ref="AG337">IF(A337="","",IF(AF337="","",AF337*INDEX(PARAMETROS!F$2:F1400,MATCH(YEAR(AC337),PARAMETROS!E$2:E1400,0),1)))</f>
        <v/>
      </c>
      <c r="AH337" s="81"/>
      <c r="AI337" s="82"/>
      <c r="AJ337" s="81"/>
      <c r="AK337" s="81"/>
      <c r="AL337" s="76"/>
      <c r="AM337" s="75"/>
      <c r="AN337" s="76"/>
      <c r="AO337" s="95"/>
      <c r="AP337" s="96"/>
      <c r="AQ337" s="85" t="str">
        <f t="shared" si="6"/>
        <v/>
      </c>
      <c r="AR337" s="86" t="str">
        <f t="array" ref="AR337">IF(A337="","",IFERROR(INDEX('2) Etapas'!L$3:L923,MATCH(B337,'2) Etapas'!$A$4:$A923,0),1),-1))</f>
        <v/>
      </c>
      <c r="AS337" s="87" t="str">
        <f t="shared" si="7"/>
        <v/>
      </c>
      <c r="AT337" s="87" t="str">
        <f t="shared" si="8"/>
        <v/>
      </c>
      <c r="AU337" s="87" t="str">
        <f t="shared" si="9"/>
        <v/>
      </c>
      <c r="AV337" s="89" t="str">
        <f t="array" ref="AV337">IF(OR($A337="",$AB337="", $AC337=""),"",MAXA(IF($A337=$A$4:$A923,$AC$4:$AC923)))</f>
        <v/>
      </c>
    </row>
    <row r="338" ht="22.5" customHeight="1">
      <c r="A338" s="76"/>
      <c r="B338" s="68" t="str">
        <f t="shared" si="1"/>
        <v/>
      </c>
      <c r="C338" s="110"/>
      <c r="D338" s="70" t="str">
        <f t="shared" si="2"/>
        <v/>
      </c>
      <c r="E338" s="76"/>
      <c r="F338" s="68" t="str">
        <f t="array" ref="F338">IF($A338="","",IFERROR(INDEX(MA_INDIVIDUALES!C$2:C923, MATCH($A338,MA_INDIVIDUALES!$B$2:$B923,0),1),"CÓDIGO DE EXPEDIENTE INVÁLIDO"))</f>
        <v/>
      </c>
      <c r="G338" s="68" t="str">
        <f t="array" ref="G338">IF($A338="","",IFERROR(INDEX(MA_INDIVIDUALES!K$2:K923, MATCH($A338,MA_INDIVIDUALES!$B$2:$B923,0),1),"CÓDIGO DE EXPEDIENTE INVÁLIDO"))</f>
        <v/>
      </c>
      <c r="H338" s="68" t="str">
        <f t="array" ref="H338">IF($A338="","",IFERROR(INDEX(MA_INDIVIDUALES!L$2:L923, MATCH($A338,MA_INDIVIDUALES!$B$2:$B923,0),1),"CÓDIGO DE EXPEDIENTE INVÁLIDO"))</f>
        <v/>
      </c>
      <c r="I338" s="76"/>
      <c r="J338" s="76"/>
      <c r="K338" s="75"/>
      <c r="L338" s="74" t="str">
        <f>IF(A338="","",IF(K338="","",_xlfn.WORKDAY.INTL(K338,5,1,FERIADOS)))</f>
        <v/>
      </c>
      <c r="M338" s="76"/>
      <c r="N338" s="75"/>
      <c r="O338" s="76"/>
      <c r="P338" s="77" t="str">
        <f t="shared" si="3"/>
        <v/>
      </c>
      <c r="Q338" s="75"/>
      <c r="R338" s="76"/>
      <c r="S338" s="75"/>
      <c r="T338" s="75"/>
      <c r="U338" s="76"/>
      <c r="V338" s="76"/>
      <c r="W338" s="75"/>
      <c r="X338" s="76"/>
      <c r="Y338" s="29" t="str">
        <f t="shared" si="4"/>
        <v/>
      </c>
      <c r="Z338" s="29" t="str">
        <f t="shared" si="5"/>
        <v/>
      </c>
      <c r="AA338" s="76"/>
      <c r="AB338" s="76"/>
      <c r="AC338" s="75"/>
      <c r="AD338" s="75"/>
      <c r="AE338" s="78" t="str">
        <f>IF(U338="","",IF(AD338="","",_xlfn.WORKDAY.INTL(AD338,7,1,FERIADOS)))</f>
        <v/>
      </c>
      <c r="AF338" s="104"/>
      <c r="AG338" s="80" t="str">
        <f t="array" ref="AG338">IF(A338="","",IF(AF338="","",AF338*INDEX(PARAMETROS!F$2:F1401,MATCH(YEAR(AC338),PARAMETROS!E$2:E1401,0),1)))</f>
        <v/>
      </c>
      <c r="AH338" s="81"/>
      <c r="AI338" s="82"/>
      <c r="AJ338" s="81"/>
      <c r="AK338" s="81"/>
      <c r="AL338" s="76"/>
      <c r="AM338" s="75"/>
      <c r="AN338" s="76"/>
      <c r="AO338" s="95"/>
      <c r="AP338" s="96"/>
      <c r="AQ338" s="85" t="str">
        <f t="shared" si="6"/>
        <v/>
      </c>
      <c r="AR338" s="86" t="str">
        <f t="array" ref="AR338">IF(A338="","",IFERROR(INDEX('2) Etapas'!L$3:L923,MATCH(B338,'2) Etapas'!$A$4:$A923,0),1),-1))</f>
        <v/>
      </c>
      <c r="AS338" s="87" t="str">
        <f t="shared" si="7"/>
        <v/>
      </c>
      <c r="AT338" s="87" t="str">
        <f t="shared" si="8"/>
        <v/>
      </c>
      <c r="AU338" s="87" t="str">
        <f t="shared" si="9"/>
        <v/>
      </c>
      <c r="AV338" s="89" t="str">
        <f t="array" ref="AV338">IF(OR($A338="",$AB338="", $AC338=""),"",MAXA(IF($A338=$A$4:$A923,$AC$4:$AC923)))</f>
        <v/>
      </c>
    </row>
    <row r="339" ht="22.5" customHeight="1">
      <c r="A339" s="76"/>
      <c r="B339" s="68" t="str">
        <f t="shared" si="1"/>
        <v/>
      </c>
      <c r="C339" s="110"/>
      <c r="D339" s="70" t="str">
        <f t="shared" si="2"/>
        <v/>
      </c>
      <c r="E339" s="76"/>
      <c r="F339" s="68" t="str">
        <f t="array" ref="F339">IF($A339="","",IFERROR(INDEX(MA_INDIVIDUALES!C$2:C923, MATCH($A339,MA_INDIVIDUALES!$B$2:$B923,0),1),"CÓDIGO DE EXPEDIENTE INVÁLIDO"))</f>
        <v/>
      </c>
      <c r="G339" s="68" t="str">
        <f t="array" ref="G339">IF($A339="","",IFERROR(INDEX(MA_INDIVIDUALES!K$2:K923, MATCH($A339,MA_INDIVIDUALES!$B$2:$B923,0),1),"CÓDIGO DE EXPEDIENTE INVÁLIDO"))</f>
        <v/>
      </c>
      <c r="H339" s="68" t="str">
        <f t="array" ref="H339">IF($A339="","",IFERROR(INDEX(MA_INDIVIDUALES!L$2:L923, MATCH($A339,MA_INDIVIDUALES!$B$2:$B923,0),1),"CÓDIGO DE EXPEDIENTE INVÁLIDO"))</f>
        <v/>
      </c>
      <c r="I339" s="76"/>
      <c r="J339" s="76"/>
      <c r="K339" s="75"/>
      <c r="L339" s="74" t="str">
        <f>IF(A339="","",IF(K339="","",_xlfn.WORKDAY.INTL(K339,5,1,FERIADOS)))</f>
        <v/>
      </c>
      <c r="M339" s="76"/>
      <c r="N339" s="75"/>
      <c r="O339" s="76"/>
      <c r="P339" s="77" t="str">
        <f t="shared" si="3"/>
        <v/>
      </c>
      <c r="Q339" s="75"/>
      <c r="R339" s="76"/>
      <c r="S339" s="75"/>
      <c r="T339" s="75"/>
      <c r="U339" s="76"/>
      <c r="V339" s="76"/>
      <c r="W339" s="75"/>
      <c r="X339" s="76"/>
      <c r="Y339" s="29" t="str">
        <f t="shared" si="4"/>
        <v/>
      </c>
      <c r="Z339" s="29" t="str">
        <f t="shared" si="5"/>
        <v/>
      </c>
      <c r="AA339" s="76"/>
      <c r="AB339" s="76"/>
      <c r="AC339" s="75"/>
      <c r="AD339" s="75"/>
      <c r="AE339" s="78" t="str">
        <f>IF(U339="","",IF(AD339="","",_xlfn.WORKDAY.INTL(AD339,7,1,FERIADOS)))</f>
        <v/>
      </c>
      <c r="AF339" s="104"/>
      <c r="AG339" s="80" t="str">
        <f t="array" ref="AG339">IF(A339="","",IF(AF339="","",AF339*INDEX(PARAMETROS!F$2:F1402,MATCH(YEAR(AC339),PARAMETROS!E$2:E1402,0),1)))</f>
        <v/>
      </c>
      <c r="AH339" s="81"/>
      <c r="AI339" s="82"/>
      <c r="AJ339" s="81"/>
      <c r="AK339" s="81"/>
      <c r="AL339" s="76"/>
      <c r="AM339" s="75"/>
      <c r="AN339" s="76"/>
      <c r="AO339" s="95"/>
      <c r="AP339" s="96"/>
      <c r="AQ339" s="85" t="str">
        <f t="shared" si="6"/>
        <v/>
      </c>
      <c r="AR339" s="86" t="str">
        <f t="array" ref="AR339">IF(A339="","",IFERROR(INDEX('2) Etapas'!L$3:L923,MATCH(B339,'2) Etapas'!$A$4:$A923,0),1),-1))</f>
        <v/>
      </c>
      <c r="AS339" s="87" t="str">
        <f t="shared" si="7"/>
        <v/>
      </c>
      <c r="AT339" s="87" t="str">
        <f t="shared" si="8"/>
        <v/>
      </c>
      <c r="AU339" s="87" t="str">
        <f t="shared" si="9"/>
        <v/>
      </c>
      <c r="AV339" s="89" t="str">
        <f t="array" ref="AV339">IF(OR($A339="",$AB339="", $AC339=""),"",MAXA(IF($A339=$A$4:$A923,$AC$4:$AC923)))</f>
        <v/>
      </c>
    </row>
    <row r="340" ht="22.5" customHeight="1">
      <c r="A340" s="76"/>
      <c r="B340" s="68" t="str">
        <f t="shared" si="1"/>
        <v/>
      </c>
      <c r="C340" s="110"/>
      <c r="D340" s="70" t="str">
        <f t="shared" si="2"/>
        <v/>
      </c>
      <c r="E340" s="76"/>
      <c r="F340" s="68" t="str">
        <f t="array" ref="F340">IF($A340="","",IFERROR(INDEX(MA_INDIVIDUALES!C$2:C923, MATCH($A340,MA_INDIVIDUALES!$B$2:$B923,0),1),"CÓDIGO DE EXPEDIENTE INVÁLIDO"))</f>
        <v/>
      </c>
      <c r="G340" s="68" t="str">
        <f t="array" ref="G340">IF($A340="","",IFERROR(INDEX(MA_INDIVIDUALES!K$2:K923, MATCH($A340,MA_INDIVIDUALES!$B$2:$B923,0),1),"CÓDIGO DE EXPEDIENTE INVÁLIDO"))</f>
        <v/>
      </c>
      <c r="H340" s="68" t="str">
        <f t="array" ref="H340">IF($A340="","",IFERROR(INDEX(MA_INDIVIDUALES!L$2:L923, MATCH($A340,MA_INDIVIDUALES!$B$2:$B923,0),1),"CÓDIGO DE EXPEDIENTE INVÁLIDO"))</f>
        <v/>
      </c>
      <c r="I340" s="76"/>
      <c r="J340" s="76"/>
      <c r="K340" s="75"/>
      <c r="L340" s="74" t="str">
        <f>IF(A340="","",IF(K340="","",_xlfn.WORKDAY.INTL(K340,5,1,FERIADOS)))</f>
        <v/>
      </c>
      <c r="M340" s="76"/>
      <c r="N340" s="75"/>
      <c r="O340" s="76"/>
      <c r="P340" s="77" t="str">
        <f t="shared" si="3"/>
        <v/>
      </c>
      <c r="Q340" s="75"/>
      <c r="R340" s="76"/>
      <c r="S340" s="75"/>
      <c r="T340" s="75"/>
      <c r="U340" s="76"/>
      <c r="V340" s="76"/>
      <c r="W340" s="75"/>
      <c r="X340" s="76"/>
      <c r="Y340" s="29" t="str">
        <f t="shared" si="4"/>
        <v/>
      </c>
      <c r="Z340" s="29" t="str">
        <f t="shared" si="5"/>
        <v/>
      </c>
      <c r="AA340" s="76"/>
      <c r="AB340" s="76"/>
      <c r="AC340" s="75"/>
      <c r="AD340" s="75"/>
      <c r="AE340" s="78" t="str">
        <f>IF(U340="","",IF(AD340="","",_xlfn.WORKDAY.INTL(AD340,7,1,FERIADOS)))</f>
        <v/>
      </c>
      <c r="AF340" s="104"/>
      <c r="AG340" s="80" t="str">
        <f t="array" ref="AG340">IF(A340="","",IF(AF340="","",AF340*INDEX(PARAMETROS!F$2:F1403,MATCH(YEAR(AC340),PARAMETROS!E$2:E1403,0),1)))</f>
        <v/>
      </c>
      <c r="AH340" s="81"/>
      <c r="AI340" s="82"/>
      <c r="AJ340" s="81"/>
      <c r="AK340" s="81"/>
      <c r="AL340" s="76"/>
      <c r="AM340" s="75"/>
      <c r="AN340" s="76"/>
      <c r="AO340" s="95"/>
      <c r="AP340" s="96"/>
      <c r="AQ340" s="85" t="str">
        <f t="shared" si="6"/>
        <v/>
      </c>
      <c r="AR340" s="86" t="str">
        <f t="array" ref="AR340">IF(A340="","",IFERROR(INDEX('2) Etapas'!L$3:L923,MATCH(B340,'2) Etapas'!$A$4:$A923,0),1),-1))</f>
        <v/>
      </c>
      <c r="AS340" s="87" t="str">
        <f t="shared" si="7"/>
        <v/>
      </c>
      <c r="AT340" s="87" t="str">
        <f t="shared" si="8"/>
        <v/>
      </c>
      <c r="AU340" s="87" t="str">
        <f t="shared" si="9"/>
        <v/>
      </c>
      <c r="AV340" s="89" t="str">
        <f t="array" ref="AV340">IF(OR($A340="",$AB340="", $AC340=""),"",MAXA(IF($A340=$A$4:$A923,$AC$4:$AC923)))</f>
        <v/>
      </c>
    </row>
    <row r="341" ht="22.5" customHeight="1">
      <c r="A341" s="76"/>
      <c r="B341" s="68" t="str">
        <f t="shared" si="1"/>
        <v/>
      </c>
      <c r="C341" s="110"/>
      <c r="D341" s="70" t="str">
        <f t="shared" si="2"/>
        <v/>
      </c>
      <c r="E341" s="76"/>
      <c r="F341" s="68" t="str">
        <f t="array" ref="F341">IF($A341="","",IFERROR(INDEX(MA_INDIVIDUALES!C$2:C923, MATCH($A341,MA_INDIVIDUALES!$B$2:$B923,0),1),"CÓDIGO DE EXPEDIENTE INVÁLIDO"))</f>
        <v/>
      </c>
      <c r="G341" s="68" t="str">
        <f t="array" ref="G341">IF($A341="","",IFERROR(INDEX(MA_INDIVIDUALES!K$2:K923, MATCH($A341,MA_INDIVIDUALES!$B$2:$B923,0),1),"CÓDIGO DE EXPEDIENTE INVÁLIDO"))</f>
        <v/>
      </c>
      <c r="H341" s="68" t="str">
        <f t="array" ref="H341">IF($A341="","",IFERROR(INDEX(MA_INDIVIDUALES!L$2:L923, MATCH($A341,MA_INDIVIDUALES!$B$2:$B923,0),1),"CÓDIGO DE EXPEDIENTE INVÁLIDO"))</f>
        <v/>
      </c>
      <c r="I341" s="76"/>
      <c r="J341" s="76"/>
      <c r="K341" s="75"/>
      <c r="L341" s="74" t="str">
        <f>IF(A341="","",IF(K341="","",_xlfn.WORKDAY.INTL(K341,5,1,FERIADOS)))</f>
        <v/>
      </c>
      <c r="M341" s="76"/>
      <c r="N341" s="75"/>
      <c r="O341" s="76"/>
      <c r="P341" s="77" t="str">
        <f t="shared" si="3"/>
        <v/>
      </c>
      <c r="Q341" s="75"/>
      <c r="R341" s="76"/>
      <c r="S341" s="75"/>
      <c r="T341" s="75"/>
      <c r="U341" s="76"/>
      <c r="V341" s="76"/>
      <c r="W341" s="75"/>
      <c r="X341" s="76"/>
      <c r="Y341" s="29" t="str">
        <f t="shared" si="4"/>
        <v/>
      </c>
      <c r="Z341" s="29" t="str">
        <f t="shared" si="5"/>
        <v/>
      </c>
      <c r="AA341" s="76"/>
      <c r="AB341" s="76"/>
      <c r="AC341" s="75"/>
      <c r="AD341" s="75"/>
      <c r="AE341" s="78" t="str">
        <f>IF(U341="","",IF(AD341="","",_xlfn.WORKDAY.INTL(AD341,7,1,FERIADOS)))</f>
        <v/>
      </c>
      <c r="AF341" s="104"/>
      <c r="AG341" s="80" t="str">
        <f t="array" ref="AG341">IF(A341="","",IF(AF341="","",AF341*INDEX(PARAMETROS!F$2:F1404,MATCH(YEAR(AC341),PARAMETROS!E$2:E1404,0),1)))</f>
        <v/>
      </c>
      <c r="AH341" s="81"/>
      <c r="AI341" s="82"/>
      <c r="AJ341" s="81"/>
      <c r="AK341" s="81"/>
      <c r="AL341" s="76"/>
      <c r="AM341" s="75"/>
      <c r="AN341" s="76"/>
      <c r="AO341" s="95"/>
      <c r="AP341" s="96"/>
      <c r="AQ341" s="85" t="str">
        <f t="shared" si="6"/>
        <v/>
      </c>
      <c r="AR341" s="86" t="str">
        <f t="array" ref="AR341">IF(A341="","",IFERROR(INDEX('2) Etapas'!L$3:L923,MATCH(B341,'2) Etapas'!$A$4:$A923,0),1),-1))</f>
        <v/>
      </c>
      <c r="AS341" s="87" t="str">
        <f t="shared" si="7"/>
        <v/>
      </c>
      <c r="AT341" s="87" t="str">
        <f t="shared" si="8"/>
        <v/>
      </c>
      <c r="AU341" s="87" t="str">
        <f t="shared" si="9"/>
        <v/>
      </c>
      <c r="AV341" s="89" t="str">
        <f t="array" ref="AV341">IF(OR($A341="",$AB341="", $AC341=""),"",MAXA(IF($A341=$A$4:$A923,$AC$4:$AC923)))</f>
        <v/>
      </c>
    </row>
    <row r="342" ht="22.5" customHeight="1">
      <c r="A342" s="76"/>
      <c r="B342" s="68" t="str">
        <f t="shared" si="1"/>
        <v/>
      </c>
      <c r="C342" s="110"/>
      <c r="D342" s="70" t="str">
        <f t="shared" si="2"/>
        <v/>
      </c>
      <c r="E342" s="76"/>
      <c r="F342" s="68" t="str">
        <f t="array" ref="F342">IF($A342="","",IFERROR(INDEX(MA_INDIVIDUALES!C$2:C923, MATCH($A342,MA_INDIVIDUALES!$B$2:$B923,0),1),"CÓDIGO DE EXPEDIENTE INVÁLIDO"))</f>
        <v/>
      </c>
      <c r="G342" s="68" t="str">
        <f t="array" ref="G342">IF($A342="","",IFERROR(INDEX(MA_INDIVIDUALES!K$2:K923, MATCH($A342,MA_INDIVIDUALES!$B$2:$B923,0),1),"CÓDIGO DE EXPEDIENTE INVÁLIDO"))</f>
        <v/>
      </c>
      <c r="H342" s="68" t="str">
        <f t="array" ref="H342">IF($A342="","",IFERROR(INDEX(MA_INDIVIDUALES!L$2:L923, MATCH($A342,MA_INDIVIDUALES!$B$2:$B923,0),1),"CÓDIGO DE EXPEDIENTE INVÁLIDO"))</f>
        <v/>
      </c>
      <c r="I342" s="76"/>
      <c r="J342" s="76"/>
      <c r="K342" s="75"/>
      <c r="L342" s="74" t="str">
        <f>IF(A342="","",IF(K342="","",_xlfn.WORKDAY.INTL(K342,5,1,FERIADOS)))</f>
        <v/>
      </c>
      <c r="M342" s="76"/>
      <c r="N342" s="75"/>
      <c r="O342" s="76"/>
      <c r="P342" s="77" t="str">
        <f t="shared" si="3"/>
        <v/>
      </c>
      <c r="Q342" s="75"/>
      <c r="R342" s="76"/>
      <c r="S342" s="75"/>
      <c r="T342" s="75"/>
      <c r="U342" s="76"/>
      <c r="V342" s="76"/>
      <c r="W342" s="75"/>
      <c r="X342" s="76"/>
      <c r="Y342" s="29" t="str">
        <f t="shared" si="4"/>
        <v/>
      </c>
      <c r="Z342" s="29" t="str">
        <f t="shared" si="5"/>
        <v/>
      </c>
      <c r="AA342" s="76"/>
      <c r="AB342" s="76"/>
      <c r="AC342" s="75"/>
      <c r="AD342" s="75"/>
      <c r="AE342" s="78" t="str">
        <f>IF(U342="","",IF(AD342="","",_xlfn.WORKDAY.INTL(AD342,7,1,FERIADOS)))</f>
        <v/>
      </c>
      <c r="AF342" s="104"/>
      <c r="AG342" s="80" t="str">
        <f t="array" ref="AG342">IF(A342="","",IF(AF342="","",AF342*INDEX(PARAMETROS!F$2:F1405,MATCH(YEAR(AC342),PARAMETROS!E$2:E1405,0),1)))</f>
        <v/>
      </c>
      <c r="AH342" s="81"/>
      <c r="AI342" s="82"/>
      <c r="AJ342" s="81"/>
      <c r="AK342" s="81"/>
      <c r="AL342" s="76"/>
      <c r="AM342" s="75"/>
      <c r="AN342" s="76"/>
      <c r="AO342" s="95"/>
      <c r="AP342" s="96"/>
      <c r="AQ342" s="85" t="str">
        <f t="shared" si="6"/>
        <v/>
      </c>
      <c r="AR342" s="86" t="str">
        <f t="array" ref="AR342">IF(A342="","",IFERROR(INDEX('2) Etapas'!L$3:L923,MATCH(B342,'2) Etapas'!$A$4:$A923,0),1),-1))</f>
        <v/>
      </c>
      <c r="AS342" s="87" t="str">
        <f t="shared" si="7"/>
        <v/>
      </c>
      <c r="AT342" s="87" t="str">
        <f t="shared" si="8"/>
        <v/>
      </c>
      <c r="AU342" s="87" t="str">
        <f t="shared" si="9"/>
        <v/>
      </c>
      <c r="AV342" s="89" t="str">
        <f t="array" ref="AV342">IF(OR($A342="",$AB342="", $AC342=""),"",MAXA(IF($A342=$A$4:$A923,$AC$4:$AC923)))</f>
        <v/>
      </c>
    </row>
    <row r="343" ht="22.5" customHeight="1">
      <c r="A343" s="76"/>
      <c r="B343" s="68" t="str">
        <f t="shared" si="1"/>
        <v/>
      </c>
      <c r="C343" s="110"/>
      <c r="D343" s="70" t="str">
        <f t="shared" si="2"/>
        <v/>
      </c>
      <c r="E343" s="76"/>
      <c r="F343" s="68" t="str">
        <f t="array" ref="F343">IF($A343="","",IFERROR(INDEX(MA_INDIVIDUALES!C$2:C923, MATCH($A343,MA_INDIVIDUALES!$B$2:$B923,0),1),"CÓDIGO DE EXPEDIENTE INVÁLIDO"))</f>
        <v/>
      </c>
      <c r="G343" s="68" t="str">
        <f t="array" ref="G343">IF($A343="","",IFERROR(INDEX(MA_INDIVIDUALES!K$2:K923, MATCH($A343,MA_INDIVIDUALES!$B$2:$B923,0),1),"CÓDIGO DE EXPEDIENTE INVÁLIDO"))</f>
        <v/>
      </c>
      <c r="H343" s="68" t="str">
        <f t="array" ref="H343">IF($A343="","",IFERROR(INDEX(MA_INDIVIDUALES!L$2:L923, MATCH($A343,MA_INDIVIDUALES!$B$2:$B923,0),1),"CÓDIGO DE EXPEDIENTE INVÁLIDO"))</f>
        <v/>
      </c>
      <c r="I343" s="76"/>
      <c r="J343" s="76"/>
      <c r="K343" s="75"/>
      <c r="L343" s="74" t="str">
        <f>IF(A343="","",IF(K343="","",_xlfn.WORKDAY.INTL(K343,5,1,FERIADOS)))</f>
        <v/>
      </c>
      <c r="M343" s="76"/>
      <c r="N343" s="75"/>
      <c r="O343" s="76"/>
      <c r="P343" s="77" t="str">
        <f t="shared" si="3"/>
        <v/>
      </c>
      <c r="Q343" s="75"/>
      <c r="R343" s="76"/>
      <c r="S343" s="75"/>
      <c r="T343" s="75"/>
      <c r="U343" s="76"/>
      <c r="V343" s="76"/>
      <c r="W343" s="75"/>
      <c r="X343" s="76"/>
      <c r="Y343" s="29" t="str">
        <f t="shared" si="4"/>
        <v/>
      </c>
      <c r="Z343" s="29" t="str">
        <f t="shared" si="5"/>
        <v/>
      </c>
      <c r="AA343" s="76"/>
      <c r="AB343" s="76"/>
      <c r="AC343" s="75"/>
      <c r="AD343" s="75"/>
      <c r="AE343" s="78" t="str">
        <f>IF(U343="","",IF(AD343="","",_xlfn.WORKDAY.INTL(AD343,7,1,FERIADOS)))</f>
        <v/>
      </c>
      <c r="AF343" s="104"/>
      <c r="AG343" s="80" t="str">
        <f t="array" ref="AG343">IF(A343="","",IF(AF343="","",AF343*INDEX(PARAMETROS!F$2:F1406,MATCH(YEAR(AC343),PARAMETROS!E$2:E1406,0),1)))</f>
        <v/>
      </c>
      <c r="AH343" s="81"/>
      <c r="AI343" s="82"/>
      <c r="AJ343" s="81"/>
      <c r="AK343" s="81"/>
      <c r="AL343" s="76"/>
      <c r="AM343" s="75"/>
      <c r="AN343" s="76"/>
      <c r="AO343" s="95"/>
      <c r="AP343" s="96"/>
      <c r="AQ343" s="85" t="str">
        <f t="shared" si="6"/>
        <v/>
      </c>
      <c r="AR343" s="86" t="str">
        <f t="array" ref="AR343">IF(A343="","",IFERROR(INDEX('2) Etapas'!L$3:L923,MATCH(B343,'2) Etapas'!$A$4:$A923,0),1),-1))</f>
        <v/>
      </c>
      <c r="AS343" s="87" t="str">
        <f t="shared" si="7"/>
        <v/>
      </c>
      <c r="AT343" s="87" t="str">
        <f t="shared" si="8"/>
        <v/>
      </c>
      <c r="AU343" s="87" t="str">
        <f t="shared" si="9"/>
        <v/>
      </c>
      <c r="AV343" s="89" t="str">
        <f t="array" ref="AV343">IF(OR($A343="",$AB343="", $AC343=""),"",MAXA(IF($A343=$A$4:$A923,$AC$4:$AC923)))</f>
        <v/>
      </c>
    </row>
    <row r="344" ht="22.5" customHeight="1">
      <c r="A344" s="76"/>
      <c r="B344" s="68" t="str">
        <f t="shared" si="1"/>
        <v/>
      </c>
      <c r="C344" s="110"/>
      <c r="D344" s="70" t="str">
        <f t="shared" si="2"/>
        <v/>
      </c>
      <c r="E344" s="76"/>
      <c r="F344" s="68" t="str">
        <f t="array" ref="F344">IF($A344="","",IFERROR(INDEX(MA_INDIVIDUALES!C$2:C923, MATCH($A344,MA_INDIVIDUALES!$B$2:$B923,0),1),"CÓDIGO DE EXPEDIENTE INVÁLIDO"))</f>
        <v/>
      </c>
      <c r="G344" s="68" t="str">
        <f t="array" ref="G344">IF($A344="","",IFERROR(INDEX(MA_INDIVIDUALES!K$2:K923, MATCH($A344,MA_INDIVIDUALES!$B$2:$B923,0),1),"CÓDIGO DE EXPEDIENTE INVÁLIDO"))</f>
        <v/>
      </c>
      <c r="H344" s="68" t="str">
        <f t="array" ref="H344">IF($A344="","",IFERROR(INDEX(MA_INDIVIDUALES!L$2:L923, MATCH($A344,MA_INDIVIDUALES!$B$2:$B923,0),1),"CÓDIGO DE EXPEDIENTE INVÁLIDO"))</f>
        <v/>
      </c>
      <c r="I344" s="76"/>
      <c r="J344" s="76"/>
      <c r="K344" s="75"/>
      <c r="L344" s="74" t="str">
        <f>IF(A344="","",IF(K344="","",_xlfn.WORKDAY.INTL(K344,5,1,FERIADOS)))</f>
        <v/>
      </c>
      <c r="M344" s="76"/>
      <c r="N344" s="75"/>
      <c r="O344" s="76"/>
      <c r="P344" s="77" t="str">
        <f t="shared" si="3"/>
        <v/>
      </c>
      <c r="Q344" s="75"/>
      <c r="R344" s="76"/>
      <c r="S344" s="75"/>
      <c r="T344" s="75"/>
      <c r="U344" s="76"/>
      <c r="V344" s="76"/>
      <c r="W344" s="75"/>
      <c r="X344" s="76"/>
      <c r="Y344" s="29" t="str">
        <f t="shared" si="4"/>
        <v/>
      </c>
      <c r="Z344" s="29" t="str">
        <f t="shared" si="5"/>
        <v/>
      </c>
      <c r="AA344" s="76"/>
      <c r="AB344" s="76"/>
      <c r="AC344" s="75"/>
      <c r="AD344" s="75"/>
      <c r="AE344" s="78" t="str">
        <f>IF(U344="","",IF(AD344="","",_xlfn.WORKDAY.INTL(AD344,7,1,FERIADOS)))</f>
        <v/>
      </c>
      <c r="AF344" s="104"/>
      <c r="AG344" s="80" t="str">
        <f t="array" ref="AG344">IF(A344="","",IF(AF344="","",AF344*INDEX(PARAMETROS!F$2:F1407,MATCH(YEAR(AC344),PARAMETROS!E$2:E1407,0),1)))</f>
        <v/>
      </c>
      <c r="AH344" s="81"/>
      <c r="AI344" s="82"/>
      <c r="AJ344" s="81"/>
      <c r="AK344" s="81"/>
      <c r="AL344" s="76"/>
      <c r="AM344" s="75"/>
      <c r="AN344" s="76"/>
      <c r="AO344" s="95"/>
      <c r="AP344" s="96"/>
      <c r="AQ344" s="85" t="str">
        <f t="shared" si="6"/>
        <v/>
      </c>
      <c r="AR344" s="86" t="str">
        <f t="array" ref="AR344">IF(A344="","",IFERROR(INDEX('2) Etapas'!L$3:L923,MATCH(B344,'2) Etapas'!$A$4:$A923,0),1),-1))</f>
        <v/>
      </c>
      <c r="AS344" s="87" t="str">
        <f t="shared" si="7"/>
        <v/>
      </c>
      <c r="AT344" s="87" t="str">
        <f t="shared" si="8"/>
        <v/>
      </c>
      <c r="AU344" s="87" t="str">
        <f t="shared" si="9"/>
        <v/>
      </c>
      <c r="AV344" s="89" t="str">
        <f t="array" ref="AV344">IF(OR($A344="",$AB344="", $AC344=""),"",MAXA(IF($A344=$A$4:$A923,$AC$4:$AC923)))</f>
        <v/>
      </c>
    </row>
    <row r="345" ht="22.5" customHeight="1">
      <c r="A345" s="76"/>
      <c r="B345" s="68" t="str">
        <f t="shared" si="1"/>
        <v/>
      </c>
      <c r="C345" s="110"/>
      <c r="D345" s="70" t="str">
        <f t="shared" si="2"/>
        <v/>
      </c>
      <c r="E345" s="76"/>
      <c r="F345" s="68" t="str">
        <f t="array" ref="F345">IF($A345="","",IFERROR(INDEX(MA_INDIVIDUALES!C$2:C923, MATCH($A345,MA_INDIVIDUALES!$B$2:$B923,0),1),"CÓDIGO DE EXPEDIENTE INVÁLIDO"))</f>
        <v/>
      </c>
      <c r="G345" s="68" t="str">
        <f t="array" ref="G345">IF($A345="","",IFERROR(INDEX(MA_INDIVIDUALES!K$2:K923, MATCH($A345,MA_INDIVIDUALES!$B$2:$B923,0),1),"CÓDIGO DE EXPEDIENTE INVÁLIDO"))</f>
        <v/>
      </c>
      <c r="H345" s="68" t="str">
        <f t="array" ref="H345">IF($A345="","",IFERROR(INDEX(MA_INDIVIDUALES!L$2:L923, MATCH($A345,MA_INDIVIDUALES!$B$2:$B923,0),1),"CÓDIGO DE EXPEDIENTE INVÁLIDO"))</f>
        <v/>
      </c>
      <c r="I345" s="76"/>
      <c r="J345" s="76"/>
      <c r="K345" s="75"/>
      <c r="L345" s="74" t="str">
        <f>IF(A345="","",IF(K345="","",_xlfn.WORKDAY.INTL(K345,5,1,FERIADOS)))</f>
        <v/>
      </c>
      <c r="M345" s="76"/>
      <c r="N345" s="75"/>
      <c r="O345" s="76"/>
      <c r="P345" s="77" t="str">
        <f t="shared" si="3"/>
        <v/>
      </c>
      <c r="Q345" s="75"/>
      <c r="R345" s="76"/>
      <c r="S345" s="75"/>
      <c r="T345" s="75"/>
      <c r="U345" s="76"/>
      <c r="V345" s="76"/>
      <c r="W345" s="75"/>
      <c r="X345" s="76"/>
      <c r="Y345" s="29" t="str">
        <f t="shared" si="4"/>
        <v/>
      </c>
      <c r="Z345" s="29" t="str">
        <f t="shared" si="5"/>
        <v/>
      </c>
      <c r="AA345" s="76"/>
      <c r="AB345" s="76"/>
      <c r="AC345" s="75"/>
      <c r="AD345" s="75"/>
      <c r="AE345" s="78" t="str">
        <f>IF(U345="","",IF(AD345="","",_xlfn.WORKDAY.INTL(AD345,7,1,FERIADOS)))</f>
        <v/>
      </c>
      <c r="AF345" s="104"/>
      <c r="AG345" s="80" t="str">
        <f t="array" ref="AG345">IF(A345="","",IF(AF345="","",AF345*INDEX(PARAMETROS!F$2:F1408,MATCH(YEAR(AC345),PARAMETROS!E$2:E1408,0),1)))</f>
        <v/>
      </c>
      <c r="AH345" s="81"/>
      <c r="AI345" s="82"/>
      <c r="AJ345" s="81"/>
      <c r="AK345" s="81"/>
      <c r="AL345" s="76"/>
      <c r="AM345" s="75"/>
      <c r="AN345" s="76"/>
      <c r="AO345" s="95"/>
      <c r="AP345" s="96"/>
      <c r="AQ345" s="85" t="str">
        <f t="shared" si="6"/>
        <v/>
      </c>
      <c r="AR345" s="86" t="str">
        <f t="array" ref="AR345">IF(A345="","",IFERROR(INDEX('2) Etapas'!L$3:L923,MATCH(B345,'2) Etapas'!$A$4:$A923,0),1),-1))</f>
        <v/>
      </c>
      <c r="AS345" s="87" t="str">
        <f t="shared" si="7"/>
        <v/>
      </c>
      <c r="AT345" s="87" t="str">
        <f t="shared" si="8"/>
        <v/>
      </c>
      <c r="AU345" s="87" t="str">
        <f t="shared" si="9"/>
        <v/>
      </c>
      <c r="AV345" s="89" t="str">
        <f t="array" ref="AV345">IF(OR($A345="",$AB345="", $AC345=""),"",MAXA(IF($A345=$A$4:$A923,$AC$4:$AC923)))</f>
        <v/>
      </c>
    </row>
    <row r="346" ht="22.5" customHeight="1">
      <c r="A346" s="76"/>
      <c r="B346" s="68" t="str">
        <f t="shared" si="1"/>
        <v/>
      </c>
      <c r="C346" s="110"/>
      <c r="D346" s="70" t="str">
        <f t="shared" si="2"/>
        <v/>
      </c>
      <c r="E346" s="76"/>
      <c r="F346" s="68" t="str">
        <f t="array" ref="F346">IF($A346="","",IFERROR(INDEX(MA_INDIVIDUALES!C$2:C923, MATCH($A346,MA_INDIVIDUALES!$B$2:$B923,0),1),"CÓDIGO DE EXPEDIENTE INVÁLIDO"))</f>
        <v/>
      </c>
      <c r="G346" s="68" t="str">
        <f t="array" ref="G346">IF($A346="","",IFERROR(INDEX(MA_INDIVIDUALES!K$2:K923, MATCH($A346,MA_INDIVIDUALES!$B$2:$B923,0),1),"CÓDIGO DE EXPEDIENTE INVÁLIDO"))</f>
        <v/>
      </c>
      <c r="H346" s="68" t="str">
        <f t="array" ref="H346">IF($A346="","",IFERROR(INDEX(MA_INDIVIDUALES!L$2:L923, MATCH($A346,MA_INDIVIDUALES!$B$2:$B923,0),1),"CÓDIGO DE EXPEDIENTE INVÁLIDO"))</f>
        <v/>
      </c>
      <c r="I346" s="76"/>
      <c r="J346" s="76"/>
      <c r="K346" s="75"/>
      <c r="L346" s="74" t="str">
        <f>IF(A346="","",IF(K346="","",_xlfn.WORKDAY.INTL(K346,5,1,FERIADOS)))</f>
        <v/>
      </c>
      <c r="M346" s="76"/>
      <c r="N346" s="75"/>
      <c r="O346" s="76"/>
      <c r="P346" s="77" t="str">
        <f t="shared" si="3"/>
        <v/>
      </c>
      <c r="Q346" s="75"/>
      <c r="R346" s="76"/>
      <c r="S346" s="75"/>
      <c r="T346" s="75"/>
      <c r="U346" s="76"/>
      <c r="V346" s="76"/>
      <c r="W346" s="75"/>
      <c r="X346" s="76"/>
      <c r="Y346" s="29" t="str">
        <f t="shared" si="4"/>
        <v/>
      </c>
      <c r="Z346" s="29" t="str">
        <f t="shared" si="5"/>
        <v/>
      </c>
      <c r="AA346" s="76"/>
      <c r="AB346" s="76"/>
      <c r="AC346" s="75"/>
      <c r="AD346" s="75"/>
      <c r="AE346" s="78" t="str">
        <f>IF(U346="","",IF(AD346="","",_xlfn.WORKDAY.INTL(AD346,7,1,FERIADOS)))</f>
        <v/>
      </c>
      <c r="AF346" s="104"/>
      <c r="AG346" s="80" t="str">
        <f t="array" ref="AG346">IF(A346="","",IF(AF346="","",AF346*INDEX(PARAMETROS!F$2:F1409,MATCH(YEAR(AC346),PARAMETROS!E$2:E1409,0),1)))</f>
        <v/>
      </c>
      <c r="AH346" s="81"/>
      <c r="AI346" s="82"/>
      <c r="AJ346" s="81"/>
      <c r="AK346" s="81"/>
      <c r="AL346" s="76"/>
      <c r="AM346" s="75"/>
      <c r="AN346" s="76"/>
      <c r="AO346" s="95"/>
      <c r="AP346" s="96"/>
      <c r="AQ346" s="85" t="str">
        <f t="shared" si="6"/>
        <v/>
      </c>
      <c r="AR346" s="86" t="str">
        <f t="array" ref="AR346">IF(A346="","",IFERROR(INDEX('2) Etapas'!L$3:L923,MATCH(B346,'2) Etapas'!$A$4:$A923,0),1),-1))</f>
        <v/>
      </c>
      <c r="AS346" s="87" t="str">
        <f t="shared" si="7"/>
        <v/>
      </c>
      <c r="AT346" s="87" t="str">
        <f t="shared" si="8"/>
        <v/>
      </c>
      <c r="AU346" s="87" t="str">
        <f t="shared" si="9"/>
        <v/>
      </c>
      <c r="AV346" s="89" t="str">
        <f t="array" ref="AV346">IF(OR($A346="",$AB346="", $AC346=""),"",MAXA(IF($A346=$A$4:$A923,$AC$4:$AC923)))</f>
        <v/>
      </c>
    </row>
    <row r="347" ht="22.5" customHeight="1">
      <c r="A347" s="76"/>
      <c r="B347" s="68" t="str">
        <f t="shared" si="1"/>
        <v/>
      </c>
      <c r="C347" s="110"/>
      <c r="D347" s="70" t="str">
        <f t="shared" si="2"/>
        <v/>
      </c>
      <c r="E347" s="76"/>
      <c r="F347" s="68" t="str">
        <f t="array" ref="F347">IF($A347="","",IFERROR(INDEX(MA_INDIVIDUALES!C$2:C923, MATCH($A347,MA_INDIVIDUALES!$B$2:$B923,0),1),"CÓDIGO DE EXPEDIENTE INVÁLIDO"))</f>
        <v/>
      </c>
      <c r="G347" s="68" t="str">
        <f t="array" ref="G347">IF($A347="","",IFERROR(INDEX(MA_INDIVIDUALES!K$2:K923, MATCH($A347,MA_INDIVIDUALES!$B$2:$B923,0),1),"CÓDIGO DE EXPEDIENTE INVÁLIDO"))</f>
        <v/>
      </c>
      <c r="H347" s="68" t="str">
        <f t="array" ref="H347">IF($A347="","",IFERROR(INDEX(MA_INDIVIDUALES!L$2:L923, MATCH($A347,MA_INDIVIDUALES!$B$2:$B923,0),1),"CÓDIGO DE EXPEDIENTE INVÁLIDO"))</f>
        <v/>
      </c>
      <c r="I347" s="76"/>
      <c r="J347" s="76"/>
      <c r="K347" s="75"/>
      <c r="L347" s="74" t="str">
        <f>IF(A347="","",IF(K347="","",_xlfn.WORKDAY.INTL(K347,5,1,FERIADOS)))</f>
        <v/>
      </c>
      <c r="M347" s="76"/>
      <c r="N347" s="75"/>
      <c r="O347" s="76"/>
      <c r="P347" s="77" t="str">
        <f t="shared" si="3"/>
        <v/>
      </c>
      <c r="Q347" s="75"/>
      <c r="R347" s="76"/>
      <c r="S347" s="75"/>
      <c r="T347" s="75"/>
      <c r="U347" s="76"/>
      <c r="V347" s="76"/>
      <c r="W347" s="75"/>
      <c r="X347" s="76"/>
      <c r="Y347" s="29" t="str">
        <f t="shared" si="4"/>
        <v/>
      </c>
      <c r="Z347" s="29" t="str">
        <f t="shared" si="5"/>
        <v/>
      </c>
      <c r="AA347" s="76"/>
      <c r="AB347" s="76"/>
      <c r="AC347" s="75"/>
      <c r="AD347" s="75"/>
      <c r="AE347" s="78" t="str">
        <f>IF(U347="","",IF(AD347="","",_xlfn.WORKDAY.INTL(AD347,7,1,FERIADOS)))</f>
        <v/>
      </c>
      <c r="AF347" s="104"/>
      <c r="AG347" s="80" t="str">
        <f t="array" ref="AG347">IF(A347="","",IF(AF347="","",AF347*INDEX(PARAMETROS!F$2:F1410,MATCH(YEAR(AC347),PARAMETROS!E$2:E1410,0),1)))</f>
        <v/>
      </c>
      <c r="AH347" s="81"/>
      <c r="AI347" s="82"/>
      <c r="AJ347" s="81"/>
      <c r="AK347" s="81"/>
      <c r="AL347" s="76"/>
      <c r="AM347" s="75"/>
      <c r="AN347" s="76"/>
      <c r="AO347" s="95"/>
      <c r="AP347" s="96"/>
      <c r="AQ347" s="85" t="str">
        <f t="shared" si="6"/>
        <v/>
      </c>
      <c r="AR347" s="86" t="str">
        <f t="array" ref="AR347">IF(A347="","",IFERROR(INDEX('2) Etapas'!L$3:L923,MATCH(B347,'2) Etapas'!$A$4:$A923,0),1),-1))</f>
        <v/>
      </c>
      <c r="AS347" s="87" t="str">
        <f t="shared" si="7"/>
        <v/>
      </c>
      <c r="AT347" s="87" t="str">
        <f t="shared" si="8"/>
        <v/>
      </c>
      <c r="AU347" s="87" t="str">
        <f t="shared" si="9"/>
        <v/>
      </c>
      <c r="AV347" s="89" t="str">
        <f t="array" ref="AV347">IF(OR($A347="",$AB347="", $AC347=""),"",MAXA(IF($A347=$A$4:$A923,$AC$4:$AC923)))</f>
        <v/>
      </c>
    </row>
    <row r="348" ht="22.5" customHeight="1">
      <c r="A348" s="76"/>
      <c r="B348" s="68" t="str">
        <f t="shared" si="1"/>
        <v/>
      </c>
      <c r="C348" s="110"/>
      <c r="D348" s="70" t="str">
        <f t="shared" si="2"/>
        <v/>
      </c>
      <c r="E348" s="76"/>
      <c r="F348" s="68" t="str">
        <f t="array" ref="F348">IF($A348="","",IFERROR(INDEX(MA_INDIVIDUALES!C$2:C923, MATCH($A348,MA_INDIVIDUALES!$B$2:$B923,0),1),"CÓDIGO DE EXPEDIENTE INVÁLIDO"))</f>
        <v/>
      </c>
      <c r="G348" s="68" t="str">
        <f t="array" ref="G348">IF($A348="","",IFERROR(INDEX(MA_INDIVIDUALES!K$2:K923, MATCH($A348,MA_INDIVIDUALES!$B$2:$B923,0),1),"CÓDIGO DE EXPEDIENTE INVÁLIDO"))</f>
        <v/>
      </c>
      <c r="H348" s="68" t="str">
        <f t="array" ref="H348">IF($A348="","",IFERROR(INDEX(MA_INDIVIDUALES!L$2:L923, MATCH($A348,MA_INDIVIDUALES!$B$2:$B923,0),1),"CÓDIGO DE EXPEDIENTE INVÁLIDO"))</f>
        <v/>
      </c>
      <c r="I348" s="76"/>
      <c r="J348" s="76"/>
      <c r="K348" s="75"/>
      <c r="L348" s="74" t="str">
        <f>IF(A348="","",IF(K348="","",_xlfn.WORKDAY.INTL(K348,5,1,FERIADOS)))</f>
        <v/>
      </c>
      <c r="M348" s="76"/>
      <c r="N348" s="75"/>
      <c r="O348" s="76"/>
      <c r="P348" s="77" t="str">
        <f t="shared" si="3"/>
        <v/>
      </c>
      <c r="Q348" s="75"/>
      <c r="R348" s="76"/>
      <c r="S348" s="75"/>
      <c r="T348" s="75"/>
      <c r="U348" s="76"/>
      <c r="V348" s="76"/>
      <c r="W348" s="75"/>
      <c r="X348" s="76"/>
      <c r="Y348" s="29" t="str">
        <f t="shared" si="4"/>
        <v/>
      </c>
      <c r="Z348" s="29" t="str">
        <f t="shared" si="5"/>
        <v/>
      </c>
      <c r="AA348" s="76"/>
      <c r="AB348" s="76"/>
      <c r="AC348" s="75"/>
      <c r="AD348" s="75"/>
      <c r="AE348" s="78" t="str">
        <f>IF(U348="","",IF(AD348="","",_xlfn.WORKDAY.INTL(AD348,7,1,FERIADOS)))</f>
        <v/>
      </c>
      <c r="AF348" s="104"/>
      <c r="AG348" s="80" t="str">
        <f t="array" ref="AG348">IF(A348="","",IF(AF348="","",AF348*INDEX(PARAMETROS!F$2:F1411,MATCH(YEAR(AC348),PARAMETROS!E$2:E1411,0),1)))</f>
        <v/>
      </c>
      <c r="AH348" s="81"/>
      <c r="AI348" s="82"/>
      <c r="AJ348" s="81"/>
      <c r="AK348" s="81"/>
      <c r="AL348" s="76"/>
      <c r="AM348" s="75"/>
      <c r="AN348" s="76"/>
      <c r="AO348" s="95"/>
      <c r="AP348" s="96"/>
      <c r="AQ348" s="85" t="str">
        <f t="shared" si="6"/>
        <v/>
      </c>
      <c r="AR348" s="86" t="str">
        <f t="array" ref="AR348">IF(A348="","",IFERROR(INDEX('2) Etapas'!L$3:L923,MATCH(B348,'2) Etapas'!$A$4:$A923,0),1),-1))</f>
        <v/>
      </c>
      <c r="AS348" s="87" t="str">
        <f t="shared" si="7"/>
        <v/>
      </c>
      <c r="AT348" s="87" t="str">
        <f t="shared" si="8"/>
        <v/>
      </c>
      <c r="AU348" s="87" t="str">
        <f t="shared" si="9"/>
        <v/>
      </c>
      <c r="AV348" s="89" t="str">
        <f t="array" ref="AV348">IF(OR($A348="",$AB348="", $AC348=""),"",MAXA(IF($A348=$A$4:$A923,$AC$4:$AC923)))</f>
        <v/>
      </c>
    </row>
    <row r="349" ht="22.5" customHeight="1">
      <c r="A349" s="76"/>
      <c r="B349" s="68" t="str">
        <f t="shared" si="1"/>
        <v/>
      </c>
      <c r="C349" s="110"/>
      <c r="D349" s="70" t="str">
        <f t="shared" si="2"/>
        <v/>
      </c>
      <c r="E349" s="76"/>
      <c r="F349" s="68" t="str">
        <f t="array" ref="F349">IF($A349="","",IFERROR(INDEX(MA_INDIVIDUALES!C$2:C923, MATCH($A349,MA_INDIVIDUALES!$B$2:$B923,0),1),"CÓDIGO DE EXPEDIENTE INVÁLIDO"))</f>
        <v/>
      </c>
      <c r="G349" s="68" t="str">
        <f t="array" ref="G349">IF($A349="","",IFERROR(INDEX(MA_INDIVIDUALES!K$2:K923, MATCH($A349,MA_INDIVIDUALES!$B$2:$B923,0),1),"CÓDIGO DE EXPEDIENTE INVÁLIDO"))</f>
        <v/>
      </c>
      <c r="H349" s="68" t="str">
        <f t="array" ref="H349">IF($A349="","",IFERROR(INDEX(MA_INDIVIDUALES!L$2:L923, MATCH($A349,MA_INDIVIDUALES!$B$2:$B923,0),1),"CÓDIGO DE EXPEDIENTE INVÁLIDO"))</f>
        <v/>
      </c>
      <c r="I349" s="76"/>
      <c r="J349" s="76"/>
      <c r="K349" s="75"/>
      <c r="L349" s="74" t="str">
        <f>IF(A349="","",IF(K349="","",_xlfn.WORKDAY.INTL(K349,5,1,FERIADOS)))</f>
        <v/>
      </c>
      <c r="M349" s="76"/>
      <c r="N349" s="75"/>
      <c r="O349" s="76"/>
      <c r="P349" s="77" t="str">
        <f t="shared" si="3"/>
        <v/>
      </c>
      <c r="Q349" s="75"/>
      <c r="R349" s="76"/>
      <c r="S349" s="75"/>
      <c r="T349" s="75"/>
      <c r="U349" s="76"/>
      <c r="V349" s="76"/>
      <c r="W349" s="75"/>
      <c r="X349" s="76"/>
      <c r="Y349" s="29" t="str">
        <f t="shared" si="4"/>
        <v/>
      </c>
      <c r="Z349" s="29" t="str">
        <f t="shared" si="5"/>
        <v/>
      </c>
      <c r="AA349" s="76"/>
      <c r="AB349" s="76"/>
      <c r="AC349" s="75"/>
      <c r="AD349" s="75"/>
      <c r="AE349" s="78" t="str">
        <f>IF(U349="","",IF(AD349="","",_xlfn.WORKDAY.INTL(AD349,7,1,FERIADOS)))</f>
        <v/>
      </c>
      <c r="AF349" s="104"/>
      <c r="AG349" s="80" t="str">
        <f t="array" ref="AG349">IF(A349="","",IF(AF349="","",AF349*INDEX(PARAMETROS!F$2:F1412,MATCH(YEAR(AC349),PARAMETROS!E$2:E1412,0),1)))</f>
        <v/>
      </c>
      <c r="AH349" s="81"/>
      <c r="AI349" s="82"/>
      <c r="AJ349" s="81"/>
      <c r="AK349" s="81"/>
      <c r="AL349" s="76"/>
      <c r="AM349" s="75"/>
      <c r="AN349" s="76"/>
      <c r="AO349" s="95"/>
      <c r="AP349" s="96"/>
      <c r="AQ349" s="85" t="str">
        <f t="shared" si="6"/>
        <v/>
      </c>
      <c r="AR349" s="86" t="str">
        <f t="array" ref="AR349">IF(A349="","",IFERROR(INDEX('2) Etapas'!L$3:L923,MATCH(B349,'2) Etapas'!$A$4:$A923,0),1),-1))</f>
        <v/>
      </c>
      <c r="AS349" s="87" t="str">
        <f t="shared" si="7"/>
        <v/>
      </c>
      <c r="AT349" s="87" t="str">
        <f t="shared" si="8"/>
        <v/>
      </c>
      <c r="AU349" s="87" t="str">
        <f t="shared" si="9"/>
        <v/>
      </c>
      <c r="AV349" s="89" t="str">
        <f t="array" ref="AV349">IF(OR($A349="",$AB349="", $AC349=""),"",MAXA(IF($A349=$A$4:$A923,$AC$4:$AC923)))</f>
        <v/>
      </c>
    </row>
    <row r="350" ht="22.5" customHeight="1">
      <c r="A350" s="76"/>
      <c r="B350" s="68" t="str">
        <f t="shared" si="1"/>
        <v/>
      </c>
      <c r="C350" s="110"/>
      <c r="D350" s="70" t="str">
        <f t="shared" si="2"/>
        <v/>
      </c>
      <c r="E350" s="76"/>
      <c r="F350" s="68" t="str">
        <f t="array" ref="F350">IF($A350="","",IFERROR(INDEX(MA_INDIVIDUALES!C$2:C923, MATCH($A350,MA_INDIVIDUALES!$B$2:$B923,0),1),"CÓDIGO DE EXPEDIENTE INVÁLIDO"))</f>
        <v/>
      </c>
      <c r="G350" s="68" t="str">
        <f t="array" ref="G350">IF($A350="","",IFERROR(INDEX(MA_INDIVIDUALES!K$2:K923, MATCH($A350,MA_INDIVIDUALES!$B$2:$B923,0),1),"CÓDIGO DE EXPEDIENTE INVÁLIDO"))</f>
        <v/>
      </c>
      <c r="H350" s="68" t="str">
        <f t="array" ref="H350">IF($A350="","",IFERROR(INDEX(MA_INDIVIDUALES!L$2:L923, MATCH($A350,MA_INDIVIDUALES!$B$2:$B923,0),1),"CÓDIGO DE EXPEDIENTE INVÁLIDO"))</f>
        <v/>
      </c>
      <c r="I350" s="76"/>
      <c r="J350" s="76"/>
      <c r="K350" s="75"/>
      <c r="L350" s="74" t="str">
        <f>IF(A350="","",IF(K350="","",_xlfn.WORKDAY.INTL(K350,5,1,FERIADOS)))</f>
        <v/>
      </c>
      <c r="M350" s="76"/>
      <c r="N350" s="75"/>
      <c r="O350" s="76"/>
      <c r="P350" s="77" t="str">
        <f t="shared" si="3"/>
        <v/>
      </c>
      <c r="Q350" s="75"/>
      <c r="R350" s="76"/>
      <c r="S350" s="75"/>
      <c r="T350" s="75"/>
      <c r="U350" s="76"/>
      <c r="V350" s="76"/>
      <c r="W350" s="75"/>
      <c r="X350" s="76"/>
      <c r="Y350" s="29" t="str">
        <f t="shared" si="4"/>
        <v/>
      </c>
      <c r="Z350" s="29" t="str">
        <f t="shared" si="5"/>
        <v/>
      </c>
      <c r="AA350" s="76"/>
      <c r="AB350" s="76"/>
      <c r="AC350" s="75"/>
      <c r="AD350" s="75"/>
      <c r="AE350" s="78" t="str">
        <f>IF(U350="","",IF(AD350="","",_xlfn.WORKDAY.INTL(AD350,7,1,FERIADOS)))</f>
        <v/>
      </c>
      <c r="AF350" s="104"/>
      <c r="AG350" s="80" t="str">
        <f t="array" ref="AG350">IF(A350="","",IF(AF350="","",AF350*INDEX(PARAMETROS!F$2:F1413,MATCH(YEAR(AC350),PARAMETROS!E$2:E1413,0),1)))</f>
        <v/>
      </c>
      <c r="AH350" s="81"/>
      <c r="AI350" s="82"/>
      <c r="AJ350" s="81"/>
      <c r="AK350" s="81"/>
      <c r="AL350" s="76"/>
      <c r="AM350" s="75"/>
      <c r="AN350" s="76"/>
      <c r="AO350" s="95"/>
      <c r="AP350" s="96"/>
      <c r="AQ350" s="85" t="str">
        <f t="shared" si="6"/>
        <v/>
      </c>
      <c r="AR350" s="86" t="str">
        <f t="array" ref="AR350">IF(A350="","",IFERROR(INDEX('2) Etapas'!L$3:L923,MATCH(B350,'2) Etapas'!$A$4:$A923,0),1),-1))</f>
        <v/>
      </c>
      <c r="AS350" s="87" t="str">
        <f t="shared" si="7"/>
        <v/>
      </c>
      <c r="AT350" s="87" t="str">
        <f t="shared" si="8"/>
        <v/>
      </c>
      <c r="AU350" s="87" t="str">
        <f t="shared" si="9"/>
        <v/>
      </c>
      <c r="AV350" s="89" t="str">
        <f t="array" ref="AV350">IF(OR($A350="",$AB350="", $AC350=""),"",MAXA(IF($A350=$A$4:$A923,$AC$4:$AC923)))</f>
        <v/>
      </c>
    </row>
    <row r="351" ht="22.5" customHeight="1">
      <c r="A351" s="76"/>
      <c r="B351" s="68" t="str">
        <f t="shared" si="1"/>
        <v/>
      </c>
      <c r="C351" s="110"/>
      <c r="D351" s="70" t="str">
        <f t="shared" si="2"/>
        <v/>
      </c>
      <c r="E351" s="76"/>
      <c r="F351" s="68" t="str">
        <f t="array" ref="F351">IF($A351="","",IFERROR(INDEX(MA_INDIVIDUALES!C$2:C923, MATCH($A351,MA_INDIVIDUALES!$B$2:$B923,0),1),"CÓDIGO DE EXPEDIENTE INVÁLIDO"))</f>
        <v/>
      </c>
      <c r="G351" s="68" t="str">
        <f t="array" ref="G351">IF($A351="","",IFERROR(INDEX(MA_INDIVIDUALES!K$2:K923, MATCH($A351,MA_INDIVIDUALES!$B$2:$B923,0),1),"CÓDIGO DE EXPEDIENTE INVÁLIDO"))</f>
        <v/>
      </c>
      <c r="H351" s="68" t="str">
        <f t="array" ref="H351">IF($A351="","",IFERROR(INDEX(MA_INDIVIDUALES!L$2:L923, MATCH($A351,MA_INDIVIDUALES!$B$2:$B923,0),1),"CÓDIGO DE EXPEDIENTE INVÁLIDO"))</f>
        <v/>
      </c>
      <c r="I351" s="76"/>
      <c r="J351" s="76"/>
      <c r="K351" s="75"/>
      <c r="L351" s="74" t="str">
        <f>IF(A351="","",IF(K351="","",_xlfn.WORKDAY.INTL(K351,5,1,FERIADOS)))</f>
        <v/>
      </c>
      <c r="M351" s="76"/>
      <c r="N351" s="75"/>
      <c r="O351" s="76"/>
      <c r="P351" s="77" t="str">
        <f t="shared" si="3"/>
        <v/>
      </c>
      <c r="Q351" s="75"/>
      <c r="R351" s="76"/>
      <c r="S351" s="75"/>
      <c r="T351" s="75"/>
      <c r="U351" s="76"/>
      <c r="V351" s="76"/>
      <c r="W351" s="75"/>
      <c r="X351" s="76"/>
      <c r="Y351" s="29" t="str">
        <f t="shared" si="4"/>
        <v/>
      </c>
      <c r="Z351" s="29" t="str">
        <f t="shared" si="5"/>
        <v/>
      </c>
      <c r="AA351" s="76"/>
      <c r="AB351" s="76"/>
      <c r="AC351" s="75"/>
      <c r="AD351" s="75"/>
      <c r="AE351" s="78" t="str">
        <f>IF(U351="","",IF(AD351="","",_xlfn.WORKDAY.INTL(AD351,7,1,FERIADOS)))</f>
        <v/>
      </c>
      <c r="AF351" s="104"/>
      <c r="AG351" s="80" t="str">
        <f t="array" ref="AG351">IF(A351="","",IF(AF351="","",AF351*INDEX(PARAMETROS!F$2:F1414,MATCH(YEAR(AC351),PARAMETROS!E$2:E1414,0),1)))</f>
        <v/>
      </c>
      <c r="AH351" s="81"/>
      <c r="AI351" s="82"/>
      <c r="AJ351" s="81"/>
      <c r="AK351" s="81"/>
      <c r="AL351" s="76"/>
      <c r="AM351" s="75"/>
      <c r="AN351" s="76"/>
      <c r="AO351" s="95"/>
      <c r="AP351" s="96"/>
      <c r="AQ351" s="85" t="str">
        <f t="shared" si="6"/>
        <v/>
      </c>
      <c r="AR351" s="86" t="str">
        <f t="array" ref="AR351">IF(A351="","",IFERROR(INDEX('2) Etapas'!L$3:L923,MATCH(B351,'2) Etapas'!$A$4:$A923,0),1),-1))</f>
        <v/>
      </c>
      <c r="AS351" s="87" t="str">
        <f t="shared" si="7"/>
        <v/>
      </c>
      <c r="AT351" s="87" t="str">
        <f t="shared" si="8"/>
        <v/>
      </c>
      <c r="AU351" s="87" t="str">
        <f t="shared" si="9"/>
        <v/>
      </c>
      <c r="AV351" s="89" t="str">
        <f t="array" ref="AV351">IF(OR($A351="",$AB351="", $AC351=""),"",MAXA(IF($A351=$A$4:$A923,$AC$4:$AC923)))</f>
        <v/>
      </c>
    </row>
    <row r="352" ht="22.5" customHeight="1">
      <c r="A352" s="76"/>
      <c r="B352" s="68" t="str">
        <f t="shared" si="1"/>
        <v/>
      </c>
      <c r="C352" s="110"/>
      <c r="D352" s="70" t="str">
        <f t="shared" si="2"/>
        <v/>
      </c>
      <c r="E352" s="76"/>
      <c r="F352" s="68" t="str">
        <f t="array" ref="F352">IF($A352="","",IFERROR(INDEX(MA_INDIVIDUALES!C$2:C923, MATCH($A352,MA_INDIVIDUALES!$B$2:$B923,0),1),"CÓDIGO DE EXPEDIENTE INVÁLIDO"))</f>
        <v/>
      </c>
      <c r="G352" s="68" t="str">
        <f t="array" ref="G352">IF($A352="","",IFERROR(INDEX(MA_INDIVIDUALES!K$2:K923, MATCH($A352,MA_INDIVIDUALES!$B$2:$B923,0),1),"CÓDIGO DE EXPEDIENTE INVÁLIDO"))</f>
        <v/>
      </c>
      <c r="H352" s="68" t="str">
        <f t="array" ref="H352">IF($A352="","",IFERROR(INDEX(MA_INDIVIDUALES!L$2:L923, MATCH($A352,MA_INDIVIDUALES!$B$2:$B923,0),1),"CÓDIGO DE EXPEDIENTE INVÁLIDO"))</f>
        <v/>
      </c>
      <c r="I352" s="76"/>
      <c r="J352" s="76"/>
      <c r="K352" s="75"/>
      <c r="L352" s="74" t="str">
        <f>IF(A352="","",IF(K352="","",_xlfn.WORKDAY.INTL(K352,5,1,FERIADOS)))</f>
        <v/>
      </c>
      <c r="M352" s="76"/>
      <c r="N352" s="75"/>
      <c r="O352" s="76"/>
      <c r="P352" s="77" t="str">
        <f t="shared" si="3"/>
        <v/>
      </c>
      <c r="Q352" s="75"/>
      <c r="R352" s="76"/>
      <c r="S352" s="75"/>
      <c r="T352" s="75"/>
      <c r="U352" s="76"/>
      <c r="V352" s="76"/>
      <c r="W352" s="75"/>
      <c r="X352" s="76"/>
      <c r="Y352" s="29" t="str">
        <f t="shared" si="4"/>
        <v/>
      </c>
      <c r="Z352" s="29" t="str">
        <f t="shared" si="5"/>
        <v/>
      </c>
      <c r="AA352" s="76"/>
      <c r="AB352" s="76"/>
      <c r="AC352" s="75"/>
      <c r="AD352" s="75"/>
      <c r="AE352" s="78" t="str">
        <f>IF(U352="","",IF(AD352="","",_xlfn.WORKDAY.INTL(AD352,7,1,FERIADOS)))</f>
        <v/>
      </c>
      <c r="AF352" s="104"/>
      <c r="AG352" s="80" t="str">
        <f t="array" ref="AG352">IF(A352="","",IF(AF352="","",AF352*INDEX(PARAMETROS!F$2:F1415,MATCH(YEAR(AC352),PARAMETROS!E$2:E1415,0),1)))</f>
        <v/>
      </c>
      <c r="AH352" s="81"/>
      <c r="AI352" s="82"/>
      <c r="AJ352" s="81"/>
      <c r="AK352" s="81"/>
      <c r="AL352" s="76"/>
      <c r="AM352" s="75"/>
      <c r="AN352" s="76"/>
      <c r="AO352" s="95"/>
      <c r="AP352" s="96"/>
      <c r="AQ352" s="85" t="str">
        <f t="shared" si="6"/>
        <v/>
      </c>
      <c r="AR352" s="86" t="str">
        <f t="array" ref="AR352">IF(A352="","",IFERROR(INDEX('2) Etapas'!L$3:L923,MATCH(B352,'2) Etapas'!$A$4:$A923,0),1),-1))</f>
        <v/>
      </c>
      <c r="AS352" s="87" t="str">
        <f t="shared" si="7"/>
        <v/>
      </c>
      <c r="AT352" s="87" t="str">
        <f t="shared" si="8"/>
        <v/>
      </c>
      <c r="AU352" s="87" t="str">
        <f t="shared" si="9"/>
        <v/>
      </c>
      <c r="AV352" s="89" t="str">
        <f t="array" ref="AV352">IF(OR($A352="",$AB352="", $AC352=""),"",MAXA(IF($A352=$A$4:$A923,$AC$4:$AC923)))</f>
        <v/>
      </c>
    </row>
    <row r="353" ht="22.5" customHeight="1">
      <c r="A353" s="76"/>
      <c r="B353" s="68" t="str">
        <f t="shared" si="1"/>
        <v/>
      </c>
      <c r="C353" s="110"/>
      <c r="D353" s="70" t="str">
        <f t="shared" si="2"/>
        <v/>
      </c>
      <c r="E353" s="76"/>
      <c r="F353" s="68" t="str">
        <f t="array" ref="F353">IF($A353="","",IFERROR(INDEX(MA_INDIVIDUALES!C$2:C923, MATCH($A353,MA_INDIVIDUALES!$B$2:$B923,0),1),"CÓDIGO DE EXPEDIENTE INVÁLIDO"))</f>
        <v/>
      </c>
      <c r="G353" s="68" t="str">
        <f t="array" ref="G353">IF($A353="","",IFERROR(INDEX(MA_INDIVIDUALES!K$2:K923, MATCH($A353,MA_INDIVIDUALES!$B$2:$B923,0),1),"CÓDIGO DE EXPEDIENTE INVÁLIDO"))</f>
        <v/>
      </c>
      <c r="H353" s="68" t="str">
        <f t="array" ref="H353">IF($A353="","",IFERROR(INDEX(MA_INDIVIDUALES!L$2:L923, MATCH($A353,MA_INDIVIDUALES!$B$2:$B923,0),1),"CÓDIGO DE EXPEDIENTE INVÁLIDO"))</f>
        <v/>
      </c>
      <c r="I353" s="76"/>
      <c r="J353" s="76"/>
      <c r="K353" s="75"/>
      <c r="L353" s="74" t="str">
        <f>IF(A353="","",IF(K353="","",_xlfn.WORKDAY.INTL(K353,5,1,FERIADOS)))</f>
        <v/>
      </c>
      <c r="M353" s="76"/>
      <c r="N353" s="75"/>
      <c r="O353" s="76"/>
      <c r="P353" s="77" t="str">
        <f t="shared" si="3"/>
        <v/>
      </c>
      <c r="Q353" s="75"/>
      <c r="R353" s="76"/>
      <c r="S353" s="75"/>
      <c r="T353" s="75"/>
      <c r="U353" s="76"/>
      <c r="V353" s="76"/>
      <c r="W353" s="75"/>
      <c r="X353" s="76"/>
      <c r="Y353" s="29" t="str">
        <f t="shared" si="4"/>
        <v/>
      </c>
      <c r="Z353" s="29" t="str">
        <f t="shared" si="5"/>
        <v/>
      </c>
      <c r="AA353" s="76"/>
      <c r="AB353" s="76"/>
      <c r="AC353" s="75"/>
      <c r="AD353" s="75"/>
      <c r="AE353" s="78" t="str">
        <f>IF(U353="","",IF(AD353="","",_xlfn.WORKDAY.INTL(AD353,7,1,FERIADOS)))</f>
        <v/>
      </c>
      <c r="AF353" s="104"/>
      <c r="AG353" s="80" t="str">
        <f t="array" ref="AG353">IF(A353="","",IF(AF353="","",AF353*INDEX(PARAMETROS!F$2:F1416,MATCH(YEAR(AC353),PARAMETROS!E$2:E1416,0),1)))</f>
        <v/>
      </c>
      <c r="AH353" s="81"/>
      <c r="AI353" s="82"/>
      <c r="AJ353" s="81"/>
      <c r="AK353" s="81"/>
      <c r="AL353" s="76"/>
      <c r="AM353" s="75"/>
      <c r="AN353" s="76"/>
      <c r="AO353" s="95"/>
      <c r="AP353" s="96"/>
      <c r="AQ353" s="85" t="str">
        <f t="shared" si="6"/>
        <v/>
      </c>
      <c r="AR353" s="86" t="str">
        <f t="array" ref="AR353">IF(A353="","",IFERROR(INDEX('2) Etapas'!L$3:L923,MATCH(B353,'2) Etapas'!$A$4:$A923,0),1),-1))</f>
        <v/>
      </c>
      <c r="AS353" s="87" t="str">
        <f t="shared" si="7"/>
        <v/>
      </c>
      <c r="AT353" s="87" t="str">
        <f t="shared" si="8"/>
        <v/>
      </c>
      <c r="AU353" s="87" t="str">
        <f t="shared" si="9"/>
        <v/>
      </c>
      <c r="AV353" s="89" t="str">
        <f t="array" ref="AV353">IF(OR($A353="",$AB353="", $AC353=""),"",MAXA(IF($A353=$A$4:$A923,$AC$4:$AC923)))</f>
        <v/>
      </c>
    </row>
    <row r="354" ht="22.5" customHeight="1">
      <c r="A354" s="76"/>
      <c r="B354" s="68" t="str">
        <f t="shared" si="1"/>
        <v/>
      </c>
      <c r="C354" s="110"/>
      <c r="D354" s="70" t="str">
        <f t="shared" si="2"/>
        <v/>
      </c>
      <c r="E354" s="76"/>
      <c r="F354" s="68" t="str">
        <f t="array" ref="F354">IF($A354="","",IFERROR(INDEX(MA_INDIVIDUALES!C$2:C923, MATCH($A354,MA_INDIVIDUALES!$B$2:$B923,0),1),"CÓDIGO DE EXPEDIENTE INVÁLIDO"))</f>
        <v/>
      </c>
      <c r="G354" s="68" t="str">
        <f t="array" ref="G354">IF($A354="","",IFERROR(INDEX(MA_INDIVIDUALES!K$2:K923, MATCH($A354,MA_INDIVIDUALES!$B$2:$B923,0),1),"CÓDIGO DE EXPEDIENTE INVÁLIDO"))</f>
        <v/>
      </c>
      <c r="H354" s="68" t="str">
        <f t="array" ref="H354">IF($A354="","",IFERROR(INDEX(MA_INDIVIDUALES!L$2:L923, MATCH($A354,MA_INDIVIDUALES!$B$2:$B923,0),1),"CÓDIGO DE EXPEDIENTE INVÁLIDO"))</f>
        <v/>
      </c>
      <c r="I354" s="76"/>
      <c r="J354" s="76"/>
      <c r="K354" s="75"/>
      <c r="L354" s="74" t="str">
        <f>IF(A354="","",IF(K354="","",_xlfn.WORKDAY.INTL(K354,5,1,FERIADOS)))</f>
        <v/>
      </c>
      <c r="M354" s="76"/>
      <c r="N354" s="75"/>
      <c r="O354" s="76"/>
      <c r="P354" s="77" t="str">
        <f t="shared" si="3"/>
        <v/>
      </c>
      <c r="Q354" s="75"/>
      <c r="R354" s="76"/>
      <c r="S354" s="75"/>
      <c r="T354" s="75"/>
      <c r="U354" s="76"/>
      <c r="V354" s="76"/>
      <c r="W354" s="75"/>
      <c r="X354" s="76"/>
      <c r="Y354" s="29" t="str">
        <f t="shared" si="4"/>
        <v/>
      </c>
      <c r="Z354" s="29" t="str">
        <f t="shared" si="5"/>
        <v/>
      </c>
      <c r="AA354" s="76"/>
      <c r="AB354" s="76"/>
      <c r="AC354" s="75"/>
      <c r="AD354" s="75"/>
      <c r="AE354" s="78" t="str">
        <f>IF(U354="","",IF(AD354="","",_xlfn.WORKDAY.INTL(AD354,7,1,FERIADOS)))</f>
        <v/>
      </c>
      <c r="AF354" s="104"/>
      <c r="AG354" s="80" t="str">
        <f t="array" ref="AG354">IF(A354="","",IF(AF354="","",AF354*INDEX(PARAMETROS!F$2:F1417,MATCH(YEAR(AC354),PARAMETROS!E$2:E1417,0),1)))</f>
        <v/>
      </c>
      <c r="AH354" s="81"/>
      <c r="AI354" s="82"/>
      <c r="AJ354" s="81"/>
      <c r="AK354" s="81"/>
      <c r="AL354" s="76"/>
      <c r="AM354" s="75"/>
      <c r="AN354" s="76"/>
      <c r="AO354" s="95"/>
      <c r="AP354" s="96"/>
      <c r="AQ354" s="85" t="str">
        <f t="shared" si="6"/>
        <v/>
      </c>
      <c r="AR354" s="86" t="str">
        <f t="array" ref="AR354">IF(A354="","",IFERROR(INDEX('2) Etapas'!L$3:L923,MATCH(B354,'2) Etapas'!$A$4:$A923,0),1),-1))</f>
        <v/>
      </c>
      <c r="AS354" s="87" t="str">
        <f t="shared" si="7"/>
        <v/>
      </c>
      <c r="AT354" s="87" t="str">
        <f t="shared" si="8"/>
        <v/>
      </c>
      <c r="AU354" s="87" t="str">
        <f t="shared" si="9"/>
        <v/>
      </c>
      <c r="AV354" s="89" t="str">
        <f t="array" ref="AV354">IF(OR($A354="",$AB354="", $AC354=""),"",MAXA(IF($A354=$A$4:$A923,$AC$4:$AC923)))</f>
        <v/>
      </c>
    </row>
    <row r="355" ht="22.5" customHeight="1">
      <c r="A355" s="76"/>
      <c r="B355" s="68" t="str">
        <f t="shared" si="1"/>
        <v/>
      </c>
      <c r="C355" s="110"/>
      <c r="D355" s="70" t="str">
        <f t="shared" si="2"/>
        <v/>
      </c>
      <c r="E355" s="76"/>
      <c r="F355" s="68" t="str">
        <f t="array" ref="F355">IF($A355="","",IFERROR(INDEX(MA_INDIVIDUALES!C$2:C923, MATCH($A355,MA_INDIVIDUALES!$B$2:$B923,0),1),"CÓDIGO DE EXPEDIENTE INVÁLIDO"))</f>
        <v/>
      </c>
      <c r="G355" s="68" t="str">
        <f t="array" ref="G355">IF($A355="","",IFERROR(INDEX(MA_INDIVIDUALES!K$2:K923, MATCH($A355,MA_INDIVIDUALES!$B$2:$B923,0),1),"CÓDIGO DE EXPEDIENTE INVÁLIDO"))</f>
        <v/>
      </c>
      <c r="H355" s="68" t="str">
        <f t="array" ref="H355">IF($A355="","",IFERROR(INDEX(MA_INDIVIDUALES!L$2:L923, MATCH($A355,MA_INDIVIDUALES!$B$2:$B923,0),1),"CÓDIGO DE EXPEDIENTE INVÁLIDO"))</f>
        <v/>
      </c>
      <c r="I355" s="76"/>
      <c r="J355" s="76"/>
      <c r="K355" s="75"/>
      <c r="L355" s="74" t="str">
        <f>IF(A355="","",IF(K355="","",_xlfn.WORKDAY.INTL(K355,5,1,FERIADOS)))</f>
        <v/>
      </c>
      <c r="M355" s="76"/>
      <c r="N355" s="75"/>
      <c r="O355" s="76"/>
      <c r="P355" s="77" t="str">
        <f t="shared" si="3"/>
        <v/>
      </c>
      <c r="Q355" s="75"/>
      <c r="R355" s="76"/>
      <c r="S355" s="75"/>
      <c r="T355" s="75"/>
      <c r="U355" s="76"/>
      <c r="V355" s="76"/>
      <c r="W355" s="75"/>
      <c r="X355" s="76"/>
      <c r="Y355" s="29" t="str">
        <f t="shared" si="4"/>
        <v/>
      </c>
      <c r="Z355" s="29" t="str">
        <f t="shared" si="5"/>
        <v/>
      </c>
      <c r="AA355" s="76"/>
      <c r="AB355" s="76"/>
      <c r="AC355" s="75"/>
      <c r="AD355" s="75"/>
      <c r="AE355" s="78" t="str">
        <f>IF(U355="","",IF(AD355="","",_xlfn.WORKDAY.INTL(AD355,7,1,FERIADOS)))</f>
        <v/>
      </c>
      <c r="AF355" s="104"/>
      <c r="AG355" s="80" t="str">
        <f t="array" ref="AG355">IF(A355="","",IF(AF355="","",AF355*INDEX(PARAMETROS!F$2:F1418,MATCH(YEAR(AC355),PARAMETROS!E$2:E1418,0),1)))</f>
        <v/>
      </c>
      <c r="AH355" s="81"/>
      <c r="AI355" s="82"/>
      <c r="AJ355" s="81"/>
      <c r="AK355" s="81"/>
      <c r="AL355" s="76"/>
      <c r="AM355" s="75"/>
      <c r="AN355" s="76"/>
      <c r="AO355" s="95"/>
      <c r="AP355" s="96"/>
      <c r="AQ355" s="85" t="str">
        <f t="shared" si="6"/>
        <v/>
      </c>
      <c r="AR355" s="86" t="str">
        <f t="array" ref="AR355">IF(A355="","",IFERROR(INDEX('2) Etapas'!L$3:L923,MATCH(B355,'2) Etapas'!$A$4:$A923,0),1),-1))</f>
        <v/>
      </c>
      <c r="AS355" s="87" t="str">
        <f t="shared" si="7"/>
        <v/>
      </c>
      <c r="AT355" s="87" t="str">
        <f t="shared" si="8"/>
        <v/>
      </c>
      <c r="AU355" s="87" t="str">
        <f t="shared" si="9"/>
        <v/>
      </c>
      <c r="AV355" s="89" t="str">
        <f t="array" ref="AV355">IF(OR($A355="",$AB355="", $AC355=""),"",MAXA(IF($A355=$A$4:$A923,$AC$4:$AC923)))</f>
        <v/>
      </c>
    </row>
    <row r="356" ht="22.5" customHeight="1">
      <c r="A356" s="76"/>
      <c r="B356" s="68" t="str">
        <f t="shared" si="1"/>
        <v/>
      </c>
      <c r="C356" s="110"/>
      <c r="D356" s="70" t="str">
        <f t="shared" si="2"/>
        <v/>
      </c>
      <c r="E356" s="76"/>
      <c r="F356" s="68" t="str">
        <f t="array" ref="F356">IF($A356="","",IFERROR(INDEX(MA_INDIVIDUALES!C$2:C923, MATCH($A356,MA_INDIVIDUALES!$B$2:$B923,0),1),"CÓDIGO DE EXPEDIENTE INVÁLIDO"))</f>
        <v/>
      </c>
      <c r="G356" s="68" t="str">
        <f t="array" ref="G356">IF($A356="","",IFERROR(INDEX(MA_INDIVIDUALES!K$2:K923, MATCH($A356,MA_INDIVIDUALES!$B$2:$B923,0),1),"CÓDIGO DE EXPEDIENTE INVÁLIDO"))</f>
        <v/>
      </c>
      <c r="H356" s="68" t="str">
        <f t="array" ref="H356">IF($A356="","",IFERROR(INDEX(MA_INDIVIDUALES!L$2:L923, MATCH($A356,MA_INDIVIDUALES!$B$2:$B923,0),1),"CÓDIGO DE EXPEDIENTE INVÁLIDO"))</f>
        <v/>
      </c>
      <c r="I356" s="76"/>
      <c r="J356" s="76"/>
      <c r="K356" s="75"/>
      <c r="L356" s="74" t="str">
        <f>IF(A356="","",IF(K356="","",_xlfn.WORKDAY.INTL(K356,5,1,FERIADOS)))</f>
        <v/>
      </c>
      <c r="M356" s="76"/>
      <c r="N356" s="75"/>
      <c r="O356" s="76"/>
      <c r="P356" s="77" t="str">
        <f t="shared" si="3"/>
        <v/>
      </c>
      <c r="Q356" s="75"/>
      <c r="R356" s="76"/>
      <c r="S356" s="75"/>
      <c r="T356" s="75"/>
      <c r="U356" s="76"/>
      <c r="V356" s="76"/>
      <c r="W356" s="75"/>
      <c r="X356" s="76"/>
      <c r="Y356" s="29" t="str">
        <f t="shared" si="4"/>
        <v/>
      </c>
      <c r="Z356" s="29" t="str">
        <f t="shared" si="5"/>
        <v/>
      </c>
      <c r="AA356" s="76"/>
      <c r="AB356" s="76"/>
      <c r="AC356" s="75"/>
      <c r="AD356" s="75"/>
      <c r="AE356" s="78" t="str">
        <f>IF(U356="","",IF(AD356="","",_xlfn.WORKDAY.INTL(AD356,7,1,FERIADOS)))</f>
        <v/>
      </c>
      <c r="AF356" s="104"/>
      <c r="AG356" s="80" t="str">
        <f t="array" ref="AG356">IF(A356="","",IF(AF356="","",AF356*INDEX(PARAMETROS!F$2:F1419,MATCH(YEAR(AC356),PARAMETROS!E$2:E1419,0),1)))</f>
        <v/>
      </c>
      <c r="AH356" s="81"/>
      <c r="AI356" s="82"/>
      <c r="AJ356" s="81"/>
      <c r="AK356" s="81"/>
      <c r="AL356" s="76"/>
      <c r="AM356" s="75"/>
      <c r="AN356" s="76"/>
      <c r="AO356" s="95"/>
      <c r="AP356" s="96"/>
      <c r="AQ356" s="85" t="str">
        <f t="shared" si="6"/>
        <v/>
      </c>
      <c r="AR356" s="86" t="str">
        <f t="array" ref="AR356">IF(A356="","",IFERROR(INDEX('2) Etapas'!L$3:L923,MATCH(B356,'2) Etapas'!$A$4:$A923,0),1),-1))</f>
        <v/>
      </c>
      <c r="AS356" s="87" t="str">
        <f t="shared" si="7"/>
        <v/>
      </c>
      <c r="AT356" s="87" t="str">
        <f t="shared" si="8"/>
        <v/>
      </c>
      <c r="AU356" s="87" t="str">
        <f t="shared" si="9"/>
        <v/>
      </c>
      <c r="AV356" s="89" t="str">
        <f t="array" ref="AV356">IF(OR($A356="",$AB356="", $AC356=""),"",MAXA(IF($A356=$A$4:$A923,$AC$4:$AC923)))</f>
        <v/>
      </c>
    </row>
    <row r="357" ht="22.5" customHeight="1">
      <c r="A357" s="76"/>
      <c r="B357" s="68" t="str">
        <f t="shared" si="1"/>
        <v/>
      </c>
      <c r="C357" s="110"/>
      <c r="D357" s="70" t="str">
        <f t="shared" si="2"/>
        <v/>
      </c>
      <c r="E357" s="76"/>
      <c r="F357" s="68" t="str">
        <f t="array" ref="F357">IF($A357="","",IFERROR(INDEX(MA_INDIVIDUALES!C$2:C923, MATCH($A357,MA_INDIVIDUALES!$B$2:$B923,0),1),"CÓDIGO DE EXPEDIENTE INVÁLIDO"))</f>
        <v/>
      </c>
      <c r="G357" s="68" t="str">
        <f t="array" ref="G357">IF($A357="","",IFERROR(INDEX(MA_INDIVIDUALES!K$2:K923, MATCH($A357,MA_INDIVIDUALES!$B$2:$B923,0),1),"CÓDIGO DE EXPEDIENTE INVÁLIDO"))</f>
        <v/>
      </c>
      <c r="H357" s="68" t="str">
        <f t="array" ref="H357">IF($A357="","",IFERROR(INDEX(MA_INDIVIDUALES!L$2:L923, MATCH($A357,MA_INDIVIDUALES!$B$2:$B923,0),1),"CÓDIGO DE EXPEDIENTE INVÁLIDO"))</f>
        <v/>
      </c>
      <c r="I357" s="76"/>
      <c r="J357" s="76"/>
      <c r="K357" s="75"/>
      <c r="L357" s="74" t="str">
        <f>IF(A357="","",IF(K357="","",_xlfn.WORKDAY.INTL(K357,5,1,FERIADOS)))</f>
        <v/>
      </c>
      <c r="M357" s="76"/>
      <c r="N357" s="75"/>
      <c r="O357" s="76"/>
      <c r="P357" s="77" t="str">
        <f t="shared" si="3"/>
        <v/>
      </c>
      <c r="Q357" s="75"/>
      <c r="R357" s="76"/>
      <c r="S357" s="75"/>
      <c r="T357" s="75"/>
      <c r="U357" s="76"/>
      <c r="V357" s="76"/>
      <c r="W357" s="75"/>
      <c r="X357" s="76"/>
      <c r="Y357" s="29" t="str">
        <f t="shared" si="4"/>
        <v/>
      </c>
      <c r="Z357" s="29" t="str">
        <f t="shared" si="5"/>
        <v/>
      </c>
      <c r="AA357" s="76"/>
      <c r="AB357" s="76"/>
      <c r="AC357" s="75"/>
      <c r="AD357" s="75"/>
      <c r="AE357" s="78" t="str">
        <f>IF(U357="","",IF(AD357="","",_xlfn.WORKDAY.INTL(AD357,7,1,FERIADOS)))</f>
        <v/>
      </c>
      <c r="AF357" s="104"/>
      <c r="AG357" s="80" t="str">
        <f t="array" ref="AG357">IF(A357="","",IF(AF357="","",AF357*INDEX(PARAMETROS!F$2:F1420,MATCH(YEAR(AC357),PARAMETROS!E$2:E1420,0),1)))</f>
        <v/>
      </c>
      <c r="AH357" s="81"/>
      <c r="AI357" s="82"/>
      <c r="AJ357" s="81"/>
      <c r="AK357" s="81"/>
      <c r="AL357" s="76"/>
      <c r="AM357" s="75"/>
      <c r="AN357" s="76"/>
      <c r="AO357" s="95"/>
      <c r="AP357" s="96"/>
      <c r="AQ357" s="85" t="str">
        <f t="shared" si="6"/>
        <v/>
      </c>
      <c r="AR357" s="86" t="str">
        <f t="array" ref="AR357">IF(A357="","",IFERROR(INDEX('2) Etapas'!L$3:L923,MATCH(B357,'2) Etapas'!$A$4:$A923,0),1),-1))</f>
        <v/>
      </c>
      <c r="AS357" s="87" t="str">
        <f t="shared" si="7"/>
        <v/>
      </c>
      <c r="AT357" s="87" t="str">
        <f t="shared" si="8"/>
        <v/>
      </c>
      <c r="AU357" s="87" t="str">
        <f t="shared" si="9"/>
        <v/>
      </c>
      <c r="AV357" s="89" t="str">
        <f t="array" ref="AV357">IF(OR($A357="",$AB357="", $AC357=""),"",MAXA(IF($A357=$A$4:$A923,$AC$4:$AC923)))</f>
        <v/>
      </c>
    </row>
    <row r="358" ht="22.5" customHeight="1">
      <c r="A358" s="76"/>
      <c r="B358" s="68" t="str">
        <f t="shared" si="1"/>
        <v/>
      </c>
      <c r="C358" s="110"/>
      <c r="D358" s="70" t="str">
        <f t="shared" si="2"/>
        <v/>
      </c>
      <c r="E358" s="76"/>
      <c r="F358" s="68" t="str">
        <f t="array" ref="F358">IF($A358="","",IFERROR(INDEX(MA_INDIVIDUALES!C$2:C923, MATCH($A358,MA_INDIVIDUALES!$B$2:$B923,0),1),"CÓDIGO DE EXPEDIENTE INVÁLIDO"))</f>
        <v/>
      </c>
      <c r="G358" s="68" t="str">
        <f t="array" ref="G358">IF($A358="","",IFERROR(INDEX(MA_INDIVIDUALES!K$2:K923, MATCH($A358,MA_INDIVIDUALES!$B$2:$B923,0),1),"CÓDIGO DE EXPEDIENTE INVÁLIDO"))</f>
        <v/>
      </c>
      <c r="H358" s="68" t="str">
        <f t="array" ref="H358">IF($A358="","",IFERROR(INDEX(MA_INDIVIDUALES!L$2:L923, MATCH($A358,MA_INDIVIDUALES!$B$2:$B923,0),1),"CÓDIGO DE EXPEDIENTE INVÁLIDO"))</f>
        <v/>
      </c>
      <c r="I358" s="76"/>
      <c r="J358" s="76"/>
      <c r="K358" s="75"/>
      <c r="L358" s="74" t="str">
        <f>IF(A358="","",IF(K358="","",_xlfn.WORKDAY.INTL(K358,5,1,FERIADOS)))</f>
        <v/>
      </c>
      <c r="M358" s="76"/>
      <c r="N358" s="75"/>
      <c r="O358" s="76"/>
      <c r="P358" s="77" t="str">
        <f t="shared" si="3"/>
        <v/>
      </c>
      <c r="Q358" s="75"/>
      <c r="R358" s="76"/>
      <c r="S358" s="75"/>
      <c r="T358" s="75"/>
      <c r="U358" s="76"/>
      <c r="V358" s="76"/>
      <c r="W358" s="75"/>
      <c r="X358" s="76"/>
      <c r="Y358" s="29" t="str">
        <f t="shared" si="4"/>
        <v/>
      </c>
      <c r="Z358" s="29" t="str">
        <f t="shared" si="5"/>
        <v/>
      </c>
      <c r="AA358" s="76"/>
      <c r="AB358" s="76"/>
      <c r="AC358" s="75"/>
      <c r="AD358" s="75"/>
      <c r="AE358" s="78" t="str">
        <f>IF(U358="","",IF(AD358="","",_xlfn.WORKDAY.INTL(AD358,7,1,FERIADOS)))</f>
        <v/>
      </c>
      <c r="AF358" s="104"/>
      <c r="AG358" s="80" t="str">
        <f t="array" ref="AG358">IF(A358="","",IF(AF358="","",AF358*INDEX(PARAMETROS!F$2:F1421,MATCH(YEAR(AC358),PARAMETROS!E$2:E1421,0),1)))</f>
        <v/>
      </c>
      <c r="AH358" s="81"/>
      <c r="AI358" s="82"/>
      <c r="AJ358" s="81"/>
      <c r="AK358" s="81"/>
      <c r="AL358" s="76"/>
      <c r="AM358" s="75"/>
      <c r="AN358" s="76"/>
      <c r="AO358" s="95"/>
      <c r="AP358" s="96"/>
      <c r="AQ358" s="85" t="str">
        <f t="shared" si="6"/>
        <v/>
      </c>
      <c r="AR358" s="86" t="str">
        <f t="array" ref="AR358">IF(A358="","",IFERROR(INDEX('2) Etapas'!L$3:L923,MATCH(B358,'2) Etapas'!$A$4:$A923,0),1),-1))</f>
        <v/>
      </c>
      <c r="AS358" s="87" t="str">
        <f t="shared" si="7"/>
        <v/>
      </c>
      <c r="AT358" s="87" t="str">
        <f t="shared" si="8"/>
        <v/>
      </c>
      <c r="AU358" s="87" t="str">
        <f t="shared" si="9"/>
        <v/>
      </c>
      <c r="AV358" s="89" t="str">
        <f t="array" ref="AV358">IF(OR($A358="",$AB358="", $AC358=""),"",MAXA(IF($A358=$A$4:$A923,$AC$4:$AC923)))</f>
        <v/>
      </c>
    </row>
    <row r="359" ht="22.5" customHeight="1">
      <c r="A359" s="76"/>
      <c r="B359" s="68" t="str">
        <f t="shared" si="1"/>
        <v/>
      </c>
      <c r="C359" s="110"/>
      <c r="D359" s="70" t="str">
        <f t="shared" si="2"/>
        <v/>
      </c>
      <c r="E359" s="76"/>
      <c r="F359" s="68" t="str">
        <f t="array" ref="F359">IF($A359="","",IFERROR(INDEX(MA_INDIVIDUALES!C$2:C923, MATCH($A359,MA_INDIVIDUALES!$B$2:$B923,0),1),"CÓDIGO DE EXPEDIENTE INVÁLIDO"))</f>
        <v/>
      </c>
      <c r="G359" s="68" t="str">
        <f t="array" ref="G359">IF($A359="","",IFERROR(INDEX(MA_INDIVIDUALES!K$2:K923, MATCH($A359,MA_INDIVIDUALES!$B$2:$B923,0),1),"CÓDIGO DE EXPEDIENTE INVÁLIDO"))</f>
        <v/>
      </c>
      <c r="H359" s="68" t="str">
        <f t="array" ref="H359">IF($A359="","",IFERROR(INDEX(MA_INDIVIDUALES!L$2:L923, MATCH($A359,MA_INDIVIDUALES!$B$2:$B923,0),1),"CÓDIGO DE EXPEDIENTE INVÁLIDO"))</f>
        <v/>
      </c>
      <c r="I359" s="76"/>
      <c r="J359" s="76"/>
      <c r="K359" s="75"/>
      <c r="L359" s="74" t="str">
        <f>IF(A359="","",IF(K359="","",_xlfn.WORKDAY.INTL(K359,5,1,FERIADOS)))</f>
        <v/>
      </c>
      <c r="M359" s="76"/>
      <c r="N359" s="75"/>
      <c r="O359" s="76"/>
      <c r="P359" s="77" t="str">
        <f t="shared" si="3"/>
        <v/>
      </c>
      <c r="Q359" s="75"/>
      <c r="R359" s="76"/>
      <c r="S359" s="75"/>
      <c r="T359" s="75"/>
      <c r="U359" s="76"/>
      <c r="V359" s="76"/>
      <c r="W359" s="75"/>
      <c r="X359" s="76"/>
      <c r="Y359" s="29" t="str">
        <f t="shared" si="4"/>
        <v/>
      </c>
      <c r="Z359" s="29" t="str">
        <f t="shared" si="5"/>
        <v/>
      </c>
      <c r="AA359" s="76"/>
      <c r="AB359" s="76"/>
      <c r="AC359" s="75"/>
      <c r="AD359" s="75"/>
      <c r="AE359" s="78" t="str">
        <f>IF(U359="","",IF(AD359="","",_xlfn.WORKDAY.INTL(AD359,7,1,FERIADOS)))</f>
        <v/>
      </c>
      <c r="AF359" s="104"/>
      <c r="AG359" s="80" t="str">
        <f t="array" ref="AG359">IF(A359="","",IF(AF359="","",AF359*INDEX(PARAMETROS!F$2:F1422,MATCH(YEAR(AC359),PARAMETROS!E$2:E1422,0),1)))</f>
        <v/>
      </c>
      <c r="AH359" s="81"/>
      <c r="AI359" s="82"/>
      <c r="AJ359" s="81"/>
      <c r="AK359" s="81"/>
      <c r="AL359" s="76"/>
      <c r="AM359" s="75"/>
      <c r="AN359" s="76"/>
      <c r="AO359" s="95"/>
      <c r="AP359" s="96"/>
      <c r="AQ359" s="85" t="str">
        <f t="shared" si="6"/>
        <v/>
      </c>
      <c r="AR359" s="86" t="str">
        <f t="array" ref="AR359">IF(A359="","",IFERROR(INDEX('2) Etapas'!L$3:L923,MATCH(B359,'2) Etapas'!$A$4:$A923,0),1),-1))</f>
        <v/>
      </c>
      <c r="AS359" s="87" t="str">
        <f t="shared" si="7"/>
        <v/>
      </c>
      <c r="AT359" s="87" t="str">
        <f t="shared" si="8"/>
        <v/>
      </c>
      <c r="AU359" s="87" t="str">
        <f t="shared" si="9"/>
        <v/>
      </c>
      <c r="AV359" s="89" t="str">
        <f t="array" ref="AV359">IF(OR($A359="",$AB359="", $AC359=""),"",MAXA(IF($A359=$A$4:$A923,$AC$4:$AC923)))</f>
        <v/>
      </c>
    </row>
    <row r="360" ht="22.5" customHeight="1">
      <c r="A360" s="76"/>
      <c r="B360" s="68" t="str">
        <f t="shared" si="1"/>
        <v/>
      </c>
      <c r="C360" s="110"/>
      <c r="D360" s="70" t="str">
        <f t="shared" si="2"/>
        <v/>
      </c>
      <c r="E360" s="76"/>
      <c r="F360" s="68" t="str">
        <f t="array" ref="F360">IF($A360="","",IFERROR(INDEX(MA_INDIVIDUALES!C$2:C923, MATCH($A360,MA_INDIVIDUALES!$B$2:$B923,0),1),"CÓDIGO DE EXPEDIENTE INVÁLIDO"))</f>
        <v/>
      </c>
      <c r="G360" s="68" t="str">
        <f t="array" ref="G360">IF($A360="","",IFERROR(INDEX(MA_INDIVIDUALES!K$2:K923, MATCH($A360,MA_INDIVIDUALES!$B$2:$B923,0),1),"CÓDIGO DE EXPEDIENTE INVÁLIDO"))</f>
        <v/>
      </c>
      <c r="H360" s="68" t="str">
        <f t="array" ref="H360">IF($A360="","",IFERROR(INDEX(MA_INDIVIDUALES!L$2:L923, MATCH($A360,MA_INDIVIDUALES!$B$2:$B923,0),1),"CÓDIGO DE EXPEDIENTE INVÁLIDO"))</f>
        <v/>
      </c>
      <c r="I360" s="76"/>
      <c r="J360" s="76"/>
      <c r="K360" s="75"/>
      <c r="L360" s="74" t="str">
        <f>IF(A360="","",IF(K360="","",_xlfn.WORKDAY.INTL(K360,5,1,FERIADOS)))</f>
        <v/>
      </c>
      <c r="M360" s="76"/>
      <c r="N360" s="75"/>
      <c r="O360" s="76"/>
      <c r="P360" s="77" t="str">
        <f t="shared" si="3"/>
        <v/>
      </c>
      <c r="Q360" s="75"/>
      <c r="R360" s="76"/>
      <c r="S360" s="75"/>
      <c r="T360" s="75"/>
      <c r="U360" s="76"/>
      <c r="V360" s="76"/>
      <c r="W360" s="75"/>
      <c r="X360" s="76"/>
      <c r="Y360" s="29" t="str">
        <f t="shared" si="4"/>
        <v/>
      </c>
      <c r="Z360" s="29" t="str">
        <f t="shared" si="5"/>
        <v/>
      </c>
      <c r="AA360" s="76"/>
      <c r="AB360" s="76"/>
      <c r="AC360" s="75"/>
      <c r="AD360" s="75"/>
      <c r="AE360" s="78" t="str">
        <f>IF(U360="","",IF(AD360="","",_xlfn.WORKDAY.INTL(AD360,7,1,FERIADOS)))</f>
        <v/>
      </c>
      <c r="AF360" s="104"/>
      <c r="AG360" s="80" t="str">
        <f t="array" ref="AG360">IF(A360="","",IF(AF360="","",AF360*INDEX(PARAMETROS!F$2:F1423,MATCH(YEAR(AC360),PARAMETROS!E$2:E1423,0),1)))</f>
        <v/>
      </c>
      <c r="AH360" s="81"/>
      <c r="AI360" s="82"/>
      <c r="AJ360" s="81"/>
      <c r="AK360" s="81"/>
      <c r="AL360" s="76"/>
      <c r="AM360" s="75"/>
      <c r="AN360" s="76"/>
      <c r="AO360" s="95"/>
      <c r="AP360" s="96"/>
      <c r="AQ360" s="85" t="str">
        <f t="shared" si="6"/>
        <v/>
      </c>
      <c r="AR360" s="86" t="str">
        <f t="array" ref="AR360">IF(A360="","",IFERROR(INDEX('2) Etapas'!L$3:L923,MATCH(B360,'2) Etapas'!$A$4:$A923,0),1),-1))</f>
        <v/>
      </c>
      <c r="AS360" s="87" t="str">
        <f t="shared" si="7"/>
        <v/>
      </c>
      <c r="AT360" s="87" t="str">
        <f t="shared" si="8"/>
        <v/>
      </c>
      <c r="AU360" s="87" t="str">
        <f t="shared" si="9"/>
        <v/>
      </c>
      <c r="AV360" s="89" t="str">
        <f t="array" ref="AV360">IF(OR($A360="",$AB360="", $AC360=""),"",MAXA(IF($A360=$A$4:$A923,$AC$4:$AC923)))</f>
        <v/>
      </c>
    </row>
    <row r="361" ht="22.5" customHeight="1">
      <c r="A361" s="76"/>
      <c r="B361" s="68" t="str">
        <f t="shared" si="1"/>
        <v/>
      </c>
      <c r="C361" s="110"/>
      <c r="D361" s="70" t="str">
        <f t="shared" si="2"/>
        <v/>
      </c>
      <c r="E361" s="76"/>
      <c r="F361" s="68" t="str">
        <f t="array" ref="F361">IF($A361="","",IFERROR(INDEX(MA_INDIVIDUALES!C$2:C923, MATCH($A361,MA_INDIVIDUALES!$B$2:$B923,0),1),"CÓDIGO DE EXPEDIENTE INVÁLIDO"))</f>
        <v/>
      </c>
      <c r="G361" s="68" t="str">
        <f t="array" ref="G361">IF($A361="","",IFERROR(INDEX(MA_INDIVIDUALES!K$2:K923, MATCH($A361,MA_INDIVIDUALES!$B$2:$B923,0),1),"CÓDIGO DE EXPEDIENTE INVÁLIDO"))</f>
        <v/>
      </c>
      <c r="H361" s="68" t="str">
        <f t="array" ref="H361">IF($A361="","",IFERROR(INDEX(MA_INDIVIDUALES!L$2:L923, MATCH($A361,MA_INDIVIDUALES!$B$2:$B923,0),1),"CÓDIGO DE EXPEDIENTE INVÁLIDO"))</f>
        <v/>
      </c>
      <c r="I361" s="76"/>
      <c r="J361" s="76"/>
      <c r="K361" s="75"/>
      <c r="L361" s="74" t="str">
        <f>IF(A361="","",IF(K361="","",_xlfn.WORKDAY.INTL(K361,5,1,FERIADOS)))</f>
        <v/>
      </c>
      <c r="M361" s="76"/>
      <c r="N361" s="75"/>
      <c r="O361" s="76"/>
      <c r="P361" s="77" t="str">
        <f t="shared" si="3"/>
        <v/>
      </c>
      <c r="Q361" s="75"/>
      <c r="R361" s="76"/>
      <c r="S361" s="75"/>
      <c r="T361" s="75"/>
      <c r="U361" s="76"/>
      <c r="V361" s="76"/>
      <c r="W361" s="75"/>
      <c r="X361" s="76"/>
      <c r="Y361" s="29" t="str">
        <f t="shared" si="4"/>
        <v/>
      </c>
      <c r="Z361" s="29" t="str">
        <f t="shared" si="5"/>
        <v/>
      </c>
      <c r="AA361" s="76"/>
      <c r="AB361" s="76"/>
      <c r="AC361" s="75"/>
      <c r="AD361" s="75"/>
      <c r="AE361" s="78" t="str">
        <f>IF(U361="","",IF(AD361="","",_xlfn.WORKDAY.INTL(AD361,7,1,FERIADOS)))</f>
        <v/>
      </c>
      <c r="AF361" s="104"/>
      <c r="AG361" s="80" t="str">
        <f t="array" ref="AG361">IF(A361="","",IF(AF361="","",AF361*INDEX(PARAMETROS!F$2:F1424,MATCH(YEAR(AC361),PARAMETROS!E$2:E1424,0),1)))</f>
        <v/>
      </c>
      <c r="AH361" s="81"/>
      <c r="AI361" s="82"/>
      <c r="AJ361" s="81"/>
      <c r="AK361" s="81"/>
      <c r="AL361" s="76"/>
      <c r="AM361" s="75"/>
      <c r="AN361" s="76"/>
      <c r="AO361" s="95"/>
      <c r="AP361" s="96"/>
      <c r="AQ361" s="85" t="str">
        <f t="shared" si="6"/>
        <v/>
      </c>
      <c r="AR361" s="86" t="str">
        <f t="array" ref="AR361">IF(A361="","",IFERROR(INDEX('2) Etapas'!L$3:L923,MATCH(B361,'2) Etapas'!$A$4:$A923,0),1),-1))</f>
        <v/>
      </c>
      <c r="AS361" s="87" t="str">
        <f t="shared" si="7"/>
        <v/>
      </c>
      <c r="AT361" s="87" t="str">
        <f t="shared" si="8"/>
        <v/>
      </c>
      <c r="AU361" s="87" t="str">
        <f t="shared" si="9"/>
        <v/>
      </c>
      <c r="AV361" s="89" t="str">
        <f t="array" ref="AV361">IF(OR($A361="",$AB361="", $AC361=""),"",MAXA(IF($A361=$A$4:$A923,$AC$4:$AC923)))</f>
        <v/>
      </c>
    </row>
    <row r="362" ht="22.5" customHeight="1">
      <c r="A362" s="76"/>
      <c r="B362" s="68" t="str">
        <f t="shared" si="1"/>
        <v/>
      </c>
      <c r="C362" s="110"/>
      <c r="D362" s="70" t="str">
        <f t="shared" si="2"/>
        <v/>
      </c>
      <c r="E362" s="76"/>
      <c r="F362" s="68" t="str">
        <f t="array" ref="F362">IF($A362="","",IFERROR(INDEX(MA_INDIVIDUALES!C$2:C923, MATCH($A362,MA_INDIVIDUALES!$B$2:$B923,0),1),"CÓDIGO DE EXPEDIENTE INVÁLIDO"))</f>
        <v/>
      </c>
      <c r="G362" s="68" t="str">
        <f t="array" ref="G362">IF($A362="","",IFERROR(INDEX(MA_INDIVIDUALES!K$2:K923, MATCH($A362,MA_INDIVIDUALES!$B$2:$B923,0),1),"CÓDIGO DE EXPEDIENTE INVÁLIDO"))</f>
        <v/>
      </c>
      <c r="H362" s="68" t="str">
        <f t="array" ref="H362">IF($A362="","",IFERROR(INDEX(MA_INDIVIDUALES!L$2:L923, MATCH($A362,MA_INDIVIDUALES!$B$2:$B923,0),1),"CÓDIGO DE EXPEDIENTE INVÁLIDO"))</f>
        <v/>
      </c>
      <c r="I362" s="76"/>
      <c r="J362" s="76"/>
      <c r="K362" s="75"/>
      <c r="L362" s="74" t="str">
        <f>IF(A362="","",IF(K362="","",_xlfn.WORKDAY.INTL(K362,5,1,FERIADOS)))</f>
        <v/>
      </c>
      <c r="M362" s="76"/>
      <c r="N362" s="75"/>
      <c r="O362" s="76"/>
      <c r="P362" s="77" t="str">
        <f t="shared" si="3"/>
        <v/>
      </c>
      <c r="Q362" s="75"/>
      <c r="R362" s="76"/>
      <c r="S362" s="75"/>
      <c r="T362" s="75"/>
      <c r="U362" s="76"/>
      <c r="V362" s="76"/>
      <c r="W362" s="75"/>
      <c r="X362" s="76"/>
      <c r="Y362" s="29" t="str">
        <f t="shared" si="4"/>
        <v/>
      </c>
      <c r="Z362" s="29" t="str">
        <f t="shared" si="5"/>
        <v/>
      </c>
      <c r="AA362" s="76"/>
      <c r="AB362" s="76"/>
      <c r="AC362" s="75"/>
      <c r="AD362" s="75"/>
      <c r="AE362" s="78" t="str">
        <f>IF(U362="","",IF(AD362="","",_xlfn.WORKDAY.INTL(AD362,7,1,FERIADOS)))</f>
        <v/>
      </c>
      <c r="AF362" s="104"/>
      <c r="AG362" s="80" t="str">
        <f t="array" ref="AG362">IF(A362="","",IF(AF362="","",AF362*INDEX(PARAMETROS!F$2:F1425,MATCH(YEAR(AC362),PARAMETROS!E$2:E1425,0),1)))</f>
        <v/>
      </c>
      <c r="AH362" s="81"/>
      <c r="AI362" s="82"/>
      <c r="AJ362" s="81"/>
      <c r="AK362" s="81"/>
      <c r="AL362" s="76"/>
      <c r="AM362" s="75"/>
      <c r="AN362" s="76"/>
      <c r="AO362" s="95"/>
      <c r="AP362" s="96"/>
      <c r="AQ362" s="85" t="str">
        <f t="shared" si="6"/>
        <v/>
      </c>
      <c r="AR362" s="86" t="str">
        <f t="array" ref="AR362">IF(A362="","",IFERROR(INDEX('2) Etapas'!L$3:L923,MATCH(B362,'2) Etapas'!$A$4:$A923,0),1),-1))</f>
        <v/>
      </c>
      <c r="AS362" s="87" t="str">
        <f t="shared" si="7"/>
        <v/>
      </c>
      <c r="AT362" s="87" t="str">
        <f t="shared" si="8"/>
        <v/>
      </c>
      <c r="AU362" s="87" t="str">
        <f t="shared" si="9"/>
        <v/>
      </c>
      <c r="AV362" s="89" t="str">
        <f t="array" ref="AV362">IF(OR($A362="",$AB362="", $AC362=""),"",MAXA(IF($A362=$A$4:$A923,$AC$4:$AC923)))</f>
        <v/>
      </c>
    </row>
    <row r="363" ht="22.5" customHeight="1">
      <c r="A363" s="76"/>
      <c r="B363" s="68" t="str">
        <f t="shared" si="1"/>
        <v/>
      </c>
      <c r="C363" s="110"/>
      <c r="D363" s="70" t="str">
        <f t="shared" si="2"/>
        <v/>
      </c>
      <c r="E363" s="76"/>
      <c r="F363" s="68" t="str">
        <f t="array" ref="F363">IF($A363="","",IFERROR(INDEX(MA_INDIVIDUALES!C$2:C923, MATCH($A363,MA_INDIVIDUALES!$B$2:$B923,0),1),"CÓDIGO DE EXPEDIENTE INVÁLIDO"))</f>
        <v/>
      </c>
      <c r="G363" s="68" t="str">
        <f t="array" ref="G363">IF($A363="","",IFERROR(INDEX(MA_INDIVIDUALES!K$2:K923, MATCH($A363,MA_INDIVIDUALES!$B$2:$B923,0),1),"CÓDIGO DE EXPEDIENTE INVÁLIDO"))</f>
        <v/>
      </c>
      <c r="H363" s="68" t="str">
        <f t="array" ref="H363">IF($A363="","",IFERROR(INDEX(MA_INDIVIDUALES!L$2:L923, MATCH($A363,MA_INDIVIDUALES!$B$2:$B923,0),1),"CÓDIGO DE EXPEDIENTE INVÁLIDO"))</f>
        <v/>
      </c>
      <c r="I363" s="76"/>
      <c r="J363" s="76"/>
      <c r="K363" s="75"/>
      <c r="L363" s="74" t="str">
        <f>IF(A363="","",IF(K363="","",_xlfn.WORKDAY.INTL(K363,5,1,FERIADOS)))</f>
        <v/>
      </c>
      <c r="M363" s="76"/>
      <c r="N363" s="75"/>
      <c r="O363" s="76"/>
      <c r="P363" s="77" t="str">
        <f t="shared" si="3"/>
        <v/>
      </c>
      <c r="Q363" s="75"/>
      <c r="R363" s="76"/>
      <c r="S363" s="75"/>
      <c r="T363" s="75"/>
      <c r="U363" s="76"/>
      <c r="V363" s="76"/>
      <c r="W363" s="75"/>
      <c r="X363" s="76"/>
      <c r="Y363" s="29" t="str">
        <f t="shared" si="4"/>
        <v/>
      </c>
      <c r="Z363" s="29" t="str">
        <f t="shared" si="5"/>
        <v/>
      </c>
      <c r="AA363" s="76"/>
      <c r="AB363" s="76"/>
      <c r="AC363" s="75"/>
      <c r="AD363" s="75"/>
      <c r="AE363" s="78" t="str">
        <f>IF(U363="","",IF(AD363="","",_xlfn.WORKDAY.INTL(AD363,7,1,FERIADOS)))</f>
        <v/>
      </c>
      <c r="AF363" s="104"/>
      <c r="AG363" s="80" t="str">
        <f t="array" ref="AG363">IF(A363="","",IF(AF363="","",AF363*INDEX(PARAMETROS!F$2:F1426,MATCH(YEAR(AC363),PARAMETROS!E$2:E1426,0),1)))</f>
        <v/>
      </c>
      <c r="AH363" s="81"/>
      <c r="AI363" s="82"/>
      <c r="AJ363" s="81"/>
      <c r="AK363" s="81"/>
      <c r="AL363" s="76"/>
      <c r="AM363" s="75"/>
      <c r="AN363" s="76"/>
      <c r="AO363" s="95"/>
      <c r="AP363" s="96"/>
      <c r="AQ363" s="85" t="str">
        <f t="shared" si="6"/>
        <v/>
      </c>
      <c r="AR363" s="86" t="str">
        <f t="array" ref="AR363">IF(A363="","",IFERROR(INDEX('2) Etapas'!L$3:L923,MATCH(B363,'2) Etapas'!$A$4:$A923,0),1),-1))</f>
        <v/>
      </c>
      <c r="AS363" s="87" t="str">
        <f t="shared" si="7"/>
        <v/>
      </c>
      <c r="AT363" s="87" t="str">
        <f t="shared" si="8"/>
        <v/>
      </c>
      <c r="AU363" s="87" t="str">
        <f t="shared" si="9"/>
        <v/>
      </c>
      <c r="AV363" s="89" t="str">
        <f t="array" ref="AV363">IF(OR($A363="",$AB363="", $AC363=""),"",MAXA(IF($A363=$A$4:$A923,$AC$4:$AC923)))</f>
        <v/>
      </c>
    </row>
    <row r="364" ht="22.5" customHeight="1">
      <c r="A364" s="76"/>
      <c r="B364" s="68" t="str">
        <f t="shared" si="1"/>
        <v/>
      </c>
      <c r="C364" s="110"/>
      <c r="D364" s="70" t="str">
        <f t="shared" si="2"/>
        <v/>
      </c>
      <c r="E364" s="76"/>
      <c r="F364" s="68" t="str">
        <f t="array" ref="F364">IF($A364="","",IFERROR(INDEX(MA_INDIVIDUALES!C$2:C923, MATCH($A364,MA_INDIVIDUALES!$B$2:$B923,0),1),"CÓDIGO DE EXPEDIENTE INVÁLIDO"))</f>
        <v/>
      </c>
      <c r="G364" s="68" t="str">
        <f t="array" ref="G364">IF($A364="","",IFERROR(INDEX(MA_INDIVIDUALES!K$2:K923, MATCH($A364,MA_INDIVIDUALES!$B$2:$B923,0),1),"CÓDIGO DE EXPEDIENTE INVÁLIDO"))</f>
        <v/>
      </c>
      <c r="H364" s="68" t="str">
        <f t="array" ref="H364">IF($A364="","",IFERROR(INDEX(MA_INDIVIDUALES!L$2:L923, MATCH($A364,MA_INDIVIDUALES!$B$2:$B923,0),1),"CÓDIGO DE EXPEDIENTE INVÁLIDO"))</f>
        <v/>
      </c>
      <c r="I364" s="76"/>
      <c r="J364" s="76"/>
      <c r="K364" s="75"/>
      <c r="L364" s="74" t="str">
        <f>IF(A364="","",IF(K364="","",_xlfn.WORKDAY.INTL(K364,5,1,FERIADOS)))</f>
        <v/>
      </c>
      <c r="M364" s="76"/>
      <c r="N364" s="75"/>
      <c r="O364" s="76"/>
      <c r="P364" s="77" t="str">
        <f t="shared" si="3"/>
        <v/>
      </c>
      <c r="Q364" s="75"/>
      <c r="R364" s="76"/>
      <c r="S364" s="75"/>
      <c r="T364" s="75"/>
      <c r="U364" s="76"/>
      <c r="V364" s="76"/>
      <c r="W364" s="75"/>
      <c r="X364" s="76"/>
      <c r="Y364" s="29" t="str">
        <f t="shared" si="4"/>
        <v/>
      </c>
      <c r="Z364" s="29" t="str">
        <f t="shared" si="5"/>
        <v/>
      </c>
      <c r="AA364" s="76"/>
      <c r="AB364" s="76"/>
      <c r="AC364" s="75"/>
      <c r="AD364" s="75"/>
      <c r="AE364" s="78" t="str">
        <f>IF(U364="","",IF(AD364="","",_xlfn.WORKDAY.INTL(AD364,7,1,FERIADOS)))</f>
        <v/>
      </c>
      <c r="AF364" s="104"/>
      <c r="AG364" s="80" t="str">
        <f t="array" ref="AG364">IF(A364="","",IF(AF364="","",AF364*INDEX(PARAMETROS!F$2:F1427,MATCH(YEAR(AC364),PARAMETROS!E$2:E1427,0),1)))</f>
        <v/>
      </c>
      <c r="AH364" s="81"/>
      <c r="AI364" s="82"/>
      <c r="AJ364" s="81"/>
      <c r="AK364" s="81"/>
      <c r="AL364" s="76"/>
      <c r="AM364" s="75"/>
      <c r="AN364" s="76"/>
      <c r="AO364" s="95"/>
      <c r="AP364" s="96"/>
      <c r="AQ364" s="85" t="str">
        <f t="shared" si="6"/>
        <v/>
      </c>
      <c r="AR364" s="86" t="str">
        <f t="array" ref="AR364">IF(A364="","",IFERROR(INDEX('2) Etapas'!L$3:L923,MATCH(B364,'2) Etapas'!$A$4:$A923,0),1),-1))</f>
        <v/>
      </c>
      <c r="AS364" s="87" t="str">
        <f t="shared" si="7"/>
        <v/>
      </c>
      <c r="AT364" s="87" t="str">
        <f t="shared" si="8"/>
        <v/>
      </c>
      <c r="AU364" s="87" t="str">
        <f t="shared" si="9"/>
        <v/>
      </c>
      <c r="AV364" s="89" t="str">
        <f t="array" ref="AV364">IF(OR($A364="",$AB364="", $AC364=""),"",MAXA(IF($A364=$A$4:$A923,$AC$4:$AC923)))</f>
        <v/>
      </c>
    </row>
    <row r="365" ht="22.5" customHeight="1">
      <c r="A365" s="76"/>
      <c r="B365" s="68" t="str">
        <f t="shared" si="1"/>
        <v/>
      </c>
      <c r="C365" s="110"/>
      <c r="D365" s="70" t="str">
        <f t="shared" si="2"/>
        <v/>
      </c>
      <c r="E365" s="76"/>
      <c r="F365" s="68" t="str">
        <f t="array" ref="F365">IF($A365="","",IFERROR(INDEX(MA_INDIVIDUALES!C$2:C923, MATCH($A365,MA_INDIVIDUALES!$B$2:$B923,0),1),"CÓDIGO DE EXPEDIENTE INVÁLIDO"))</f>
        <v/>
      </c>
      <c r="G365" s="68" t="str">
        <f t="array" ref="G365">IF($A365="","",IFERROR(INDEX(MA_INDIVIDUALES!K$2:K923, MATCH($A365,MA_INDIVIDUALES!$B$2:$B923,0),1),"CÓDIGO DE EXPEDIENTE INVÁLIDO"))</f>
        <v/>
      </c>
      <c r="H365" s="68" t="str">
        <f t="array" ref="H365">IF($A365="","",IFERROR(INDEX(MA_INDIVIDUALES!L$2:L923, MATCH($A365,MA_INDIVIDUALES!$B$2:$B923,0),1),"CÓDIGO DE EXPEDIENTE INVÁLIDO"))</f>
        <v/>
      </c>
      <c r="I365" s="76"/>
      <c r="J365" s="76"/>
      <c r="K365" s="75"/>
      <c r="L365" s="74" t="str">
        <f>IF(A365="","",IF(K365="","",_xlfn.WORKDAY.INTL(K365,5,1,FERIADOS)))</f>
        <v/>
      </c>
      <c r="M365" s="76"/>
      <c r="N365" s="75"/>
      <c r="O365" s="76"/>
      <c r="P365" s="77" t="str">
        <f t="shared" si="3"/>
        <v/>
      </c>
      <c r="Q365" s="75"/>
      <c r="R365" s="76"/>
      <c r="S365" s="75"/>
      <c r="T365" s="75"/>
      <c r="U365" s="76"/>
      <c r="V365" s="76"/>
      <c r="W365" s="75"/>
      <c r="X365" s="76"/>
      <c r="Y365" s="29" t="str">
        <f t="shared" si="4"/>
        <v/>
      </c>
      <c r="Z365" s="29" t="str">
        <f t="shared" si="5"/>
        <v/>
      </c>
      <c r="AA365" s="76"/>
      <c r="AB365" s="76"/>
      <c r="AC365" s="75"/>
      <c r="AD365" s="75"/>
      <c r="AE365" s="78" t="str">
        <f>IF(U365="","",IF(AD365="","",_xlfn.WORKDAY.INTL(AD365,7,1,FERIADOS)))</f>
        <v/>
      </c>
      <c r="AF365" s="104"/>
      <c r="AG365" s="80" t="str">
        <f t="array" ref="AG365">IF(A365="","",IF(AF365="","",AF365*INDEX(PARAMETROS!F$2:F1428,MATCH(YEAR(AC365),PARAMETROS!E$2:E1428,0),1)))</f>
        <v/>
      </c>
      <c r="AH365" s="81"/>
      <c r="AI365" s="82"/>
      <c r="AJ365" s="81"/>
      <c r="AK365" s="81"/>
      <c r="AL365" s="76"/>
      <c r="AM365" s="75"/>
      <c r="AN365" s="76"/>
      <c r="AO365" s="95"/>
      <c r="AP365" s="96"/>
      <c r="AQ365" s="85" t="str">
        <f t="shared" si="6"/>
        <v/>
      </c>
      <c r="AR365" s="86" t="str">
        <f t="array" ref="AR365">IF(A365="","",IFERROR(INDEX('2) Etapas'!L$3:L923,MATCH(B365,'2) Etapas'!$A$4:$A923,0),1),-1))</f>
        <v/>
      </c>
      <c r="AS365" s="87" t="str">
        <f t="shared" si="7"/>
        <v/>
      </c>
      <c r="AT365" s="87" t="str">
        <f t="shared" si="8"/>
        <v/>
      </c>
      <c r="AU365" s="87" t="str">
        <f t="shared" si="9"/>
        <v/>
      </c>
      <c r="AV365" s="89" t="str">
        <f t="array" ref="AV365">IF(OR($A365="",$AB365="", $AC365=""),"",MAXA(IF($A365=$A$4:$A923,$AC$4:$AC923)))</f>
        <v/>
      </c>
    </row>
    <row r="366" ht="22.5" customHeight="1">
      <c r="A366" s="76"/>
      <c r="B366" s="68" t="str">
        <f t="shared" si="1"/>
        <v/>
      </c>
      <c r="C366" s="110"/>
      <c r="D366" s="70" t="str">
        <f t="shared" si="2"/>
        <v/>
      </c>
      <c r="E366" s="76"/>
      <c r="F366" s="68" t="str">
        <f t="array" ref="F366">IF($A366="","",IFERROR(INDEX(MA_INDIVIDUALES!C$2:C923, MATCH($A366,MA_INDIVIDUALES!$B$2:$B923,0),1),"CÓDIGO DE EXPEDIENTE INVÁLIDO"))</f>
        <v/>
      </c>
      <c r="G366" s="68" t="str">
        <f t="array" ref="G366">IF($A366="","",IFERROR(INDEX(MA_INDIVIDUALES!K$2:K923, MATCH($A366,MA_INDIVIDUALES!$B$2:$B923,0),1),"CÓDIGO DE EXPEDIENTE INVÁLIDO"))</f>
        <v/>
      </c>
      <c r="H366" s="68" t="str">
        <f t="array" ref="H366">IF($A366="","",IFERROR(INDEX(MA_INDIVIDUALES!L$2:L923, MATCH($A366,MA_INDIVIDUALES!$B$2:$B923,0),1),"CÓDIGO DE EXPEDIENTE INVÁLIDO"))</f>
        <v/>
      </c>
      <c r="I366" s="76"/>
      <c r="J366" s="76"/>
      <c r="K366" s="75"/>
      <c r="L366" s="74" t="str">
        <f>IF(A366="","",IF(K366="","",_xlfn.WORKDAY.INTL(K366,5,1,FERIADOS)))</f>
        <v/>
      </c>
      <c r="M366" s="76"/>
      <c r="N366" s="75"/>
      <c r="O366" s="76"/>
      <c r="P366" s="77" t="str">
        <f t="shared" si="3"/>
        <v/>
      </c>
      <c r="Q366" s="75"/>
      <c r="R366" s="76"/>
      <c r="S366" s="75"/>
      <c r="T366" s="75"/>
      <c r="U366" s="76"/>
      <c r="V366" s="76"/>
      <c r="W366" s="75"/>
      <c r="X366" s="76"/>
      <c r="Y366" s="29" t="str">
        <f t="shared" si="4"/>
        <v/>
      </c>
      <c r="Z366" s="29" t="str">
        <f t="shared" si="5"/>
        <v/>
      </c>
      <c r="AA366" s="76"/>
      <c r="AB366" s="76"/>
      <c r="AC366" s="75"/>
      <c r="AD366" s="75"/>
      <c r="AE366" s="78" t="str">
        <f>IF(U366="","",IF(AD366="","",_xlfn.WORKDAY.INTL(AD366,7,1,FERIADOS)))</f>
        <v/>
      </c>
      <c r="AF366" s="104"/>
      <c r="AG366" s="80" t="str">
        <f t="array" ref="AG366">IF(A366="","",IF(AF366="","",AF366*INDEX(PARAMETROS!F$2:F1429,MATCH(YEAR(AC366),PARAMETROS!E$2:E1429,0),1)))</f>
        <v/>
      </c>
      <c r="AH366" s="81"/>
      <c r="AI366" s="82"/>
      <c r="AJ366" s="81"/>
      <c r="AK366" s="81"/>
      <c r="AL366" s="76"/>
      <c r="AM366" s="75"/>
      <c r="AN366" s="76"/>
      <c r="AO366" s="95"/>
      <c r="AP366" s="96"/>
      <c r="AQ366" s="85" t="str">
        <f t="shared" si="6"/>
        <v/>
      </c>
      <c r="AR366" s="86" t="str">
        <f t="array" ref="AR366">IF(A366="","",IFERROR(INDEX('2) Etapas'!L$3:L923,MATCH(B366,'2) Etapas'!$A$4:$A923,0),1),-1))</f>
        <v/>
      </c>
      <c r="AS366" s="87" t="str">
        <f t="shared" si="7"/>
        <v/>
      </c>
      <c r="AT366" s="87" t="str">
        <f t="shared" si="8"/>
        <v/>
      </c>
      <c r="AU366" s="87" t="str">
        <f t="shared" si="9"/>
        <v/>
      </c>
      <c r="AV366" s="89" t="str">
        <f t="array" ref="AV366">IF(OR($A366="",$AB366="", $AC366=""),"",MAXA(IF($A366=$A$4:$A923,$AC$4:$AC923)))</f>
        <v/>
      </c>
    </row>
    <row r="367" ht="22.5" customHeight="1">
      <c r="A367" s="76"/>
      <c r="B367" s="68" t="str">
        <f t="shared" si="1"/>
        <v/>
      </c>
      <c r="C367" s="110"/>
      <c r="D367" s="70" t="str">
        <f t="shared" si="2"/>
        <v/>
      </c>
      <c r="E367" s="76"/>
      <c r="F367" s="68" t="str">
        <f t="array" ref="F367">IF($A367="","",IFERROR(INDEX(MA_INDIVIDUALES!C$2:C923, MATCH($A367,MA_INDIVIDUALES!$B$2:$B923,0),1),"CÓDIGO DE EXPEDIENTE INVÁLIDO"))</f>
        <v/>
      </c>
      <c r="G367" s="68" t="str">
        <f t="array" ref="G367">IF($A367="","",IFERROR(INDEX(MA_INDIVIDUALES!K$2:K923, MATCH($A367,MA_INDIVIDUALES!$B$2:$B923,0),1),"CÓDIGO DE EXPEDIENTE INVÁLIDO"))</f>
        <v/>
      </c>
      <c r="H367" s="68" t="str">
        <f t="array" ref="H367">IF($A367="","",IFERROR(INDEX(MA_INDIVIDUALES!L$2:L923, MATCH($A367,MA_INDIVIDUALES!$B$2:$B923,0),1),"CÓDIGO DE EXPEDIENTE INVÁLIDO"))</f>
        <v/>
      </c>
      <c r="I367" s="76"/>
      <c r="J367" s="76"/>
      <c r="K367" s="75"/>
      <c r="L367" s="74" t="str">
        <f>IF(A367="","",IF(K367="","",_xlfn.WORKDAY.INTL(K367,5,1,FERIADOS)))</f>
        <v/>
      </c>
      <c r="M367" s="76"/>
      <c r="N367" s="75"/>
      <c r="O367" s="76"/>
      <c r="P367" s="77" t="str">
        <f t="shared" si="3"/>
        <v/>
      </c>
      <c r="Q367" s="75"/>
      <c r="R367" s="76"/>
      <c r="S367" s="75"/>
      <c r="T367" s="75"/>
      <c r="U367" s="76"/>
      <c r="V367" s="76"/>
      <c r="W367" s="75"/>
      <c r="X367" s="76"/>
      <c r="Y367" s="29" t="str">
        <f t="shared" si="4"/>
        <v/>
      </c>
      <c r="Z367" s="29" t="str">
        <f t="shared" si="5"/>
        <v/>
      </c>
      <c r="AA367" s="76"/>
      <c r="AB367" s="76"/>
      <c r="AC367" s="75"/>
      <c r="AD367" s="75"/>
      <c r="AE367" s="78" t="str">
        <f>IF(U367="","",IF(AD367="","",_xlfn.WORKDAY.INTL(AD367,7,1,FERIADOS)))</f>
        <v/>
      </c>
      <c r="AF367" s="104"/>
      <c r="AG367" s="80" t="str">
        <f t="array" ref="AG367">IF(A367="","",IF(AF367="","",AF367*INDEX(PARAMETROS!F$2:F1430,MATCH(YEAR(AC367),PARAMETROS!E$2:E1430,0),1)))</f>
        <v/>
      </c>
      <c r="AH367" s="81"/>
      <c r="AI367" s="82"/>
      <c r="AJ367" s="81"/>
      <c r="AK367" s="81"/>
      <c r="AL367" s="76"/>
      <c r="AM367" s="75"/>
      <c r="AN367" s="76"/>
      <c r="AO367" s="95"/>
      <c r="AP367" s="96"/>
      <c r="AQ367" s="85" t="str">
        <f t="shared" si="6"/>
        <v/>
      </c>
      <c r="AR367" s="86" t="str">
        <f t="array" ref="AR367">IF(A367="","",IFERROR(INDEX('2) Etapas'!L$3:L923,MATCH(B367,'2) Etapas'!$A$4:$A923,0),1),-1))</f>
        <v/>
      </c>
      <c r="AS367" s="87" t="str">
        <f t="shared" si="7"/>
        <v/>
      </c>
      <c r="AT367" s="87" t="str">
        <f t="shared" si="8"/>
        <v/>
      </c>
      <c r="AU367" s="87" t="str">
        <f t="shared" si="9"/>
        <v/>
      </c>
      <c r="AV367" s="89" t="str">
        <f t="array" ref="AV367">IF(OR($A367="",$AB367="", $AC367=""),"",MAXA(IF($A367=$A$4:$A923,$AC$4:$AC923)))</f>
        <v/>
      </c>
    </row>
    <row r="368" ht="22.5" customHeight="1">
      <c r="A368" s="76"/>
      <c r="B368" s="68" t="str">
        <f t="shared" si="1"/>
        <v/>
      </c>
      <c r="C368" s="110"/>
      <c r="D368" s="70" t="str">
        <f t="shared" si="2"/>
        <v/>
      </c>
      <c r="E368" s="76"/>
      <c r="F368" s="68" t="str">
        <f t="array" ref="F368">IF($A368="","",IFERROR(INDEX(MA_INDIVIDUALES!C$2:C923, MATCH($A368,MA_INDIVIDUALES!$B$2:$B923,0),1),"CÓDIGO DE EXPEDIENTE INVÁLIDO"))</f>
        <v/>
      </c>
      <c r="G368" s="68" t="str">
        <f t="array" ref="G368">IF($A368="","",IFERROR(INDEX(MA_INDIVIDUALES!K$2:K923, MATCH($A368,MA_INDIVIDUALES!$B$2:$B923,0),1),"CÓDIGO DE EXPEDIENTE INVÁLIDO"))</f>
        <v/>
      </c>
      <c r="H368" s="68" t="str">
        <f t="array" ref="H368">IF($A368="","",IFERROR(INDEX(MA_INDIVIDUALES!L$2:L923, MATCH($A368,MA_INDIVIDUALES!$B$2:$B923,0),1),"CÓDIGO DE EXPEDIENTE INVÁLIDO"))</f>
        <v/>
      </c>
      <c r="I368" s="76"/>
      <c r="J368" s="76"/>
      <c r="K368" s="75"/>
      <c r="L368" s="74" t="str">
        <f>IF(A368="","",IF(K368="","",_xlfn.WORKDAY.INTL(K368,5,1,FERIADOS)))</f>
        <v/>
      </c>
      <c r="M368" s="76"/>
      <c r="N368" s="75"/>
      <c r="O368" s="76"/>
      <c r="P368" s="77" t="str">
        <f t="shared" si="3"/>
        <v/>
      </c>
      <c r="Q368" s="75"/>
      <c r="R368" s="76"/>
      <c r="S368" s="75"/>
      <c r="T368" s="75"/>
      <c r="U368" s="76"/>
      <c r="V368" s="76"/>
      <c r="W368" s="75"/>
      <c r="X368" s="76"/>
      <c r="Y368" s="29" t="str">
        <f t="shared" si="4"/>
        <v/>
      </c>
      <c r="Z368" s="29" t="str">
        <f t="shared" si="5"/>
        <v/>
      </c>
      <c r="AA368" s="76"/>
      <c r="AB368" s="76"/>
      <c r="AC368" s="75"/>
      <c r="AD368" s="75"/>
      <c r="AE368" s="78" t="str">
        <f>IF(U368="","",IF(AD368="","",_xlfn.WORKDAY.INTL(AD368,7,1,FERIADOS)))</f>
        <v/>
      </c>
      <c r="AF368" s="104"/>
      <c r="AG368" s="80" t="str">
        <f t="array" ref="AG368">IF(A368="","",IF(AF368="","",AF368*INDEX(PARAMETROS!F$2:F1431,MATCH(YEAR(AC368),PARAMETROS!E$2:E1431,0),1)))</f>
        <v/>
      </c>
      <c r="AH368" s="81"/>
      <c r="AI368" s="82"/>
      <c r="AJ368" s="81"/>
      <c r="AK368" s="81"/>
      <c r="AL368" s="76"/>
      <c r="AM368" s="75"/>
      <c r="AN368" s="76"/>
      <c r="AO368" s="95"/>
      <c r="AP368" s="96"/>
      <c r="AQ368" s="85" t="str">
        <f t="shared" si="6"/>
        <v/>
      </c>
      <c r="AR368" s="86" t="str">
        <f t="array" ref="AR368">IF(A368="","",IFERROR(INDEX('2) Etapas'!L$3:L923,MATCH(B368,'2) Etapas'!$A$4:$A923,0),1),-1))</f>
        <v/>
      </c>
      <c r="AS368" s="87" t="str">
        <f t="shared" si="7"/>
        <v/>
      </c>
      <c r="AT368" s="87" t="str">
        <f t="shared" si="8"/>
        <v/>
      </c>
      <c r="AU368" s="87" t="str">
        <f t="shared" si="9"/>
        <v/>
      </c>
      <c r="AV368" s="89" t="str">
        <f t="array" ref="AV368">IF(OR($A368="",$AB368="", $AC368=""),"",MAXA(IF($A368=$A$4:$A923,$AC$4:$AC923)))</f>
        <v/>
      </c>
    </row>
    <row r="369" ht="22.5" customHeight="1">
      <c r="A369" s="76"/>
      <c r="B369" s="68" t="str">
        <f t="shared" si="1"/>
        <v/>
      </c>
      <c r="C369" s="110"/>
      <c r="D369" s="70" t="str">
        <f t="shared" si="2"/>
        <v/>
      </c>
      <c r="E369" s="76"/>
      <c r="F369" s="68" t="str">
        <f t="array" ref="F369">IF($A369="","",IFERROR(INDEX(MA_INDIVIDUALES!C$2:C923, MATCH($A369,MA_INDIVIDUALES!$B$2:$B923,0),1),"CÓDIGO DE EXPEDIENTE INVÁLIDO"))</f>
        <v/>
      </c>
      <c r="G369" s="68" t="str">
        <f t="array" ref="G369">IF($A369="","",IFERROR(INDEX(MA_INDIVIDUALES!K$2:K923, MATCH($A369,MA_INDIVIDUALES!$B$2:$B923,0),1),"CÓDIGO DE EXPEDIENTE INVÁLIDO"))</f>
        <v/>
      </c>
      <c r="H369" s="68" t="str">
        <f t="array" ref="H369">IF($A369="","",IFERROR(INDEX(MA_INDIVIDUALES!L$2:L923, MATCH($A369,MA_INDIVIDUALES!$B$2:$B923,0),1),"CÓDIGO DE EXPEDIENTE INVÁLIDO"))</f>
        <v/>
      </c>
      <c r="I369" s="76"/>
      <c r="J369" s="76"/>
      <c r="K369" s="75"/>
      <c r="L369" s="74" t="str">
        <f>IF(A369="","",IF(K369="","",_xlfn.WORKDAY.INTL(K369,5,1,FERIADOS)))</f>
        <v/>
      </c>
      <c r="M369" s="76"/>
      <c r="N369" s="75"/>
      <c r="O369" s="76"/>
      <c r="P369" s="77" t="str">
        <f t="shared" si="3"/>
        <v/>
      </c>
      <c r="Q369" s="75"/>
      <c r="R369" s="76"/>
      <c r="S369" s="75"/>
      <c r="T369" s="75"/>
      <c r="U369" s="76"/>
      <c r="V369" s="76"/>
      <c r="W369" s="75"/>
      <c r="X369" s="76"/>
      <c r="Y369" s="29" t="str">
        <f t="shared" si="4"/>
        <v/>
      </c>
      <c r="Z369" s="29" t="str">
        <f t="shared" si="5"/>
        <v/>
      </c>
      <c r="AA369" s="76"/>
      <c r="AB369" s="76"/>
      <c r="AC369" s="75"/>
      <c r="AD369" s="75"/>
      <c r="AE369" s="78" t="str">
        <f>IF(U369="","",IF(AD369="","",_xlfn.WORKDAY.INTL(AD369,7,1,FERIADOS)))</f>
        <v/>
      </c>
      <c r="AF369" s="104"/>
      <c r="AG369" s="80" t="str">
        <f t="array" ref="AG369">IF(A369="","",IF(AF369="","",AF369*INDEX(PARAMETROS!F$2:F1432,MATCH(YEAR(AC369),PARAMETROS!E$2:E1432,0),1)))</f>
        <v/>
      </c>
      <c r="AH369" s="81"/>
      <c r="AI369" s="82"/>
      <c r="AJ369" s="81"/>
      <c r="AK369" s="81"/>
      <c r="AL369" s="76"/>
      <c r="AM369" s="75"/>
      <c r="AN369" s="76"/>
      <c r="AO369" s="95"/>
      <c r="AP369" s="96"/>
      <c r="AQ369" s="85" t="str">
        <f t="shared" si="6"/>
        <v/>
      </c>
      <c r="AR369" s="86" t="str">
        <f t="array" ref="AR369">IF(A369="","",IFERROR(INDEX('2) Etapas'!L$3:L923,MATCH(B369,'2) Etapas'!$A$4:$A923,0),1),-1))</f>
        <v/>
      </c>
      <c r="AS369" s="87" t="str">
        <f t="shared" si="7"/>
        <v/>
      </c>
      <c r="AT369" s="87" t="str">
        <f t="shared" si="8"/>
        <v/>
      </c>
      <c r="AU369" s="87" t="str">
        <f t="shared" si="9"/>
        <v/>
      </c>
      <c r="AV369" s="89" t="str">
        <f t="array" ref="AV369">IF(OR($A369="",$AB369="", $AC369=""),"",MAXA(IF($A369=$A$4:$A923,$AC$4:$AC923)))</f>
        <v/>
      </c>
    </row>
    <row r="370" ht="22.5" customHeight="1">
      <c r="A370" s="76"/>
      <c r="B370" s="68" t="str">
        <f t="shared" si="1"/>
        <v/>
      </c>
      <c r="C370" s="110"/>
      <c r="D370" s="70" t="str">
        <f t="shared" si="2"/>
        <v/>
      </c>
      <c r="E370" s="76"/>
      <c r="F370" s="68" t="str">
        <f t="array" ref="F370">IF($A370="","",IFERROR(INDEX(MA_INDIVIDUALES!C$2:C923, MATCH($A370,MA_INDIVIDUALES!$B$2:$B923,0),1),"CÓDIGO DE EXPEDIENTE INVÁLIDO"))</f>
        <v/>
      </c>
      <c r="G370" s="68" t="str">
        <f t="array" ref="G370">IF($A370="","",IFERROR(INDEX(MA_INDIVIDUALES!K$2:K923, MATCH($A370,MA_INDIVIDUALES!$B$2:$B923,0),1),"CÓDIGO DE EXPEDIENTE INVÁLIDO"))</f>
        <v/>
      </c>
      <c r="H370" s="68" t="str">
        <f t="array" ref="H370">IF($A370="","",IFERROR(INDEX(MA_INDIVIDUALES!L$2:L923, MATCH($A370,MA_INDIVIDUALES!$B$2:$B923,0),1),"CÓDIGO DE EXPEDIENTE INVÁLIDO"))</f>
        <v/>
      </c>
      <c r="I370" s="76"/>
      <c r="J370" s="76"/>
      <c r="K370" s="75"/>
      <c r="L370" s="74" t="str">
        <f>IF(A370="","",IF(K370="","",_xlfn.WORKDAY.INTL(K370,5,1,FERIADOS)))</f>
        <v/>
      </c>
      <c r="M370" s="76"/>
      <c r="N370" s="75"/>
      <c r="O370" s="76"/>
      <c r="P370" s="77" t="str">
        <f t="shared" si="3"/>
        <v/>
      </c>
      <c r="Q370" s="75"/>
      <c r="R370" s="76"/>
      <c r="S370" s="75"/>
      <c r="T370" s="75"/>
      <c r="U370" s="76"/>
      <c r="V370" s="76"/>
      <c r="W370" s="75"/>
      <c r="X370" s="76"/>
      <c r="Y370" s="29" t="str">
        <f t="shared" si="4"/>
        <v/>
      </c>
      <c r="Z370" s="29" t="str">
        <f t="shared" si="5"/>
        <v/>
      </c>
      <c r="AA370" s="76"/>
      <c r="AB370" s="76"/>
      <c r="AC370" s="75"/>
      <c r="AD370" s="75"/>
      <c r="AE370" s="78" t="str">
        <f>IF(U370="","",IF(AD370="","",_xlfn.WORKDAY.INTL(AD370,7,1,FERIADOS)))</f>
        <v/>
      </c>
      <c r="AF370" s="104"/>
      <c r="AG370" s="80" t="str">
        <f t="array" ref="AG370">IF(A370="","",IF(AF370="","",AF370*INDEX(PARAMETROS!F$2:F1433,MATCH(YEAR(AC370),PARAMETROS!E$2:E1433,0),1)))</f>
        <v/>
      </c>
      <c r="AH370" s="81"/>
      <c r="AI370" s="82"/>
      <c r="AJ370" s="81"/>
      <c r="AK370" s="81"/>
      <c r="AL370" s="76"/>
      <c r="AM370" s="75"/>
      <c r="AN370" s="76"/>
      <c r="AO370" s="95"/>
      <c r="AP370" s="96"/>
      <c r="AQ370" s="85" t="str">
        <f t="shared" si="6"/>
        <v/>
      </c>
      <c r="AR370" s="86" t="str">
        <f t="array" ref="AR370">IF(A370="","",IFERROR(INDEX('2) Etapas'!L$3:L923,MATCH(B370,'2) Etapas'!$A$4:$A923,0),1),-1))</f>
        <v/>
      </c>
      <c r="AS370" s="87" t="str">
        <f t="shared" si="7"/>
        <v/>
      </c>
      <c r="AT370" s="87" t="str">
        <f t="shared" si="8"/>
        <v/>
      </c>
      <c r="AU370" s="87" t="str">
        <f t="shared" si="9"/>
        <v/>
      </c>
      <c r="AV370" s="89" t="str">
        <f t="array" ref="AV370">IF(OR($A370="",$AB370="", $AC370=""),"",MAXA(IF($A370=$A$4:$A923,$AC$4:$AC923)))</f>
        <v/>
      </c>
    </row>
    <row r="371" ht="22.5" customHeight="1">
      <c r="A371" s="76"/>
      <c r="B371" s="68" t="str">
        <f t="shared" si="1"/>
        <v/>
      </c>
      <c r="C371" s="110"/>
      <c r="D371" s="70" t="str">
        <f t="shared" si="2"/>
        <v/>
      </c>
      <c r="E371" s="76"/>
      <c r="F371" s="68" t="str">
        <f t="array" ref="F371">IF($A371="","",IFERROR(INDEX(MA_INDIVIDUALES!C$2:C923, MATCH($A371,MA_INDIVIDUALES!$B$2:$B923,0),1),"CÓDIGO DE EXPEDIENTE INVÁLIDO"))</f>
        <v/>
      </c>
      <c r="G371" s="68" t="str">
        <f t="array" ref="G371">IF($A371="","",IFERROR(INDEX(MA_INDIVIDUALES!K$2:K923, MATCH($A371,MA_INDIVIDUALES!$B$2:$B923,0),1),"CÓDIGO DE EXPEDIENTE INVÁLIDO"))</f>
        <v/>
      </c>
      <c r="H371" s="68" t="str">
        <f t="array" ref="H371">IF($A371="","",IFERROR(INDEX(MA_INDIVIDUALES!L$2:L923, MATCH($A371,MA_INDIVIDUALES!$B$2:$B923,0),1),"CÓDIGO DE EXPEDIENTE INVÁLIDO"))</f>
        <v/>
      </c>
      <c r="I371" s="76"/>
      <c r="J371" s="76"/>
      <c r="K371" s="75"/>
      <c r="L371" s="74" t="str">
        <f>IF(A371="","",IF(K371="","",_xlfn.WORKDAY.INTL(K371,5,1,FERIADOS)))</f>
        <v/>
      </c>
      <c r="M371" s="76"/>
      <c r="N371" s="75"/>
      <c r="O371" s="76"/>
      <c r="P371" s="77" t="str">
        <f t="shared" si="3"/>
        <v/>
      </c>
      <c r="Q371" s="75"/>
      <c r="R371" s="76"/>
      <c r="S371" s="75"/>
      <c r="T371" s="75"/>
      <c r="U371" s="76"/>
      <c r="V371" s="76"/>
      <c r="W371" s="75"/>
      <c r="X371" s="76"/>
      <c r="Y371" s="29" t="str">
        <f t="shared" si="4"/>
        <v/>
      </c>
      <c r="Z371" s="29" t="str">
        <f t="shared" si="5"/>
        <v/>
      </c>
      <c r="AA371" s="76"/>
      <c r="AB371" s="76"/>
      <c r="AC371" s="75"/>
      <c r="AD371" s="75"/>
      <c r="AE371" s="78" t="str">
        <f>IF(U371="","",IF(AD371="","",_xlfn.WORKDAY.INTL(AD371,7,1,FERIADOS)))</f>
        <v/>
      </c>
      <c r="AF371" s="104"/>
      <c r="AG371" s="80" t="str">
        <f t="array" ref="AG371">IF(A371="","",IF(AF371="","",AF371*INDEX(PARAMETROS!F$2:F1434,MATCH(YEAR(AC371),PARAMETROS!E$2:E1434,0),1)))</f>
        <v/>
      </c>
      <c r="AH371" s="81"/>
      <c r="AI371" s="82"/>
      <c r="AJ371" s="81"/>
      <c r="AK371" s="81"/>
      <c r="AL371" s="76"/>
      <c r="AM371" s="75"/>
      <c r="AN371" s="76"/>
      <c r="AO371" s="95"/>
      <c r="AP371" s="96"/>
      <c r="AQ371" s="85" t="str">
        <f t="shared" si="6"/>
        <v/>
      </c>
      <c r="AR371" s="86" t="str">
        <f t="array" ref="AR371">IF(A371="","",IFERROR(INDEX('2) Etapas'!L$3:L923,MATCH(B371,'2) Etapas'!$A$4:$A923,0),1),-1))</f>
        <v/>
      </c>
      <c r="AS371" s="87" t="str">
        <f t="shared" si="7"/>
        <v/>
      </c>
      <c r="AT371" s="87" t="str">
        <f t="shared" si="8"/>
        <v/>
      </c>
      <c r="AU371" s="87" t="str">
        <f t="shared" si="9"/>
        <v/>
      </c>
      <c r="AV371" s="89" t="str">
        <f t="array" ref="AV371">IF(OR($A371="",$AB371="", $AC371=""),"",MAXA(IF($A371=$A$4:$A923,$AC$4:$AC923)))</f>
        <v/>
      </c>
    </row>
    <row r="372" ht="22.5" customHeight="1">
      <c r="A372" s="76"/>
      <c r="B372" s="68" t="str">
        <f t="shared" si="1"/>
        <v/>
      </c>
      <c r="C372" s="110"/>
      <c r="D372" s="70" t="str">
        <f t="shared" si="2"/>
        <v/>
      </c>
      <c r="E372" s="76"/>
      <c r="F372" s="68" t="str">
        <f t="array" ref="F372">IF($A372="","",IFERROR(INDEX(MA_INDIVIDUALES!C$2:C923, MATCH($A372,MA_INDIVIDUALES!$B$2:$B923,0),1),"CÓDIGO DE EXPEDIENTE INVÁLIDO"))</f>
        <v/>
      </c>
      <c r="G372" s="68" t="str">
        <f t="array" ref="G372">IF($A372="","",IFERROR(INDEX(MA_INDIVIDUALES!K$2:K923, MATCH($A372,MA_INDIVIDUALES!$B$2:$B923,0),1),"CÓDIGO DE EXPEDIENTE INVÁLIDO"))</f>
        <v/>
      </c>
      <c r="H372" s="68" t="str">
        <f t="array" ref="H372">IF($A372="","",IFERROR(INDEX(MA_INDIVIDUALES!L$2:L923, MATCH($A372,MA_INDIVIDUALES!$B$2:$B923,0),1),"CÓDIGO DE EXPEDIENTE INVÁLIDO"))</f>
        <v/>
      </c>
      <c r="I372" s="76"/>
      <c r="J372" s="76"/>
      <c r="K372" s="75"/>
      <c r="L372" s="74" t="str">
        <f>IF(A372="","",IF(K372="","",_xlfn.WORKDAY.INTL(K372,5,1,FERIADOS)))</f>
        <v/>
      </c>
      <c r="M372" s="76"/>
      <c r="N372" s="75"/>
      <c r="O372" s="76"/>
      <c r="P372" s="77" t="str">
        <f t="shared" si="3"/>
        <v/>
      </c>
      <c r="Q372" s="75"/>
      <c r="R372" s="76"/>
      <c r="S372" s="75"/>
      <c r="T372" s="75"/>
      <c r="U372" s="76"/>
      <c r="V372" s="76"/>
      <c r="W372" s="75"/>
      <c r="X372" s="76"/>
      <c r="Y372" s="29" t="str">
        <f t="shared" si="4"/>
        <v/>
      </c>
      <c r="Z372" s="29" t="str">
        <f t="shared" si="5"/>
        <v/>
      </c>
      <c r="AA372" s="76"/>
      <c r="AB372" s="76"/>
      <c r="AC372" s="75"/>
      <c r="AD372" s="75"/>
      <c r="AE372" s="78" t="str">
        <f>IF(U372="","",IF(AD372="","",_xlfn.WORKDAY.INTL(AD372,7,1,FERIADOS)))</f>
        <v/>
      </c>
      <c r="AF372" s="104"/>
      <c r="AG372" s="80" t="str">
        <f t="array" ref="AG372">IF(A372="","",IF(AF372="","",AF372*INDEX(PARAMETROS!F$2:F1435,MATCH(YEAR(AC372),PARAMETROS!E$2:E1435,0),1)))</f>
        <v/>
      </c>
      <c r="AH372" s="81"/>
      <c r="AI372" s="82"/>
      <c r="AJ372" s="81"/>
      <c r="AK372" s="81"/>
      <c r="AL372" s="76"/>
      <c r="AM372" s="75"/>
      <c r="AN372" s="76"/>
      <c r="AO372" s="95"/>
      <c r="AP372" s="96"/>
      <c r="AQ372" s="85" t="str">
        <f t="shared" si="6"/>
        <v/>
      </c>
      <c r="AR372" s="86" t="str">
        <f t="array" ref="AR372">IF(A372="","",IFERROR(INDEX('2) Etapas'!L$3:L923,MATCH(B372,'2) Etapas'!$A$4:$A923,0),1),-1))</f>
        <v/>
      </c>
      <c r="AS372" s="87" t="str">
        <f t="shared" si="7"/>
        <v/>
      </c>
      <c r="AT372" s="87" t="str">
        <f t="shared" si="8"/>
        <v/>
      </c>
      <c r="AU372" s="87" t="str">
        <f t="shared" si="9"/>
        <v/>
      </c>
      <c r="AV372" s="89" t="str">
        <f t="array" ref="AV372">IF(OR($A372="",$AB372="", $AC372=""),"",MAXA(IF($A372=$A$4:$A923,$AC$4:$AC923)))</f>
        <v/>
      </c>
    </row>
    <row r="373" ht="22.5" customHeight="1">
      <c r="A373" s="76"/>
      <c r="B373" s="68" t="str">
        <f t="shared" si="1"/>
        <v/>
      </c>
      <c r="C373" s="110"/>
      <c r="D373" s="70" t="str">
        <f t="shared" si="2"/>
        <v/>
      </c>
      <c r="E373" s="76"/>
      <c r="F373" s="68" t="str">
        <f t="array" ref="F373">IF($A373="","",IFERROR(INDEX(MA_INDIVIDUALES!C$2:C923, MATCH($A373,MA_INDIVIDUALES!$B$2:$B923,0),1),"CÓDIGO DE EXPEDIENTE INVÁLIDO"))</f>
        <v/>
      </c>
      <c r="G373" s="68" t="str">
        <f t="array" ref="G373">IF($A373="","",IFERROR(INDEX(MA_INDIVIDUALES!K$2:K923, MATCH($A373,MA_INDIVIDUALES!$B$2:$B923,0),1),"CÓDIGO DE EXPEDIENTE INVÁLIDO"))</f>
        <v/>
      </c>
      <c r="H373" s="68" t="str">
        <f t="array" ref="H373">IF($A373="","",IFERROR(INDEX(MA_INDIVIDUALES!L$2:L923, MATCH($A373,MA_INDIVIDUALES!$B$2:$B923,0),1),"CÓDIGO DE EXPEDIENTE INVÁLIDO"))</f>
        <v/>
      </c>
      <c r="I373" s="76"/>
      <c r="J373" s="76"/>
      <c r="K373" s="75"/>
      <c r="L373" s="74" t="str">
        <f>IF(A373="","",IF(K373="","",_xlfn.WORKDAY.INTL(K373,5,1,FERIADOS)))</f>
        <v/>
      </c>
      <c r="M373" s="76"/>
      <c r="N373" s="75"/>
      <c r="O373" s="76"/>
      <c r="P373" s="77" t="str">
        <f t="shared" si="3"/>
        <v/>
      </c>
      <c r="Q373" s="75"/>
      <c r="R373" s="76"/>
      <c r="S373" s="75"/>
      <c r="T373" s="75"/>
      <c r="U373" s="76"/>
      <c r="V373" s="76"/>
      <c r="W373" s="75"/>
      <c r="X373" s="76"/>
      <c r="Y373" s="29" t="str">
        <f t="shared" si="4"/>
        <v/>
      </c>
      <c r="Z373" s="29" t="str">
        <f t="shared" si="5"/>
        <v/>
      </c>
      <c r="AA373" s="76"/>
      <c r="AB373" s="76"/>
      <c r="AC373" s="75"/>
      <c r="AD373" s="75"/>
      <c r="AE373" s="78" t="str">
        <f>IF(U373="","",IF(AD373="","",_xlfn.WORKDAY.INTL(AD373,7,1,FERIADOS)))</f>
        <v/>
      </c>
      <c r="AF373" s="104"/>
      <c r="AG373" s="80" t="str">
        <f t="array" ref="AG373">IF(A373="","",IF(AF373="","",AF373*INDEX(PARAMETROS!F$2:F1436,MATCH(YEAR(AC373),PARAMETROS!E$2:E1436,0),1)))</f>
        <v/>
      </c>
      <c r="AH373" s="81"/>
      <c r="AI373" s="82"/>
      <c r="AJ373" s="81"/>
      <c r="AK373" s="81"/>
      <c r="AL373" s="76"/>
      <c r="AM373" s="75"/>
      <c r="AN373" s="76"/>
      <c r="AO373" s="95"/>
      <c r="AP373" s="96"/>
      <c r="AQ373" s="85" t="str">
        <f t="shared" si="6"/>
        <v/>
      </c>
      <c r="AR373" s="86" t="str">
        <f t="array" ref="AR373">IF(A373="","",IFERROR(INDEX('2) Etapas'!L$3:L923,MATCH(B373,'2) Etapas'!$A$4:$A923,0),1),-1))</f>
        <v/>
      </c>
      <c r="AS373" s="87" t="str">
        <f t="shared" si="7"/>
        <v/>
      </c>
      <c r="AT373" s="87" t="str">
        <f t="shared" si="8"/>
        <v/>
      </c>
      <c r="AU373" s="87" t="str">
        <f t="shared" si="9"/>
        <v/>
      </c>
      <c r="AV373" s="89" t="str">
        <f t="array" ref="AV373">IF(OR($A373="",$AB373="", $AC373=""),"",MAXA(IF($A373=$A$4:$A923,$AC$4:$AC923)))</f>
        <v/>
      </c>
    </row>
    <row r="374" ht="22.5" customHeight="1">
      <c r="A374" s="76"/>
      <c r="B374" s="68" t="str">
        <f t="shared" si="1"/>
        <v/>
      </c>
      <c r="C374" s="110"/>
      <c r="D374" s="70" t="str">
        <f t="shared" si="2"/>
        <v/>
      </c>
      <c r="E374" s="76"/>
      <c r="F374" s="68" t="str">
        <f t="array" ref="F374">IF($A374="","",IFERROR(INDEX(MA_INDIVIDUALES!C$2:C923, MATCH($A374,MA_INDIVIDUALES!$B$2:$B923,0),1),"CÓDIGO DE EXPEDIENTE INVÁLIDO"))</f>
        <v/>
      </c>
      <c r="G374" s="68" t="str">
        <f t="array" ref="G374">IF($A374="","",IFERROR(INDEX(MA_INDIVIDUALES!K$2:K923, MATCH($A374,MA_INDIVIDUALES!$B$2:$B923,0),1),"CÓDIGO DE EXPEDIENTE INVÁLIDO"))</f>
        <v/>
      </c>
      <c r="H374" s="68" t="str">
        <f t="array" ref="H374">IF($A374="","",IFERROR(INDEX(MA_INDIVIDUALES!L$2:L923, MATCH($A374,MA_INDIVIDUALES!$B$2:$B923,0),1),"CÓDIGO DE EXPEDIENTE INVÁLIDO"))</f>
        <v/>
      </c>
      <c r="I374" s="76"/>
      <c r="J374" s="76"/>
      <c r="K374" s="75"/>
      <c r="L374" s="74" t="str">
        <f>IF(A374="","",IF(K374="","",_xlfn.WORKDAY.INTL(K374,5,1,FERIADOS)))</f>
        <v/>
      </c>
      <c r="M374" s="76"/>
      <c r="N374" s="75"/>
      <c r="O374" s="76"/>
      <c r="P374" s="77" t="str">
        <f t="shared" si="3"/>
        <v/>
      </c>
      <c r="Q374" s="75"/>
      <c r="R374" s="76"/>
      <c r="S374" s="75"/>
      <c r="T374" s="75"/>
      <c r="U374" s="76"/>
      <c r="V374" s="76"/>
      <c r="W374" s="75"/>
      <c r="X374" s="76"/>
      <c r="Y374" s="29" t="str">
        <f t="shared" si="4"/>
        <v/>
      </c>
      <c r="Z374" s="29" t="str">
        <f t="shared" si="5"/>
        <v/>
      </c>
      <c r="AA374" s="76"/>
      <c r="AB374" s="76"/>
      <c r="AC374" s="75"/>
      <c r="AD374" s="75"/>
      <c r="AE374" s="78" t="str">
        <f>IF(U374="","",IF(AD374="","",_xlfn.WORKDAY.INTL(AD374,7,1,FERIADOS)))</f>
        <v/>
      </c>
      <c r="AF374" s="104"/>
      <c r="AG374" s="80" t="str">
        <f t="array" ref="AG374">IF(A374="","",IF(AF374="","",AF374*INDEX(PARAMETROS!F$2:F1437,MATCH(YEAR(AC374),PARAMETROS!E$2:E1437,0),1)))</f>
        <v/>
      </c>
      <c r="AH374" s="81"/>
      <c r="AI374" s="82"/>
      <c r="AJ374" s="81"/>
      <c r="AK374" s="81"/>
      <c r="AL374" s="76"/>
      <c r="AM374" s="75"/>
      <c r="AN374" s="76"/>
      <c r="AO374" s="95"/>
      <c r="AP374" s="96"/>
      <c r="AQ374" s="85" t="str">
        <f t="shared" si="6"/>
        <v/>
      </c>
      <c r="AR374" s="86" t="str">
        <f t="array" ref="AR374">IF(A374="","",IFERROR(INDEX('2) Etapas'!L$3:L923,MATCH(B374,'2) Etapas'!$A$4:$A923,0),1),-1))</f>
        <v/>
      </c>
      <c r="AS374" s="87" t="str">
        <f t="shared" si="7"/>
        <v/>
      </c>
      <c r="AT374" s="87" t="str">
        <f t="shared" si="8"/>
        <v/>
      </c>
      <c r="AU374" s="87" t="str">
        <f t="shared" si="9"/>
        <v/>
      </c>
      <c r="AV374" s="89" t="str">
        <f t="array" ref="AV374">IF(OR($A374="",$AB374="", $AC374=""),"",MAXA(IF($A374=$A$4:$A923,$AC$4:$AC923)))</f>
        <v/>
      </c>
    </row>
    <row r="375" ht="22.5" customHeight="1">
      <c r="A375" s="76"/>
      <c r="B375" s="68" t="str">
        <f t="shared" si="1"/>
        <v/>
      </c>
      <c r="C375" s="110"/>
      <c r="D375" s="70" t="str">
        <f t="shared" si="2"/>
        <v/>
      </c>
      <c r="E375" s="76"/>
      <c r="F375" s="68" t="str">
        <f t="array" ref="F375">IF($A375="","",IFERROR(INDEX(MA_INDIVIDUALES!C$2:C923, MATCH($A375,MA_INDIVIDUALES!$B$2:$B923,0),1),"CÓDIGO DE EXPEDIENTE INVÁLIDO"))</f>
        <v/>
      </c>
      <c r="G375" s="68" t="str">
        <f t="array" ref="G375">IF($A375="","",IFERROR(INDEX(MA_INDIVIDUALES!K$2:K923, MATCH($A375,MA_INDIVIDUALES!$B$2:$B923,0),1),"CÓDIGO DE EXPEDIENTE INVÁLIDO"))</f>
        <v/>
      </c>
      <c r="H375" s="68" t="str">
        <f t="array" ref="H375">IF($A375="","",IFERROR(INDEX(MA_INDIVIDUALES!L$2:L923, MATCH($A375,MA_INDIVIDUALES!$B$2:$B923,0),1),"CÓDIGO DE EXPEDIENTE INVÁLIDO"))</f>
        <v/>
      </c>
      <c r="I375" s="76"/>
      <c r="J375" s="76"/>
      <c r="K375" s="75"/>
      <c r="L375" s="74" t="str">
        <f>IF(A375="","",IF(K375="","",_xlfn.WORKDAY.INTL(K375,5,1,FERIADOS)))</f>
        <v/>
      </c>
      <c r="M375" s="76"/>
      <c r="N375" s="75"/>
      <c r="O375" s="76"/>
      <c r="P375" s="77" t="str">
        <f t="shared" si="3"/>
        <v/>
      </c>
      <c r="Q375" s="75"/>
      <c r="R375" s="76"/>
      <c r="S375" s="75"/>
      <c r="T375" s="75"/>
      <c r="U375" s="76"/>
      <c r="V375" s="76"/>
      <c r="W375" s="75"/>
      <c r="X375" s="76"/>
      <c r="Y375" s="29" t="str">
        <f t="shared" si="4"/>
        <v/>
      </c>
      <c r="Z375" s="29" t="str">
        <f t="shared" si="5"/>
        <v/>
      </c>
      <c r="AA375" s="76"/>
      <c r="AB375" s="76"/>
      <c r="AC375" s="75"/>
      <c r="AD375" s="75"/>
      <c r="AE375" s="78" t="str">
        <f>IF(U375="","",IF(AD375="","",_xlfn.WORKDAY.INTL(AD375,7,1,FERIADOS)))</f>
        <v/>
      </c>
      <c r="AF375" s="104"/>
      <c r="AG375" s="80" t="str">
        <f t="array" ref="AG375">IF(A375="","",IF(AF375="","",AF375*INDEX(PARAMETROS!F$2:F1438,MATCH(YEAR(AC375),PARAMETROS!E$2:E1438,0),1)))</f>
        <v/>
      </c>
      <c r="AH375" s="81"/>
      <c r="AI375" s="82"/>
      <c r="AJ375" s="81"/>
      <c r="AK375" s="81"/>
      <c r="AL375" s="76"/>
      <c r="AM375" s="75"/>
      <c r="AN375" s="76"/>
      <c r="AO375" s="95"/>
      <c r="AP375" s="96"/>
      <c r="AQ375" s="85" t="str">
        <f t="shared" si="6"/>
        <v/>
      </c>
      <c r="AR375" s="86" t="str">
        <f t="array" ref="AR375">IF(A375="","",IFERROR(INDEX('2) Etapas'!L$3:L923,MATCH(B375,'2) Etapas'!$A$4:$A923,0),1),-1))</f>
        <v/>
      </c>
      <c r="AS375" s="87" t="str">
        <f t="shared" si="7"/>
        <v/>
      </c>
      <c r="AT375" s="87" t="str">
        <f t="shared" si="8"/>
        <v/>
      </c>
      <c r="AU375" s="87" t="str">
        <f t="shared" si="9"/>
        <v/>
      </c>
      <c r="AV375" s="89" t="str">
        <f t="array" ref="AV375">IF(OR($A375="",$AB375="", $AC375=""),"",MAXA(IF($A375=$A$4:$A923,$AC$4:$AC923)))</f>
        <v/>
      </c>
    </row>
    <row r="376" ht="22.5" customHeight="1">
      <c r="A376" s="76"/>
      <c r="B376" s="68" t="str">
        <f t="shared" si="1"/>
        <v/>
      </c>
      <c r="C376" s="110"/>
      <c r="D376" s="70" t="str">
        <f t="shared" si="2"/>
        <v/>
      </c>
      <c r="E376" s="76"/>
      <c r="F376" s="68" t="str">
        <f t="array" ref="F376">IF($A376="","",IFERROR(INDEX(MA_INDIVIDUALES!C$2:C923, MATCH($A376,MA_INDIVIDUALES!$B$2:$B923,0),1),"CÓDIGO DE EXPEDIENTE INVÁLIDO"))</f>
        <v/>
      </c>
      <c r="G376" s="68" t="str">
        <f t="array" ref="G376">IF($A376="","",IFERROR(INDEX(MA_INDIVIDUALES!K$2:K923, MATCH($A376,MA_INDIVIDUALES!$B$2:$B923,0),1),"CÓDIGO DE EXPEDIENTE INVÁLIDO"))</f>
        <v/>
      </c>
      <c r="H376" s="68" t="str">
        <f t="array" ref="H376">IF($A376="","",IFERROR(INDEX(MA_INDIVIDUALES!L$2:L923, MATCH($A376,MA_INDIVIDUALES!$B$2:$B923,0),1),"CÓDIGO DE EXPEDIENTE INVÁLIDO"))</f>
        <v/>
      </c>
      <c r="I376" s="76"/>
      <c r="J376" s="76"/>
      <c r="K376" s="75"/>
      <c r="L376" s="74" t="str">
        <f>IF(A376="","",IF(K376="","",_xlfn.WORKDAY.INTL(K376,5,1,FERIADOS)))</f>
        <v/>
      </c>
      <c r="M376" s="76"/>
      <c r="N376" s="75"/>
      <c r="O376" s="76"/>
      <c r="P376" s="77" t="str">
        <f t="shared" si="3"/>
        <v/>
      </c>
      <c r="Q376" s="75"/>
      <c r="R376" s="76"/>
      <c r="S376" s="75"/>
      <c r="T376" s="75"/>
      <c r="U376" s="76"/>
      <c r="V376" s="76"/>
      <c r="W376" s="75"/>
      <c r="X376" s="76"/>
      <c r="Y376" s="29" t="str">
        <f t="shared" si="4"/>
        <v/>
      </c>
      <c r="Z376" s="29" t="str">
        <f t="shared" si="5"/>
        <v/>
      </c>
      <c r="AA376" s="76"/>
      <c r="AB376" s="76"/>
      <c r="AC376" s="75"/>
      <c r="AD376" s="75"/>
      <c r="AE376" s="78" t="str">
        <f>IF(U376="","",IF(AD376="","",_xlfn.WORKDAY.INTL(AD376,7,1,FERIADOS)))</f>
        <v/>
      </c>
      <c r="AF376" s="104"/>
      <c r="AG376" s="80" t="str">
        <f t="array" ref="AG376">IF(A376="","",IF(AF376="","",AF376*INDEX(PARAMETROS!F$2:F1439,MATCH(YEAR(AC376),PARAMETROS!E$2:E1439,0),1)))</f>
        <v/>
      </c>
      <c r="AH376" s="81"/>
      <c r="AI376" s="82"/>
      <c r="AJ376" s="81"/>
      <c r="AK376" s="81"/>
      <c r="AL376" s="76"/>
      <c r="AM376" s="75"/>
      <c r="AN376" s="76"/>
      <c r="AO376" s="95"/>
      <c r="AP376" s="96"/>
      <c r="AQ376" s="85" t="str">
        <f t="shared" si="6"/>
        <v/>
      </c>
      <c r="AR376" s="86" t="str">
        <f t="array" ref="AR376">IF(A376="","",IFERROR(INDEX('2) Etapas'!L$3:L923,MATCH(B376,'2) Etapas'!$A$4:$A923,0),1),-1))</f>
        <v/>
      </c>
      <c r="AS376" s="87" t="str">
        <f t="shared" si="7"/>
        <v/>
      </c>
      <c r="AT376" s="87" t="str">
        <f t="shared" si="8"/>
        <v/>
      </c>
      <c r="AU376" s="87" t="str">
        <f t="shared" si="9"/>
        <v/>
      </c>
      <c r="AV376" s="89" t="str">
        <f t="array" ref="AV376">IF(OR($A376="",$AB376="", $AC376=""),"",MAXA(IF($A376=$A$4:$A923,$AC$4:$AC923)))</f>
        <v/>
      </c>
    </row>
    <row r="377" ht="22.5" customHeight="1">
      <c r="A377" s="76"/>
      <c r="B377" s="68" t="str">
        <f t="shared" si="1"/>
        <v/>
      </c>
      <c r="C377" s="110"/>
      <c r="D377" s="70" t="str">
        <f t="shared" si="2"/>
        <v/>
      </c>
      <c r="E377" s="76"/>
      <c r="F377" s="68" t="str">
        <f t="array" ref="F377">IF($A377="","",IFERROR(INDEX(MA_INDIVIDUALES!C$2:C923, MATCH($A377,MA_INDIVIDUALES!$B$2:$B923,0),1),"CÓDIGO DE EXPEDIENTE INVÁLIDO"))</f>
        <v/>
      </c>
      <c r="G377" s="68" t="str">
        <f t="array" ref="G377">IF($A377="","",IFERROR(INDEX(MA_INDIVIDUALES!K$2:K923, MATCH($A377,MA_INDIVIDUALES!$B$2:$B923,0),1),"CÓDIGO DE EXPEDIENTE INVÁLIDO"))</f>
        <v/>
      </c>
      <c r="H377" s="68" t="str">
        <f t="array" ref="H377">IF($A377="","",IFERROR(INDEX(MA_INDIVIDUALES!L$2:L923, MATCH($A377,MA_INDIVIDUALES!$B$2:$B923,0),1),"CÓDIGO DE EXPEDIENTE INVÁLIDO"))</f>
        <v/>
      </c>
      <c r="I377" s="76"/>
      <c r="J377" s="76"/>
      <c r="K377" s="75"/>
      <c r="L377" s="74" t="str">
        <f>IF(A377="","",IF(K377="","",_xlfn.WORKDAY.INTL(K377,5,1,FERIADOS)))</f>
        <v/>
      </c>
      <c r="M377" s="76"/>
      <c r="N377" s="75"/>
      <c r="O377" s="76"/>
      <c r="P377" s="77" t="str">
        <f t="shared" si="3"/>
        <v/>
      </c>
      <c r="Q377" s="75"/>
      <c r="R377" s="76"/>
      <c r="S377" s="75"/>
      <c r="T377" s="75"/>
      <c r="U377" s="76"/>
      <c r="V377" s="76"/>
      <c r="W377" s="75"/>
      <c r="X377" s="76"/>
      <c r="Y377" s="29" t="str">
        <f t="shared" si="4"/>
        <v/>
      </c>
      <c r="Z377" s="29" t="str">
        <f t="shared" si="5"/>
        <v/>
      </c>
      <c r="AA377" s="76"/>
      <c r="AB377" s="76"/>
      <c r="AC377" s="75"/>
      <c r="AD377" s="75"/>
      <c r="AE377" s="78" t="str">
        <f>IF(U377="","",IF(AD377="","",_xlfn.WORKDAY.INTL(AD377,7,1,FERIADOS)))</f>
        <v/>
      </c>
      <c r="AF377" s="104"/>
      <c r="AG377" s="80" t="str">
        <f t="array" ref="AG377">IF(A377="","",IF(AF377="","",AF377*INDEX(PARAMETROS!F$2:F1440,MATCH(YEAR(AC377),PARAMETROS!E$2:E1440,0),1)))</f>
        <v/>
      </c>
      <c r="AH377" s="81"/>
      <c r="AI377" s="82"/>
      <c r="AJ377" s="81"/>
      <c r="AK377" s="81"/>
      <c r="AL377" s="76"/>
      <c r="AM377" s="75"/>
      <c r="AN377" s="76"/>
      <c r="AO377" s="95"/>
      <c r="AP377" s="96"/>
      <c r="AQ377" s="85" t="str">
        <f t="shared" si="6"/>
        <v/>
      </c>
      <c r="AR377" s="86" t="str">
        <f t="array" ref="AR377">IF(A377="","",IFERROR(INDEX('2) Etapas'!L$3:L923,MATCH(B377,'2) Etapas'!$A$4:$A923,0),1),-1))</f>
        <v/>
      </c>
      <c r="AS377" s="87" t="str">
        <f t="shared" si="7"/>
        <v/>
      </c>
      <c r="AT377" s="87" t="str">
        <f t="shared" si="8"/>
        <v/>
      </c>
      <c r="AU377" s="87" t="str">
        <f t="shared" si="9"/>
        <v/>
      </c>
      <c r="AV377" s="89" t="str">
        <f t="array" ref="AV377">IF(OR($A377="",$AB377="", $AC377=""),"",MAXA(IF($A377=$A$4:$A923,$AC$4:$AC923)))</f>
        <v/>
      </c>
    </row>
    <row r="378" ht="22.5" customHeight="1">
      <c r="A378" s="76"/>
      <c r="B378" s="68" t="str">
        <f t="shared" si="1"/>
        <v/>
      </c>
      <c r="C378" s="110"/>
      <c r="D378" s="70" t="str">
        <f t="shared" si="2"/>
        <v/>
      </c>
      <c r="E378" s="76"/>
      <c r="F378" s="68" t="str">
        <f t="array" ref="F378">IF($A378="","",IFERROR(INDEX(MA_INDIVIDUALES!C$2:C923, MATCH($A378,MA_INDIVIDUALES!$B$2:$B923,0),1),"CÓDIGO DE EXPEDIENTE INVÁLIDO"))</f>
        <v/>
      </c>
      <c r="G378" s="68" t="str">
        <f t="array" ref="G378">IF($A378="","",IFERROR(INDEX(MA_INDIVIDUALES!K$2:K923, MATCH($A378,MA_INDIVIDUALES!$B$2:$B923,0),1),"CÓDIGO DE EXPEDIENTE INVÁLIDO"))</f>
        <v/>
      </c>
      <c r="H378" s="68" t="str">
        <f t="array" ref="H378">IF($A378="","",IFERROR(INDEX(MA_INDIVIDUALES!L$2:L923, MATCH($A378,MA_INDIVIDUALES!$B$2:$B923,0),1),"CÓDIGO DE EXPEDIENTE INVÁLIDO"))</f>
        <v/>
      </c>
      <c r="I378" s="76"/>
      <c r="J378" s="76"/>
      <c r="K378" s="75"/>
      <c r="L378" s="74" t="str">
        <f>IF(A378="","",IF(K378="","",_xlfn.WORKDAY.INTL(K378,5,1,FERIADOS)))</f>
        <v/>
      </c>
      <c r="M378" s="76"/>
      <c r="N378" s="75"/>
      <c r="O378" s="76"/>
      <c r="P378" s="77" t="str">
        <f t="shared" si="3"/>
        <v/>
      </c>
      <c r="Q378" s="75"/>
      <c r="R378" s="76"/>
      <c r="S378" s="75"/>
      <c r="T378" s="75"/>
      <c r="U378" s="76"/>
      <c r="V378" s="76"/>
      <c r="W378" s="75"/>
      <c r="X378" s="76"/>
      <c r="Y378" s="29" t="str">
        <f t="shared" si="4"/>
        <v/>
      </c>
      <c r="Z378" s="29" t="str">
        <f t="shared" si="5"/>
        <v/>
      </c>
      <c r="AA378" s="76"/>
      <c r="AB378" s="76"/>
      <c r="AC378" s="75"/>
      <c r="AD378" s="75"/>
      <c r="AE378" s="78" t="str">
        <f>IF(U378="","",IF(AD378="","",_xlfn.WORKDAY.INTL(AD378,7,1,FERIADOS)))</f>
        <v/>
      </c>
      <c r="AF378" s="104"/>
      <c r="AG378" s="80" t="str">
        <f t="array" ref="AG378">IF(A378="","",IF(AF378="","",AF378*INDEX(PARAMETROS!F$2:F1441,MATCH(YEAR(AC378),PARAMETROS!E$2:E1441,0),1)))</f>
        <v/>
      </c>
      <c r="AH378" s="81"/>
      <c r="AI378" s="82"/>
      <c r="AJ378" s="81"/>
      <c r="AK378" s="81"/>
      <c r="AL378" s="76"/>
      <c r="AM378" s="75"/>
      <c r="AN378" s="76"/>
      <c r="AO378" s="95"/>
      <c r="AP378" s="96"/>
      <c r="AQ378" s="85" t="str">
        <f t="shared" si="6"/>
        <v/>
      </c>
      <c r="AR378" s="86" t="str">
        <f t="array" ref="AR378">IF(A378="","",IFERROR(INDEX('2) Etapas'!L$3:L923,MATCH(B378,'2) Etapas'!$A$4:$A923,0),1),-1))</f>
        <v/>
      </c>
      <c r="AS378" s="87" t="str">
        <f t="shared" si="7"/>
        <v/>
      </c>
      <c r="AT378" s="87" t="str">
        <f t="shared" si="8"/>
        <v/>
      </c>
      <c r="AU378" s="87" t="str">
        <f t="shared" si="9"/>
        <v/>
      </c>
      <c r="AV378" s="89" t="str">
        <f t="array" ref="AV378">IF(OR($A378="",$AB378="", $AC378=""),"",MAXA(IF($A378=$A$4:$A923,$AC$4:$AC923)))</f>
        <v/>
      </c>
    </row>
    <row r="379" ht="22.5" customHeight="1">
      <c r="A379" s="76"/>
      <c r="B379" s="68" t="str">
        <f t="shared" si="1"/>
        <v/>
      </c>
      <c r="C379" s="110"/>
      <c r="D379" s="70" t="str">
        <f t="shared" si="2"/>
        <v/>
      </c>
      <c r="E379" s="76"/>
      <c r="F379" s="68" t="str">
        <f t="array" ref="F379">IF($A379="","",IFERROR(INDEX(MA_INDIVIDUALES!C$2:C923, MATCH($A379,MA_INDIVIDUALES!$B$2:$B923,0),1),"CÓDIGO DE EXPEDIENTE INVÁLIDO"))</f>
        <v/>
      </c>
      <c r="G379" s="68" t="str">
        <f t="array" ref="G379">IF($A379="","",IFERROR(INDEX(MA_INDIVIDUALES!K$2:K923, MATCH($A379,MA_INDIVIDUALES!$B$2:$B923,0),1),"CÓDIGO DE EXPEDIENTE INVÁLIDO"))</f>
        <v/>
      </c>
      <c r="H379" s="68" t="str">
        <f t="array" ref="H379">IF($A379="","",IFERROR(INDEX(MA_INDIVIDUALES!L$2:L923, MATCH($A379,MA_INDIVIDUALES!$B$2:$B923,0),1),"CÓDIGO DE EXPEDIENTE INVÁLIDO"))</f>
        <v/>
      </c>
      <c r="I379" s="76"/>
      <c r="J379" s="76"/>
      <c r="K379" s="75"/>
      <c r="L379" s="74" t="str">
        <f>IF(A379="","",IF(K379="","",_xlfn.WORKDAY.INTL(K379,5,1,FERIADOS)))</f>
        <v/>
      </c>
      <c r="M379" s="76"/>
      <c r="N379" s="75"/>
      <c r="O379" s="76"/>
      <c r="P379" s="77" t="str">
        <f t="shared" si="3"/>
        <v/>
      </c>
      <c r="Q379" s="75"/>
      <c r="R379" s="76"/>
      <c r="S379" s="75"/>
      <c r="T379" s="75"/>
      <c r="U379" s="76"/>
      <c r="V379" s="76"/>
      <c r="W379" s="75"/>
      <c r="X379" s="76"/>
      <c r="Y379" s="29" t="str">
        <f t="shared" si="4"/>
        <v/>
      </c>
      <c r="Z379" s="29" t="str">
        <f t="shared" si="5"/>
        <v/>
      </c>
      <c r="AA379" s="76"/>
      <c r="AB379" s="76"/>
      <c r="AC379" s="75"/>
      <c r="AD379" s="75"/>
      <c r="AE379" s="78" t="str">
        <f>IF(U379="","",IF(AD379="","",_xlfn.WORKDAY.INTL(AD379,7,1,FERIADOS)))</f>
        <v/>
      </c>
      <c r="AF379" s="104"/>
      <c r="AG379" s="80" t="str">
        <f t="array" ref="AG379">IF(A379="","",IF(AF379="","",AF379*INDEX(PARAMETROS!F$2:F1442,MATCH(YEAR(AC379),PARAMETROS!E$2:E1442,0),1)))</f>
        <v/>
      </c>
      <c r="AH379" s="81"/>
      <c r="AI379" s="82"/>
      <c r="AJ379" s="81"/>
      <c r="AK379" s="81"/>
      <c r="AL379" s="76"/>
      <c r="AM379" s="75"/>
      <c r="AN379" s="76"/>
      <c r="AO379" s="95"/>
      <c r="AP379" s="96"/>
      <c r="AQ379" s="85" t="str">
        <f t="shared" si="6"/>
        <v/>
      </c>
      <c r="AR379" s="86" t="str">
        <f t="array" ref="AR379">IF(A379="","",IFERROR(INDEX('2) Etapas'!L$3:L923,MATCH(B379,'2) Etapas'!$A$4:$A923,0),1),-1))</f>
        <v/>
      </c>
      <c r="AS379" s="87" t="str">
        <f t="shared" si="7"/>
        <v/>
      </c>
      <c r="AT379" s="87" t="str">
        <f t="shared" si="8"/>
        <v/>
      </c>
      <c r="AU379" s="87" t="str">
        <f t="shared" si="9"/>
        <v/>
      </c>
      <c r="AV379" s="89" t="str">
        <f t="array" ref="AV379">IF(OR($A379="",$AB379="", $AC379=""),"",MAXA(IF($A379=$A$4:$A923,$AC$4:$AC923)))</f>
        <v/>
      </c>
    </row>
    <row r="380" ht="22.5" customHeight="1">
      <c r="A380" s="76"/>
      <c r="B380" s="68" t="str">
        <f t="shared" si="1"/>
        <v/>
      </c>
      <c r="C380" s="110"/>
      <c r="D380" s="70" t="str">
        <f t="shared" si="2"/>
        <v/>
      </c>
      <c r="E380" s="76"/>
      <c r="F380" s="68" t="str">
        <f t="array" ref="F380">IF($A380="","",IFERROR(INDEX(MA_INDIVIDUALES!C$2:C923, MATCH($A380,MA_INDIVIDUALES!$B$2:$B923,0),1),"CÓDIGO DE EXPEDIENTE INVÁLIDO"))</f>
        <v/>
      </c>
      <c r="G380" s="68" t="str">
        <f t="array" ref="G380">IF($A380="","",IFERROR(INDEX(MA_INDIVIDUALES!K$2:K923, MATCH($A380,MA_INDIVIDUALES!$B$2:$B923,0),1),"CÓDIGO DE EXPEDIENTE INVÁLIDO"))</f>
        <v/>
      </c>
      <c r="H380" s="68" t="str">
        <f t="array" ref="H380">IF($A380="","",IFERROR(INDEX(MA_INDIVIDUALES!L$2:L923, MATCH($A380,MA_INDIVIDUALES!$B$2:$B923,0),1),"CÓDIGO DE EXPEDIENTE INVÁLIDO"))</f>
        <v/>
      </c>
      <c r="I380" s="76"/>
      <c r="J380" s="76"/>
      <c r="K380" s="75"/>
      <c r="L380" s="74" t="str">
        <f>IF(A380="","",IF(K380="","",_xlfn.WORKDAY.INTL(K380,5,1,FERIADOS)))</f>
        <v/>
      </c>
      <c r="M380" s="76"/>
      <c r="N380" s="75"/>
      <c r="O380" s="76"/>
      <c r="P380" s="77" t="str">
        <f t="shared" si="3"/>
        <v/>
      </c>
      <c r="Q380" s="75"/>
      <c r="R380" s="76"/>
      <c r="S380" s="75"/>
      <c r="T380" s="75"/>
      <c r="U380" s="76"/>
      <c r="V380" s="76"/>
      <c r="W380" s="75"/>
      <c r="X380" s="76"/>
      <c r="Y380" s="29" t="str">
        <f t="shared" si="4"/>
        <v/>
      </c>
      <c r="Z380" s="29" t="str">
        <f t="shared" si="5"/>
        <v/>
      </c>
      <c r="AA380" s="76"/>
      <c r="AB380" s="76"/>
      <c r="AC380" s="75"/>
      <c r="AD380" s="75"/>
      <c r="AE380" s="78" t="str">
        <f>IF(U380="","",IF(AD380="","",_xlfn.WORKDAY.INTL(AD380,7,1,FERIADOS)))</f>
        <v/>
      </c>
      <c r="AF380" s="104"/>
      <c r="AG380" s="80" t="str">
        <f t="array" ref="AG380">IF(A380="","",IF(AF380="","",AF380*INDEX(PARAMETROS!F$2:F1443,MATCH(YEAR(AC380),PARAMETROS!E$2:E1443,0),1)))</f>
        <v/>
      </c>
      <c r="AH380" s="81"/>
      <c r="AI380" s="82"/>
      <c r="AJ380" s="81"/>
      <c r="AK380" s="81"/>
      <c r="AL380" s="76"/>
      <c r="AM380" s="75"/>
      <c r="AN380" s="76"/>
      <c r="AO380" s="95"/>
      <c r="AP380" s="96"/>
      <c r="AQ380" s="85" t="str">
        <f t="shared" si="6"/>
        <v/>
      </c>
      <c r="AR380" s="86" t="str">
        <f t="array" ref="AR380">IF(A380="","",IFERROR(INDEX('2) Etapas'!L$3:L923,MATCH(B380,'2) Etapas'!$A$4:$A923,0),1),-1))</f>
        <v/>
      </c>
      <c r="AS380" s="87" t="str">
        <f t="shared" si="7"/>
        <v/>
      </c>
      <c r="AT380" s="87" t="str">
        <f t="shared" si="8"/>
        <v/>
      </c>
      <c r="AU380" s="87" t="str">
        <f t="shared" si="9"/>
        <v/>
      </c>
      <c r="AV380" s="89" t="str">
        <f t="array" ref="AV380">IF(OR($A380="",$AB380="", $AC380=""),"",MAXA(IF($A380=$A$4:$A923,$AC$4:$AC923)))</f>
        <v/>
      </c>
    </row>
    <row r="381" ht="22.5" customHeight="1">
      <c r="A381" s="76"/>
      <c r="B381" s="68" t="str">
        <f t="shared" si="1"/>
        <v/>
      </c>
      <c r="C381" s="110"/>
      <c r="D381" s="70" t="str">
        <f t="shared" si="2"/>
        <v/>
      </c>
      <c r="E381" s="76"/>
      <c r="F381" s="68" t="str">
        <f t="array" ref="F381">IF($A381="","",IFERROR(INDEX(MA_INDIVIDUALES!C$2:C923, MATCH($A381,MA_INDIVIDUALES!$B$2:$B923,0),1),"CÓDIGO DE EXPEDIENTE INVÁLIDO"))</f>
        <v/>
      </c>
      <c r="G381" s="68" t="str">
        <f t="array" ref="G381">IF($A381="","",IFERROR(INDEX(MA_INDIVIDUALES!K$2:K923, MATCH($A381,MA_INDIVIDUALES!$B$2:$B923,0),1),"CÓDIGO DE EXPEDIENTE INVÁLIDO"))</f>
        <v/>
      </c>
      <c r="H381" s="68" t="str">
        <f t="array" ref="H381">IF($A381="","",IFERROR(INDEX(MA_INDIVIDUALES!L$2:L923, MATCH($A381,MA_INDIVIDUALES!$B$2:$B923,0),1),"CÓDIGO DE EXPEDIENTE INVÁLIDO"))</f>
        <v/>
      </c>
      <c r="I381" s="76"/>
      <c r="J381" s="76"/>
      <c r="K381" s="75"/>
      <c r="L381" s="74" t="str">
        <f>IF(A381="","",IF(K381="","",_xlfn.WORKDAY.INTL(K381,5,1,FERIADOS)))</f>
        <v/>
      </c>
      <c r="M381" s="76"/>
      <c r="N381" s="75"/>
      <c r="O381" s="76"/>
      <c r="P381" s="77" t="str">
        <f t="shared" si="3"/>
        <v/>
      </c>
      <c r="Q381" s="75"/>
      <c r="R381" s="76"/>
      <c r="S381" s="75"/>
      <c r="T381" s="75"/>
      <c r="U381" s="76"/>
      <c r="V381" s="76"/>
      <c r="W381" s="75"/>
      <c r="X381" s="76"/>
      <c r="Y381" s="29" t="str">
        <f t="shared" si="4"/>
        <v/>
      </c>
      <c r="Z381" s="29" t="str">
        <f t="shared" si="5"/>
        <v/>
      </c>
      <c r="AA381" s="76"/>
      <c r="AB381" s="76"/>
      <c r="AC381" s="75"/>
      <c r="AD381" s="75"/>
      <c r="AE381" s="78" t="str">
        <f>IF(U381="","",IF(AD381="","",_xlfn.WORKDAY.INTL(AD381,7,1,FERIADOS)))</f>
        <v/>
      </c>
      <c r="AF381" s="104"/>
      <c r="AG381" s="80" t="str">
        <f t="array" ref="AG381">IF(A381="","",IF(AF381="","",AF381*INDEX(PARAMETROS!F$2:F1444,MATCH(YEAR(AC381),PARAMETROS!E$2:E1444,0),1)))</f>
        <v/>
      </c>
      <c r="AH381" s="81"/>
      <c r="AI381" s="82"/>
      <c r="AJ381" s="81"/>
      <c r="AK381" s="81"/>
      <c r="AL381" s="76"/>
      <c r="AM381" s="75"/>
      <c r="AN381" s="76"/>
      <c r="AO381" s="95"/>
      <c r="AP381" s="96"/>
      <c r="AQ381" s="85" t="str">
        <f t="shared" si="6"/>
        <v/>
      </c>
      <c r="AR381" s="86" t="str">
        <f t="array" ref="AR381">IF(A381="","",IFERROR(INDEX('2) Etapas'!L$3:L923,MATCH(B381,'2) Etapas'!$A$4:$A923,0),1),-1))</f>
        <v/>
      </c>
      <c r="AS381" s="87" t="str">
        <f t="shared" si="7"/>
        <v/>
      </c>
      <c r="AT381" s="87" t="str">
        <f t="shared" si="8"/>
        <v/>
      </c>
      <c r="AU381" s="87" t="str">
        <f t="shared" si="9"/>
        <v/>
      </c>
      <c r="AV381" s="89" t="str">
        <f t="array" ref="AV381">IF(OR($A381="",$AB381="", $AC381=""),"",MAXA(IF($A381=$A$4:$A923,$AC$4:$AC923)))</f>
        <v/>
      </c>
    </row>
    <row r="382" ht="22.5" customHeight="1">
      <c r="A382" s="76"/>
      <c r="B382" s="68" t="str">
        <f t="shared" si="1"/>
        <v/>
      </c>
      <c r="C382" s="110"/>
      <c r="D382" s="70" t="str">
        <f t="shared" si="2"/>
        <v/>
      </c>
      <c r="E382" s="76"/>
      <c r="F382" s="68" t="str">
        <f t="array" ref="F382">IF($A382="","",IFERROR(INDEX(MA_INDIVIDUALES!C$2:C923, MATCH($A382,MA_INDIVIDUALES!$B$2:$B923,0),1),"CÓDIGO DE EXPEDIENTE INVÁLIDO"))</f>
        <v/>
      </c>
      <c r="G382" s="68" t="str">
        <f t="array" ref="G382">IF($A382="","",IFERROR(INDEX(MA_INDIVIDUALES!K$2:K923, MATCH($A382,MA_INDIVIDUALES!$B$2:$B923,0),1),"CÓDIGO DE EXPEDIENTE INVÁLIDO"))</f>
        <v/>
      </c>
      <c r="H382" s="68" t="str">
        <f t="array" ref="H382">IF($A382="","",IFERROR(INDEX(MA_INDIVIDUALES!L$2:L923, MATCH($A382,MA_INDIVIDUALES!$B$2:$B923,0),1),"CÓDIGO DE EXPEDIENTE INVÁLIDO"))</f>
        <v/>
      </c>
      <c r="I382" s="76"/>
      <c r="J382" s="76"/>
      <c r="K382" s="75"/>
      <c r="L382" s="74" t="str">
        <f>IF(A382="","",IF(K382="","",_xlfn.WORKDAY.INTL(K382,5,1,FERIADOS)))</f>
        <v/>
      </c>
      <c r="M382" s="76"/>
      <c r="N382" s="75"/>
      <c r="O382" s="76"/>
      <c r="P382" s="77" t="str">
        <f t="shared" si="3"/>
        <v/>
      </c>
      <c r="Q382" s="75"/>
      <c r="R382" s="76"/>
      <c r="S382" s="75"/>
      <c r="T382" s="75"/>
      <c r="U382" s="76"/>
      <c r="V382" s="76"/>
      <c r="W382" s="75"/>
      <c r="X382" s="76"/>
      <c r="Y382" s="29" t="str">
        <f t="shared" si="4"/>
        <v/>
      </c>
      <c r="Z382" s="29" t="str">
        <f t="shared" si="5"/>
        <v/>
      </c>
      <c r="AA382" s="76"/>
      <c r="AB382" s="76"/>
      <c r="AC382" s="75"/>
      <c r="AD382" s="75"/>
      <c r="AE382" s="78" t="str">
        <f>IF(U382="","",IF(AD382="","",_xlfn.WORKDAY.INTL(AD382,7,1,FERIADOS)))</f>
        <v/>
      </c>
      <c r="AF382" s="104"/>
      <c r="AG382" s="80" t="str">
        <f t="array" ref="AG382">IF(A382="","",IF(AF382="","",AF382*INDEX(PARAMETROS!F$2:F1445,MATCH(YEAR(AC382),PARAMETROS!E$2:E1445,0),1)))</f>
        <v/>
      </c>
      <c r="AH382" s="81"/>
      <c r="AI382" s="82"/>
      <c r="AJ382" s="81"/>
      <c r="AK382" s="81"/>
      <c r="AL382" s="76"/>
      <c r="AM382" s="75"/>
      <c r="AN382" s="76"/>
      <c r="AO382" s="95"/>
      <c r="AP382" s="96"/>
      <c r="AQ382" s="85" t="str">
        <f t="shared" si="6"/>
        <v/>
      </c>
      <c r="AR382" s="86" t="str">
        <f t="array" ref="AR382">IF(A382="","",IFERROR(INDEX('2) Etapas'!L$3:L923,MATCH(B382,'2) Etapas'!$A$4:$A923,0),1),-1))</f>
        <v/>
      </c>
      <c r="AS382" s="87" t="str">
        <f t="shared" si="7"/>
        <v/>
      </c>
      <c r="AT382" s="87" t="str">
        <f t="shared" si="8"/>
        <v/>
      </c>
      <c r="AU382" s="87" t="str">
        <f t="shared" si="9"/>
        <v/>
      </c>
      <c r="AV382" s="89" t="str">
        <f t="array" ref="AV382">IF(OR($A382="",$AB382="", $AC382=""),"",MAXA(IF($A382=$A$4:$A923,$AC$4:$AC923)))</f>
        <v/>
      </c>
    </row>
    <row r="383" ht="22.5" customHeight="1">
      <c r="A383" s="76"/>
      <c r="B383" s="68" t="str">
        <f t="shared" si="1"/>
        <v/>
      </c>
      <c r="C383" s="110"/>
      <c r="D383" s="70" t="str">
        <f t="shared" si="2"/>
        <v/>
      </c>
      <c r="E383" s="76"/>
      <c r="F383" s="68" t="str">
        <f t="array" ref="F383">IF($A383="","",IFERROR(INDEX(MA_INDIVIDUALES!C$2:C923, MATCH($A383,MA_INDIVIDUALES!$B$2:$B923,0),1),"CÓDIGO DE EXPEDIENTE INVÁLIDO"))</f>
        <v/>
      </c>
      <c r="G383" s="68" t="str">
        <f t="array" ref="G383">IF($A383="","",IFERROR(INDEX(MA_INDIVIDUALES!K$2:K923, MATCH($A383,MA_INDIVIDUALES!$B$2:$B923,0),1),"CÓDIGO DE EXPEDIENTE INVÁLIDO"))</f>
        <v/>
      </c>
      <c r="H383" s="68" t="str">
        <f t="array" ref="H383">IF($A383="","",IFERROR(INDEX(MA_INDIVIDUALES!L$2:L923, MATCH($A383,MA_INDIVIDUALES!$B$2:$B923,0),1),"CÓDIGO DE EXPEDIENTE INVÁLIDO"))</f>
        <v/>
      </c>
      <c r="I383" s="76"/>
      <c r="J383" s="76"/>
      <c r="K383" s="75"/>
      <c r="L383" s="74" t="str">
        <f>IF(A383="","",IF(K383="","",_xlfn.WORKDAY.INTL(K383,5,1,FERIADOS)))</f>
        <v/>
      </c>
      <c r="M383" s="76"/>
      <c r="N383" s="75"/>
      <c r="O383" s="76"/>
      <c r="P383" s="77" t="str">
        <f t="shared" si="3"/>
        <v/>
      </c>
      <c r="Q383" s="75"/>
      <c r="R383" s="76"/>
      <c r="S383" s="75"/>
      <c r="T383" s="75"/>
      <c r="U383" s="76"/>
      <c r="V383" s="76"/>
      <c r="W383" s="75"/>
      <c r="X383" s="76"/>
      <c r="Y383" s="29" t="str">
        <f t="shared" si="4"/>
        <v/>
      </c>
      <c r="Z383" s="29" t="str">
        <f t="shared" si="5"/>
        <v/>
      </c>
      <c r="AA383" s="76"/>
      <c r="AB383" s="76"/>
      <c r="AC383" s="75"/>
      <c r="AD383" s="75"/>
      <c r="AE383" s="78" t="str">
        <f>IF(U383="","",IF(AD383="","",_xlfn.WORKDAY.INTL(AD383,7,1,FERIADOS)))</f>
        <v/>
      </c>
      <c r="AF383" s="104"/>
      <c r="AG383" s="80" t="str">
        <f t="array" ref="AG383">IF(A383="","",IF(AF383="","",AF383*INDEX(PARAMETROS!F$2:F1446,MATCH(YEAR(AC383),PARAMETROS!E$2:E1446,0),1)))</f>
        <v/>
      </c>
      <c r="AH383" s="81"/>
      <c r="AI383" s="82"/>
      <c r="AJ383" s="81"/>
      <c r="AK383" s="81"/>
      <c r="AL383" s="76"/>
      <c r="AM383" s="75"/>
      <c r="AN383" s="76"/>
      <c r="AO383" s="95"/>
      <c r="AP383" s="96"/>
      <c r="AQ383" s="85" t="str">
        <f t="shared" si="6"/>
        <v/>
      </c>
      <c r="AR383" s="86" t="str">
        <f t="array" ref="AR383">IF(A383="","",IFERROR(INDEX('2) Etapas'!L$3:L923,MATCH(B383,'2) Etapas'!$A$4:$A923,0),1),-1))</f>
        <v/>
      </c>
      <c r="AS383" s="87" t="str">
        <f t="shared" si="7"/>
        <v/>
      </c>
      <c r="AT383" s="87" t="str">
        <f t="shared" si="8"/>
        <v/>
      </c>
      <c r="AU383" s="87" t="str">
        <f t="shared" si="9"/>
        <v/>
      </c>
      <c r="AV383" s="89" t="str">
        <f t="array" ref="AV383">IF(OR($A383="",$AB383="", $AC383=""),"",MAXA(IF($A383=$A$4:$A923,$AC$4:$AC923)))</f>
        <v/>
      </c>
    </row>
    <row r="384" ht="22.5" customHeight="1">
      <c r="A384" s="76"/>
      <c r="B384" s="68" t="str">
        <f t="shared" si="1"/>
        <v/>
      </c>
      <c r="C384" s="110"/>
      <c r="D384" s="70" t="str">
        <f t="shared" si="2"/>
        <v/>
      </c>
      <c r="E384" s="76"/>
      <c r="F384" s="68" t="str">
        <f t="array" ref="F384">IF($A384="","",IFERROR(INDEX(MA_INDIVIDUALES!C$2:C923, MATCH($A384,MA_INDIVIDUALES!$B$2:$B923,0),1),"CÓDIGO DE EXPEDIENTE INVÁLIDO"))</f>
        <v/>
      </c>
      <c r="G384" s="68" t="str">
        <f t="array" ref="G384">IF($A384="","",IFERROR(INDEX(MA_INDIVIDUALES!K$2:K923, MATCH($A384,MA_INDIVIDUALES!$B$2:$B923,0),1),"CÓDIGO DE EXPEDIENTE INVÁLIDO"))</f>
        <v/>
      </c>
      <c r="H384" s="68" t="str">
        <f t="array" ref="H384">IF($A384="","",IFERROR(INDEX(MA_INDIVIDUALES!L$2:L923, MATCH($A384,MA_INDIVIDUALES!$B$2:$B923,0),1),"CÓDIGO DE EXPEDIENTE INVÁLIDO"))</f>
        <v/>
      </c>
      <c r="I384" s="76"/>
      <c r="J384" s="76"/>
      <c r="K384" s="75"/>
      <c r="L384" s="74" t="str">
        <f>IF(A384="","",IF(K384="","",_xlfn.WORKDAY.INTL(K384,5,1,FERIADOS)))</f>
        <v/>
      </c>
      <c r="M384" s="76"/>
      <c r="N384" s="75"/>
      <c r="O384" s="76"/>
      <c r="P384" s="77" t="str">
        <f t="shared" si="3"/>
        <v/>
      </c>
      <c r="Q384" s="75"/>
      <c r="R384" s="76"/>
      <c r="S384" s="75"/>
      <c r="T384" s="75"/>
      <c r="U384" s="76"/>
      <c r="V384" s="76"/>
      <c r="W384" s="75"/>
      <c r="X384" s="76"/>
      <c r="Y384" s="29" t="str">
        <f t="shared" si="4"/>
        <v/>
      </c>
      <c r="Z384" s="29" t="str">
        <f t="shared" si="5"/>
        <v/>
      </c>
      <c r="AA384" s="76"/>
      <c r="AB384" s="76"/>
      <c r="AC384" s="75"/>
      <c r="AD384" s="75"/>
      <c r="AE384" s="78" t="str">
        <f>IF(U384="","",IF(AD384="","",_xlfn.WORKDAY.INTL(AD384,7,1,FERIADOS)))</f>
        <v/>
      </c>
      <c r="AF384" s="104"/>
      <c r="AG384" s="80" t="str">
        <f t="array" ref="AG384">IF(A384="","",IF(AF384="","",AF384*INDEX(PARAMETROS!F$2:F1447,MATCH(YEAR(AC384),PARAMETROS!E$2:E1447,0),1)))</f>
        <v/>
      </c>
      <c r="AH384" s="81"/>
      <c r="AI384" s="82"/>
      <c r="AJ384" s="81"/>
      <c r="AK384" s="81"/>
      <c r="AL384" s="76"/>
      <c r="AM384" s="75"/>
      <c r="AN384" s="76"/>
      <c r="AO384" s="95"/>
      <c r="AP384" s="96"/>
      <c r="AQ384" s="85" t="str">
        <f t="shared" si="6"/>
        <v/>
      </c>
      <c r="AR384" s="86" t="str">
        <f t="array" ref="AR384">IF(A384="","",IFERROR(INDEX('2) Etapas'!L$3:L923,MATCH(B384,'2) Etapas'!$A$4:$A923,0),1),-1))</f>
        <v/>
      </c>
      <c r="AS384" s="87" t="str">
        <f t="shared" si="7"/>
        <v/>
      </c>
      <c r="AT384" s="87" t="str">
        <f t="shared" si="8"/>
        <v/>
      </c>
      <c r="AU384" s="87" t="str">
        <f t="shared" si="9"/>
        <v/>
      </c>
      <c r="AV384" s="89" t="str">
        <f t="array" ref="AV384">IF(OR($A384="",$AB384="", $AC384=""),"",MAXA(IF($A384=$A$4:$A923,$AC$4:$AC923)))</f>
        <v/>
      </c>
    </row>
    <row r="385" ht="22.5" customHeight="1">
      <c r="A385" s="76"/>
      <c r="B385" s="68" t="str">
        <f t="shared" si="1"/>
        <v/>
      </c>
      <c r="C385" s="110"/>
      <c r="D385" s="70" t="str">
        <f t="shared" si="2"/>
        <v/>
      </c>
      <c r="E385" s="76"/>
      <c r="F385" s="68" t="str">
        <f t="array" ref="F385">IF($A385="","",IFERROR(INDEX(MA_INDIVIDUALES!C$2:C923, MATCH($A385,MA_INDIVIDUALES!$B$2:$B923,0),1),"CÓDIGO DE EXPEDIENTE INVÁLIDO"))</f>
        <v/>
      </c>
      <c r="G385" s="68" t="str">
        <f t="array" ref="G385">IF($A385="","",IFERROR(INDEX(MA_INDIVIDUALES!K$2:K923, MATCH($A385,MA_INDIVIDUALES!$B$2:$B923,0),1),"CÓDIGO DE EXPEDIENTE INVÁLIDO"))</f>
        <v/>
      </c>
      <c r="H385" s="68" t="str">
        <f t="array" ref="H385">IF($A385="","",IFERROR(INDEX(MA_INDIVIDUALES!L$2:L923, MATCH($A385,MA_INDIVIDUALES!$B$2:$B923,0),1),"CÓDIGO DE EXPEDIENTE INVÁLIDO"))</f>
        <v/>
      </c>
      <c r="I385" s="76"/>
      <c r="J385" s="76"/>
      <c r="K385" s="75"/>
      <c r="L385" s="74" t="str">
        <f>IF(A385="","",IF(K385="","",_xlfn.WORKDAY.INTL(K385,5,1,FERIADOS)))</f>
        <v/>
      </c>
      <c r="M385" s="76"/>
      <c r="N385" s="75"/>
      <c r="O385" s="76"/>
      <c r="P385" s="77" t="str">
        <f t="shared" si="3"/>
        <v/>
      </c>
      <c r="Q385" s="75"/>
      <c r="R385" s="76"/>
      <c r="S385" s="75"/>
      <c r="T385" s="75"/>
      <c r="U385" s="76"/>
      <c r="V385" s="76"/>
      <c r="W385" s="75"/>
      <c r="X385" s="76"/>
      <c r="Y385" s="29" t="str">
        <f t="shared" si="4"/>
        <v/>
      </c>
      <c r="Z385" s="29" t="str">
        <f t="shared" si="5"/>
        <v/>
      </c>
      <c r="AA385" s="76"/>
      <c r="AB385" s="76"/>
      <c r="AC385" s="75"/>
      <c r="AD385" s="75"/>
      <c r="AE385" s="78" t="str">
        <f>IF(U385="","",IF(AD385="","",_xlfn.WORKDAY.INTL(AD385,7,1,FERIADOS)))</f>
        <v/>
      </c>
      <c r="AF385" s="104"/>
      <c r="AG385" s="80" t="str">
        <f t="array" ref="AG385">IF(A385="","",IF(AF385="","",AF385*INDEX(PARAMETROS!F$2:F1448,MATCH(YEAR(AC385),PARAMETROS!E$2:E1448,0),1)))</f>
        <v/>
      </c>
      <c r="AH385" s="81"/>
      <c r="AI385" s="82"/>
      <c r="AJ385" s="81"/>
      <c r="AK385" s="81"/>
      <c r="AL385" s="76"/>
      <c r="AM385" s="75"/>
      <c r="AN385" s="76"/>
      <c r="AO385" s="95"/>
      <c r="AP385" s="96"/>
      <c r="AQ385" s="85" t="str">
        <f t="shared" si="6"/>
        <v/>
      </c>
      <c r="AR385" s="86" t="str">
        <f t="array" ref="AR385">IF(A385="","",IFERROR(INDEX('2) Etapas'!L$3:L923,MATCH(B385,'2) Etapas'!$A$4:$A923,0),1),-1))</f>
        <v/>
      </c>
      <c r="AS385" s="87" t="str">
        <f t="shared" si="7"/>
        <v/>
      </c>
      <c r="AT385" s="87" t="str">
        <f t="shared" si="8"/>
        <v/>
      </c>
      <c r="AU385" s="87" t="str">
        <f t="shared" si="9"/>
        <v/>
      </c>
      <c r="AV385" s="89" t="str">
        <f t="array" ref="AV385">IF(OR($A385="",$AB385="", $AC385=""),"",MAXA(IF($A385=$A$4:$A923,$AC$4:$AC923)))</f>
        <v/>
      </c>
    </row>
    <row r="386" ht="22.5" customHeight="1">
      <c r="A386" s="76"/>
      <c r="B386" s="68" t="str">
        <f t="shared" si="1"/>
        <v/>
      </c>
      <c r="C386" s="110"/>
      <c r="D386" s="70" t="str">
        <f t="shared" si="2"/>
        <v/>
      </c>
      <c r="E386" s="76"/>
      <c r="F386" s="68" t="str">
        <f t="array" ref="F386">IF($A386="","",IFERROR(INDEX(MA_INDIVIDUALES!C$2:C923, MATCH($A386,MA_INDIVIDUALES!$B$2:$B923,0),1),"CÓDIGO DE EXPEDIENTE INVÁLIDO"))</f>
        <v/>
      </c>
      <c r="G386" s="68" t="str">
        <f t="array" ref="G386">IF($A386="","",IFERROR(INDEX(MA_INDIVIDUALES!K$2:K923, MATCH($A386,MA_INDIVIDUALES!$B$2:$B923,0),1),"CÓDIGO DE EXPEDIENTE INVÁLIDO"))</f>
        <v/>
      </c>
      <c r="H386" s="68" t="str">
        <f t="array" ref="H386">IF($A386="","",IFERROR(INDEX(MA_INDIVIDUALES!L$2:L923, MATCH($A386,MA_INDIVIDUALES!$B$2:$B923,0),1),"CÓDIGO DE EXPEDIENTE INVÁLIDO"))</f>
        <v/>
      </c>
      <c r="I386" s="76"/>
      <c r="J386" s="76"/>
      <c r="K386" s="75"/>
      <c r="L386" s="74" t="str">
        <f>IF(A386="","",IF(K386="","",_xlfn.WORKDAY.INTL(K386,5,1,FERIADOS)))</f>
        <v/>
      </c>
      <c r="M386" s="76"/>
      <c r="N386" s="75"/>
      <c r="O386" s="76"/>
      <c r="P386" s="77" t="str">
        <f t="shared" si="3"/>
        <v/>
      </c>
      <c r="Q386" s="75"/>
      <c r="R386" s="76"/>
      <c r="S386" s="75"/>
      <c r="T386" s="75"/>
      <c r="U386" s="76"/>
      <c r="V386" s="76"/>
      <c r="W386" s="75"/>
      <c r="X386" s="76"/>
      <c r="Y386" s="29" t="str">
        <f t="shared" si="4"/>
        <v/>
      </c>
      <c r="Z386" s="29" t="str">
        <f t="shared" si="5"/>
        <v/>
      </c>
      <c r="AA386" s="76"/>
      <c r="AB386" s="76"/>
      <c r="AC386" s="75"/>
      <c r="AD386" s="75"/>
      <c r="AE386" s="78" t="str">
        <f>IF(U386="","",IF(AD386="","",_xlfn.WORKDAY.INTL(AD386,7,1,FERIADOS)))</f>
        <v/>
      </c>
      <c r="AF386" s="104"/>
      <c r="AG386" s="80" t="str">
        <f t="array" ref="AG386">IF(A386="","",IF(AF386="","",AF386*INDEX(PARAMETROS!F$2:F1449,MATCH(YEAR(AC386),PARAMETROS!E$2:E1449,0),1)))</f>
        <v/>
      </c>
      <c r="AH386" s="81"/>
      <c r="AI386" s="82"/>
      <c r="AJ386" s="81"/>
      <c r="AK386" s="81"/>
      <c r="AL386" s="76"/>
      <c r="AM386" s="75"/>
      <c r="AN386" s="76"/>
      <c r="AO386" s="95"/>
      <c r="AP386" s="96"/>
      <c r="AQ386" s="85" t="str">
        <f t="shared" si="6"/>
        <v/>
      </c>
      <c r="AR386" s="86" t="str">
        <f t="array" ref="AR386">IF(A386="","",IFERROR(INDEX('2) Etapas'!L$3:L923,MATCH(B386,'2) Etapas'!$A$4:$A923,0),1),-1))</f>
        <v/>
      </c>
      <c r="AS386" s="87" t="str">
        <f t="shared" si="7"/>
        <v/>
      </c>
      <c r="AT386" s="87" t="str">
        <f t="shared" si="8"/>
        <v/>
      </c>
      <c r="AU386" s="87" t="str">
        <f t="shared" si="9"/>
        <v/>
      </c>
      <c r="AV386" s="89" t="str">
        <f t="array" ref="AV386">IF(OR($A386="",$AB386="", $AC386=""),"",MAXA(IF($A386=$A$4:$A923,$AC$4:$AC923)))</f>
        <v/>
      </c>
    </row>
    <row r="387" ht="22.5" customHeight="1">
      <c r="A387" s="76"/>
      <c r="B387" s="68" t="str">
        <f t="shared" si="1"/>
        <v/>
      </c>
      <c r="C387" s="110"/>
      <c r="D387" s="70" t="str">
        <f t="shared" si="2"/>
        <v/>
      </c>
      <c r="E387" s="76"/>
      <c r="F387" s="68" t="str">
        <f t="array" ref="F387">IF($A387="","",IFERROR(INDEX(MA_INDIVIDUALES!C$2:C923, MATCH($A387,MA_INDIVIDUALES!$B$2:$B923,0),1),"CÓDIGO DE EXPEDIENTE INVÁLIDO"))</f>
        <v/>
      </c>
      <c r="G387" s="68" t="str">
        <f t="array" ref="G387">IF($A387="","",IFERROR(INDEX(MA_INDIVIDUALES!K$2:K923, MATCH($A387,MA_INDIVIDUALES!$B$2:$B923,0),1),"CÓDIGO DE EXPEDIENTE INVÁLIDO"))</f>
        <v/>
      </c>
      <c r="H387" s="68" t="str">
        <f t="array" ref="H387">IF($A387="","",IFERROR(INDEX(MA_INDIVIDUALES!L$2:L923, MATCH($A387,MA_INDIVIDUALES!$B$2:$B923,0),1),"CÓDIGO DE EXPEDIENTE INVÁLIDO"))</f>
        <v/>
      </c>
      <c r="I387" s="76"/>
      <c r="J387" s="76"/>
      <c r="K387" s="75"/>
      <c r="L387" s="74" t="str">
        <f>IF(A387="","",IF(K387="","",_xlfn.WORKDAY.INTL(K387,5,1,FERIADOS)))</f>
        <v/>
      </c>
      <c r="M387" s="76"/>
      <c r="N387" s="75"/>
      <c r="O387" s="76"/>
      <c r="P387" s="77" t="str">
        <f t="shared" si="3"/>
        <v/>
      </c>
      <c r="Q387" s="75"/>
      <c r="R387" s="76"/>
      <c r="S387" s="75"/>
      <c r="T387" s="75"/>
      <c r="U387" s="76"/>
      <c r="V387" s="76"/>
      <c r="W387" s="75"/>
      <c r="X387" s="76"/>
      <c r="Y387" s="29" t="str">
        <f t="shared" si="4"/>
        <v/>
      </c>
      <c r="Z387" s="29" t="str">
        <f t="shared" si="5"/>
        <v/>
      </c>
      <c r="AA387" s="76"/>
      <c r="AB387" s="76"/>
      <c r="AC387" s="75"/>
      <c r="AD387" s="75"/>
      <c r="AE387" s="78" t="str">
        <f>IF(U387="","",IF(AD387="","",_xlfn.WORKDAY.INTL(AD387,7,1,FERIADOS)))</f>
        <v/>
      </c>
      <c r="AF387" s="104"/>
      <c r="AG387" s="80" t="str">
        <f t="array" ref="AG387">IF(A387="","",IF(AF387="","",AF387*INDEX(PARAMETROS!F$2:F1450,MATCH(YEAR(AC387),PARAMETROS!E$2:E1450,0),1)))</f>
        <v/>
      </c>
      <c r="AH387" s="81"/>
      <c r="AI387" s="82"/>
      <c r="AJ387" s="81"/>
      <c r="AK387" s="81"/>
      <c r="AL387" s="76"/>
      <c r="AM387" s="75"/>
      <c r="AN387" s="76"/>
      <c r="AO387" s="95"/>
      <c r="AP387" s="96"/>
      <c r="AQ387" s="85" t="str">
        <f t="shared" si="6"/>
        <v/>
      </c>
      <c r="AR387" s="86" t="str">
        <f t="array" ref="AR387">IF(A387="","",IFERROR(INDEX('2) Etapas'!L$3:L923,MATCH(B387,'2) Etapas'!$A$4:$A923,0),1),-1))</f>
        <v/>
      </c>
      <c r="AS387" s="87" t="str">
        <f t="shared" si="7"/>
        <v/>
      </c>
      <c r="AT387" s="87" t="str">
        <f t="shared" si="8"/>
        <v/>
      </c>
      <c r="AU387" s="87" t="str">
        <f t="shared" si="9"/>
        <v/>
      </c>
      <c r="AV387" s="89" t="str">
        <f t="array" ref="AV387">IF(OR($A387="",$AB387="", $AC387=""),"",MAXA(IF($A387=$A$4:$A923,$AC$4:$AC923)))</f>
        <v/>
      </c>
    </row>
    <row r="388" ht="22.5" customHeight="1">
      <c r="A388" s="76"/>
      <c r="B388" s="68" t="str">
        <f t="shared" si="1"/>
        <v/>
      </c>
      <c r="C388" s="110"/>
      <c r="D388" s="70" t="str">
        <f t="shared" si="2"/>
        <v/>
      </c>
      <c r="E388" s="76"/>
      <c r="F388" s="68" t="str">
        <f t="array" ref="F388">IF($A388="","",IFERROR(INDEX(MA_INDIVIDUALES!C$2:C923, MATCH($A388,MA_INDIVIDUALES!$B$2:$B923,0),1),"CÓDIGO DE EXPEDIENTE INVÁLIDO"))</f>
        <v/>
      </c>
      <c r="G388" s="68" t="str">
        <f t="array" ref="G388">IF($A388="","",IFERROR(INDEX(MA_INDIVIDUALES!K$2:K923, MATCH($A388,MA_INDIVIDUALES!$B$2:$B923,0),1),"CÓDIGO DE EXPEDIENTE INVÁLIDO"))</f>
        <v/>
      </c>
      <c r="H388" s="68" t="str">
        <f t="array" ref="H388">IF($A388="","",IFERROR(INDEX(MA_INDIVIDUALES!L$2:L923, MATCH($A388,MA_INDIVIDUALES!$B$2:$B923,0),1),"CÓDIGO DE EXPEDIENTE INVÁLIDO"))</f>
        <v/>
      </c>
      <c r="I388" s="76"/>
      <c r="J388" s="76"/>
      <c r="K388" s="75"/>
      <c r="L388" s="74" t="str">
        <f>IF(A388="","",IF(K388="","",_xlfn.WORKDAY.INTL(K388,5,1,FERIADOS)))</f>
        <v/>
      </c>
      <c r="M388" s="76"/>
      <c r="N388" s="75"/>
      <c r="O388" s="76"/>
      <c r="P388" s="77" t="str">
        <f t="shared" si="3"/>
        <v/>
      </c>
      <c r="Q388" s="75"/>
      <c r="R388" s="76"/>
      <c r="S388" s="75"/>
      <c r="T388" s="75"/>
      <c r="U388" s="76"/>
      <c r="V388" s="76"/>
      <c r="W388" s="75"/>
      <c r="X388" s="76"/>
      <c r="Y388" s="29" t="str">
        <f t="shared" si="4"/>
        <v/>
      </c>
      <c r="Z388" s="29" t="str">
        <f t="shared" si="5"/>
        <v/>
      </c>
      <c r="AA388" s="76"/>
      <c r="AB388" s="76"/>
      <c r="AC388" s="75"/>
      <c r="AD388" s="75"/>
      <c r="AE388" s="78" t="str">
        <f>IF(U388="","",IF(AD388="","",_xlfn.WORKDAY.INTL(AD388,7,1,FERIADOS)))</f>
        <v/>
      </c>
      <c r="AF388" s="104"/>
      <c r="AG388" s="80" t="str">
        <f t="array" ref="AG388">IF(A388="","",IF(AF388="","",AF388*INDEX(PARAMETROS!F$2:F1451,MATCH(YEAR(AC388),PARAMETROS!E$2:E1451,0),1)))</f>
        <v/>
      </c>
      <c r="AH388" s="81"/>
      <c r="AI388" s="82"/>
      <c r="AJ388" s="81"/>
      <c r="AK388" s="81"/>
      <c r="AL388" s="76"/>
      <c r="AM388" s="75"/>
      <c r="AN388" s="76"/>
      <c r="AO388" s="95"/>
      <c r="AP388" s="96"/>
      <c r="AQ388" s="85" t="str">
        <f t="shared" si="6"/>
        <v/>
      </c>
      <c r="AR388" s="86" t="str">
        <f t="array" ref="AR388">IF(A388="","",IFERROR(INDEX('2) Etapas'!L$3:L923,MATCH(B388,'2) Etapas'!$A$4:$A923,0),1),-1))</f>
        <v/>
      </c>
      <c r="AS388" s="87" t="str">
        <f t="shared" si="7"/>
        <v/>
      </c>
      <c r="AT388" s="87" t="str">
        <f t="shared" si="8"/>
        <v/>
      </c>
      <c r="AU388" s="87" t="str">
        <f t="shared" si="9"/>
        <v/>
      </c>
      <c r="AV388" s="89" t="str">
        <f t="array" ref="AV388">IF(OR($A388="",$AB388="", $AC388=""),"",MAXA(IF($A388=$A$4:$A923,$AC$4:$AC923)))</f>
        <v/>
      </c>
    </row>
    <row r="389" ht="22.5" customHeight="1">
      <c r="A389" s="76"/>
      <c r="B389" s="68" t="str">
        <f t="shared" si="1"/>
        <v/>
      </c>
      <c r="C389" s="110"/>
      <c r="D389" s="70" t="str">
        <f t="shared" si="2"/>
        <v/>
      </c>
      <c r="E389" s="76"/>
      <c r="F389" s="68" t="str">
        <f t="array" ref="F389">IF($A389="","",IFERROR(INDEX(MA_INDIVIDUALES!C$2:C923, MATCH($A389,MA_INDIVIDUALES!$B$2:$B923,0),1),"CÓDIGO DE EXPEDIENTE INVÁLIDO"))</f>
        <v/>
      </c>
      <c r="G389" s="68" t="str">
        <f t="array" ref="G389">IF($A389="","",IFERROR(INDEX(MA_INDIVIDUALES!K$2:K923, MATCH($A389,MA_INDIVIDUALES!$B$2:$B923,0),1),"CÓDIGO DE EXPEDIENTE INVÁLIDO"))</f>
        <v/>
      </c>
      <c r="H389" s="68" t="str">
        <f t="array" ref="H389">IF($A389="","",IFERROR(INDEX(MA_INDIVIDUALES!L$2:L923, MATCH($A389,MA_INDIVIDUALES!$B$2:$B923,0),1),"CÓDIGO DE EXPEDIENTE INVÁLIDO"))</f>
        <v/>
      </c>
      <c r="I389" s="76"/>
      <c r="J389" s="76"/>
      <c r="K389" s="75"/>
      <c r="L389" s="74" t="str">
        <f>IF(A389="","",IF(K389="","",_xlfn.WORKDAY.INTL(K389,5,1,FERIADOS)))</f>
        <v/>
      </c>
      <c r="M389" s="76"/>
      <c r="N389" s="75"/>
      <c r="O389" s="76"/>
      <c r="P389" s="77" t="str">
        <f t="shared" si="3"/>
        <v/>
      </c>
      <c r="Q389" s="75"/>
      <c r="R389" s="76"/>
      <c r="S389" s="75"/>
      <c r="T389" s="75"/>
      <c r="U389" s="76"/>
      <c r="V389" s="76"/>
      <c r="W389" s="75"/>
      <c r="X389" s="76"/>
      <c r="Y389" s="29" t="str">
        <f t="shared" si="4"/>
        <v/>
      </c>
      <c r="Z389" s="29" t="str">
        <f t="shared" si="5"/>
        <v/>
      </c>
      <c r="AA389" s="76"/>
      <c r="AB389" s="76"/>
      <c r="AC389" s="75"/>
      <c r="AD389" s="75"/>
      <c r="AE389" s="78" t="str">
        <f>IF(U389="","",IF(AD389="","",_xlfn.WORKDAY.INTL(AD389,7,1,FERIADOS)))</f>
        <v/>
      </c>
      <c r="AF389" s="104"/>
      <c r="AG389" s="80" t="str">
        <f t="array" ref="AG389">IF(A389="","",IF(AF389="","",AF389*INDEX(PARAMETROS!F$2:F1452,MATCH(YEAR(AC389),PARAMETROS!E$2:E1452,0),1)))</f>
        <v/>
      </c>
      <c r="AH389" s="81"/>
      <c r="AI389" s="82"/>
      <c r="AJ389" s="81"/>
      <c r="AK389" s="81"/>
      <c r="AL389" s="76"/>
      <c r="AM389" s="75"/>
      <c r="AN389" s="76"/>
      <c r="AO389" s="95"/>
      <c r="AP389" s="96"/>
      <c r="AQ389" s="85" t="str">
        <f t="shared" si="6"/>
        <v/>
      </c>
      <c r="AR389" s="86" t="str">
        <f t="array" ref="AR389">IF(A389="","",IFERROR(INDEX('2) Etapas'!L$3:L923,MATCH(B389,'2) Etapas'!$A$4:$A923,0),1),-1))</f>
        <v/>
      </c>
      <c r="AS389" s="87" t="str">
        <f t="shared" si="7"/>
        <v/>
      </c>
      <c r="AT389" s="87" t="str">
        <f t="shared" si="8"/>
        <v/>
      </c>
      <c r="AU389" s="87" t="str">
        <f t="shared" si="9"/>
        <v/>
      </c>
      <c r="AV389" s="89" t="str">
        <f t="array" ref="AV389">IF(OR($A389="",$AB389="", $AC389=""),"",MAXA(IF($A389=$A$4:$A923,$AC$4:$AC923)))</f>
        <v/>
      </c>
    </row>
    <row r="390" ht="22.5" customHeight="1">
      <c r="A390" s="76"/>
      <c r="B390" s="68" t="str">
        <f t="shared" si="1"/>
        <v/>
      </c>
      <c r="C390" s="110"/>
      <c r="D390" s="70" t="str">
        <f t="shared" si="2"/>
        <v/>
      </c>
      <c r="E390" s="76"/>
      <c r="F390" s="68" t="str">
        <f t="array" ref="F390">IF($A390="","",IFERROR(INDEX(MA_INDIVIDUALES!C$2:C923, MATCH($A390,MA_INDIVIDUALES!$B$2:$B923,0),1),"CÓDIGO DE EXPEDIENTE INVÁLIDO"))</f>
        <v/>
      </c>
      <c r="G390" s="68" t="str">
        <f t="array" ref="G390">IF($A390="","",IFERROR(INDEX(MA_INDIVIDUALES!K$2:K923, MATCH($A390,MA_INDIVIDUALES!$B$2:$B923,0),1),"CÓDIGO DE EXPEDIENTE INVÁLIDO"))</f>
        <v/>
      </c>
      <c r="H390" s="68" t="str">
        <f t="array" ref="H390">IF($A390="","",IFERROR(INDEX(MA_INDIVIDUALES!L$2:L923, MATCH($A390,MA_INDIVIDUALES!$B$2:$B923,0),1),"CÓDIGO DE EXPEDIENTE INVÁLIDO"))</f>
        <v/>
      </c>
      <c r="I390" s="76"/>
      <c r="J390" s="76"/>
      <c r="K390" s="75"/>
      <c r="L390" s="74" t="str">
        <f>IF(A390="","",IF(K390="","",_xlfn.WORKDAY.INTL(K390,5,1,FERIADOS)))</f>
        <v/>
      </c>
      <c r="M390" s="76"/>
      <c r="N390" s="75"/>
      <c r="O390" s="76"/>
      <c r="P390" s="77" t="str">
        <f t="shared" si="3"/>
        <v/>
      </c>
      <c r="Q390" s="75"/>
      <c r="R390" s="76"/>
      <c r="S390" s="75"/>
      <c r="T390" s="75"/>
      <c r="U390" s="76"/>
      <c r="V390" s="76"/>
      <c r="W390" s="75"/>
      <c r="X390" s="76"/>
      <c r="Y390" s="29" t="str">
        <f t="shared" si="4"/>
        <v/>
      </c>
      <c r="Z390" s="29" t="str">
        <f t="shared" si="5"/>
        <v/>
      </c>
      <c r="AA390" s="76"/>
      <c r="AB390" s="76"/>
      <c r="AC390" s="75"/>
      <c r="AD390" s="75"/>
      <c r="AE390" s="78" t="str">
        <f>IF(U390="","",IF(AD390="","",_xlfn.WORKDAY.INTL(AD390,7,1,FERIADOS)))</f>
        <v/>
      </c>
      <c r="AF390" s="104"/>
      <c r="AG390" s="80" t="str">
        <f t="array" ref="AG390">IF(A390="","",IF(AF390="","",AF390*INDEX(PARAMETROS!F$2:F1453,MATCH(YEAR(AC390),PARAMETROS!E$2:E1453,0),1)))</f>
        <v/>
      </c>
      <c r="AH390" s="81"/>
      <c r="AI390" s="82"/>
      <c r="AJ390" s="81"/>
      <c r="AK390" s="81"/>
      <c r="AL390" s="76"/>
      <c r="AM390" s="75"/>
      <c r="AN390" s="76"/>
      <c r="AO390" s="95"/>
      <c r="AP390" s="96"/>
      <c r="AQ390" s="85" t="str">
        <f t="shared" si="6"/>
        <v/>
      </c>
      <c r="AR390" s="86" t="str">
        <f t="array" ref="AR390">IF(A390="","",IFERROR(INDEX('2) Etapas'!L$3:L923,MATCH(B390,'2) Etapas'!$A$4:$A923,0),1),-1))</f>
        <v/>
      </c>
      <c r="AS390" s="87" t="str">
        <f t="shared" si="7"/>
        <v/>
      </c>
      <c r="AT390" s="87" t="str">
        <f t="shared" si="8"/>
        <v/>
      </c>
      <c r="AU390" s="87" t="str">
        <f t="shared" si="9"/>
        <v/>
      </c>
      <c r="AV390" s="89" t="str">
        <f t="array" ref="AV390">IF(OR($A390="",$AB390="", $AC390=""),"",MAXA(IF($A390=$A$4:$A923,$AC$4:$AC923)))</f>
        <v/>
      </c>
    </row>
    <row r="391" ht="22.5" customHeight="1">
      <c r="A391" s="76"/>
      <c r="B391" s="68" t="str">
        <f t="shared" si="1"/>
        <v/>
      </c>
      <c r="C391" s="110"/>
      <c r="D391" s="70" t="str">
        <f t="shared" si="2"/>
        <v/>
      </c>
      <c r="E391" s="76"/>
      <c r="F391" s="68" t="str">
        <f t="array" ref="F391">IF($A391="","",IFERROR(INDEX(MA_INDIVIDUALES!C$2:C923, MATCH($A391,MA_INDIVIDUALES!$B$2:$B923,0),1),"CÓDIGO DE EXPEDIENTE INVÁLIDO"))</f>
        <v/>
      </c>
      <c r="G391" s="68" t="str">
        <f t="array" ref="G391">IF($A391="","",IFERROR(INDEX(MA_INDIVIDUALES!K$2:K923, MATCH($A391,MA_INDIVIDUALES!$B$2:$B923,0),1),"CÓDIGO DE EXPEDIENTE INVÁLIDO"))</f>
        <v/>
      </c>
      <c r="H391" s="68" t="str">
        <f t="array" ref="H391">IF($A391="","",IFERROR(INDEX(MA_INDIVIDUALES!L$2:L923, MATCH($A391,MA_INDIVIDUALES!$B$2:$B923,0),1),"CÓDIGO DE EXPEDIENTE INVÁLIDO"))</f>
        <v/>
      </c>
      <c r="I391" s="76"/>
      <c r="J391" s="76"/>
      <c r="K391" s="75"/>
      <c r="L391" s="74" t="str">
        <f>IF(A391="","",IF(K391="","",_xlfn.WORKDAY.INTL(K391,5,1,FERIADOS)))</f>
        <v/>
      </c>
      <c r="M391" s="76"/>
      <c r="N391" s="75"/>
      <c r="O391" s="76"/>
      <c r="P391" s="77" t="str">
        <f t="shared" si="3"/>
        <v/>
      </c>
      <c r="Q391" s="75"/>
      <c r="R391" s="76"/>
      <c r="S391" s="75"/>
      <c r="T391" s="75"/>
      <c r="U391" s="76"/>
      <c r="V391" s="76"/>
      <c r="W391" s="75"/>
      <c r="X391" s="76"/>
      <c r="Y391" s="29" t="str">
        <f t="shared" si="4"/>
        <v/>
      </c>
      <c r="Z391" s="29" t="str">
        <f t="shared" si="5"/>
        <v/>
      </c>
      <c r="AA391" s="76"/>
      <c r="AB391" s="76"/>
      <c r="AC391" s="75"/>
      <c r="AD391" s="75"/>
      <c r="AE391" s="78" t="str">
        <f>IF(U391="","",IF(AD391="","",_xlfn.WORKDAY.INTL(AD391,7,1,FERIADOS)))</f>
        <v/>
      </c>
      <c r="AF391" s="104"/>
      <c r="AG391" s="80" t="str">
        <f t="array" ref="AG391">IF(A391="","",IF(AF391="","",AF391*INDEX(PARAMETROS!F$2:F1454,MATCH(YEAR(AC391),PARAMETROS!E$2:E1454,0),1)))</f>
        <v/>
      </c>
      <c r="AH391" s="81"/>
      <c r="AI391" s="82"/>
      <c r="AJ391" s="81"/>
      <c r="AK391" s="81"/>
      <c r="AL391" s="76"/>
      <c r="AM391" s="75"/>
      <c r="AN391" s="76"/>
      <c r="AO391" s="95"/>
      <c r="AP391" s="96"/>
      <c r="AQ391" s="85" t="str">
        <f t="shared" si="6"/>
        <v/>
      </c>
      <c r="AR391" s="86" t="str">
        <f t="array" ref="AR391">IF(A391="","",IFERROR(INDEX('2) Etapas'!L$3:L923,MATCH(B391,'2) Etapas'!$A$4:$A923,0),1),-1))</f>
        <v/>
      </c>
      <c r="AS391" s="87" t="str">
        <f t="shared" si="7"/>
        <v/>
      </c>
      <c r="AT391" s="87" t="str">
        <f t="shared" si="8"/>
        <v/>
      </c>
      <c r="AU391" s="87" t="str">
        <f t="shared" si="9"/>
        <v/>
      </c>
      <c r="AV391" s="89" t="str">
        <f t="array" ref="AV391">IF(OR($A391="",$AB391="", $AC391=""),"",MAXA(IF($A391=$A$4:$A923,$AC$4:$AC923)))</f>
        <v/>
      </c>
    </row>
    <row r="392" ht="22.5" customHeight="1">
      <c r="A392" s="76"/>
      <c r="B392" s="68" t="str">
        <f t="shared" si="1"/>
        <v/>
      </c>
      <c r="C392" s="110"/>
      <c r="D392" s="70" t="str">
        <f t="shared" si="2"/>
        <v/>
      </c>
      <c r="E392" s="76"/>
      <c r="F392" s="68" t="str">
        <f t="array" ref="F392">IF($A392="","",IFERROR(INDEX(MA_INDIVIDUALES!C$2:C923, MATCH($A392,MA_INDIVIDUALES!$B$2:$B923,0),1),"CÓDIGO DE EXPEDIENTE INVÁLIDO"))</f>
        <v/>
      </c>
      <c r="G392" s="68" t="str">
        <f t="array" ref="G392">IF($A392="","",IFERROR(INDEX(MA_INDIVIDUALES!K$2:K923, MATCH($A392,MA_INDIVIDUALES!$B$2:$B923,0),1),"CÓDIGO DE EXPEDIENTE INVÁLIDO"))</f>
        <v/>
      </c>
      <c r="H392" s="68" t="str">
        <f t="array" ref="H392">IF($A392="","",IFERROR(INDEX(MA_INDIVIDUALES!L$2:L923, MATCH($A392,MA_INDIVIDUALES!$B$2:$B923,0),1),"CÓDIGO DE EXPEDIENTE INVÁLIDO"))</f>
        <v/>
      </c>
      <c r="I392" s="76"/>
      <c r="J392" s="76"/>
      <c r="K392" s="75"/>
      <c r="L392" s="74" t="str">
        <f>IF(A392="","",IF(K392="","",_xlfn.WORKDAY.INTL(K392,5,1,FERIADOS)))</f>
        <v/>
      </c>
      <c r="M392" s="76"/>
      <c r="N392" s="75"/>
      <c r="O392" s="76"/>
      <c r="P392" s="77" t="str">
        <f t="shared" si="3"/>
        <v/>
      </c>
      <c r="Q392" s="75"/>
      <c r="R392" s="76"/>
      <c r="S392" s="75"/>
      <c r="T392" s="75"/>
      <c r="U392" s="76"/>
      <c r="V392" s="76"/>
      <c r="W392" s="75"/>
      <c r="X392" s="76"/>
      <c r="Y392" s="29" t="str">
        <f t="shared" si="4"/>
        <v/>
      </c>
      <c r="Z392" s="29" t="str">
        <f t="shared" si="5"/>
        <v/>
      </c>
      <c r="AA392" s="76"/>
      <c r="AB392" s="76"/>
      <c r="AC392" s="75"/>
      <c r="AD392" s="75"/>
      <c r="AE392" s="78" t="str">
        <f>IF(U392="","",IF(AD392="","",_xlfn.WORKDAY.INTL(AD392,7,1,FERIADOS)))</f>
        <v/>
      </c>
      <c r="AF392" s="104"/>
      <c r="AG392" s="80" t="str">
        <f t="array" ref="AG392">IF(A392="","",IF(AF392="","",AF392*INDEX(PARAMETROS!F$2:F1455,MATCH(YEAR(AC392),PARAMETROS!E$2:E1455,0),1)))</f>
        <v/>
      </c>
      <c r="AH392" s="81"/>
      <c r="AI392" s="82"/>
      <c r="AJ392" s="81"/>
      <c r="AK392" s="81"/>
      <c r="AL392" s="76"/>
      <c r="AM392" s="75"/>
      <c r="AN392" s="76"/>
      <c r="AO392" s="95"/>
      <c r="AP392" s="96"/>
      <c r="AQ392" s="85" t="str">
        <f t="shared" si="6"/>
        <v/>
      </c>
      <c r="AR392" s="86" t="str">
        <f t="array" ref="AR392">IF(A392="","",IFERROR(INDEX('2) Etapas'!L$3:L923,MATCH(B392,'2) Etapas'!$A$4:$A923,0),1),-1))</f>
        <v/>
      </c>
      <c r="AS392" s="87" t="str">
        <f t="shared" si="7"/>
        <v/>
      </c>
      <c r="AT392" s="87" t="str">
        <f t="shared" si="8"/>
        <v/>
      </c>
      <c r="AU392" s="87" t="str">
        <f t="shared" si="9"/>
        <v/>
      </c>
      <c r="AV392" s="89" t="str">
        <f t="array" ref="AV392">IF(OR($A392="",$AB392="", $AC392=""),"",MAXA(IF($A392=$A$4:$A923,$AC$4:$AC923)))</f>
        <v/>
      </c>
    </row>
    <row r="393" ht="22.5" customHeight="1">
      <c r="A393" s="76"/>
      <c r="B393" s="68" t="str">
        <f t="shared" si="1"/>
        <v/>
      </c>
      <c r="C393" s="110"/>
      <c r="D393" s="70" t="str">
        <f t="shared" si="2"/>
        <v/>
      </c>
      <c r="E393" s="76"/>
      <c r="F393" s="68" t="str">
        <f t="array" ref="F393">IF($A393="","",IFERROR(INDEX(MA_INDIVIDUALES!C$2:C923, MATCH($A393,MA_INDIVIDUALES!$B$2:$B923,0),1),"CÓDIGO DE EXPEDIENTE INVÁLIDO"))</f>
        <v/>
      </c>
      <c r="G393" s="68" t="str">
        <f t="array" ref="G393">IF($A393="","",IFERROR(INDEX(MA_INDIVIDUALES!K$2:K923, MATCH($A393,MA_INDIVIDUALES!$B$2:$B923,0),1),"CÓDIGO DE EXPEDIENTE INVÁLIDO"))</f>
        <v/>
      </c>
      <c r="H393" s="68" t="str">
        <f t="array" ref="H393">IF($A393="","",IFERROR(INDEX(MA_INDIVIDUALES!L$2:L923, MATCH($A393,MA_INDIVIDUALES!$B$2:$B923,0),1),"CÓDIGO DE EXPEDIENTE INVÁLIDO"))</f>
        <v/>
      </c>
      <c r="I393" s="76"/>
      <c r="J393" s="76"/>
      <c r="K393" s="75"/>
      <c r="L393" s="74" t="str">
        <f>IF(A393="","",IF(K393="","",_xlfn.WORKDAY.INTL(K393,5,1,FERIADOS)))</f>
        <v/>
      </c>
      <c r="M393" s="76"/>
      <c r="N393" s="75"/>
      <c r="O393" s="76"/>
      <c r="P393" s="77" t="str">
        <f t="shared" si="3"/>
        <v/>
      </c>
      <c r="Q393" s="75"/>
      <c r="R393" s="76"/>
      <c r="S393" s="75"/>
      <c r="T393" s="75"/>
      <c r="U393" s="76"/>
      <c r="V393" s="76"/>
      <c r="W393" s="75"/>
      <c r="X393" s="76"/>
      <c r="Y393" s="29" t="str">
        <f t="shared" si="4"/>
        <v/>
      </c>
      <c r="Z393" s="29" t="str">
        <f t="shared" si="5"/>
        <v/>
      </c>
      <c r="AA393" s="76"/>
      <c r="AB393" s="76"/>
      <c r="AC393" s="75"/>
      <c r="AD393" s="75"/>
      <c r="AE393" s="78" t="str">
        <f>IF(U393="","",IF(AD393="","",_xlfn.WORKDAY.INTL(AD393,7,1,FERIADOS)))</f>
        <v/>
      </c>
      <c r="AF393" s="104"/>
      <c r="AG393" s="80" t="str">
        <f t="array" ref="AG393">IF(A393="","",IF(AF393="","",AF393*INDEX(PARAMETROS!F$2:F1456,MATCH(YEAR(AC393),PARAMETROS!E$2:E1456,0),1)))</f>
        <v/>
      </c>
      <c r="AH393" s="81"/>
      <c r="AI393" s="82"/>
      <c r="AJ393" s="81"/>
      <c r="AK393" s="81"/>
      <c r="AL393" s="76"/>
      <c r="AM393" s="75"/>
      <c r="AN393" s="76"/>
      <c r="AO393" s="95"/>
      <c r="AP393" s="96"/>
      <c r="AQ393" s="85" t="str">
        <f t="shared" si="6"/>
        <v/>
      </c>
      <c r="AR393" s="86" t="str">
        <f t="array" ref="AR393">IF(A393="","",IFERROR(INDEX('2) Etapas'!L$3:L923,MATCH(B393,'2) Etapas'!$A$4:$A923,0),1),-1))</f>
        <v/>
      </c>
      <c r="AS393" s="87" t="str">
        <f t="shared" si="7"/>
        <v/>
      </c>
      <c r="AT393" s="87" t="str">
        <f t="shared" si="8"/>
        <v/>
      </c>
      <c r="AU393" s="87" t="str">
        <f t="shared" si="9"/>
        <v/>
      </c>
      <c r="AV393" s="89" t="str">
        <f t="array" ref="AV393">IF(OR($A393="",$AB393="", $AC393=""),"",MAXA(IF($A393=$A$4:$A923,$AC$4:$AC923)))</f>
        <v/>
      </c>
    </row>
    <row r="394" ht="22.5" customHeight="1">
      <c r="A394" s="76"/>
      <c r="B394" s="68" t="str">
        <f t="shared" si="1"/>
        <v/>
      </c>
      <c r="C394" s="110"/>
      <c r="D394" s="70" t="str">
        <f t="shared" si="2"/>
        <v/>
      </c>
      <c r="E394" s="76"/>
      <c r="F394" s="68" t="str">
        <f t="array" ref="F394">IF($A394="","",IFERROR(INDEX(MA_INDIVIDUALES!C$2:C923, MATCH($A394,MA_INDIVIDUALES!$B$2:$B923,0),1),"CÓDIGO DE EXPEDIENTE INVÁLIDO"))</f>
        <v/>
      </c>
      <c r="G394" s="68" t="str">
        <f t="array" ref="G394">IF($A394="","",IFERROR(INDEX(MA_INDIVIDUALES!K$2:K923, MATCH($A394,MA_INDIVIDUALES!$B$2:$B923,0),1),"CÓDIGO DE EXPEDIENTE INVÁLIDO"))</f>
        <v/>
      </c>
      <c r="H394" s="68" t="str">
        <f t="array" ref="H394">IF($A394="","",IFERROR(INDEX(MA_INDIVIDUALES!L$2:L923, MATCH($A394,MA_INDIVIDUALES!$B$2:$B923,0),1),"CÓDIGO DE EXPEDIENTE INVÁLIDO"))</f>
        <v/>
      </c>
      <c r="I394" s="76"/>
      <c r="J394" s="76"/>
      <c r="K394" s="75"/>
      <c r="L394" s="74" t="str">
        <f>IF(A394="","",IF(K394="","",_xlfn.WORKDAY.INTL(K394,5,1,FERIADOS)))</f>
        <v/>
      </c>
      <c r="M394" s="76"/>
      <c r="N394" s="75"/>
      <c r="O394" s="76"/>
      <c r="P394" s="77" t="str">
        <f t="shared" si="3"/>
        <v/>
      </c>
      <c r="Q394" s="75"/>
      <c r="R394" s="76"/>
      <c r="S394" s="75"/>
      <c r="T394" s="75"/>
      <c r="U394" s="76"/>
      <c r="V394" s="76"/>
      <c r="W394" s="75"/>
      <c r="X394" s="76"/>
      <c r="Y394" s="29" t="str">
        <f t="shared" si="4"/>
        <v/>
      </c>
      <c r="Z394" s="29" t="str">
        <f t="shared" si="5"/>
        <v/>
      </c>
      <c r="AA394" s="76"/>
      <c r="AB394" s="76"/>
      <c r="AC394" s="75"/>
      <c r="AD394" s="75"/>
      <c r="AE394" s="78" t="str">
        <f>IF(U394="","",IF(AD394="","",_xlfn.WORKDAY.INTL(AD394,7,1,FERIADOS)))</f>
        <v/>
      </c>
      <c r="AF394" s="104"/>
      <c r="AG394" s="80" t="str">
        <f t="array" ref="AG394">IF(A394="","",IF(AF394="","",AF394*INDEX(PARAMETROS!F$2:F1457,MATCH(YEAR(AC394),PARAMETROS!E$2:E1457,0),1)))</f>
        <v/>
      </c>
      <c r="AH394" s="81"/>
      <c r="AI394" s="82"/>
      <c r="AJ394" s="81"/>
      <c r="AK394" s="81"/>
      <c r="AL394" s="76"/>
      <c r="AM394" s="75"/>
      <c r="AN394" s="76"/>
      <c r="AO394" s="95"/>
      <c r="AP394" s="96"/>
      <c r="AQ394" s="85" t="str">
        <f t="shared" si="6"/>
        <v/>
      </c>
      <c r="AR394" s="86" t="str">
        <f t="array" ref="AR394">IF(A394="","",IFERROR(INDEX('2) Etapas'!L$3:L923,MATCH(B394,'2) Etapas'!$A$4:$A923,0),1),-1))</f>
        <v/>
      </c>
      <c r="AS394" s="87" t="str">
        <f t="shared" si="7"/>
        <v/>
      </c>
      <c r="AT394" s="87" t="str">
        <f t="shared" si="8"/>
        <v/>
      </c>
      <c r="AU394" s="87" t="str">
        <f t="shared" si="9"/>
        <v/>
      </c>
      <c r="AV394" s="89" t="str">
        <f t="array" ref="AV394">IF(OR($A394="",$AB394="", $AC394=""),"",MAXA(IF($A394=$A$4:$A923,$AC$4:$AC923)))</f>
        <v/>
      </c>
    </row>
    <row r="395" ht="22.5" customHeight="1">
      <c r="A395" s="76"/>
      <c r="B395" s="68" t="str">
        <f t="shared" si="1"/>
        <v/>
      </c>
      <c r="C395" s="110"/>
      <c r="D395" s="70" t="str">
        <f t="shared" si="2"/>
        <v/>
      </c>
      <c r="E395" s="76"/>
      <c r="F395" s="68" t="str">
        <f t="array" ref="F395">IF($A395="","",IFERROR(INDEX(MA_INDIVIDUALES!C$2:C923, MATCH($A395,MA_INDIVIDUALES!$B$2:$B923,0),1),"CÓDIGO DE EXPEDIENTE INVÁLIDO"))</f>
        <v/>
      </c>
      <c r="G395" s="68" t="str">
        <f t="array" ref="G395">IF($A395="","",IFERROR(INDEX(MA_INDIVIDUALES!K$2:K923, MATCH($A395,MA_INDIVIDUALES!$B$2:$B923,0),1),"CÓDIGO DE EXPEDIENTE INVÁLIDO"))</f>
        <v/>
      </c>
      <c r="H395" s="68" t="str">
        <f t="array" ref="H395">IF($A395="","",IFERROR(INDEX(MA_INDIVIDUALES!L$2:L923, MATCH($A395,MA_INDIVIDUALES!$B$2:$B923,0),1),"CÓDIGO DE EXPEDIENTE INVÁLIDO"))</f>
        <v/>
      </c>
      <c r="I395" s="76"/>
      <c r="J395" s="76"/>
      <c r="K395" s="75"/>
      <c r="L395" s="74" t="str">
        <f>IF(A395="","",IF(K395="","",_xlfn.WORKDAY.INTL(K395,5,1,FERIADOS)))</f>
        <v/>
      </c>
      <c r="M395" s="76"/>
      <c r="N395" s="75"/>
      <c r="O395" s="76"/>
      <c r="P395" s="77" t="str">
        <f t="shared" si="3"/>
        <v/>
      </c>
      <c r="Q395" s="75"/>
      <c r="R395" s="76"/>
      <c r="S395" s="75"/>
      <c r="T395" s="75"/>
      <c r="U395" s="76"/>
      <c r="V395" s="76"/>
      <c r="W395" s="75"/>
      <c r="X395" s="76"/>
      <c r="Y395" s="29" t="str">
        <f t="shared" si="4"/>
        <v/>
      </c>
      <c r="Z395" s="29" t="str">
        <f t="shared" si="5"/>
        <v/>
      </c>
      <c r="AA395" s="76"/>
      <c r="AB395" s="76"/>
      <c r="AC395" s="75"/>
      <c r="AD395" s="75"/>
      <c r="AE395" s="78" t="str">
        <f>IF(U395="","",IF(AD395="","",_xlfn.WORKDAY.INTL(AD395,7,1,FERIADOS)))</f>
        <v/>
      </c>
      <c r="AF395" s="104"/>
      <c r="AG395" s="80" t="str">
        <f t="array" ref="AG395">IF(A395="","",IF(AF395="","",AF395*INDEX(PARAMETROS!F$2:F1458,MATCH(YEAR(AC395),PARAMETROS!E$2:E1458,0),1)))</f>
        <v/>
      </c>
      <c r="AH395" s="81"/>
      <c r="AI395" s="82"/>
      <c r="AJ395" s="81"/>
      <c r="AK395" s="81"/>
      <c r="AL395" s="76"/>
      <c r="AM395" s="75"/>
      <c r="AN395" s="76"/>
      <c r="AO395" s="95"/>
      <c r="AP395" s="96"/>
      <c r="AQ395" s="85" t="str">
        <f t="shared" si="6"/>
        <v/>
      </c>
      <c r="AR395" s="86" t="str">
        <f t="array" ref="AR395">IF(A395="","",IFERROR(INDEX('2) Etapas'!L$3:L923,MATCH(B395,'2) Etapas'!$A$4:$A923,0),1),-1))</f>
        <v/>
      </c>
      <c r="AS395" s="87" t="str">
        <f t="shared" si="7"/>
        <v/>
      </c>
      <c r="AT395" s="87" t="str">
        <f t="shared" si="8"/>
        <v/>
      </c>
      <c r="AU395" s="87" t="str">
        <f t="shared" si="9"/>
        <v/>
      </c>
      <c r="AV395" s="89" t="str">
        <f t="array" ref="AV395">IF(OR($A395="",$AB395="", $AC395=""),"",MAXA(IF($A395=$A$4:$A923,$AC$4:$AC923)))</f>
        <v/>
      </c>
    </row>
    <row r="396" ht="22.5" customHeight="1">
      <c r="A396" s="76"/>
      <c r="B396" s="68" t="str">
        <f t="shared" si="1"/>
        <v/>
      </c>
      <c r="C396" s="110"/>
      <c r="D396" s="70" t="str">
        <f t="shared" si="2"/>
        <v/>
      </c>
      <c r="E396" s="76"/>
      <c r="F396" s="68" t="str">
        <f t="array" ref="F396">IF($A396="","",IFERROR(INDEX(MA_INDIVIDUALES!C$2:C923, MATCH($A396,MA_INDIVIDUALES!$B$2:$B923,0),1),"CÓDIGO DE EXPEDIENTE INVÁLIDO"))</f>
        <v/>
      </c>
      <c r="G396" s="68" t="str">
        <f t="array" ref="G396">IF($A396="","",IFERROR(INDEX(MA_INDIVIDUALES!K$2:K923, MATCH($A396,MA_INDIVIDUALES!$B$2:$B923,0),1),"CÓDIGO DE EXPEDIENTE INVÁLIDO"))</f>
        <v/>
      </c>
      <c r="H396" s="68" t="str">
        <f t="array" ref="H396">IF($A396="","",IFERROR(INDEX(MA_INDIVIDUALES!L$2:L923, MATCH($A396,MA_INDIVIDUALES!$B$2:$B923,0),1),"CÓDIGO DE EXPEDIENTE INVÁLIDO"))</f>
        <v/>
      </c>
      <c r="I396" s="76"/>
      <c r="J396" s="76"/>
      <c r="K396" s="75"/>
      <c r="L396" s="74" t="str">
        <f>IF(A396="","",IF(K396="","",_xlfn.WORKDAY.INTL(K396,5,1,FERIADOS)))</f>
        <v/>
      </c>
      <c r="M396" s="76"/>
      <c r="N396" s="75"/>
      <c r="O396" s="76"/>
      <c r="P396" s="77" t="str">
        <f t="shared" si="3"/>
        <v/>
      </c>
      <c r="Q396" s="75"/>
      <c r="R396" s="76"/>
      <c r="S396" s="75"/>
      <c r="T396" s="75"/>
      <c r="U396" s="76"/>
      <c r="V396" s="76"/>
      <c r="W396" s="75"/>
      <c r="X396" s="76"/>
      <c r="Y396" s="29" t="str">
        <f t="shared" si="4"/>
        <v/>
      </c>
      <c r="Z396" s="29" t="str">
        <f t="shared" si="5"/>
        <v/>
      </c>
      <c r="AA396" s="76"/>
      <c r="AB396" s="76"/>
      <c r="AC396" s="75"/>
      <c r="AD396" s="75"/>
      <c r="AE396" s="78" t="str">
        <f>IF(U396="","",IF(AD396="","",_xlfn.WORKDAY.INTL(AD396,7,1,FERIADOS)))</f>
        <v/>
      </c>
      <c r="AF396" s="104"/>
      <c r="AG396" s="80" t="str">
        <f t="array" ref="AG396">IF(A396="","",IF(AF396="","",AF396*INDEX(PARAMETROS!F$2:F1459,MATCH(YEAR(AC396),PARAMETROS!E$2:E1459,0),1)))</f>
        <v/>
      </c>
      <c r="AH396" s="81"/>
      <c r="AI396" s="82"/>
      <c r="AJ396" s="81"/>
      <c r="AK396" s="81"/>
      <c r="AL396" s="76"/>
      <c r="AM396" s="75"/>
      <c r="AN396" s="76"/>
      <c r="AO396" s="95"/>
      <c r="AP396" s="96"/>
      <c r="AQ396" s="85" t="str">
        <f t="shared" si="6"/>
        <v/>
      </c>
      <c r="AR396" s="86" t="str">
        <f t="array" ref="AR396">IF(A396="","",IFERROR(INDEX('2) Etapas'!L$3:L923,MATCH(B396,'2) Etapas'!$A$4:$A923,0),1),-1))</f>
        <v/>
      </c>
      <c r="AS396" s="87" t="str">
        <f t="shared" si="7"/>
        <v/>
      </c>
      <c r="AT396" s="87" t="str">
        <f t="shared" si="8"/>
        <v/>
      </c>
      <c r="AU396" s="87" t="str">
        <f t="shared" si="9"/>
        <v/>
      </c>
      <c r="AV396" s="89" t="str">
        <f t="array" ref="AV396">IF(OR($A396="",$AB396="", $AC396=""),"",MAXA(IF($A396=$A$4:$A923,$AC$4:$AC923)))</f>
        <v/>
      </c>
    </row>
    <row r="397" ht="22.5" customHeight="1">
      <c r="A397" s="76"/>
      <c r="B397" s="68" t="str">
        <f t="shared" si="1"/>
        <v/>
      </c>
      <c r="C397" s="110"/>
      <c r="D397" s="70" t="str">
        <f t="shared" si="2"/>
        <v/>
      </c>
      <c r="E397" s="76"/>
      <c r="F397" s="68" t="str">
        <f t="array" ref="F397">IF($A397="","",IFERROR(INDEX(MA_INDIVIDUALES!C$2:C923, MATCH($A397,MA_INDIVIDUALES!$B$2:$B923,0),1),"CÓDIGO DE EXPEDIENTE INVÁLIDO"))</f>
        <v/>
      </c>
      <c r="G397" s="68" t="str">
        <f t="array" ref="G397">IF($A397="","",IFERROR(INDEX(MA_INDIVIDUALES!K$2:K923, MATCH($A397,MA_INDIVIDUALES!$B$2:$B923,0),1),"CÓDIGO DE EXPEDIENTE INVÁLIDO"))</f>
        <v/>
      </c>
      <c r="H397" s="68" t="str">
        <f t="array" ref="H397">IF($A397="","",IFERROR(INDEX(MA_INDIVIDUALES!L$2:L923, MATCH($A397,MA_INDIVIDUALES!$B$2:$B923,0),1),"CÓDIGO DE EXPEDIENTE INVÁLIDO"))</f>
        <v/>
      </c>
      <c r="I397" s="76"/>
      <c r="J397" s="76"/>
      <c r="K397" s="75"/>
      <c r="L397" s="74" t="str">
        <f>IF(A397="","",IF(K397="","",_xlfn.WORKDAY.INTL(K397,5,1,FERIADOS)))</f>
        <v/>
      </c>
      <c r="M397" s="76"/>
      <c r="N397" s="75"/>
      <c r="O397" s="76"/>
      <c r="P397" s="77" t="str">
        <f t="shared" si="3"/>
        <v/>
      </c>
      <c r="Q397" s="75"/>
      <c r="R397" s="76"/>
      <c r="S397" s="75"/>
      <c r="T397" s="75"/>
      <c r="U397" s="76"/>
      <c r="V397" s="76"/>
      <c r="W397" s="75"/>
      <c r="X397" s="76"/>
      <c r="Y397" s="29" t="str">
        <f t="shared" si="4"/>
        <v/>
      </c>
      <c r="Z397" s="29" t="str">
        <f t="shared" si="5"/>
        <v/>
      </c>
      <c r="AA397" s="76"/>
      <c r="AB397" s="76"/>
      <c r="AC397" s="75"/>
      <c r="AD397" s="75"/>
      <c r="AE397" s="78" t="str">
        <f>IF(U397="","",IF(AD397="","",_xlfn.WORKDAY.INTL(AD397,7,1,FERIADOS)))</f>
        <v/>
      </c>
      <c r="AF397" s="104"/>
      <c r="AG397" s="80" t="str">
        <f t="array" ref="AG397">IF(A397="","",IF(AF397="","",AF397*INDEX(PARAMETROS!F$2:F1460,MATCH(YEAR(AC397),PARAMETROS!E$2:E1460,0),1)))</f>
        <v/>
      </c>
      <c r="AH397" s="81"/>
      <c r="AI397" s="82"/>
      <c r="AJ397" s="81"/>
      <c r="AK397" s="81"/>
      <c r="AL397" s="76"/>
      <c r="AM397" s="75"/>
      <c r="AN397" s="76"/>
      <c r="AO397" s="95"/>
      <c r="AP397" s="96"/>
      <c r="AQ397" s="85" t="str">
        <f t="shared" si="6"/>
        <v/>
      </c>
      <c r="AR397" s="86" t="str">
        <f t="array" ref="AR397">IF(A397="","",IFERROR(INDEX('2) Etapas'!L$3:L923,MATCH(B397,'2) Etapas'!$A$4:$A923,0),1),-1))</f>
        <v/>
      </c>
      <c r="AS397" s="87" t="str">
        <f t="shared" si="7"/>
        <v/>
      </c>
      <c r="AT397" s="87" t="str">
        <f t="shared" si="8"/>
        <v/>
      </c>
      <c r="AU397" s="87" t="str">
        <f t="shared" si="9"/>
        <v/>
      </c>
      <c r="AV397" s="89" t="str">
        <f t="array" ref="AV397">IF(OR($A397="",$AB397="", $AC397=""),"",MAXA(IF($A397=$A$4:$A923,$AC$4:$AC923)))</f>
        <v/>
      </c>
    </row>
    <row r="398" ht="22.5" customHeight="1">
      <c r="A398" s="76"/>
      <c r="B398" s="68" t="str">
        <f t="shared" si="1"/>
        <v/>
      </c>
      <c r="C398" s="110"/>
      <c r="D398" s="70" t="str">
        <f t="shared" si="2"/>
        <v/>
      </c>
      <c r="E398" s="76"/>
      <c r="F398" s="68" t="str">
        <f t="array" ref="F398">IF($A398="","",IFERROR(INDEX(MA_INDIVIDUALES!C$2:C923, MATCH($A398,MA_INDIVIDUALES!$B$2:$B923,0),1),"CÓDIGO DE EXPEDIENTE INVÁLIDO"))</f>
        <v/>
      </c>
      <c r="G398" s="68" t="str">
        <f t="array" ref="G398">IF($A398="","",IFERROR(INDEX(MA_INDIVIDUALES!K$2:K923, MATCH($A398,MA_INDIVIDUALES!$B$2:$B923,0),1),"CÓDIGO DE EXPEDIENTE INVÁLIDO"))</f>
        <v/>
      </c>
      <c r="H398" s="68" t="str">
        <f t="array" ref="H398">IF($A398="","",IFERROR(INDEX(MA_INDIVIDUALES!L$2:L923, MATCH($A398,MA_INDIVIDUALES!$B$2:$B923,0),1),"CÓDIGO DE EXPEDIENTE INVÁLIDO"))</f>
        <v/>
      </c>
      <c r="I398" s="76"/>
      <c r="J398" s="76"/>
      <c r="K398" s="75"/>
      <c r="L398" s="74" t="str">
        <f>IF(A398="","",IF(K398="","",_xlfn.WORKDAY.INTL(K398,5,1,FERIADOS)))</f>
        <v/>
      </c>
      <c r="M398" s="76"/>
      <c r="N398" s="75"/>
      <c r="O398" s="76"/>
      <c r="P398" s="77" t="str">
        <f t="shared" si="3"/>
        <v/>
      </c>
      <c r="Q398" s="75"/>
      <c r="R398" s="76"/>
      <c r="S398" s="75"/>
      <c r="T398" s="75"/>
      <c r="U398" s="76"/>
      <c r="V398" s="76"/>
      <c r="W398" s="75"/>
      <c r="X398" s="76"/>
      <c r="Y398" s="29" t="str">
        <f t="shared" si="4"/>
        <v/>
      </c>
      <c r="Z398" s="29" t="str">
        <f t="shared" si="5"/>
        <v/>
      </c>
      <c r="AA398" s="76"/>
      <c r="AB398" s="76"/>
      <c r="AC398" s="75"/>
      <c r="AD398" s="75"/>
      <c r="AE398" s="78" t="str">
        <f>IF(U398="","",IF(AD398="","",_xlfn.WORKDAY.INTL(AD398,7,1,FERIADOS)))</f>
        <v/>
      </c>
      <c r="AF398" s="104"/>
      <c r="AG398" s="80" t="str">
        <f t="array" ref="AG398">IF(A398="","",IF(AF398="","",AF398*INDEX(PARAMETROS!F$2:F1461,MATCH(YEAR(AC398),PARAMETROS!E$2:E1461,0),1)))</f>
        <v/>
      </c>
      <c r="AH398" s="81"/>
      <c r="AI398" s="82"/>
      <c r="AJ398" s="81"/>
      <c r="AK398" s="81"/>
      <c r="AL398" s="76"/>
      <c r="AM398" s="75"/>
      <c r="AN398" s="76"/>
      <c r="AO398" s="95"/>
      <c r="AP398" s="96"/>
      <c r="AQ398" s="85" t="str">
        <f t="shared" si="6"/>
        <v/>
      </c>
      <c r="AR398" s="86" t="str">
        <f t="array" ref="AR398">IF(A398="","",IFERROR(INDEX('2) Etapas'!L$3:L923,MATCH(B398,'2) Etapas'!$A$4:$A923,0),1),-1))</f>
        <v/>
      </c>
      <c r="AS398" s="87" t="str">
        <f t="shared" si="7"/>
        <v/>
      </c>
      <c r="AT398" s="87" t="str">
        <f t="shared" si="8"/>
        <v/>
      </c>
      <c r="AU398" s="87" t="str">
        <f t="shared" si="9"/>
        <v/>
      </c>
      <c r="AV398" s="89" t="str">
        <f t="array" ref="AV398">IF(OR($A398="",$AB398="", $AC398=""),"",MAXA(IF($A398=$A$4:$A923,$AC$4:$AC923)))</f>
        <v/>
      </c>
    </row>
    <row r="399" ht="22.5" customHeight="1">
      <c r="A399" s="76"/>
      <c r="B399" s="68" t="str">
        <f t="shared" si="1"/>
        <v/>
      </c>
      <c r="C399" s="110"/>
      <c r="D399" s="70" t="str">
        <f t="shared" si="2"/>
        <v/>
      </c>
      <c r="E399" s="76"/>
      <c r="F399" s="68" t="str">
        <f t="array" ref="F399">IF($A399="","",IFERROR(INDEX(MA_INDIVIDUALES!C$2:C923, MATCH($A399,MA_INDIVIDUALES!$B$2:$B923,0),1),"CÓDIGO DE EXPEDIENTE INVÁLIDO"))</f>
        <v/>
      </c>
      <c r="G399" s="68" t="str">
        <f t="array" ref="G399">IF($A399="","",IFERROR(INDEX(MA_INDIVIDUALES!K$2:K923, MATCH($A399,MA_INDIVIDUALES!$B$2:$B923,0),1),"CÓDIGO DE EXPEDIENTE INVÁLIDO"))</f>
        <v/>
      </c>
      <c r="H399" s="68" t="str">
        <f t="array" ref="H399">IF($A399="","",IFERROR(INDEX(MA_INDIVIDUALES!L$2:L923, MATCH($A399,MA_INDIVIDUALES!$B$2:$B923,0),1),"CÓDIGO DE EXPEDIENTE INVÁLIDO"))</f>
        <v/>
      </c>
      <c r="I399" s="76"/>
      <c r="J399" s="76"/>
      <c r="K399" s="75"/>
      <c r="L399" s="74" t="str">
        <f>IF(A399="","",IF(K399="","",_xlfn.WORKDAY.INTL(K399,5,1,FERIADOS)))</f>
        <v/>
      </c>
      <c r="M399" s="76"/>
      <c r="N399" s="75"/>
      <c r="O399" s="76"/>
      <c r="P399" s="77" t="str">
        <f t="shared" si="3"/>
        <v/>
      </c>
      <c r="Q399" s="75"/>
      <c r="R399" s="76"/>
      <c r="S399" s="75"/>
      <c r="T399" s="75"/>
      <c r="U399" s="76"/>
      <c r="V399" s="76"/>
      <c r="W399" s="75"/>
      <c r="X399" s="76"/>
      <c r="Y399" s="29" t="str">
        <f t="shared" si="4"/>
        <v/>
      </c>
      <c r="Z399" s="29" t="str">
        <f t="shared" si="5"/>
        <v/>
      </c>
      <c r="AA399" s="76"/>
      <c r="AB399" s="76"/>
      <c r="AC399" s="75"/>
      <c r="AD399" s="75"/>
      <c r="AE399" s="78" t="str">
        <f>IF(U399="","",IF(AD399="","",_xlfn.WORKDAY.INTL(AD399,7,1,FERIADOS)))</f>
        <v/>
      </c>
      <c r="AF399" s="104"/>
      <c r="AG399" s="80" t="str">
        <f t="array" ref="AG399">IF(A399="","",IF(AF399="","",AF399*INDEX(PARAMETROS!F$2:F1462,MATCH(YEAR(AC399),PARAMETROS!E$2:E1462,0),1)))</f>
        <v/>
      </c>
      <c r="AH399" s="81"/>
      <c r="AI399" s="82"/>
      <c r="AJ399" s="81"/>
      <c r="AK399" s="81"/>
      <c r="AL399" s="76"/>
      <c r="AM399" s="75"/>
      <c r="AN399" s="76"/>
      <c r="AO399" s="95"/>
      <c r="AP399" s="96"/>
      <c r="AQ399" s="85" t="str">
        <f t="shared" si="6"/>
        <v/>
      </c>
      <c r="AR399" s="86" t="str">
        <f t="array" ref="AR399">IF(A399="","",IFERROR(INDEX('2) Etapas'!L$3:L923,MATCH(B399,'2) Etapas'!$A$4:$A923,0),1),-1))</f>
        <v/>
      </c>
      <c r="AS399" s="87" t="str">
        <f t="shared" si="7"/>
        <v/>
      </c>
      <c r="AT399" s="87" t="str">
        <f t="shared" si="8"/>
        <v/>
      </c>
      <c r="AU399" s="87" t="str">
        <f t="shared" si="9"/>
        <v/>
      </c>
      <c r="AV399" s="89" t="str">
        <f t="array" ref="AV399">IF(OR($A399="",$AB399="", $AC399=""),"",MAXA(IF($A399=$A$4:$A923,$AC$4:$AC923)))</f>
        <v/>
      </c>
    </row>
    <row r="400" ht="22.5" customHeight="1">
      <c r="A400" s="76"/>
      <c r="B400" s="68" t="str">
        <f t="shared" si="1"/>
        <v/>
      </c>
      <c r="C400" s="110"/>
      <c r="D400" s="70" t="str">
        <f t="shared" si="2"/>
        <v/>
      </c>
      <c r="E400" s="76"/>
      <c r="F400" s="68" t="str">
        <f t="array" ref="F400">IF($A400="","",IFERROR(INDEX(MA_INDIVIDUALES!C$2:C923, MATCH($A400,MA_INDIVIDUALES!$B$2:$B923,0),1),"CÓDIGO DE EXPEDIENTE INVÁLIDO"))</f>
        <v/>
      </c>
      <c r="G400" s="68" t="str">
        <f t="array" ref="G400">IF($A400="","",IFERROR(INDEX(MA_INDIVIDUALES!K$2:K923, MATCH($A400,MA_INDIVIDUALES!$B$2:$B923,0),1),"CÓDIGO DE EXPEDIENTE INVÁLIDO"))</f>
        <v/>
      </c>
      <c r="H400" s="68" t="str">
        <f t="array" ref="H400">IF($A400="","",IFERROR(INDEX(MA_INDIVIDUALES!L$2:L923, MATCH($A400,MA_INDIVIDUALES!$B$2:$B923,0),1),"CÓDIGO DE EXPEDIENTE INVÁLIDO"))</f>
        <v/>
      </c>
      <c r="I400" s="76"/>
      <c r="J400" s="76"/>
      <c r="K400" s="75"/>
      <c r="L400" s="74" t="str">
        <f>IF(A400="","",IF(K400="","",_xlfn.WORKDAY.INTL(K400,5,1,FERIADOS)))</f>
        <v/>
      </c>
      <c r="M400" s="76"/>
      <c r="N400" s="75"/>
      <c r="O400" s="76"/>
      <c r="P400" s="77" t="str">
        <f t="shared" si="3"/>
        <v/>
      </c>
      <c r="Q400" s="75"/>
      <c r="R400" s="76"/>
      <c r="S400" s="75"/>
      <c r="T400" s="75"/>
      <c r="U400" s="76"/>
      <c r="V400" s="76"/>
      <c r="W400" s="75"/>
      <c r="X400" s="76"/>
      <c r="Y400" s="29" t="str">
        <f t="shared" si="4"/>
        <v/>
      </c>
      <c r="Z400" s="29" t="str">
        <f t="shared" si="5"/>
        <v/>
      </c>
      <c r="AA400" s="76"/>
      <c r="AB400" s="76"/>
      <c r="AC400" s="75"/>
      <c r="AD400" s="75"/>
      <c r="AE400" s="78" t="str">
        <f>IF(U400="","",IF(AD400="","",_xlfn.WORKDAY.INTL(AD400,7,1,FERIADOS)))</f>
        <v/>
      </c>
      <c r="AF400" s="104"/>
      <c r="AG400" s="80" t="str">
        <f t="array" ref="AG400">IF(A400="","",IF(AF400="","",AF400*INDEX(PARAMETROS!F$2:F1463,MATCH(YEAR(AC400),PARAMETROS!E$2:E1463,0),1)))</f>
        <v/>
      </c>
      <c r="AH400" s="81"/>
      <c r="AI400" s="82"/>
      <c r="AJ400" s="81"/>
      <c r="AK400" s="81"/>
      <c r="AL400" s="76"/>
      <c r="AM400" s="75"/>
      <c r="AN400" s="76"/>
      <c r="AO400" s="95"/>
      <c r="AP400" s="96"/>
      <c r="AQ400" s="85" t="str">
        <f t="shared" si="6"/>
        <v/>
      </c>
      <c r="AR400" s="86" t="str">
        <f t="array" ref="AR400">IF(A400="","",IFERROR(INDEX('2) Etapas'!L$3:L923,MATCH(B400,'2) Etapas'!$A$4:$A923,0),1),-1))</f>
        <v/>
      </c>
      <c r="AS400" s="87" t="str">
        <f t="shared" si="7"/>
        <v/>
      </c>
      <c r="AT400" s="87" t="str">
        <f t="shared" si="8"/>
        <v/>
      </c>
      <c r="AU400" s="87" t="str">
        <f t="shared" si="9"/>
        <v/>
      </c>
      <c r="AV400" s="89" t="str">
        <f t="array" ref="AV400">IF(OR($A400="",$AB400="", $AC400=""),"",MAXA(IF($A400=$A$4:$A923,$AC$4:$AC923)))</f>
        <v/>
      </c>
    </row>
    <row r="401" ht="22.5" customHeight="1">
      <c r="A401" s="76"/>
      <c r="B401" s="68" t="str">
        <f t="shared" si="1"/>
        <v/>
      </c>
      <c r="C401" s="110"/>
      <c r="D401" s="70" t="str">
        <f t="shared" si="2"/>
        <v/>
      </c>
      <c r="E401" s="76"/>
      <c r="F401" s="68" t="str">
        <f t="array" ref="F401">IF($A401="","",IFERROR(INDEX(MA_INDIVIDUALES!C$2:C923, MATCH($A401,MA_INDIVIDUALES!$B$2:$B923,0),1),"CÓDIGO DE EXPEDIENTE INVÁLIDO"))</f>
        <v/>
      </c>
      <c r="G401" s="68" t="str">
        <f t="array" ref="G401">IF($A401="","",IFERROR(INDEX(MA_INDIVIDUALES!K$2:K923, MATCH($A401,MA_INDIVIDUALES!$B$2:$B923,0),1),"CÓDIGO DE EXPEDIENTE INVÁLIDO"))</f>
        <v/>
      </c>
      <c r="H401" s="68" t="str">
        <f t="array" ref="H401">IF($A401="","",IFERROR(INDEX(MA_INDIVIDUALES!L$2:L923, MATCH($A401,MA_INDIVIDUALES!$B$2:$B923,0),1),"CÓDIGO DE EXPEDIENTE INVÁLIDO"))</f>
        <v/>
      </c>
      <c r="I401" s="76"/>
      <c r="J401" s="76"/>
      <c r="K401" s="75"/>
      <c r="L401" s="74" t="str">
        <f>IF(A401="","",IF(K401="","",_xlfn.WORKDAY.INTL(K401,5,1,FERIADOS)))</f>
        <v/>
      </c>
      <c r="M401" s="76"/>
      <c r="N401" s="75"/>
      <c r="O401" s="76"/>
      <c r="P401" s="77" t="str">
        <f t="shared" si="3"/>
        <v/>
      </c>
      <c r="Q401" s="75"/>
      <c r="R401" s="76"/>
      <c r="S401" s="75"/>
      <c r="T401" s="75"/>
      <c r="U401" s="76"/>
      <c r="V401" s="76"/>
      <c r="W401" s="75"/>
      <c r="X401" s="76"/>
      <c r="Y401" s="29" t="str">
        <f t="shared" si="4"/>
        <v/>
      </c>
      <c r="Z401" s="29" t="str">
        <f t="shared" si="5"/>
        <v/>
      </c>
      <c r="AA401" s="76"/>
      <c r="AB401" s="76"/>
      <c r="AC401" s="75"/>
      <c r="AD401" s="75"/>
      <c r="AE401" s="78" t="str">
        <f>IF(U401="","",IF(AD401="","",_xlfn.WORKDAY.INTL(AD401,7,1,FERIADOS)))</f>
        <v/>
      </c>
      <c r="AF401" s="104"/>
      <c r="AG401" s="80" t="str">
        <f t="array" ref="AG401">IF(A401="","",IF(AF401="","",AF401*INDEX(PARAMETROS!F$2:F1464,MATCH(YEAR(AC401),PARAMETROS!E$2:E1464,0),1)))</f>
        <v/>
      </c>
      <c r="AH401" s="81"/>
      <c r="AI401" s="82"/>
      <c r="AJ401" s="81"/>
      <c r="AK401" s="81"/>
      <c r="AL401" s="76"/>
      <c r="AM401" s="75"/>
      <c r="AN401" s="76"/>
      <c r="AO401" s="95"/>
      <c r="AP401" s="96"/>
      <c r="AQ401" s="85" t="str">
        <f t="shared" si="6"/>
        <v/>
      </c>
      <c r="AR401" s="86" t="str">
        <f t="array" ref="AR401">IF(A401="","",IFERROR(INDEX('2) Etapas'!L$3:L923,MATCH(B401,'2) Etapas'!$A$4:$A923,0),1),-1))</f>
        <v/>
      </c>
      <c r="AS401" s="87" t="str">
        <f t="shared" si="7"/>
        <v/>
      </c>
      <c r="AT401" s="87" t="str">
        <f t="shared" si="8"/>
        <v/>
      </c>
      <c r="AU401" s="87" t="str">
        <f t="shared" si="9"/>
        <v/>
      </c>
      <c r="AV401" s="89" t="str">
        <f t="array" ref="AV401">IF(OR($A401="",$AB401="", $AC401=""),"",MAXA(IF($A401=$A$4:$A923,$AC$4:$AC923)))</f>
        <v/>
      </c>
    </row>
    <row r="402" ht="22.5" customHeight="1">
      <c r="A402" s="76"/>
      <c r="B402" s="68" t="str">
        <f t="shared" si="1"/>
        <v/>
      </c>
      <c r="C402" s="110"/>
      <c r="D402" s="70" t="str">
        <f t="shared" si="2"/>
        <v/>
      </c>
      <c r="E402" s="76"/>
      <c r="F402" s="68" t="str">
        <f t="array" ref="F402">IF($A402="","",IFERROR(INDEX(MA_INDIVIDUALES!C$2:C923, MATCH($A402,MA_INDIVIDUALES!$B$2:$B923,0),1),"CÓDIGO DE EXPEDIENTE INVÁLIDO"))</f>
        <v/>
      </c>
      <c r="G402" s="68" t="str">
        <f t="array" ref="G402">IF($A402="","",IFERROR(INDEX(MA_INDIVIDUALES!K$2:K923, MATCH($A402,MA_INDIVIDUALES!$B$2:$B923,0),1),"CÓDIGO DE EXPEDIENTE INVÁLIDO"))</f>
        <v/>
      </c>
      <c r="H402" s="68" t="str">
        <f t="array" ref="H402">IF($A402="","",IFERROR(INDEX(MA_INDIVIDUALES!L$2:L923, MATCH($A402,MA_INDIVIDUALES!$B$2:$B923,0),1),"CÓDIGO DE EXPEDIENTE INVÁLIDO"))</f>
        <v/>
      </c>
      <c r="I402" s="76"/>
      <c r="J402" s="76"/>
      <c r="K402" s="75"/>
      <c r="L402" s="74" t="str">
        <f>IF(A402="","",IF(K402="","",_xlfn.WORKDAY.INTL(K402,5,1,FERIADOS)))</f>
        <v/>
      </c>
      <c r="M402" s="76"/>
      <c r="N402" s="75"/>
      <c r="O402" s="76"/>
      <c r="P402" s="77" t="str">
        <f t="shared" si="3"/>
        <v/>
      </c>
      <c r="Q402" s="75"/>
      <c r="R402" s="76"/>
      <c r="S402" s="75"/>
      <c r="T402" s="75"/>
      <c r="U402" s="76"/>
      <c r="V402" s="76"/>
      <c r="W402" s="75"/>
      <c r="X402" s="76"/>
      <c r="Y402" s="29" t="str">
        <f t="shared" si="4"/>
        <v/>
      </c>
      <c r="Z402" s="29" t="str">
        <f t="shared" si="5"/>
        <v/>
      </c>
      <c r="AA402" s="76"/>
      <c r="AB402" s="76"/>
      <c r="AC402" s="75"/>
      <c r="AD402" s="75"/>
      <c r="AE402" s="78" t="str">
        <f>IF(U402="","",IF(AD402="","",_xlfn.WORKDAY.INTL(AD402,7,1,FERIADOS)))</f>
        <v/>
      </c>
      <c r="AF402" s="104"/>
      <c r="AG402" s="80" t="str">
        <f t="array" ref="AG402">IF(A402="","",IF(AF402="","",AF402*INDEX(PARAMETROS!F$2:F1465,MATCH(YEAR(AC402),PARAMETROS!E$2:E1465,0),1)))</f>
        <v/>
      </c>
      <c r="AH402" s="81"/>
      <c r="AI402" s="82"/>
      <c r="AJ402" s="81"/>
      <c r="AK402" s="81"/>
      <c r="AL402" s="76"/>
      <c r="AM402" s="75"/>
      <c r="AN402" s="76"/>
      <c r="AO402" s="95"/>
      <c r="AP402" s="96"/>
      <c r="AQ402" s="85" t="str">
        <f t="shared" si="6"/>
        <v/>
      </c>
      <c r="AR402" s="86" t="str">
        <f t="array" ref="AR402">IF(A402="","",IFERROR(INDEX('2) Etapas'!L$3:L923,MATCH(B402,'2) Etapas'!$A$4:$A923,0),1),-1))</f>
        <v/>
      </c>
      <c r="AS402" s="87" t="str">
        <f t="shared" si="7"/>
        <v/>
      </c>
      <c r="AT402" s="87" t="str">
        <f t="shared" si="8"/>
        <v/>
      </c>
      <c r="AU402" s="87" t="str">
        <f t="shared" si="9"/>
        <v/>
      </c>
      <c r="AV402" s="89" t="str">
        <f t="array" ref="AV402">IF(OR($A402="",$AB402="", $AC402=""),"",MAXA(IF($A402=$A$4:$A923,$AC$4:$AC923)))</f>
        <v/>
      </c>
    </row>
    <row r="403" ht="22.5" customHeight="1">
      <c r="A403" s="76"/>
      <c r="B403" s="68" t="str">
        <f t="shared" si="1"/>
        <v/>
      </c>
      <c r="C403" s="110"/>
      <c r="D403" s="70" t="str">
        <f t="shared" si="2"/>
        <v/>
      </c>
      <c r="E403" s="76"/>
      <c r="F403" s="68" t="str">
        <f t="array" ref="F403">IF($A403="","",IFERROR(INDEX(MA_INDIVIDUALES!C$2:C923, MATCH($A403,MA_INDIVIDUALES!$B$2:$B923,0),1),"CÓDIGO DE EXPEDIENTE INVÁLIDO"))</f>
        <v/>
      </c>
      <c r="G403" s="68" t="str">
        <f t="array" ref="G403">IF($A403="","",IFERROR(INDEX(MA_INDIVIDUALES!K$2:K923, MATCH($A403,MA_INDIVIDUALES!$B$2:$B923,0),1),"CÓDIGO DE EXPEDIENTE INVÁLIDO"))</f>
        <v/>
      </c>
      <c r="H403" s="68" t="str">
        <f t="array" ref="H403">IF($A403="","",IFERROR(INDEX(MA_INDIVIDUALES!L$2:L923, MATCH($A403,MA_INDIVIDUALES!$B$2:$B923,0),1),"CÓDIGO DE EXPEDIENTE INVÁLIDO"))</f>
        <v/>
      </c>
      <c r="I403" s="76"/>
      <c r="J403" s="76"/>
      <c r="K403" s="75"/>
      <c r="L403" s="74" t="str">
        <f>IF(A403="","",IF(K403="","",_xlfn.WORKDAY.INTL(K403,5,1,FERIADOS)))</f>
        <v/>
      </c>
      <c r="M403" s="76"/>
      <c r="N403" s="75"/>
      <c r="O403" s="76"/>
      <c r="P403" s="77" t="str">
        <f t="shared" si="3"/>
        <v/>
      </c>
      <c r="Q403" s="75"/>
      <c r="R403" s="76"/>
      <c r="S403" s="75"/>
      <c r="T403" s="75"/>
      <c r="U403" s="76"/>
      <c r="V403" s="76"/>
      <c r="W403" s="75"/>
      <c r="X403" s="76"/>
      <c r="Y403" s="29" t="str">
        <f t="shared" si="4"/>
        <v/>
      </c>
      <c r="Z403" s="29" t="str">
        <f t="shared" si="5"/>
        <v/>
      </c>
      <c r="AA403" s="76"/>
      <c r="AB403" s="76"/>
      <c r="AC403" s="75"/>
      <c r="AD403" s="75"/>
      <c r="AE403" s="78" t="str">
        <f>IF(U403="","",IF(AD403="","",_xlfn.WORKDAY.INTL(AD403,7,1,FERIADOS)))</f>
        <v/>
      </c>
      <c r="AF403" s="104"/>
      <c r="AG403" s="80" t="str">
        <f t="array" ref="AG403">IF(A403="","",IF(AF403="","",AF403*INDEX(PARAMETROS!F$2:F1466,MATCH(YEAR(AC403),PARAMETROS!E$2:E1466,0),1)))</f>
        <v/>
      </c>
      <c r="AH403" s="81"/>
      <c r="AI403" s="82"/>
      <c r="AJ403" s="81"/>
      <c r="AK403" s="81"/>
      <c r="AL403" s="76"/>
      <c r="AM403" s="75"/>
      <c r="AN403" s="76"/>
      <c r="AO403" s="95"/>
      <c r="AP403" s="96"/>
      <c r="AQ403" s="85" t="str">
        <f t="shared" si="6"/>
        <v/>
      </c>
      <c r="AR403" s="86" t="str">
        <f t="array" ref="AR403">IF(A403="","",IFERROR(INDEX('2) Etapas'!L$3:L923,MATCH(B403,'2) Etapas'!$A$4:$A923,0),1),-1))</f>
        <v/>
      </c>
      <c r="AS403" s="87" t="str">
        <f t="shared" si="7"/>
        <v/>
      </c>
      <c r="AT403" s="87" t="str">
        <f t="shared" si="8"/>
        <v/>
      </c>
      <c r="AU403" s="87" t="str">
        <f t="shared" si="9"/>
        <v/>
      </c>
      <c r="AV403" s="89" t="str">
        <f t="array" ref="AV403">IF(OR($A403="",$AB403="", $AC403=""),"",MAXA(IF($A403=$A$4:$A923,$AC$4:$AC923)))</f>
        <v/>
      </c>
    </row>
    <row r="404" ht="22.5" customHeight="1">
      <c r="A404" s="76"/>
      <c r="B404" s="68" t="str">
        <f t="shared" si="1"/>
        <v/>
      </c>
      <c r="C404" s="110"/>
      <c r="D404" s="70" t="str">
        <f t="shared" si="2"/>
        <v/>
      </c>
      <c r="E404" s="76"/>
      <c r="F404" s="68" t="str">
        <f t="array" ref="F404">IF($A404="","",IFERROR(INDEX(MA_INDIVIDUALES!C$2:C923, MATCH($A404,MA_INDIVIDUALES!$B$2:$B923,0),1),"CÓDIGO DE EXPEDIENTE INVÁLIDO"))</f>
        <v/>
      </c>
      <c r="G404" s="68" t="str">
        <f t="array" ref="G404">IF($A404="","",IFERROR(INDEX(MA_INDIVIDUALES!K$2:K923, MATCH($A404,MA_INDIVIDUALES!$B$2:$B923,0),1),"CÓDIGO DE EXPEDIENTE INVÁLIDO"))</f>
        <v/>
      </c>
      <c r="H404" s="68" t="str">
        <f t="array" ref="H404">IF($A404="","",IFERROR(INDEX(MA_INDIVIDUALES!L$2:L923, MATCH($A404,MA_INDIVIDUALES!$B$2:$B923,0),1),"CÓDIGO DE EXPEDIENTE INVÁLIDO"))</f>
        <v/>
      </c>
      <c r="I404" s="76"/>
      <c r="J404" s="76"/>
      <c r="K404" s="75"/>
      <c r="L404" s="74" t="str">
        <f>IF(A404="","",IF(K404="","",_xlfn.WORKDAY.INTL(K404,5,1,FERIADOS)))</f>
        <v/>
      </c>
      <c r="M404" s="76"/>
      <c r="N404" s="75"/>
      <c r="O404" s="76"/>
      <c r="P404" s="77" t="str">
        <f t="shared" si="3"/>
        <v/>
      </c>
      <c r="Q404" s="75"/>
      <c r="R404" s="76"/>
      <c r="S404" s="75"/>
      <c r="T404" s="75"/>
      <c r="U404" s="76"/>
      <c r="V404" s="76"/>
      <c r="W404" s="75"/>
      <c r="X404" s="76"/>
      <c r="Y404" s="29" t="str">
        <f t="shared" si="4"/>
        <v/>
      </c>
      <c r="Z404" s="29" t="str">
        <f t="shared" si="5"/>
        <v/>
      </c>
      <c r="AA404" s="76"/>
      <c r="AB404" s="76"/>
      <c r="AC404" s="75"/>
      <c r="AD404" s="75"/>
      <c r="AE404" s="78" t="str">
        <f>IF(U404="","",IF(AD404="","",_xlfn.WORKDAY.INTL(AD404,7,1,FERIADOS)))</f>
        <v/>
      </c>
      <c r="AF404" s="104"/>
      <c r="AG404" s="80" t="str">
        <f t="array" ref="AG404">IF(A404="","",IF(AF404="","",AF404*INDEX(PARAMETROS!F$2:F1467,MATCH(YEAR(AC404),PARAMETROS!E$2:E1467,0),1)))</f>
        <v/>
      </c>
      <c r="AH404" s="81"/>
      <c r="AI404" s="82"/>
      <c r="AJ404" s="81"/>
      <c r="AK404" s="81"/>
      <c r="AL404" s="76"/>
      <c r="AM404" s="75"/>
      <c r="AN404" s="76"/>
      <c r="AO404" s="95"/>
      <c r="AP404" s="96"/>
      <c r="AQ404" s="85" t="str">
        <f t="shared" si="6"/>
        <v/>
      </c>
      <c r="AR404" s="86" t="str">
        <f t="array" ref="AR404">IF(A404="","",IFERROR(INDEX('2) Etapas'!L$3:L923,MATCH(B404,'2) Etapas'!$A$4:$A923,0),1),-1))</f>
        <v/>
      </c>
      <c r="AS404" s="87" t="str">
        <f t="shared" si="7"/>
        <v/>
      </c>
      <c r="AT404" s="87" t="str">
        <f t="shared" si="8"/>
        <v/>
      </c>
      <c r="AU404" s="87" t="str">
        <f t="shared" si="9"/>
        <v/>
      </c>
      <c r="AV404" s="89" t="str">
        <f t="array" ref="AV404">IF(OR($A404="",$AB404="", $AC404=""),"",MAXA(IF($A404=$A$4:$A923,$AC$4:$AC923)))</f>
        <v/>
      </c>
    </row>
    <row r="405" ht="22.5" customHeight="1">
      <c r="A405" s="76"/>
      <c r="B405" s="68" t="str">
        <f t="shared" si="1"/>
        <v/>
      </c>
      <c r="C405" s="110"/>
      <c r="D405" s="70" t="str">
        <f t="shared" si="2"/>
        <v/>
      </c>
      <c r="E405" s="76"/>
      <c r="F405" s="68" t="str">
        <f t="array" ref="F405">IF($A405="","",IFERROR(INDEX(MA_INDIVIDUALES!C$2:C923, MATCH($A405,MA_INDIVIDUALES!$B$2:$B923,0),1),"CÓDIGO DE EXPEDIENTE INVÁLIDO"))</f>
        <v/>
      </c>
      <c r="G405" s="68" t="str">
        <f t="array" ref="G405">IF($A405="","",IFERROR(INDEX(MA_INDIVIDUALES!K$2:K923, MATCH($A405,MA_INDIVIDUALES!$B$2:$B923,0),1),"CÓDIGO DE EXPEDIENTE INVÁLIDO"))</f>
        <v/>
      </c>
      <c r="H405" s="68" t="str">
        <f t="array" ref="H405">IF($A405="","",IFERROR(INDEX(MA_INDIVIDUALES!L$2:L923, MATCH($A405,MA_INDIVIDUALES!$B$2:$B923,0),1),"CÓDIGO DE EXPEDIENTE INVÁLIDO"))</f>
        <v/>
      </c>
      <c r="I405" s="76"/>
      <c r="J405" s="76"/>
      <c r="K405" s="75"/>
      <c r="L405" s="74" t="str">
        <f>IF(A405="","",IF(K405="","",_xlfn.WORKDAY.INTL(K405,5,1,FERIADOS)))</f>
        <v/>
      </c>
      <c r="M405" s="76"/>
      <c r="N405" s="75"/>
      <c r="O405" s="76"/>
      <c r="P405" s="77" t="str">
        <f t="shared" si="3"/>
        <v/>
      </c>
      <c r="Q405" s="75"/>
      <c r="R405" s="76"/>
      <c r="S405" s="75"/>
      <c r="T405" s="75"/>
      <c r="U405" s="76"/>
      <c r="V405" s="76"/>
      <c r="W405" s="75"/>
      <c r="X405" s="76"/>
      <c r="Y405" s="29" t="str">
        <f t="shared" si="4"/>
        <v/>
      </c>
      <c r="Z405" s="29" t="str">
        <f t="shared" si="5"/>
        <v/>
      </c>
      <c r="AA405" s="76"/>
      <c r="AB405" s="76"/>
      <c r="AC405" s="75"/>
      <c r="AD405" s="75"/>
      <c r="AE405" s="78" t="str">
        <f>IF(U405="","",IF(AD405="","",_xlfn.WORKDAY.INTL(AD405,7,1,FERIADOS)))</f>
        <v/>
      </c>
      <c r="AF405" s="104"/>
      <c r="AG405" s="80" t="str">
        <f t="array" ref="AG405">IF(A405="","",IF(AF405="","",AF405*INDEX(PARAMETROS!F$2:F1468,MATCH(YEAR(AC405),PARAMETROS!E$2:E1468,0),1)))</f>
        <v/>
      </c>
      <c r="AH405" s="81"/>
      <c r="AI405" s="82"/>
      <c r="AJ405" s="81"/>
      <c r="AK405" s="81"/>
      <c r="AL405" s="76"/>
      <c r="AM405" s="75"/>
      <c r="AN405" s="76"/>
      <c r="AO405" s="95"/>
      <c r="AP405" s="96"/>
      <c r="AQ405" s="85" t="str">
        <f t="shared" si="6"/>
        <v/>
      </c>
      <c r="AR405" s="86" t="str">
        <f t="array" ref="AR405">IF(A405="","",IFERROR(INDEX('2) Etapas'!L$3:L923,MATCH(B405,'2) Etapas'!$A$4:$A923,0),1),-1))</f>
        <v/>
      </c>
      <c r="AS405" s="87" t="str">
        <f t="shared" si="7"/>
        <v/>
      </c>
      <c r="AT405" s="87" t="str">
        <f t="shared" si="8"/>
        <v/>
      </c>
      <c r="AU405" s="87" t="str">
        <f t="shared" si="9"/>
        <v/>
      </c>
      <c r="AV405" s="89" t="str">
        <f t="array" ref="AV405">IF(OR($A405="",$AB405="", $AC405=""),"",MAXA(IF($A405=$A$4:$A923,$AC$4:$AC923)))</f>
        <v/>
      </c>
    </row>
    <row r="406" ht="22.5" customHeight="1">
      <c r="A406" s="76"/>
      <c r="B406" s="68" t="str">
        <f t="shared" si="1"/>
        <v/>
      </c>
      <c r="C406" s="110"/>
      <c r="D406" s="70" t="str">
        <f t="shared" si="2"/>
        <v/>
      </c>
      <c r="E406" s="76"/>
      <c r="F406" s="68" t="str">
        <f t="array" ref="F406">IF($A406="","",IFERROR(INDEX(MA_INDIVIDUALES!C$2:C923, MATCH($A406,MA_INDIVIDUALES!$B$2:$B923,0),1),"CÓDIGO DE EXPEDIENTE INVÁLIDO"))</f>
        <v/>
      </c>
      <c r="G406" s="68" t="str">
        <f t="array" ref="G406">IF($A406="","",IFERROR(INDEX(MA_INDIVIDUALES!K$2:K923, MATCH($A406,MA_INDIVIDUALES!$B$2:$B923,0),1),"CÓDIGO DE EXPEDIENTE INVÁLIDO"))</f>
        <v/>
      </c>
      <c r="H406" s="68" t="str">
        <f t="array" ref="H406">IF($A406="","",IFERROR(INDEX(MA_INDIVIDUALES!L$2:L923, MATCH($A406,MA_INDIVIDUALES!$B$2:$B923,0),1),"CÓDIGO DE EXPEDIENTE INVÁLIDO"))</f>
        <v/>
      </c>
      <c r="I406" s="76"/>
      <c r="J406" s="76"/>
      <c r="K406" s="75"/>
      <c r="L406" s="74" t="str">
        <f>IF(A406="","",IF(K406="","",_xlfn.WORKDAY.INTL(K406,5,1,FERIADOS)))</f>
        <v/>
      </c>
      <c r="M406" s="76"/>
      <c r="N406" s="75"/>
      <c r="O406" s="76"/>
      <c r="P406" s="77" t="str">
        <f t="shared" si="3"/>
        <v/>
      </c>
      <c r="Q406" s="75"/>
      <c r="R406" s="76"/>
      <c r="S406" s="75"/>
      <c r="T406" s="75"/>
      <c r="U406" s="76"/>
      <c r="V406" s="76"/>
      <c r="W406" s="75"/>
      <c r="X406" s="76"/>
      <c r="Y406" s="29" t="str">
        <f t="shared" si="4"/>
        <v/>
      </c>
      <c r="Z406" s="29" t="str">
        <f t="shared" si="5"/>
        <v/>
      </c>
      <c r="AA406" s="76"/>
      <c r="AB406" s="76"/>
      <c r="AC406" s="75"/>
      <c r="AD406" s="75"/>
      <c r="AE406" s="78" t="str">
        <f>IF(U406="","",IF(AD406="","",_xlfn.WORKDAY.INTL(AD406,7,1,FERIADOS)))</f>
        <v/>
      </c>
      <c r="AF406" s="104"/>
      <c r="AG406" s="80" t="str">
        <f t="array" ref="AG406">IF(A406="","",IF(AF406="","",AF406*INDEX(PARAMETROS!F$2:F1469,MATCH(YEAR(AC406),PARAMETROS!E$2:E1469,0),1)))</f>
        <v/>
      </c>
      <c r="AH406" s="81"/>
      <c r="AI406" s="82"/>
      <c r="AJ406" s="81"/>
      <c r="AK406" s="81"/>
      <c r="AL406" s="76"/>
      <c r="AM406" s="75"/>
      <c r="AN406" s="76"/>
      <c r="AO406" s="95"/>
      <c r="AP406" s="96"/>
      <c r="AQ406" s="85" t="str">
        <f t="shared" si="6"/>
        <v/>
      </c>
      <c r="AR406" s="86" t="str">
        <f t="array" ref="AR406">IF(A406="","",IFERROR(INDEX('2) Etapas'!L$3:L923,MATCH(B406,'2) Etapas'!$A$4:$A923,0),1),-1))</f>
        <v/>
      </c>
      <c r="AS406" s="87" t="str">
        <f t="shared" si="7"/>
        <v/>
      </c>
      <c r="AT406" s="87" t="str">
        <f t="shared" si="8"/>
        <v/>
      </c>
      <c r="AU406" s="87" t="str">
        <f t="shared" si="9"/>
        <v/>
      </c>
      <c r="AV406" s="89" t="str">
        <f t="array" ref="AV406">IF(OR($A406="",$AB406="", $AC406=""),"",MAXA(IF($A406=$A$4:$A923,$AC$4:$AC923)))</f>
        <v/>
      </c>
    </row>
    <row r="407" ht="22.5" customHeight="1">
      <c r="A407" s="76"/>
      <c r="B407" s="68" t="str">
        <f t="shared" si="1"/>
        <v/>
      </c>
      <c r="C407" s="110"/>
      <c r="D407" s="70" t="str">
        <f t="shared" si="2"/>
        <v/>
      </c>
      <c r="E407" s="76"/>
      <c r="F407" s="68" t="str">
        <f t="array" ref="F407">IF($A407="","",IFERROR(INDEX(MA_INDIVIDUALES!C$2:C923, MATCH($A407,MA_INDIVIDUALES!$B$2:$B923,0),1),"CÓDIGO DE EXPEDIENTE INVÁLIDO"))</f>
        <v/>
      </c>
      <c r="G407" s="68" t="str">
        <f t="array" ref="G407">IF($A407="","",IFERROR(INDEX(MA_INDIVIDUALES!K$2:K923, MATCH($A407,MA_INDIVIDUALES!$B$2:$B923,0),1),"CÓDIGO DE EXPEDIENTE INVÁLIDO"))</f>
        <v/>
      </c>
      <c r="H407" s="68" t="str">
        <f t="array" ref="H407">IF($A407="","",IFERROR(INDEX(MA_INDIVIDUALES!L$2:L923, MATCH($A407,MA_INDIVIDUALES!$B$2:$B923,0),1),"CÓDIGO DE EXPEDIENTE INVÁLIDO"))</f>
        <v/>
      </c>
      <c r="I407" s="76"/>
      <c r="J407" s="76"/>
      <c r="K407" s="75"/>
      <c r="L407" s="74" t="str">
        <f>IF(A407="","",IF(K407="","",_xlfn.WORKDAY.INTL(K407,5,1,FERIADOS)))</f>
        <v/>
      </c>
      <c r="M407" s="76"/>
      <c r="N407" s="75"/>
      <c r="O407" s="76"/>
      <c r="P407" s="77" t="str">
        <f t="shared" si="3"/>
        <v/>
      </c>
      <c r="Q407" s="75"/>
      <c r="R407" s="76"/>
      <c r="S407" s="75"/>
      <c r="T407" s="75"/>
      <c r="U407" s="76"/>
      <c r="V407" s="76"/>
      <c r="W407" s="75"/>
      <c r="X407" s="76"/>
      <c r="Y407" s="29" t="str">
        <f t="shared" si="4"/>
        <v/>
      </c>
      <c r="Z407" s="29" t="str">
        <f t="shared" si="5"/>
        <v/>
      </c>
      <c r="AA407" s="76"/>
      <c r="AB407" s="76"/>
      <c r="AC407" s="75"/>
      <c r="AD407" s="75"/>
      <c r="AE407" s="78" t="str">
        <f>IF(U407="","",IF(AD407="","",_xlfn.WORKDAY.INTL(AD407,7,1,FERIADOS)))</f>
        <v/>
      </c>
      <c r="AF407" s="104"/>
      <c r="AG407" s="80" t="str">
        <f t="array" ref="AG407">IF(A407="","",IF(AF407="","",AF407*INDEX(PARAMETROS!F$2:F1470,MATCH(YEAR(AC407),PARAMETROS!E$2:E1470,0),1)))</f>
        <v/>
      </c>
      <c r="AH407" s="81"/>
      <c r="AI407" s="82"/>
      <c r="AJ407" s="81"/>
      <c r="AK407" s="81"/>
      <c r="AL407" s="76"/>
      <c r="AM407" s="75"/>
      <c r="AN407" s="76"/>
      <c r="AO407" s="95"/>
      <c r="AP407" s="96"/>
      <c r="AQ407" s="85" t="str">
        <f t="shared" si="6"/>
        <v/>
      </c>
      <c r="AR407" s="86" t="str">
        <f t="array" ref="AR407">IF(A407="","",IFERROR(INDEX('2) Etapas'!L$3:L923,MATCH(B407,'2) Etapas'!$A$4:$A923,0),1),-1))</f>
        <v/>
      </c>
      <c r="AS407" s="87" t="str">
        <f t="shared" si="7"/>
        <v/>
      </c>
      <c r="AT407" s="87" t="str">
        <f t="shared" si="8"/>
        <v/>
      </c>
      <c r="AU407" s="87" t="str">
        <f t="shared" si="9"/>
        <v/>
      </c>
      <c r="AV407" s="89" t="str">
        <f t="array" ref="AV407">IF(OR($A407="",$AB407="", $AC407=""),"",MAXA(IF($A407=$A$4:$A923,$AC$4:$AC923)))</f>
        <v/>
      </c>
    </row>
    <row r="408" ht="22.5" customHeight="1">
      <c r="A408" s="76"/>
      <c r="B408" s="68" t="str">
        <f t="shared" si="1"/>
        <v/>
      </c>
      <c r="C408" s="110"/>
      <c r="D408" s="70" t="str">
        <f t="shared" si="2"/>
        <v/>
      </c>
      <c r="E408" s="76"/>
      <c r="F408" s="68" t="str">
        <f t="array" ref="F408">IF($A408="","",IFERROR(INDEX(MA_INDIVIDUALES!C$2:C923, MATCH($A408,MA_INDIVIDUALES!$B$2:$B923,0),1),"CÓDIGO DE EXPEDIENTE INVÁLIDO"))</f>
        <v/>
      </c>
      <c r="G408" s="68" t="str">
        <f t="array" ref="G408">IF($A408="","",IFERROR(INDEX(MA_INDIVIDUALES!K$2:K923, MATCH($A408,MA_INDIVIDUALES!$B$2:$B923,0),1),"CÓDIGO DE EXPEDIENTE INVÁLIDO"))</f>
        <v/>
      </c>
      <c r="H408" s="68" t="str">
        <f t="array" ref="H408">IF($A408="","",IFERROR(INDEX(MA_INDIVIDUALES!L$2:L923, MATCH($A408,MA_INDIVIDUALES!$B$2:$B923,0),1),"CÓDIGO DE EXPEDIENTE INVÁLIDO"))</f>
        <v/>
      </c>
      <c r="I408" s="76"/>
      <c r="J408" s="76"/>
      <c r="K408" s="75"/>
      <c r="L408" s="74" t="str">
        <f>IF(A408="","",IF(K408="","",_xlfn.WORKDAY.INTL(K408,5,1,FERIADOS)))</f>
        <v/>
      </c>
      <c r="M408" s="76"/>
      <c r="N408" s="75"/>
      <c r="O408" s="76"/>
      <c r="P408" s="77" t="str">
        <f t="shared" si="3"/>
        <v/>
      </c>
      <c r="Q408" s="75"/>
      <c r="R408" s="76"/>
      <c r="S408" s="75"/>
      <c r="T408" s="75"/>
      <c r="U408" s="76"/>
      <c r="V408" s="76"/>
      <c r="W408" s="75"/>
      <c r="X408" s="76"/>
      <c r="Y408" s="29" t="str">
        <f t="shared" si="4"/>
        <v/>
      </c>
      <c r="Z408" s="29" t="str">
        <f t="shared" si="5"/>
        <v/>
      </c>
      <c r="AA408" s="76"/>
      <c r="AB408" s="76"/>
      <c r="AC408" s="75"/>
      <c r="AD408" s="75"/>
      <c r="AE408" s="78" t="str">
        <f>IF(U408="","",IF(AD408="","",_xlfn.WORKDAY.INTL(AD408,7,1,FERIADOS)))</f>
        <v/>
      </c>
      <c r="AF408" s="104"/>
      <c r="AG408" s="80" t="str">
        <f t="array" ref="AG408">IF(A408="","",IF(AF408="","",AF408*INDEX(PARAMETROS!F$2:F1471,MATCH(YEAR(AC408),PARAMETROS!E$2:E1471,0),1)))</f>
        <v/>
      </c>
      <c r="AH408" s="81"/>
      <c r="AI408" s="82"/>
      <c r="AJ408" s="81"/>
      <c r="AK408" s="81"/>
      <c r="AL408" s="76"/>
      <c r="AM408" s="75"/>
      <c r="AN408" s="76"/>
      <c r="AO408" s="95"/>
      <c r="AP408" s="96"/>
      <c r="AQ408" s="85" t="str">
        <f t="shared" si="6"/>
        <v/>
      </c>
      <c r="AR408" s="86" t="str">
        <f t="array" ref="AR408">IF(A408="","",IFERROR(INDEX('2) Etapas'!L$3:L923,MATCH(B408,'2) Etapas'!$A$4:$A923,0),1),-1))</f>
        <v/>
      </c>
      <c r="AS408" s="87" t="str">
        <f t="shared" si="7"/>
        <v/>
      </c>
      <c r="AT408" s="87" t="str">
        <f t="shared" si="8"/>
        <v/>
      </c>
      <c r="AU408" s="87" t="str">
        <f t="shared" si="9"/>
        <v/>
      </c>
      <c r="AV408" s="89" t="str">
        <f t="array" ref="AV408">IF(OR($A408="",$AB408="", $AC408=""),"",MAXA(IF($A408=$A$4:$A923,$AC$4:$AC923)))</f>
        <v/>
      </c>
    </row>
    <row r="409" ht="22.5" customHeight="1">
      <c r="A409" s="76"/>
      <c r="B409" s="68" t="str">
        <f t="shared" si="1"/>
        <v/>
      </c>
      <c r="C409" s="110"/>
      <c r="D409" s="70" t="str">
        <f t="shared" si="2"/>
        <v/>
      </c>
      <c r="E409" s="76"/>
      <c r="F409" s="68" t="str">
        <f t="array" ref="F409">IF($A409="","",IFERROR(INDEX(MA_INDIVIDUALES!C$2:C923, MATCH($A409,MA_INDIVIDUALES!$B$2:$B923,0),1),"CÓDIGO DE EXPEDIENTE INVÁLIDO"))</f>
        <v/>
      </c>
      <c r="G409" s="68" t="str">
        <f t="array" ref="G409">IF($A409="","",IFERROR(INDEX(MA_INDIVIDUALES!K$2:K923, MATCH($A409,MA_INDIVIDUALES!$B$2:$B923,0),1),"CÓDIGO DE EXPEDIENTE INVÁLIDO"))</f>
        <v/>
      </c>
      <c r="H409" s="68" t="str">
        <f t="array" ref="H409">IF($A409="","",IFERROR(INDEX(MA_INDIVIDUALES!L$2:L923, MATCH($A409,MA_INDIVIDUALES!$B$2:$B923,0),1),"CÓDIGO DE EXPEDIENTE INVÁLIDO"))</f>
        <v/>
      </c>
      <c r="I409" s="76"/>
      <c r="J409" s="76"/>
      <c r="K409" s="75"/>
      <c r="L409" s="74" t="str">
        <f>IF(A409="","",IF(K409="","",_xlfn.WORKDAY.INTL(K409,5,1,FERIADOS)))</f>
        <v/>
      </c>
      <c r="M409" s="76"/>
      <c r="N409" s="75"/>
      <c r="O409" s="76"/>
      <c r="P409" s="77" t="str">
        <f t="shared" si="3"/>
        <v/>
      </c>
      <c r="Q409" s="75"/>
      <c r="R409" s="76"/>
      <c r="S409" s="75"/>
      <c r="T409" s="75"/>
      <c r="U409" s="76"/>
      <c r="V409" s="76"/>
      <c r="W409" s="75"/>
      <c r="X409" s="76"/>
      <c r="Y409" s="29" t="str">
        <f t="shared" si="4"/>
        <v/>
      </c>
      <c r="Z409" s="29" t="str">
        <f t="shared" si="5"/>
        <v/>
      </c>
      <c r="AA409" s="76"/>
      <c r="AB409" s="76"/>
      <c r="AC409" s="75"/>
      <c r="AD409" s="75"/>
      <c r="AE409" s="78" t="str">
        <f>IF(U409="","",IF(AD409="","",_xlfn.WORKDAY.INTL(AD409,7,1,FERIADOS)))</f>
        <v/>
      </c>
      <c r="AF409" s="104"/>
      <c r="AG409" s="80" t="str">
        <f t="array" ref="AG409">IF(A409="","",IF(AF409="","",AF409*INDEX(PARAMETROS!F$2:F1472,MATCH(YEAR(AC409),PARAMETROS!E$2:E1472,0),1)))</f>
        <v/>
      </c>
      <c r="AH409" s="81"/>
      <c r="AI409" s="82"/>
      <c r="AJ409" s="81"/>
      <c r="AK409" s="81"/>
      <c r="AL409" s="76"/>
      <c r="AM409" s="75"/>
      <c r="AN409" s="76"/>
      <c r="AO409" s="95"/>
      <c r="AP409" s="96"/>
      <c r="AQ409" s="85" t="str">
        <f t="shared" si="6"/>
        <v/>
      </c>
      <c r="AR409" s="86" t="str">
        <f t="array" ref="AR409">IF(A409="","",IFERROR(INDEX('2) Etapas'!L$3:L923,MATCH(B409,'2) Etapas'!$A$4:$A923,0),1),-1))</f>
        <v/>
      </c>
      <c r="AS409" s="87" t="str">
        <f t="shared" si="7"/>
        <v/>
      </c>
      <c r="AT409" s="87" t="str">
        <f t="shared" si="8"/>
        <v/>
      </c>
      <c r="AU409" s="87" t="str">
        <f t="shared" si="9"/>
        <v/>
      </c>
      <c r="AV409" s="89" t="str">
        <f t="array" ref="AV409">IF(OR($A409="",$AB409="", $AC409=""),"",MAXA(IF($A409=$A$4:$A923,$AC$4:$AC923)))</f>
        <v/>
      </c>
    </row>
    <row r="410" ht="22.5" customHeight="1">
      <c r="A410" s="76"/>
      <c r="B410" s="68" t="str">
        <f t="shared" si="1"/>
        <v/>
      </c>
      <c r="C410" s="110"/>
      <c r="D410" s="70" t="str">
        <f t="shared" si="2"/>
        <v/>
      </c>
      <c r="E410" s="76"/>
      <c r="F410" s="68" t="str">
        <f t="array" ref="F410">IF($A410="","",IFERROR(INDEX(MA_INDIVIDUALES!C$2:C923, MATCH($A410,MA_INDIVIDUALES!$B$2:$B923,0),1),"CÓDIGO DE EXPEDIENTE INVÁLIDO"))</f>
        <v/>
      </c>
      <c r="G410" s="68" t="str">
        <f t="array" ref="G410">IF($A410="","",IFERROR(INDEX(MA_INDIVIDUALES!K$2:K923, MATCH($A410,MA_INDIVIDUALES!$B$2:$B923,0),1),"CÓDIGO DE EXPEDIENTE INVÁLIDO"))</f>
        <v/>
      </c>
      <c r="H410" s="68" t="str">
        <f t="array" ref="H410">IF($A410="","",IFERROR(INDEX(MA_INDIVIDUALES!L$2:L923, MATCH($A410,MA_INDIVIDUALES!$B$2:$B923,0),1),"CÓDIGO DE EXPEDIENTE INVÁLIDO"))</f>
        <v/>
      </c>
      <c r="I410" s="76"/>
      <c r="J410" s="76"/>
      <c r="K410" s="75"/>
      <c r="L410" s="74" t="str">
        <f>IF(A410="","",IF(K410="","",_xlfn.WORKDAY.INTL(K410,5,1,FERIADOS)))</f>
        <v/>
      </c>
      <c r="M410" s="76"/>
      <c r="N410" s="75"/>
      <c r="O410" s="76"/>
      <c r="P410" s="77" t="str">
        <f t="shared" si="3"/>
        <v/>
      </c>
      <c r="Q410" s="75"/>
      <c r="R410" s="76"/>
      <c r="S410" s="75"/>
      <c r="T410" s="75"/>
      <c r="U410" s="76"/>
      <c r="V410" s="76"/>
      <c r="W410" s="75"/>
      <c r="X410" s="76"/>
      <c r="Y410" s="29" t="str">
        <f t="shared" si="4"/>
        <v/>
      </c>
      <c r="Z410" s="29" t="str">
        <f t="shared" si="5"/>
        <v/>
      </c>
      <c r="AA410" s="76"/>
      <c r="AB410" s="76"/>
      <c r="AC410" s="75"/>
      <c r="AD410" s="75"/>
      <c r="AE410" s="78" t="str">
        <f>IF(U410="","",IF(AD410="","",_xlfn.WORKDAY.INTL(AD410,7,1,FERIADOS)))</f>
        <v/>
      </c>
      <c r="AF410" s="104"/>
      <c r="AG410" s="80" t="str">
        <f t="array" ref="AG410">IF(A410="","",IF(AF410="","",AF410*INDEX(PARAMETROS!F$2:F1473,MATCH(YEAR(AC410),PARAMETROS!E$2:E1473,0),1)))</f>
        <v/>
      </c>
      <c r="AH410" s="81"/>
      <c r="AI410" s="82"/>
      <c r="AJ410" s="81"/>
      <c r="AK410" s="81"/>
      <c r="AL410" s="76"/>
      <c r="AM410" s="75"/>
      <c r="AN410" s="76"/>
      <c r="AO410" s="95"/>
      <c r="AP410" s="96"/>
      <c r="AQ410" s="85" t="str">
        <f t="shared" si="6"/>
        <v/>
      </c>
      <c r="AR410" s="86" t="str">
        <f t="array" ref="AR410">IF(A410="","",IFERROR(INDEX('2) Etapas'!L$3:L923,MATCH(B410,'2) Etapas'!$A$4:$A923,0),1),-1))</f>
        <v/>
      </c>
      <c r="AS410" s="87" t="str">
        <f t="shared" si="7"/>
        <v/>
      </c>
      <c r="AT410" s="87" t="str">
        <f t="shared" si="8"/>
        <v/>
      </c>
      <c r="AU410" s="87" t="str">
        <f t="shared" si="9"/>
        <v/>
      </c>
      <c r="AV410" s="89" t="str">
        <f t="array" ref="AV410">IF(OR($A410="",$AB410="", $AC410=""),"",MAXA(IF($A410=$A$4:$A923,$AC$4:$AC923)))</f>
        <v/>
      </c>
    </row>
    <row r="411" ht="22.5" customHeight="1">
      <c r="A411" s="76"/>
      <c r="B411" s="68" t="str">
        <f t="shared" si="1"/>
        <v/>
      </c>
      <c r="C411" s="110"/>
      <c r="D411" s="70" t="str">
        <f t="shared" si="2"/>
        <v/>
      </c>
      <c r="E411" s="76"/>
      <c r="F411" s="68" t="str">
        <f t="array" ref="F411">IF($A411="","",IFERROR(INDEX(MA_INDIVIDUALES!C$2:C923, MATCH($A411,MA_INDIVIDUALES!$B$2:$B923,0),1),"CÓDIGO DE EXPEDIENTE INVÁLIDO"))</f>
        <v/>
      </c>
      <c r="G411" s="68" t="str">
        <f t="array" ref="G411">IF($A411="","",IFERROR(INDEX(MA_INDIVIDUALES!K$2:K923, MATCH($A411,MA_INDIVIDUALES!$B$2:$B923,0),1),"CÓDIGO DE EXPEDIENTE INVÁLIDO"))</f>
        <v/>
      </c>
      <c r="H411" s="68" t="str">
        <f t="array" ref="H411">IF($A411="","",IFERROR(INDEX(MA_INDIVIDUALES!L$2:L923, MATCH($A411,MA_INDIVIDUALES!$B$2:$B923,0),1),"CÓDIGO DE EXPEDIENTE INVÁLIDO"))</f>
        <v/>
      </c>
      <c r="I411" s="76"/>
      <c r="J411" s="76"/>
      <c r="K411" s="75"/>
      <c r="L411" s="74" t="str">
        <f>IF(A411="","",IF(K411="","",_xlfn.WORKDAY.INTL(K411,5,1,FERIADOS)))</f>
        <v/>
      </c>
      <c r="M411" s="76"/>
      <c r="N411" s="75"/>
      <c r="O411" s="76"/>
      <c r="P411" s="77" t="str">
        <f t="shared" si="3"/>
        <v/>
      </c>
      <c r="Q411" s="75"/>
      <c r="R411" s="76"/>
      <c r="S411" s="75"/>
      <c r="T411" s="75"/>
      <c r="U411" s="76"/>
      <c r="V411" s="76"/>
      <c r="W411" s="75"/>
      <c r="X411" s="76"/>
      <c r="Y411" s="29" t="str">
        <f t="shared" si="4"/>
        <v/>
      </c>
      <c r="Z411" s="29" t="str">
        <f t="shared" si="5"/>
        <v/>
      </c>
      <c r="AA411" s="76"/>
      <c r="AB411" s="76"/>
      <c r="AC411" s="75"/>
      <c r="AD411" s="75"/>
      <c r="AE411" s="78" t="str">
        <f>IF(U411="","",IF(AD411="","",_xlfn.WORKDAY.INTL(AD411,7,1,FERIADOS)))</f>
        <v/>
      </c>
      <c r="AF411" s="104"/>
      <c r="AG411" s="80" t="str">
        <f t="array" ref="AG411">IF(A411="","",IF(AF411="","",AF411*INDEX(PARAMETROS!F$2:F1474,MATCH(YEAR(AC411),PARAMETROS!E$2:E1474,0),1)))</f>
        <v/>
      </c>
      <c r="AH411" s="81"/>
      <c r="AI411" s="82"/>
      <c r="AJ411" s="81"/>
      <c r="AK411" s="81"/>
      <c r="AL411" s="76"/>
      <c r="AM411" s="75"/>
      <c r="AN411" s="76"/>
      <c r="AO411" s="95"/>
      <c r="AP411" s="96"/>
      <c r="AQ411" s="85" t="str">
        <f t="shared" si="6"/>
        <v/>
      </c>
      <c r="AR411" s="86" t="str">
        <f t="array" ref="AR411">IF(A411="","",IFERROR(INDEX('2) Etapas'!L$3:L923,MATCH(B411,'2) Etapas'!$A$4:$A923,0),1),-1))</f>
        <v/>
      </c>
      <c r="AS411" s="87" t="str">
        <f t="shared" si="7"/>
        <v/>
      </c>
      <c r="AT411" s="87" t="str">
        <f t="shared" si="8"/>
        <v/>
      </c>
      <c r="AU411" s="87" t="str">
        <f t="shared" si="9"/>
        <v/>
      </c>
      <c r="AV411" s="89" t="str">
        <f t="array" ref="AV411">IF(OR($A411="",$AB411="", $AC411=""),"",MAXA(IF($A411=$A$4:$A923,$AC$4:$AC923)))</f>
        <v/>
      </c>
    </row>
    <row r="412" ht="22.5" customHeight="1">
      <c r="A412" s="76"/>
      <c r="B412" s="68" t="str">
        <f t="shared" si="1"/>
        <v/>
      </c>
      <c r="C412" s="110"/>
      <c r="D412" s="70" t="str">
        <f t="shared" si="2"/>
        <v/>
      </c>
      <c r="E412" s="76"/>
      <c r="F412" s="68" t="str">
        <f t="array" ref="F412">IF($A412="","",IFERROR(INDEX(MA_INDIVIDUALES!C$2:C923, MATCH($A412,MA_INDIVIDUALES!$B$2:$B923,0),1),"CÓDIGO DE EXPEDIENTE INVÁLIDO"))</f>
        <v/>
      </c>
      <c r="G412" s="68" t="str">
        <f t="array" ref="G412">IF($A412="","",IFERROR(INDEX(MA_INDIVIDUALES!K$2:K923, MATCH($A412,MA_INDIVIDUALES!$B$2:$B923,0),1),"CÓDIGO DE EXPEDIENTE INVÁLIDO"))</f>
        <v/>
      </c>
      <c r="H412" s="68" t="str">
        <f t="array" ref="H412">IF($A412="","",IFERROR(INDEX(MA_INDIVIDUALES!L$2:L923, MATCH($A412,MA_INDIVIDUALES!$B$2:$B923,0),1),"CÓDIGO DE EXPEDIENTE INVÁLIDO"))</f>
        <v/>
      </c>
      <c r="I412" s="76"/>
      <c r="J412" s="76"/>
      <c r="K412" s="75"/>
      <c r="L412" s="74" t="str">
        <f>IF(A412="","",IF(K412="","",_xlfn.WORKDAY.INTL(K412,5,1,FERIADOS)))</f>
        <v/>
      </c>
      <c r="M412" s="76"/>
      <c r="N412" s="75"/>
      <c r="O412" s="76"/>
      <c r="P412" s="77" t="str">
        <f t="shared" si="3"/>
        <v/>
      </c>
      <c r="Q412" s="75"/>
      <c r="R412" s="76"/>
      <c r="S412" s="75"/>
      <c r="T412" s="75"/>
      <c r="U412" s="76"/>
      <c r="V412" s="76"/>
      <c r="W412" s="75"/>
      <c r="X412" s="76"/>
      <c r="Y412" s="29" t="str">
        <f t="shared" si="4"/>
        <v/>
      </c>
      <c r="Z412" s="29" t="str">
        <f t="shared" si="5"/>
        <v/>
      </c>
      <c r="AA412" s="76"/>
      <c r="AB412" s="76"/>
      <c r="AC412" s="75"/>
      <c r="AD412" s="75"/>
      <c r="AE412" s="78" t="str">
        <f>IF(U412="","",IF(AD412="","",_xlfn.WORKDAY.INTL(AD412,7,1,FERIADOS)))</f>
        <v/>
      </c>
      <c r="AF412" s="104"/>
      <c r="AG412" s="80" t="str">
        <f t="array" ref="AG412">IF(A412="","",IF(AF412="","",AF412*INDEX(PARAMETROS!F$2:F1475,MATCH(YEAR(AC412),PARAMETROS!E$2:E1475,0),1)))</f>
        <v/>
      </c>
      <c r="AH412" s="81"/>
      <c r="AI412" s="82"/>
      <c r="AJ412" s="81"/>
      <c r="AK412" s="81"/>
      <c r="AL412" s="76"/>
      <c r="AM412" s="75"/>
      <c r="AN412" s="76"/>
      <c r="AO412" s="95"/>
      <c r="AP412" s="96"/>
      <c r="AQ412" s="85" t="str">
        <f t="shared" si="6"/>
        <v/>
      </c>
      <c r="AR412" s="86" t="str">
        <f t="array" ref="AR412">IF(A412="","",IFERROR(INDEX('2) Etapas'!L$3:L923,MATCH(B412,'2) Etapas'!$A$4:$A923,0),1),-1))</f>
        <v/>
      </c>
      <c r="AS412" s="87" t="str">
        <f t="shared" si="7"/>
        <v/>
      </c>
      <c r="AT412" s="87" t="str">
        <f t="shared" si="8"/>
        <v/>
      </c>
      <c r="AU412" s="87" t="str">
        <f t="shared" si="9"/>
        <v/>
      </c>
      <c r="AV412" s="89" t="str">
        <f t="array" ref="AV412">IF(OR($A412="",$AB412="", $AC412=""),"",MAXA(IF($A412=$A$4:$A923,$AC$4:$AC923)))</f>
        <v/>
      </c>
    </row>
    <row r="413" ht="22.5" customHeight="1">
      <c r="A413" s="76"/>
      <c r="B413" s="68" t="str">
        <f t="shared" si="1"/>
        <v/>
      </c>
      <c r="C413" s="110"/>
      <c r="D413" s="70" t="str">
        <f t="shared" si="2"/>
        <v/>
      </c>
      <c r="E413" s="76"/>
      <c r="F413" s="68" t="str">
        <f t="array" ref="F413">IF($A413="","",IFERROR(INDEX(MA_INDIVIDUALES!C$2:C923, MATCH($A413,MA_INDIVIDUALES!$B$2:$B923,0),1),"CÓDIGO DE EXPEDIENTE INVÁLIDO"))</f>
        <v/>
      </c>
      <c r="G413" s="68" t="str">
        <f t="array" ref="G413">IF($A413="","",IFERROR(INDEX(MA_INDIVIDUALES!K$2:K923, MATCH($A413,MA_INDIVIDUALES!$B$2:$B923,0),1),"CÓDIGO DE EXPEDIENTE INVÁLIDO"))</f>
        <v/>
      </c>
      <c r="H413" s="68" t="str">
        <f t="array" ref="H413">IF($A413="","",IFERROR(INDEX(MA_INDIVIDUALES!L$2:L923, MATCH($A413,MA_INDIVIDUALES!$B$2:$B923,0),1),"CÓDIGO DE EXPEDIENTE INVÁLIDO"))</f>
        <v/>
      </c>
      <c r="I413" s="76"/>
      <c r="J413" s="76"/>
      <c r="K413" s="75"/>
      <c r="L413" s="74" t="str">
        <f>IF(A413="","",IF(K413="","",_xlfn.WORKDAY.INTL(K413,5,1,FERIADOS)))</f>
        <v/>
      </c>
      <c r="M413" s="76"/>
      <c r="N413" s="75"/>
      <c r="O413" s="76"/>
      <c r="P413" s="77" t="str">
        <f t="shared" si="3"/>
        <v/>
      </c>
      <c r="Q413" s="75"/>
      <c r="R413" s="76"/>
      <c r="S413" s="75"/>
      <c r="T413" s="75"/>
      <c r="U413" s="76"/>
      <c r="V413" s="76"/>
      <c r="W413" s="75"/>
      <c r="X413" s="76"/>
      <c r="Y413" s="29" t="str">
        <f t="shared" si="4"/>
        <v/>
      </c>
      <c r="Z413" s="29" t="str">
        <f t="shared" si="5"/>
        <v/>
      </c>
      <c r="AA413" s="76"/>
      <c r="AB413" s="76"/>
      <c r="AC413" s="75"/>
      <c r="AD413" s="75"/>
      <c r="AE413" s="78" t="str">
        <f>IF(U413="","",IF(AD413="","",_xlfn.WORKDAY.INTL(AD413,7,1,FERIADOS)))</f>
        <v/>
      </c>
      <c r="AF413" s="104"/>
      <c r="AG413" s="80" t="str">
        <f t="array" ref="AG413">IF(A413="","",IF(AF413="","",AF413*INDEX(PARAMETROS!F$2:F1476,MATCH(YEAR(AC413),PARAMETROS!E$2:E1476,0),1)))</f>
        <v/>
      </c>
      <c r="AH413" s="81"/>
      <c r="AI413" s="82"/>
      <c r="AJ413" s="81"/>
      <c r="AK413" s="81"/>
      <c r="AL413" s="76"/>
      <c r="AM413" s="75"/>
      <c r="AN413" s="76"/>
      <c r="AO413" s="95"/>
      <c r="AP413" s="96"/>
      <c r="AQ413" s="85" t="str">
        <f t="shared" si="6"/>
        <v/>
      </c>
      <c r="AR413" s="86" t="str">
        <f t="array" ref="AR413">IF(A413="","",IFERROR(INDEX('2) Etapas'!L$3:L923,MATCH(B413,'2) Etapas'!$A$4:$A923,0),1),-1))</f>
        <v/>
      </c>
      <c r="AS413" s="87" t="str">
        <f t="shared" si="7"/>
        <v/>
      </c>
      <c r="AT413" s="87" t="str">
        <f t="shared" si="8"/>
        <v/>
      </c>
      <c r="AU413" s="87" t="str">
        <f t="shared" si="9"/>
        <v/>
      </c>
      <c r="AV413" s="89" t="str">
        <f t="array" ref="AV413">IF(OR($A413="",$AB413="", $AC413=""),"",MAXA(IF($A413=$A$4:$A923,$AC$4:$AC923)))</f>
        <v/>
      </c>
    </row>
    <row r="414" ht="22.5" customHeight="1">
      <c r="A414" s="76"/>
      <c r="B414" s="68" t="str">
        <f t="shared" si="1"/>
        <v/>
      </c>
      <c r="C414" s="110"/>
      <c r="D414" s="70" t="str">
        <f t="shared" si="2"/>
        <v/>
      </c>
      <c r="E414" s="76"/>
      <c r="F414" s="68" t="str">
        <f t="array" ref="F414">IF($A414="","",IFERROR(INDEX(MA_INDIVIDUALES!C$2:C923, MATCH($A414,MA_INDIVIDUALES!$B$2:$B923,0),1),"CÓDIGO DE EXPEDIENTE INVÁLIDO"))</f>
        <v/>
      </c>
      <c r="G414" s="68" t="str">
        <f t="array" ref="G414">IF($A414="","",IFERROR(INDEX(MA_INDIVIDUALES!K$2:K923, MATCH($A414,MA_INDIVIDUALES!$B$2:$B923,0),1),"CÓDIGO DE EXPEDIENTE INVÁLIDO"))</f>
        <v/>
      </c>
      <c r="H414" s="68" t="str">
        <f t="array" ref="H414">IF($A414="","",IFERROR(INDEX(MA_INDIVIDUALES!L$2:L923, MATCH($A414,MA_INDIVIDUALES!$B$2:$B923,0),1),"CÓDIGO DE EXPEDIENTE INVÁLIDO"))</f>
        <v/>
      </c>
      <c r="I414" s="76"/>
      <c r="J414" s="76"/>
      <c r="K414" s="75"/>
      <c r="L414" s="74" t="str">
        <f>IF(A414="","",IF(K414="","",_xlfn.WORKDAY.INTL(K414,5,1,FERIADOS)))</f>
        <v/>
      </c>
      <c r="M414" s="76"/>
      <c r="N414" s="75"/>
      <c r="O414" s="76"/>
      <c r="P414" s="77" t="str">
        <f t="shared" si="3"/>
        <v/>
      </c>
      <c r="Q414" s="75"/>
      <c r="R414" s="76"/>
      <c r="S414" s="75"/>
      <c r="T414" s="75"/>
      <c r="U414" s="76"/>
      <c r="V414" s="76"/>
      <c r="W414" s="75"/>
      <c r="X414" s="76"/>
      <c r="Y414" s="29" t="str">
        <f t="shared" si="4"/>
        <v/>
      </c>
      <c r="Z414" s="29" t="str">
        <f t="shared" si="5"/>
        <v/>
      </c>
      <c r="AA414" s="76"/>
      <c r="AB414" s="76"/>
      <c r="AC414" s="75"/>
      <c r="AD414" s="75"/>
      <c r="AE414" s="78" t="str">
        <f>IF(U414="","",IF(AD414="","",_xlfn.WORKDAY.INTL(AD414,7,1,FERIADOS)))</f>
        <v/>
      </c>
      <c r="AF414" s="104"/>
      <c r="AG414" s="80" t="str">
        <f t="array" ref="AG414">IF(A414="","",IF(AF414="","",AF414*INDEX(PARAMETROS!F$2:F1477,MATCH(YEAR(AC414),PARAMETROS!E$2:E1477,0),1)))</f>
        <v/>
      </c>
      <c r="AH414" s="81"/>
      <c r="AI414" s="82"/>
      <c r="AJ414" s="81"/>
      <c r="AK414" s="81"/>
      <c r="AL414" s="76"/>
      <c r="AM414" s="75"/>
      <c r="AN414" s="76"/>
      <c r="AO414" s="95"/>
      <c r="AP414" s="96"/>
      <c r="AQ414" s="85" t="str">
        <f t="shared" si="6"/>
        <v/>
      </c>
      <c r="AR414" s="86" t="str">
        <f t="array" ref="AR414">IF(A414="","",IFERROR(INDEX('2) Etapas'!L$3:L923,MATCH(B414,'2) Etapas'!$A$4:$A923,0),1),-1))</f>
        <v/>
      </c>
      <c r="AS414" s="87" t="str">
        <f t="shared" si="7"/>
        <v/>
      </c>
      <c r="AT414" s="87" t="str">
        <f t="shared" si="8"/>
        <v/>
      </c>
      <c r="AU414" s="87" t="str">
        <f t="shared" si="9"/>
        <v/>
      </c>
      <c r="AV414" s="89" t="str">
        <f t="array" ref="AV414">IF(OR($A414="",$AB414="", $AC414=""),"",MAXA(IF($A414=$A$4:$A923,$AC$4:$AC923)))</f>
        <v/>
      </c>
    </row>
    <row r="415" ht="22.5" customHeight="1">
      <c r="A415" s="76"/>
      <c r="B415" s="68" t="str">
        <f t="shared" si="1"/>
        <v/>
      </c>
      <c r="C415" s="110"/>
      <c r="D415" s="70" t="str">
        <f t="shared" si="2"/>
        <v/>
      </c>
      <c r="E415" s="76"/>
      <c r="F415" s="68" t="str">
        <f t="array" ref="F415">IF($A415="","",IFERROR(INDEX(MA_INDIVIDUALES!C$2:C923, MATCH($A415,MA_INDIVIDUALES!$B$2:$B923,0),1),"CÓDIGO DE EXPEDIENTE INVÁLIDO"))</f>
        <v/>
      </c>
      <c r="G415" s="68" t="str">
        <f t="array" ref="G415">IF($A415="","",IFERROR(INDEX(MA_INDIVIDUALES!K$2:K923, MATCH($A415,MA_INDIVIDUALES!$B$2:$B923,0),1),"CÓDIGO DE EXPEDIENTE INVÁLIDO"))</f>
        <v/>
      </c>
      <c r="H415" s="68" t="str">
        <f t="array" ref="H415">IF($A415="","",IFERROR(INDEX(MA_INDIVIDUALES!L$2:L923, MATCH($A415,MA_INDIVIDUALES!$B$2:$B923,0),1),"CÓDIGO DE EXPEDIENTE INVÁLIDO"))</f>
        <v/>
      </c>
      <c r="I415" s="76"/>
      <c r="J415" s="76"/>
      <c r="K415" s="75"/>
      <c r="L415" s="74" t="str">
        <f>IF(A415="","",IF(K415="","",_xlfn.WORKDAY.INTL(K415,5,1,FERIADOS)))</f>
        <v/>
      </c>
      <c r="M415" s="76"/>
      <c r="N415" s="75"/>
      <c r="O415" s="76"/>
      <c r="P415" s="77" t="str">
        <f t="shared" si="3"/>
        <v/>
      </c>
      <c r="Q415" s="75"/>
      <c r="R415" s="76"/>
      <c r="S415" s="75"/>
      <c r="T415" s="75"/>
      <c r="U415" s="76"/>
      <c r="V415" s="76"/>
      <c r="W415" s="75"/>
      <c r="X415" s="76"/>
      <c r="Y415" s="29" t="str">
        <f t="shared" si="4"/>
        <v/>
      </c>
      <c r="Z415" s="29" t="str">
        <f t="shared" si="5"/>
        <v/>
      </c>
      <c r="AA415" s="76"/>
      <c r="AB415" s="76"/>
      <c r="AC415" s="75"/>
      <c r="AD415" s="75"/>
      <c r="AE415" s="78" t="str">
        <f>IF(U415="","",IF(AD415="","",_xlfn.WORKDAY.INTL(AD415,7,1,FERIADOS)))</f>
        <v/>
      </c>
      <c r="AF415" s="104"/>
      <c r="AG415" s="80" t="str">
        <f t="array" ref="AG415">IF(A415="","",IF(AF415="","",AF415*INDEX(PARAMETROS!F$2:F1478,MATCH(YEAR(AC415),PARAMETROS!E$2:E1478,0),1)))</f>
        <v/>
      </c>
      <c r="AH415" s="81"/>
      <c r="AI415" s="82"/>
      <c r="AJ415" s="81"/>
      <c r="AK415" s="81"/>
      <c r="AL415" s="76"/>
      <c r="AM415" s="75"/>
      <c r="AN415" s="76"/>
      <c r="AO415" s="95"/>
      <c r="AP415" s="96"/>
      <c r="AQ415" s="85" t="str">
        <f t="shared" si="6"/>
        <v/>
      </c>
      <c r="AR415" s="86" t="str">
        <f t="array" ref="AR415">IF(A415="","",IFERROR(INDEX('2) Etapas'!L$3:L923,MATCH(B415,'2) Etapas'!$A$4:$A923,0),1),-1))</f>
        <v/>
      </c>
      <c r="AS415" s="87" t="str">
        <f t="shared" si="7"/>
        <v/>
      </c>
      <c r="AT415" s="87" t="str">
        <f t="shared" si="8"/>
        <v/>
      </c>
      <c r="AU415" s="87" t="str">
        <f t="shared" si="9"/>
        <v/>
      </c>
      <c r="AV415" s="89" t="str">
        <f t="array" ref="AV415">IF(OR($A415="",$AB415="", $AC415=""),"",MAXA(IF($A415=$A$4:$A923,$AC$4:$AC923)))</f>
        <v/>
      </c>
    </row>
    <row r="416" ht="22.5" customHeight="1">
      <c r="A416" s="76"/>
      <c r="B416" s="68" t="str">
        <f t="shared" si="1"/>
        <v/>
      </c>
      <c r="C416" s="110"/>
      <c r="D416" s="70" t="str">
        <f t="shared" si="2"/>
        <v/>
      </c>
      <c r="E416" s="76"/>
      <c r="F416" s="68" t="str">
        <f t="array" ref="F416">IF($A416="","",IFERROR(INDEX(MA_INDIVIDUALES!C$2:C923, MATCH($A416,MA_INDIVIDUALES!$B$2:$B923,0),1),"CÓDIGO DE EXPEDIENTE INVÁLIDO"))</f>
        <v/>
      </c>
      <c r="G416" s="68" t="str">
        <f t="array" ref="G416">IF($A416="","",IFERROR(INDEX(MA_INDIVIDUALES!K$2:K923, MATCH($A416,MA_INDIVIDUALES!$B$2:$B923,0),1),"CÓDIGO DE EXPEDIENTE INVÁLIDO"))</f>
        <v/>
      </c>
      <c r="H416" s="68" t="str">
        <f t="array" ref="H416">IF($A416="","",IFERROR(INDEX(MA_INDIVIDUALES!L$2:L923, MATCH($A416,MA_INDIVIDUALES!$B$2:$B923,0),1),"CÓDIGO DE EXPEDIENTE INVÁLIDO"))</f>
        <v/>
      </c>
      <c r="I416" s="76"/>
      <c r="J416" s="76"/>
      <c r="K416" s="75"/>
      <c r="L416" s="74" t="str">
        <f>IF(A416="","",IF(K416="","",_xlfn.WORKDAY.INTL(K416,5,1,FERIADOS)))</f>
        <v/>
      </c>
      <c r="M416" s="76"/>
      <c r="N416" s="75"/>
      <c r="O416" s="76"/>
      <c r="P416" s="77" t="str">
        <f t="shared" si="3"/>
        <v/>
      </c>
      <c r="Q416" s="75"/>
      <c r="R416" s="76"/>
      <c r="S416" s="75"/>
      <c r="T416" s="75"/>
      <c r="U416" s="76"/>
      <c r="V416" s="76"/>
      <c r="W416" s="75"/>
      <c r="X416" s="76"/>
      <c r="Y416" s="29" t="str">
        <f t="shared" si="4"/>
        <v/>
      </c>
      <c r="Z416" s="29" t="str">
        <f t="shared" si="5"/>
        <v/>
      </c>
      <c r="AA416" s="76"/>
      <c r="AB416" s="76"/>
      <c r="AC416" s="75"/>
      <c r="AD416" s="75"/>
      <c r="AE416" s="78" t="str">
        <f>IF(U416="","",IF(AD416="","",_xlfn.WORKDAY.INTL(AD416,7,1,FERIADOS)))</f>
        <v/>
      </c>
      <c r="AF416" s="104"/>
      <c r="AG416" s="80" t="str">
        <f t="array" ref="AG416">IF(A416="","",IF(AF416="","",AF416*INDEX(PARAMETROS!F$2:F1479,MATCH(YEAR(AC416),PARAMETROS!E$2:E1479,0),1)))</f>
        <v/>
      </c>
      <c r="AH416" s="81"/>
      <c r="AI416" s="82"/>
      <c r="AJ416" s="81"/>
      <c r="AK416" s="81"/>
      <c r="AL416" s="76"/>
      <c r="AM416" s="75"/>
      <c r="AN416" s="76"/>
      <c r="AO416" s="95"/>
      <c r="AP416" s="96"/>
      <c r="AQ416" s="85" t="str">
        <f t="shared" si="6"/>
        <v/>
      </c>
      <c r="AR416" s="86" t="str">
        <f t="array" ref="AR416">IF(A416="","",IFERROR(INDEX('2) Etapas'!L$3:L923,MATCH(B416,'2) Etapas'!$A$4:$A923,0),1),-1))</f>
        <v/>
      </c>
      <c r="AS416" s="87" t="str">
        <f t="shared" si="7"/>
        <v/>
      </c>
      <c r="AT416" s="87" t="str">
        <f t="shared" si="8"/>
        <v/>
      </c>
      <c r="AU416" s="87" t="str">
        <f t="shared" si="9"/>
        <v/>
      </c>
      <c r="AV416" s="89" t="str">
        <f t="array" ref="AV416">IF(OR($A416="",$AB416="", $AC416=""),"",MAXA(IF($A416=$A$4:$A923,$AC$4:$AC923)))</f>
        <v/>
      </c>
    </row>
    <row r="417" ht="22.5" customHeight="1">
      <c r="A417" s="76"/>
      <c r="B417" s="68" t="str">
        <f t="shared" si="1"/>
        <v/>
      </c>
      <c r="C417" s="110"/>
      <c r="D417" s="70" t="str">
        <f t="shared" si="2"/>
        <v/>
      </c>
      <c r="E417" s="76"/>
      <c r="F417" s="68" t="str">
        <f t="array" ref="F417">IF($A417="","",IFERROR(INDEX(MA_INDIVIDUALES!C$2:C923, MATCH($A417,MA_INDIVIDUALES!$B$2:$B923,0),1),"CÓDIGO DE EXPEDIENTE INVÁLIDO"))</f>
        <v/>
      </c>
      <c r="G417" s="68" t="str">
        <f t="array" ref="G417">IF($A417="","",IFERROR(INDEX(MA_INDIVIDUALES!K$2:K923, MATCH($A417,MA_INDIVIDUALES!$B$2:$B923,0),1),"CÓDIGO DE EXPEDIENTE INVÁLIDO"))</f>
        <v/>
      </c>
      <c r="H417" s="68" t="str">
        <f t="array" ref="H417">IF($A417="","",IFERROR(INDEX(MA_INDIVIDUALES!L$2:L923, MATCH($A417,MA_INDIVIDUALES!$B$2:$B923,0),1),"CÓDIGO DE EXPEDIENTE INVÁLIDO"))</f>
        <v/>
      </c>
      <c r="I417" s="76"/>
      <c r="J417" s="76"/>
      <c r="K417" s="75"/>
      <c r="L417" s="74" t="str">
        <f>IF(A417="","",IF(K417="","",_xlfn.WORKDAY.INTL(K417,5,1,FERIADOS)))</f>
        <v/>
      </c>
      <c r="M417" s="76"/>
      <c r="N417" s="75"/>
      <c r="O417" s="76"/>
      <c r="P417" s="77" t="str">
        <f t="shared" si="3"/>
        <v/>
      </c>
      <c r="Q417" s="75"/>
      <c r="R417" s="76"/>
      <c r="S417" s="75"/>
      <c r="T417" s="75"/>
      <c r="U417" s="76"/>
      <c r="V417" s="76"/>
      <c r="W417" s="75"/>
      <c r="X417" s="76"/>
      <c r="Y417" s="29" t="str">
        <f t="shared" si="4"/>
        <v/>
      </c>
      <c r="Z417" s="29" t="str">
        <f t="shared" si="5"/>
        <v/>
      </c>
      <c r="AA417" s="76"/>
      <c r="AB417" s="76"/>
      <c r="AC417" s="75"/>
      <c r="AD417" s="75"/>
      <c r="AE417" s="78" t="str">
        <f>IF(U417="","",IF(AD417="","",_xlfn.WORKDAY.INTL(AD417,7,1,FERIADOS)))</f>
        <v/>
      </c>
      <c r="AF417" s="104"/>
      <c r="AG417" s="80" t="str">
        <f t="array" ref="AG417">IF(A417="","",IF(AF417="","",AF417*INDEX(PARAMETROS!F$2:F1480,MATCH(YEAR(AC417),PARAMETROS!E$2:E1480,0),1)))</f>
        <v/>
      </c>
      <c r="AH417" s="81"/>
      <c r="AI417" s="82"/>
      <c r="AJ417" s="81"/>
      <c r="AK417" s="81"/>
      <c r="AL417" s="76"/>
      <c r="AM417" s="75"/>
      <c r="AN417" s="76"/>
      <c r="AO417" s="95"/>
      <c r="AP417" s="96"/>
      <c r="AQ417" s="85" t="str">
        <f t="shared" si="6"/>
        <v/>
      </c>
      <c r="AR417" s="86" t="str">
        <f t="array" ref="AR417">IF(A417="","",IFERROR(INDEX('2) Etapas'!L$3:L923,MATCH(B417,'2) Etapas'!$A$4:$A923,0),1),-1))</f>
        <v/>
      </c>
      <c r="AS417" s="87" t="str">
        <f t="shared" si="7"/>
        <v/>
      </c>
      <c r="AT417" s="87" t="str">
        <f t="shared" si="8"/>
        <v/>
      </c>
      <c r="AU417" s="87" t="str">
        <f t="shared" si="9"/>
        <v/>
      </c>
      <c r="AV417" s="89" t="str">
        <f t="array" ref="AV417">IF(OR($A417="",$AB417="", $AC417=""),"",MAXA(IF($A417=$A$4:$A923,$AC$4:$AC923)))</f>
        <v/>
      </c>
    </row>
    <row r="418" ht="22.5" customHeight="1">
      <c r="A418" s="76"/>
      <c r="B418" s="68" t="str">
        <f t="shared" si="1"/>
        <v/>
      </c>
      <c r="C418" s="110"/>
      <c r="D418" s="70" t="str">
        <f t="shared" si="2"/>
        <v/>
      </c>
      <c r="E418" s="76"/>
      <c r="F418" s="68" t="str">
        <f t="array" ref="F418">IF($A418="","",IFERROR(INDEX(MA_INDIVIDUALES!C$2:C923, MATCH($A418,MA_INDIVIDUALES!$B$2:$B923,0),1),"CÓDIGO DE EXPEDIENTE INVÁLIDO"))</f>
        <v/>
      </c>
      <c r="G418" s="68" t="str">
        <f t="array" ref="G418">IF($A418="","",IFERROR(INDEX(MA_INDIVIDUALES!K$2:K923, MATCH($A418,MA_INDIVIDUALES!$B$2:$B923,0),1),"CÓDIGO DE EXPEDIENTE INVÁLIDO"))</f>
        <v/>
      </c>
      <c r="H418" s="68" t="str">
        <f t="array" ref="H418">IF($A418="","",IFERROR(INDEX(MA_INDIVIDUALES!L$2:L923, MATCH($A418,MA_INDIVIDUALES!$B$2:$B923,0),1),"CÓDIGO DE EXPEDIENTE INVÁLIDO"))</f>
        <v/>
      </c>
      <c r="I418" s="76"/>
      <c r="J418" s="76"/>
      <c r="K418" s="75"/>
      <c r="L418" s="74" t="str">
        <f>IF(A418="","",IF(K418="","",_xlfn.WORKDAY.INTL(K418,5,1,FERIADOS)))</f>
        <v/>
      </c>
      <c r="M418" s="76"/>
      <c r="N418" s="75"/>
      <c r="O418" s="76"/>
      <c r="P418" s="77" t="str">
        <f t="shared" si="3"/>
        <v/>
      </c>
      <c r="Q418" s="75"/>
      <c r="R418" s="76"/>
      <c r="S418" s="75"/>
      <c r="T418" s="75"/>
      <c r="U418" s="76"/>
      <c r="V418" s="76"/>
      <c r="W418" s="75"/>
      <c r="X418" s="76"/>
      <c r="Y418" s="29" t="str">
        <f t="shared" si="4"/>
        <v/>
      </c>
      <c r="Z418" s="29" t="str">
        <f t="shared" si="5"/>
        <v/>
      </c>
      <c r="AA418" s="76"/>
      <c r="AB418" s="76"/>
      <c r="AC418" s="75"/>
      <c r="AD418" s="75"/>
      <c r="AE418" s="78" t="str">
        <f>IF(U418="","",IF(AD418="","",_xlfn.WORKDAY.INTL(AD418,7,1,FERIADOS)))</f>
        <v/>
      </c>
      <c r="AF418" s="104"/>
      <c r="AG418" s="80" t="str">
        <f t="array" ref="AG418">IF(A418="","",IF(AF418="","",AF418*INDEX(PARAMETROS!F$2:F1481,MATCH(YEAR(AC418),PARAMETROS!E$2:E1481,0),1)))</f>
        <v/>
      </c>
      <c r="AH418" s="81"/>
      <c r="AI418" s="82"/>
      <c r="AJ418" s="81"/>
      <c r="AK418" s="81"/>
      <c r="AL418" s="76"/>
      <c r="AM418" s="75"/>
      <c r="AN418" s="76"/>
      <c r="AO418" s="95"/>
      <c r="AP418" s="96"/>
      <c r="AQ418" s="85" t="str">
        <f t="shared" si="6"/>
        <v/>
      </c>
      <c r="AR418" s="86" t="str">
        <f t="array" ref="AR418">IF(A418="","",IFERROR(INDEX('2) Etapas'!L$3:L923,MATCH(B418,'2) Etapas'!$A$4:$A923,0),1),-1))</f>
        <v/>
      </c>
      <c r="AS418" s="87" t="str">
        <f t="shared" si="7"/>
        <v/>
      </c>
      <c r="AT418" s="87" t="str">
        <f t="shared" si="8"/>
        <v/>
      </c>
      <c r="AU418" s="87" t="str">
        <f t="shared" si="9"/>
        <v/>
      </c>
      <c r="AV418" s="89" t="str">
        <f t="array" ref="AV418">IF(OR($A418="",$AB418="", $AC418=""),"",MAXA(IF($A418=$A$4:$A923,$AC$4:$AC923)))</f>
        <v/>
      </c>
    </row>
    <row r="419" ht="22.5" customHeight="1">
      <c r="A419" s="76"/>
      <c r="B419" s="68" t="str">
        <f t="shared" si="1"/>
        <v/>
      </c>
      <c r="C419" s="110"/>
      <c r="D419" s="70" t="str">
        <f t="shared" si="2"/>
        <v/>
      </c>
      <c r="E419" s="76"/>
      <c r="F419" s="68" t="str">
        <f t="array" ref="F419">IF($A419="","",IFERROR(INDEX(MA_INDIVIDUALES!C$2:C923, MATCH($A419,MA_INDIVIDUALES!$B$2:$B923,0),1),"CÓDIGO DE EXPEDIENTE INVÁLIDO"))</f>
        <v/>
      </c>
      <c r="G419" s="68" t="str">
        <f t="array" ref="G419">IF($A419="","",IFERROR(INDEX(MA_INDIVIDUALES!K$2:K923, MATCH($A419,MA_INDIVIDUALES!$B$2:$B923,0),1),"CÓDIGO DE EXPEDIENTE INVÁLIDO"))</f>
        <v/>
      </c>
      <c r="H419" s="68" t="str">
        <f t="array" ref="H419">IF($A419="","",IFERROR(INDEX(MA_INDIVIDUALES!L$2:L923, MATCH($A419,MA_INDIVIDUALES!$B$2:$B923,0),1),"CÓDIGO DE EXPEDIENTE INVÁLIDO"))</f>
        <v/>
      </c>
      <c r="I419" s="76"/>
      <c r="J419" s="76"/>
      <c r="K419" s="75"/>
      <c r="L419" s="74" t="str">
        <f>IF(A419="","",IF(K419="","",_xlfn.WORKDAY.INTL(K419,5,1,FERIADOS)))</f>
        <v/>
      </c>
      <c r="M419" s="76"/>
      <c r="N419" s="75"/>
      <c r="O419" s="76"/>
      <c r="P419" s="77" t="str">
        <f t="shared" si="3"/>
        <v/>
      </c>
      <c r="Q419" s="75"/>
      <c r="R419" s="76"/>
      <c r="S419" s="75"/>
      <c r="T419" s="75"/>
      <c r="U419" s="76"/>
      <c r="V419" s="76"/>
      <c r="W419" s="75"/>
      <c r="X419" s="76"/>
      <c r="Y419" s="29" t="str">
        <f t="shared" si="4"/>
        <v/>
      </c>
      <c r="Z419" s="29" t="str">
        <f t="shared" si="5"/>
        <v/>
      </c>
      <c r="AA419" s="76"/>
      <c r="AB419" s="76"/>
      <c r="AC419" s="75"/>
      <c r="AD419" s="75"/>
      <c r="AE419" s="78" t="str">
        <f>IF(U419="","",IF(AD419="","",_xlfn.WORKDAY.INTL(AD419,7,1,FERIADOS)))</f>
        <v/>
      </c>
      <c r="AF419" s="104"/>
      <c r="AG419" s="80" t="str">
        <f t="array" ref="AG419">IF(A419="","",IF(AF419="","",AF419*INDEX(PARAMETROS!F$2:F1482,MATCH(YEAR(AC419),PARAMETROS!E$2:E1482,0),1)))</f>
        <v/>
      </c>
      <c r="AH419" s="81"/>
      <c r="AI419" s="82"/>
      <c r="AJ419" s="81"/>
      <c r="AK419" s="81"/>
      <c r="AL419" s="76"/>
      <c r="AM419" s="75"/>
      <c r="AN419" s="76"/>
      <c r="AO419" s="95"/>
      <c r="AP419" s="96"/>
      <c r="AQ419" s="85" t="str">
        <f t="shared" si="6"/>
        <v/>
      </c>
      <c r="AR419" s="86" t="str">
        <f t="array" ref="AR419">IF(A419="","",IFERROR(INDEX('2) Etapas'!L$3:L923,MATCH(B419,'2) Etapas'!$A$4:$A923,0),1),-1))</f>
        <v/>
      </c>
      <c r="AS419" s="87" t="str">
        <f t="shared" si="7"/>
        <v/>
      </c>
      <c r="AT419" s="87" t="str">
        <f t="shared" si="8"/>
        <v/>
      </c>
      <c r="AU419" s="87" t="str">
        <f t="shared" si="9"/>
        <v/>
      </c>
      <c r="AV419" s="89" t="str">
        <f t="array" ref="AV419">IF(OR($A419="",$AB419="", $AC419=""),"",MAXA(IF($A419=$A$4:$A923,$AC$4:$AC923)))</f>
        <v/>
      </c>
    </row>
    <row r="420" ht="22.5" customHeight="1">
      <c r="A420" s="76"/>
      <c r="B420" s="68" t="str">
        <f t="shared" si="1"/>
        <v/>
      </c>
      <c r="C420" s="110"/>
      <c r="D420" s="70" t="str">
        <f t="shared" si="2"/>
        <v/>
      </c>
      <c r="E420" s="76"/>
      <c r="F420" s="68" t="str">
        <f t="array" ref="F420">IF($A420="","",IFERROR(INDEX(MA_INDIVIDUALES!C$2:C923, MATCH($A420,MA_INDIVIDUALES!$B$2:$B923,0),1),"CÓDIGO DE EXPEDIENTE INVÁLIDO"))</f>
        <v/>
      </c>
      <c r="G420" s="68" t="str">
        <f t="array" ref="G420">IF($A420="","",IFERROR(INDEX(MA_INDIVIDUALES!K$2:K923, MATCH($A420,MA_INDIVIDUALES!$B$2:$B923,0),1),"CÓDIGO DE EXPEDIENTE INVÁLIDO"))</f>
        <v/>
      </c>
      <c r="H420" s="68" t="str">
        <f t="array" ref="H420">IF($A420="","",IFERROR(INDEX(MA_INDIVIDUALES!L$2:L923, MATCH($A420,MA_INDIVIDUALES!$B$2:$B923,0),1),"CÓDIGO DE EXPEDIENTE INVÁLIDO"))</f>
        <v/>
      </c>
      <c r="I420" s="76"/>
      <c r="J420" s="76"/>
      <c r="K420" s="75"/>
      <c r="L420" s="74" t="str">
        <f>IF(A420="","",IF(K420="","",_xlfn.WORKDAY.INTL(K420,5,1,FERIADOS)))</f>
        <v/>
      </c>
      <c r="M420" s="76"/>
      <c r="N420" s="75"/>
      <c r="O420" s="76"/>
      <c r="P420" s="77" t="str">
        <f t="shared" si="3"/>
        <v/>
      </c>
      <c r="Q420" s="75"/>
      <c r="R420" s="76"/>
      <c r="S420" s="75"/>
      <c r="T420" s="75"/>
      <c r="U420" s="76"/>
      <c r="V420" s="76"/>
      <c r="W420" s="75"/>
      <c r="X420" s="76"/>
      <c r="Y420" s="29" t="str">
        <f t="shared" si="4"/>
        <v/>
      </c>
      <c r="Z420" s="29" t="str">
        <f t="shared" si="5"/>
        <v/>
      </c>
      <c r="AA420" s="76"/>
      <c r="AB420" s="76"/>
      <c r="AC420" s="75"/>
      <c r="AD420" s="75"/>
      <c r="AE420" s="78" t="str">
        <f>IF(U420="","",IF(AD420="","",_xlfn.WORKDAY.INTL(AD420,7,1,FERIADOS)))</f>
        <v/>
      </c>
      <c r="AF420" s="104"/>
      <c r="AG420" s="80" t="str">
        <f t="array" ref="AG420">IF(A420="","",IF(AF420="","",AF420*INDEX(PARAMETROS!F$2:F1483,MATCH(YEAR(AC420),PARAMETROS!E$2:E1483,0),1)))</f>
        <v/>
      </c>
      <c r="AH420" s="81"/>
      <c r="AI420" s="82"/>
      <c r="AJ420" s="81"/>
      <c r="AK420" s="81"/>
      <c r="AL420" s="76"/>
      <c r="AM420" s="75"/>
      <c r="AN420" s="76"/>
      <c r="AO420" s="95"/>
      <c r="AP420" s="96"/>
      <c r="AQ420" s="85" t="str">
        <f t="shared" si="6"/>
        <v/>
      </c>
      <c r="AR420" s="86" t="str">
        <f t="array" ref="AR420">IF(A420="","",IFERROR(INDEX('2) Etapas'!L$3:L923,MATCH(B420,'2) Etapas'!$A$4:$A923,0),1),-1))</f>
        <v/>
      </c>
      <c r="AS420" s="87" t="str">
        <f t="shared" si="7"/>
        <v/>
      </c>
      <c r="AT420" s="87" t="str">
        <f t="shared" si="8"/>
        <v/>
      </c>
      <c r="AU420" s="87" t="str">
        <f t="shared" si="9"/>
        <v/>
      </c>
      <c r="AV420" s="89" t="str">
        <f t="array" ref="AV420">IF(OR($A420="",$AB420="", $AC420=""),"",MAXA(IF($A420=$A$4:$A923,$AC$4:$AC923)))</f>
        <v/>
      </c>
    </row>
    <row r="421" ht="22.5" customHeight="1">
      <c r="A421" s="76"/>
      <c r="B421" s="68" t="str">
        <f t="shared" si="1"/>
        <v/>
      </c>
      <c r="C421" s="110"/>
      <c r="D421" s="70" t="str">
        <f t="shared" si="2"/>
        <v/>
      </c>
      <c r="E421" s="76"/>
      <c r="F421" s="68" t="str">
        <f t="array" ref="F421">IF($A421="","",IFERROR(INDEX(MA_INDIVIDUALES!C$2:C923, MATCH($A421,MA_INDIVIDUALES!$B$2:$B923,0),1),"CÓDIGO DE EXPEDIENTE INVÁLIDO"))</f>
        <v/>
      </c>
      <c r="G421" s="68" t="str">
        <f t="array" ref="G421">IF($A421="","",IFERROR(INDEX(MA_INDIVIDUALES!K$2:K923, MATCH($A421,MA_INDIVIDUALES!$B$2:$B923,0),1),"CÓDIGO DE EXPEDIENTE INVÁLIDO"))</f>
        <v/>
      </c>
      <c r="H421" s="68" t="str">
        <f t="array" ref="H421">IF($A421="","",IFERROR(INDEX(MA_INDIVIDUALES!L$2:L923, MATCH($A421,MA_INDIVIDUALES!$B$2:$B923,0),1),"CÓDIGO DE EXPEDIENTE INVÁLIDO"))</f>
        <v/>
      </c>
      <c r="I421" s="76"/>
      <c r="J421" s="76"/>
      <c r="K421" s="75"/>
      <c r="L421" s="74" t="str">
        <f>IF(A421="","",IF(K421="","",_xlfn.WORKDAY.INTL(K421,5,1,FERIADOS)))</f>
        <v/>
      </c>
      <c r="M421" s="76"/>
      <c r="N421" s="75"/>
      <c r="O421" s="76"/>
      <c r="P421" s="77" t="str">
        <f t="shared" si="3"/>
        <v/>
      </c>
      <c r="Q421" s="75"/>
      <c r="R421" s="76"/>
      <c r="S421" s="75"/>
      <c r="T421" s="75"/>
      <c r="U421" s="76"/>
      <c r="V421" s="76"/>
      <c r="W421" s="75"/>
      <c r="X421" s="76"/>
      <c r="Y421" s="29" t="str">
        <f t="shared" si="4"/>
        <v/>
      </c>
      <c r="Z421" s="29" t="str">
        <f t="shared" si="5"/>
        <v/>
      </c>
      <c r="AA421" s="76"/>
      <c r="AB421" s="76"/>
      <c r="AC421" s="75"/>
      <c r="AD421" s="75"/>
      <c r="AE421" s="78" t="str">
        <f>IF(U421="","",IF(AD421="","",_xlfn.WORKDAY.INTL(AD421,7,1,FERIADOS)))</f>
        <v/>
      </c>
      <c r="AF421" s="104"/>
      <c r="AG421" s="80" t="str">
        <f t="array" ref="AG421">IF(A421="","",IF(AF421="","",AF421*INDEX(PARAMETROS!F$2:F1484,MATCH(YEAR(AC421),PARAMETROS!E$2:E1484,0),1)))</f>
        <v/>
      </c>
      <c r="AH421" s="81"/>
      <c r="AI421" s="82"/>
      <c r="AJ421" s="81"/>
      <c r="AK421" s="81"/>
      <c r="AL421" s="76"/>
      <c r="AM421" s="75"/>
      <c r="AN421" s="76"/>
      <c r="AO421" s="95"/>
      <c r="AP421" s="96"/>
      <c r="AQ421" s="85" t="str">
        <f t="shared" si="6"/>
        <v/>
      </c>
      <c r="AR421" s="86" t="str">
        <f t="array" ref="AR421">IF(A421="","",IFERROR(INDEX('2) Etapas'!L$3:L923,MATCH(B421,'2) Etapas'!$A$4:$A923,0),1),-1))</f>
        <v/>
      </c>
      <c r="AS421" s="87" t="str">
        <f t="shared" si="7"/>
        <v/>
      </c>
      <c r="AT421" s="87" t="str">
        <f t="shared" si="8"/>
        <v/>
      </c>
      <c r="AU421" s="87" t="str">
        <f t="shared" si="9"/>
        <v/>
      </c>
      <c r="AV421" s="89" t="str">
        <f t="array" ref="AV421">IF(OR($A421="",$AB421="", $AC421=""),"",MAXA(IF($A421=$A$4:$A923,$AC$4:$AC923)))</f>
        <v/>
      </c>
    </row>
    <row r="422" ht="22.5" customHeight="1">
      <c r="A422" s="76"/>
      <c r="B422" s="68" t="str">
        <f t="shared" si="1"/>
        <v/>
      </c>
      <c r="C422" s="110"/>
      <c r="D422" s="70" t="str">
        <f t="shared" si="2"/>
        <v/>
      </c>
      <c r="E422" s="76"/>
      <c r="F422" s="68" t="str">
        <f t="array" ref="F422">IF($A422="","",IFERROR(INDEX(MA_INDIVIDUALES!C$2:C923, MATCH($A422,MA_INDIVIDUALES!$B$2:$B923,0),1),"CÓDIGO DE EXPEDIENTE INVÁLIDO"))</f>
        <v/>
      </c>
      <c r="G422" s="68" t="str">
        <f t="array" ref="G422">IF($A422="","",IFERROR(INDEX(MA_INDIVIDUALES!K$2:K923, MATCH($A422,MA_INDIVIDUALES!$B$2:$B923,0),1),"CÓDIGO DE EXPEDIENTE INVÁLIDO"))</f>
        <v/>
      </c>
      <c r="H422" s="68" t="str">
        <f t="array" ref="H422">IF($A422="","",IFERROR(INDEX(MA_INDIVIDUALES!L$2:L923, MATCH($A422,MA_INDIVIDUALES!$B$2:$B923,0),1),"CÓDIGO DE EXPEDIENTE INVÁLIDO"))</f>
        <v/>
      </c>
      <c r="I422" s="76"/>
      <c r="J422" s="76"/>
      <c r="K422" s="75"/>
      <c r="L422" s="74" t="str">
        <f>IF(A422="","",IF(K422="","",_xlfn.WORKDAY.INTL(K422,5,1,FERIADOS)))</f>
        <v/>
      </c>
      <c r="M422" s="76"/>
      <c r="N422" s="75"/>
      <c r="O422" s="76"/>
      <c r="P422" s="77" t="str">
        <f t="shared" si="3"/>
        <v/>
      </c>
      <c r="Q422" s="75"/>
      <c r="R422" s="76"/>
      <c r="S422" s="75"/>
      <c r="T422" s="75"/>
      <c r="U422" s="76"/>
      <c r="V422" s="76"/>
      <c r="W422" s="75"/>
      <c r="X422" s="76"/>
      <c r="Y422" s="29" t="str">
        <f t="shared" si="4"/>
        <v/>
      </c>
      <c r="Z422" s="29" t="str">
        <f t="shared" si="5"/>
        <v/>
      </c>
      <c r="AA422" s="76"/>
      <c r="AB422" s="76"/>
      <c r="AC422" s="75"/>
      <c r="AD422" s="75"/>
      <c r="AE422" s="78" t="str">
        <f>IF(U422="","",IF(AD422="","",_xlfn.WORKDAY.INTL(AD422,7,1,FERIADOS)))</f>
        <v/>
      </c>
      <c r="AF422" s="104"/>
      <c r="AG422" s="80" t="str">
        <f t="array" ref="AG422">IF(A422="","",IF(AF422="","",AF422*INDEX(PARAMETROS!F$2:F1485,MATCH(YEAR(AC422),PARAMETROS!E$2:E1485,0),1)))</f>
        <v/>
      </c>
      <c r="AH422" s="81"/>
      <c r="AI422" s="82"/>
      <c r="AJ422" s="81"/>
      <c r="AK422" s="81"/>
      <c r="AL422" s="76"/>
      <c r="AM422" s="75"/>
      <c r="AN422" s="76"/>
      <c r="AO422" s="95"/>
      <c r="AP422" s="96"/>
      <c r="AQ422" s="85" t="str">
        <f t="shared" si="6"/>
        <v/>
      </c>
      <c r="AR422" s="86" t="str">
        <f t="array" ref="AR422">IF(A422="","",IFERROR(INDEX('2) Etapas'!L$3:L923,MATCH(B422,'2) Etapas'!$A$4:$A923,0),1),-1))</f>
        <v/>
      </c>
      <c r="AS422" s="87" t="str">
        <f t="shared" si="7"/>
        <v/>
      </c>
      <c r="AT422" s="87" t="str">
        <f t="shared" si="8"/>
        <v/>
      </c>
      <c r="AU422" s="87" t="str">
        <f t="shared" si="9"/>
        <v/>
      </c>
      <c r="AV422" s="89" t="str">
        <f t="array" ref="AV422">IF(OR($A422="",$AB422="", $AC422=""),"",MAXA(IF($A422=$A$4:$A923,$AC$4:$AC923)))</f>
        <v/>
      </c>
    </row>
    <row r="423" ht="22.5" customHeight="1">
      <c r="A423" s="76"/>
      <c r="B423" s="68" t="str">
        <f t="shared" si="1"/>
        <v/>
      </c>
      <c r="C423" s="110"/>
      <c r="D423" s="70" t="str">
        <f t="shared" si="2"/>
        <v/>
      </c>
      <c r="E423" s="76"/>
      <c r="F423" s="68" t="str">
        <f t="array" ref="F423">IF($A423="","",IFERROR(INDEX(MA_INDIVIDUALES!C$2:C923, MATCH($A423,MA_INDIVIDUALES!$B$2:$B923,0),1),"CÓDIGO DE EXPEDIENTE INVÁLIDO"))</f>
        <v/>
      </c>
      <c r="G423" s="68" t="str">
        <f t="array" ref="G423">IF($A423="","",IFERROR(INDEX(MA_INDIVIDUALES!K$2:K923, MATCH($A423,MA_INDIVIDUALES!$B$2:$B923,0),1),"CÓDIGO DE EXPEDIENTE INVÁLIDO"))</f>
        <v/>
      </c>
      <c r="H423" s="68" t="str">
        <f t="array" ref="H423">IF($A423="","",IFERROR(INDEX(MA_INDIVIDUALES!L$2:L923, MATCH($A423,MA_INDIVIDUALES!$B$2:$B923,0),1),"CÓDIGO DE EXPEDIENTE INVÁLIDO"))</f>
        <v/>
      </c>
      <c r="I423" s="76"/>
      <c r="J423" s="76"/>
      <c r="K423" s="75"/>
      <c r="L423" s="74" t="str">
        <f>IF(A423="","",IF(K423="","",_xlfn.WORKDAY.INTL(K423,5,1,FERIADOS)))</f>
        <v/>
      </c>
      <c r="M423" s="76"/>
      <c r="N423" s="75"/>
      <c r="O423" s="76"/>
      <c r="P423" s="77" t="str">
        <f t="shared" si="3"/>
        <v/>
      </c>
      <c r="Q423" s="75"/>
      <c r="R423" s="76"/>
      <c r="S423" s="75"/>
      <c r="T423" s="75"/>
      <c r="U423" s="76"/>
      <c r="V423" s="76"/>
      <c r="W423" s="75"/>
      <c r="X423" s="76"/>
      <c r="Y423" s="29" t="str">
        <f t="shared" si="4"/>
        <v/>
      </c>
      <c r="Z423" s="29" t="str">
        <f t="shared" si="5"/>
        <v/>
      </c>
      <c r="AA423" s="76"/>
      <c r="AB423" s="76"/>
      <c r="AC423" s="75"/>
      <c r="AD423" s="75"/>
      <c r="AE423" s="78" t="str">
        <f>IF(U423="","",IF(AD423="","",_xlfn.WORKDAY.INTL(AD423,7,1,FERIADOS)))</f>
        <v/>
      </c>
      <c r="AF423" s="104"/>
      <c r="AG423" s="80" t="str">
        <f t="array" ref="AG423">IF(A423="","",IF(AF423="","",AF423*INDEX(PARAMETROS!F$2:F1486,MATCH(YEAR(AC423),PARAMETROS!E$2:E1486,0),1)))</f>
        <v/>
      </c>
      <c r="AH423" s="81"/>
      <c r="AI423" s="82"/>
      <c r="AJ423" s="81"/>
      <c r="AK423" s="81"/>
      <c r="AL423" s="76"/>
      <c r="AM423" s="75"/>
      <c r="AN423" s="76"/>
      <c r="AO423" s="95"/>
      <c r="AP423" s="96"/>
      <c r="AQ423" s="85" t="str">
        <f t="shared" si="6"/>
        <v/>
      </c>
      <c r="AR423" s="86" t="str">
        <f t="array" ref="AR423">IF(A423="","",IFERROR(INDEX('2) Etapas'!L$3:L923,MATCH(B423,'2) Etapas'!$A$4:$A923,0),1),-1))</f>
        <v/>
      </c>
      <c r="AS423" s="87" t="str">
        <f t="shared" si="7"/>
        <v/>
      </c>
      <c r="AT423" s="87" t="str">
        <f t="shared" si="8"/>
        <v/>
      </c>
      <c r="AU423" s="87" t="str">
        <f t="shared" si="9"/>
        <v/>
      </c>
      <c r="AV423" s="89" t="str">
        <f t="array" ref="AV423">IF(OR($A423="",$AB423="", $AC423=""),"",MAXA(IF($A423=$A$4:$A923,$AC$4:$AC923)))</f>
        <v/>
      </c>
    </row>
    <row r="424" ht="22.5" customHeight="1">
      <c r="A424" s="76"/>
      <c r="B424" s="68" t="str">
        <f t="shared" si="1"/>
        <v/>
      </c>
      <c r="C424" s="110"/>
      <c r="D424" s="70" t="str">
        <f t="shared" si="2"/>
        <v/>
      </c>
      <c r="E424" s="76"/>
      <c r="F424" s="68" t="str">
        <f t="array" ref="F424">IF($A424="","",IFERROR(INDEX(MA_INDIVIDUALES!C$2:C923, MATCH($A424,MA_INDIVIDUALES!$B$2:$B923,0),1),"CÓDIGO DE EXPEDIENTE INVÁLIDO"))</f>
        <v/>
      </c>
      <c r="G424" s="68" t="str">
        <f t="array" ref="G424">IF($A424="","",IFERROR(INDEX(MA_INDIVIDUALES!K$2:K923, MATCH($A424,MA_INDIVIDUALES!$B$2:$B923,0),1),"CÓDIGO DE EXPEDIENTE INVÁLIDO"))</f>
        <v/>
      </c>
      <c r="H424" s="68" t="str">
        <f t="array" ref="H424">IF($A424="","",IFERROR(INDEX(MA_INDIVIDUALES!L$2:L923, MATCH($A424,MA_INDIVIDUALES!$B$2:$B923,0),1),"CÓDIGO DE EXPEDIENTE INVÁLIDO"))</f>
        <v/>
      </c>
      <c r="I424" s="76"/>
      <c r="J424" s="76"/>
      <c r="K424" s="75"/>
      <c r="L424" s="74" t="str">
        <f>IF(A424="","",IF(K424="","",_xlfn.WORKDAY.INTL(K424,5,1,FERIADOS)))</f>
        <v/>
      </c>
      <c r="M424" s="76"/>
      <c r="N424" s="75"/>
      <c r="O424" s="76"/>
      <c r="P424" s="77" t="str">
        <f t="shared" si="3"/>
        <v/>
      </c>
      <c r="Q424" s="75"/>
      <c r="R424" s="76"/>
      <c r="S424" s="75"/>
      <c r="T424" s="75"/>
      <c r="U424" s="76"/>
      <c r="V424" s="76"/>
      <c r="W424" s="75"/>
      <c r="X424" s="76"/>
      <c r="Y424" s="29" t="str">
        <f t="shared" si="4"/>
        <v/>
      </c>
      <c r="Z424" s="29" t="str">
        <f t="shared" si="5"/>
        <v/>
      </c>
      <c r="AA424" s="76"/>
      <c r="AB424" s="76"/>
      <c r="AC424" s="75"/>
      <c r="AD424" s="75"/>
      <c r="AE424" s="78" t="str">
        <f>IF(U424="","",IF(AD424="","",_xlfn.WORKDAY.INTL(AD424,7,1,FERIADOS)))</f>
        <v/>
      </c>
      <c r="AF424" s="104"/>
      <c r="AG424" s="80" t="str">
        <f t="array" ref="AG424">IF(A424="","",IF(AF424="","",AF424*INDEX(PARAMETROS!F$2:F1487,MATCH(YEAR(AC424),PARAMETROS!E$2:E1487,0),1)))</f>
        <v/>
      </c>
      <c r="AH424" s="81"/>
      <c r="AI424" s="82"/>
      <c r="AJ424" s="81"/>
      <c r="AK424" s="81"/>
      <c r="AL424" s="76"/>
      <c r="AM424" s="75"/>
      <c r="AN424" s="76"/>
      <c r="AO424" s="95"/>
      <c r="AP424" s="96"/>
      <c r="AQ424" s="85" t="str">
        <f t="shared" si="6"/>
        <v/>
      </c>
      <c r="AR424" s="86" t="str">
        <f t="array" ref="AR424">IF(A424="","",IFERROR(INDEX('2) Etapas'!L$3:L923,MATCH(B424,'2) Etapas'!$A$4:$A923,0),1),-1))</f>
        <v/>
      </c>
      <c r="AS424" s="87" t="str">
        <f t="shared" si="7"/>
        <v/>
      </c>
      <c r="AT424" s="87" t="str">
        <f t="shared" si="8"/>
        <v/>
      </c>
      <c r="AU424" s="87" t="str">
        <f t="shared" si="9"/>
        <v/>
      </c>
      <c r="AV424" s="89" t="str">
        <f t="array" ref="AV424">IF(OR($A424="",$AB424="", $AC424=""),"",MAXA(IF($A424=$A$4:$A923,$AC$4:$AC923)))</f>
        <v/>
      </c>
    </row>
    <row r="425" ht="22.5" customHeight="1">
      <c r="A425" s="76"/>
      <c r="B425" s="68" t="str">
        <f t="shared" si="1"/>
        <v/>
      </c>
      <c r="C425" s="110"/>
      <c r="D425" s="70" t="str">
        <f t="shared" si="2"/>
        <v/>
      </c>
      <c r="E425" s="76"/>
      <c r="F425" s="68" t="str">
        <f t="array" ref="F425">IF($A425="","",IFERROR(INDEX(MA_INDIVIDUALES!C$2:C923, MATCH($A425,MA_INDIVIDUALES!$B$2:$B923,0),1),"CÓDIGO DE EXPEDIENTE INVÁLIDO"))</f>
        <v/>
      </c>
      <c r="G425" s="68" t="str">
        <f t="array" ref="G425">IF($A425="","",IFERROR(INDEX(MA_INDIVIDUALES!K$2:K923, MATCH($A425,MA_INDIVIDUALES!$B$2:$B923,0),1),"CÓDIGO DE EXPEDIENTE INVÁLIDO"))</f>
        <v/>
      </c>
      <c r="H425" s="68" t="str">
        <f t="array" ref="H425">IF($A425="","",IFERROR(INDEX(MA_INDIVIDUALES!L$2:L923, MATCH($A425,MA_INDIVIDUALES!$B$2:$B923,0),1),"CÓDIGO DE EXPEDIENTE INVÁLIDO"))</f>
        <v/>
      </c>
      <c r="I425" s="76"/>
      <c r="J425" s="76"/>
      <c r="K425" s="75"/>
      <c r="L425" s="74" t="str">
        <f>IF(A425="","",IF(K425="","",_xlfn.WORKDAY.INTL(K425,5,1,FERIADOS)))</f>
        <v/>
      </c>
      <c r="M425" s="76"/>
      <c r="N425" s="75"/>
      <c r="O425" s="76"/>
      <c r="P425" s="77" t="str">
        <f t="shared" si="3"/>
        <v/>
      </c>
      <c r="Q425" s="75"/>
      <c r="R425" s="76"/>
      <c r="S425" s="75"/>
      <c r="T425" s="75"/>
      <c r="U425" s="76"/>
      <c r="V425" s="76"/>
      <c r="W425" s="75"/>
      <c r="X425" s="76"/>
      <c r="Y425" s="29" t="str">
        <f t="shared" si="4"/>
        <v/>
      </c>
      <c r="Z425" s="29" t="str">
        <f t="shared" si="5"/>
        <v/>
      </c>
      <c r="AA425" s="76"/>
      <c r="AB425" s="76"/>
      <c r="AC425" s="75"/>
      <c r="AD425" s="75"/>
      <c r="AE425" s="78" t="str">
        <f>IF(U425="","",IF(AD425="","",_xlfn.WORKDAY.INTL(AD425,7,1,FERIADOS)))</f>
        <v/>
      </c>
      <c r="AF425" s="104"/>
      <c r="AG425" s="80" t="str">
        <f t="array" ref="AG425">IF(A425="","",IF(AF425="","",AF425*INDEX(PARAMETROS!F$2:F1488,MATCH(YEAR(AC425),PARAMETROS!E$2:E1488,0),1)))</f>
        <v/>
      </c>
      <c r="AH425" s="81"/>
      <c r="AI425" s="82"/>
      <c r="AJ425" s="81"/>
      <c r="AK425" s="81"/>
      <c r="AL425" s="76"/>
      <c r="AM425" s="75"/>
      <c r="AN425" s="76"/>
      <c r="AO425" s="95"/>
      <c r="AP425" s="96"/>
      <c r="AQ425" s="85" t="str">
        <f t="shared" si="6"/>
        <v/>
      </c>
      <c r="AR425" s="86" t="str">
        <f t="array" ref="AR425">IF(A425="","",IFERROR(INDEX('2) Etapas'!L$3:L923,MATCH(B425,'2) Etapas'!$A$4:$A923,0),1),-1))</f>
        <v/>
      </c>
      <c r="AS425" s="87" t="str">
        <f t="shared" si="7"/>
        <v/>
      </c>
      <c r="AT425" s="87" t="str">
        <f t="shared" si="8"/>
        <v/>
      </c>
      <c r="AU425" s="87" t="str">
        <f t="shared" si="9"/>
        <v/>
      </c>
      <c r="AV425" s="89" t="str">
        <f t="array" ref="AV425">IF(OR($A425="",$AB425="", $AC425=""),"",MAXA(IF($A425=$A$4:$A923,$AC$4:$AC923)))</f>
        <v/>
      </c>
    </row>
    <row r="426" ht="22.5" customHeight="1">
      <c r="A426" s="76"/>
      <c r="B426" s="68" t="str">
        <f t="shared" si="1"/>
        <v/>
      </c>
      <c r="C426" s="110"/>
      <c r="D426" s="70" t="str">
        <f t="shared" si="2"/>
        <v/>
      </c>
      <c r="E426" s="76"/>
      <c r="F426" s="68" t="str">
        <f t="array" ref="F426">IF($A426="","",IFERROR(INDEX(MA_INDIVIDUALES!C$2:C923, MATCH($A426,MA_INDIVIDUALES!$B$2:$B923,0),1),"CÓDIGO DE EXPEDIENTE INVÁLIDO"))</f>
        <v/>
      </c>
      <c r="G426" s="68" t="str">
        <f t="array" ref="G426">IF($A426="","",IFERROR(INDEX(MA_INDIVIDUALES!K$2:K923, MATCH($A426,MA_INDIVIDUALES!$B$2:$B923,0),1),"CÓDIGO DE EXPEDIENTE INVÁLIDO"))</f>
        <v/>
      </c>
      <c r="H426" s="68" t="str">
        <f t="array" ref="H426">IF($A426="","",IFERROR(INDEX(MA_INDIVIDUALES!L$2:L923, MATCH($A426,MA_INDIVIDUALES!$B$2:$B923,0),1),"CÓDIGO DE EXPEDIENTE INVÁLIDO"))</f>
        <v/>
      </c>
      <c r="I426" s="76"/>
      <c r="J426" s="76"/>
      <c r="K426" s="75"/>
      <c r="L426" s="74" t="str">
        <f>IF(A426="","",IF(K426="","",_xlfn.WORKDAY.INTL(K426,5,1,FERIADOS)))</f>
        <v/>
      </c>
      <c r="M426" s="76"/>
      <c r="N426" s="75"/>
      <c r="O426" s="76"/>
      <c r="P426" s="77" t="str">
        <f t="shared" si="3"/>
        <v/>
      </c>
      <c r="Q426" s="75"/>
      <c r="R426" s="76"/>
      <c r="S426" s="75"/>
      <c r="T426" s="75"/>
      <c r="U426" s="76"/>
      <c r="V426" s="76"/>
      <c r="W426" s="75"/>
      <c r="X426" s="76"/>
      <c r="Y426" s="29" t="str">
        <f t="shared" si="4"/>
        <v/>
      </c>
      <c r="Z426" s="29" t="str">
        <f t="shared" si="5"/>
        <v/>
      </c>
      <c r="AA426" s="76"/>
      <c r="AB426" s="76"/>
      <c r="AC426" s="75"/>
      <c r="AD426" s="75"/>
      <c r="AE426" s="78" t="str">
        <f>IF(U426="","",IF(AD426="","",_xlfn.WORKDAY.INTL(AD426,7,1,FERIADOS)))</f>
        <v/>
      </c>
      <c r="AF426" s="104"/>
      <c r="AG426" s="80" t="str">
        <f t="array" ref="AG426">IF(A426="","",IF(AF426="","",AF426*INDEX(PARAMETROS!F$2:F1489,MATCH(YEAR(AC426),PARAMETROS!E$2:E1489,0),1)))</f>
        <v/>
      </c>
      <c r="AH426" s="81"/>
      <c r="AI426" s="82"/>
      <c r="AJ426" s="81"/>
      <c r="AK426" s="81"/>
      <c r="AL426" s="76"/>
      <c r="AM426" s="75"/>
      <c r="AN426" s="76"/>
      <c r="AO426" s="95"/>
      <c r="AP426" s="96"/>
      <c r="AQ426" s="85" t="str">
        <f t="shared" si="6"/>
        <v/>
      </c>
      <c r="AR426" s="86" t="str">
        <f t="array" ref="AR426">IF(A426="","",IFERROR(INDEX('2) Etapas'!L$3:L923,MATCH(B426,'2) Etapas'!$A$4:$A923,0),1),-1))</f>
        <v/>
      </c>
      <c r="AS426" s="87" t="str">
        <f t="shared" si="7"/>
        <v/>
      </c>
      <c r="AT426" s="87" t="str">
        <f t="shared" si="8"/>
        <v/>
      </c>
      <c r="AU426" s="87" t="str">
        <f t="shared" si="9"/>
        <v/>
      </c>
      <c r="AV426" s="89" t="str">
        <f t="array" ref="AV426">IF(OR($A426="",$AB426="", $AC426=""),"",MAXA(IF($A426=$A$4:$A923,$AC$4:$AC923)))</f>
        <v/>
      </c>
    </row>
    <row r="427" ht="22.5" customHeight="1">
      <c r="A427" s="76"/>
      <c r="B427" s="68" t="str">
        <f t="shared" si="1"/>
        <v/>
      </c>
      <c r="C427" s="110"/>
      <c r="D427" s="70" t="str">
        <f t="shared" si="2"/>
        <v/>
      </c>
      <c r="E427" s="76"/>
      <c r="F427" s="68" t="str">
        <f t="array" ref="F427">IF($A427="","",IFERROR(INDEX(MA_INDIVIDUALES!C$2:C923, MATCH($A427,MA_INDIVIDUALES!$B$2:$B923,0),1),"CÓDIGO DE EXPEDIENTE INVÁLIDO"))</f>
        <v/>
      </c>
      <c r="G427" s="68" t="str">
        <f t="array" ref="G427">IF($A427="","",IFERROR(INDEX(MA_INDIVIDUALES!K$2:K923, MATCH($A427,MA_INDIVIDUALES!$B$2:$B923,0),1),"CÓDIGO DE EXPEDIENTE INVÁLIDO"))</f>
        <v/>
      </c>
      <c r="H427" s="68" t="str">
        <f t="array" ref="H427">IF($A427="","",IFERROR(INDEX(MA_INDIVIDUALES!L$2:L923, MATCH($A427,MA_INDIVIDUALES!$B$2:$B923,0),1),"CÓDIGO DE EXPEDIENTE INVÁLIDO"))</f>
        <v/>
      </c>
      <c r="I427" s="76"/>
      <c r="J427" s="76"/>
      <c r="K427" s="75"/>
      <c r="L427" s="74" t="str">
        <f>IF(A427="","",IF(K427="","",_xlfn.WORKDAY.INTL(K427,5,1,FERIADOS)))</f>
        <v/>
      </c>
      <c r="M427" s="76"/>
      <c r="N427" s="75"/>
      <c r="O427" s="76"/>
      <c r="P427" s="77" t="str">
        <f t="shared" si="3"/>
        <v/>
      </c>
      <c r="Q427" s="75"/>
      <c r="R427" s="76"/>
      <c r="S427" s="75"/>
      <c r="T427" s="75"/>
      <c r="U427" s="76"/>
      <c r="V427" s="76"/>
      <c r="W427" s="75"/>
      <c r="X427" s="76"/>
      <c r="Y427" s="29" t="str">
        <f t="shared" si="4"/>
        <v/>
      </c>
      <c r="Z427" s="29" t="str">
        <f t="shared" si="5"/>
        <v/>
      </c>
      <c r="AA427" s="76"/>
      <c r="AB427" s="76"/>
      <c r="AC427" s="75"/>
      <c r="AD427" s="75"/>
      <c r="AE427" s="78" t="str">
        <f>IF(U427="","",IF(AD427="","",_xlfn.WORKDAY.INTL(AD427,7,1,FERIADOS)))</f>
        <v/>
      </c>
      <c r="AF427" s="104"/>
      <c r="AG427" s="80" t="str">
        <f t="array" ref="AG427">IF(A427="","",IF(AF427="","",AF427*INDEX(PARAMETROS!F$2:F1490,MATCH(YEAR(AC427),PARAMETROS!E$2:E1490,0),1)))</f>
        <v/>
      </c>
      <c r="AH427" s="81"/>
      <c r="AI427" s="82"/>
      <c r="AJ427" s="81"/>
      <c r="AK427" s="81"/>
      <c r="AL427" s="76"/>
      <c r="AM427" s="75"/>
      <c r="AN427" s="76"/>
      <c r="AO427" s="95"/>
      <c r="AP427" s="96"/>
      <c r="AQ427" s="85" t="str">
        <f t="shared" si="6"/>
        <v/>
      </c>
      <c r="AR427" s="86" t="str">
        <f t="array" ref="AR427">IF(A427="","",IFERROR(INDEX('2) Etapas'!L$3:L923,MATCH(B427,'2) Etapas'!$A$4:$A923,0),1),-1))</f>
        <v/>
      </c>
      <c r="AS427" s="87" t="str">
        <f t="shared" si="7"/>
        <v/>
      </c>
      <c r="AT427" s="87" t="str">
        <f t="shared" si="8"/>
        <v/>
      </c>
      <c r="AU427" s="87" t="str">
        <f t="shared" si="9"/>
        <v/>
      </c>
      <c r="AV427" s="89" t="str">
        <f t="array" ref="AV427">IF(OR($A427="",$AB427="", $AC427=""),"",MAXA(IF($A427=$A$4:$A923,$AC$4:$AC923)))</f>
        <v/>
      </c>
    </row>
    <row r="428" ht="22.5" customHeight="1">
      <c r="A428" s="76"/>
      <c r="B428" s="68" t="str">
        <f t="shared" si="1"/>
        <v/>
      </c>
      <c r="C428" s="110"/>
      <c r="D428" s="70" t="str">
        <f t="shared" si="2"/>
        <v/>
      </c>
      <c r="E428" s="76"/>
      <c r="F428" s="68" t="str">
        <f t="array" ref="F428">IF($A428="","",IFERROR(INDEX(MA_INDIVIDUALES!C$2:C923, MATCH($A428,MA_INDIVIDUALES!$B$2:$B923,0),1),"CÓDIGO DE EXPEDIENTE INVÁLIDO"))</f>
        <v/>
      </c>
      <c r="G428" s="68" t="str">
        <f t="array" ref="G428">IF($A428="","",IFERROR(INDEX(MA_INDIVIDUALES!K$2:K923, MATCH($A428,MA_INDIVIDUALES!$B$2:$B923,0),1),"CÓDIGO DE EXPEDIENTE INVÁLIDO"))</f>
        <v/>
      </c>
      <c r="H428" s="68" t="str">
        <f t="array" ref="H428">IF($A428="","",IFERROR(INDEX(MA_INDIVIDUALES!L$2:L923, MATCH($A428,MA_INDIVIDUALES!$B$2:$B923,0),1),"CÓDIGO DE EXPEDIENTE INVÁLIDO"))</f>
        <v/>
      </c>
      <c r="I428" s="76"/>
      <c r="J428" s="76"/>
      <c r="K428" s="75"/>
      <c r="L428" s="74" t="str">
        <f>IF(A428="","",IF(K428="","",_xlfn.WORKDAY.INTL(K428,5,1,FERIADOS)))</f>
        <v/>
      </c>
      <c r="M428" s="76"/>
      <c r="N428" s="75"/>
      <c r="O428" s="76"/>
      <c r="P428" s="77" t="str">
        <f t="shared" si="3"/>
        <v/>
      </c>
      <c r="Q428" s="75"/>
      <c r="R428" s="76"/>
      <c r="S428" s="75"/>
      <c r="T428" s="75"/>
      <c r="U428" s="76"/>
      <c r="V428" s="76"/>
      <c r="W428" s="75"/>
      <c r="X428" s="76"/>
      <c r="Y428" s="29" t="str">
        <f t="shared" si="4"/>
        <v/>
      </c>
      <c r="Z428" s="29" t="str">
        <f t="shared" si="5"/>
        <v/>
      </c>
      <c r="AA428" s="76"/>
      <c r="AB428" s="76"/>
      <c r="AC428" s="75"/>
      <c r="AD428" s="75"/>
      <c r="AE428" s="78" t="str">
        <f>IF(U428="","",IF(AD428="","",_xlfn.WORKDAY.INTL(AD428,7,1,FERIADOS)))</f>
        <v/>
      </c>
      <c r="AF428" s="104"/>
      <c r="AG428" s="80" t="str">
        <f t="array" ref="AG428">IF(A428="","",IF(AF428="","",AF428*INDEX(PARAMETROS!F$2:F1491,MATCH(YEAR(AC428),PARAMETROS!E$2:E1491,0),1)))</f>
        <v/>
      </c>
      <c r="AH428" s="81"/>
      <c r="AI428" s="82"/>
      <c r="AJ428" s="81"/>
      <c r="AK428" s="81"/>
      <c r="AL428" s="76"/>
      <c r="AM428" s="75"/>
      <c r="AN428" s="76"/>
      <c r="AO428" s="95"/>
      <c r="AP428" s="96"/>
      <c r="AQ428" s="85" t="str">
        <f t="shared" si="6"/>
        <v/>
      </c>
      <c r="AR428" s="86" t="str">
        <f t="array" ref="AR428">IF(A428="","",IFERROR(INDEX('2) Etapas'!L$3:L923,MATCH(B428,'2) Etapas'!$A$4:$A923,0),1),-1))</f>
        <v/>
      </c>
      <c r="AS428" s="87" t="str">
        <f t="shared" si="7"/>
        <v/>
      </c>
      <c r="AT428" s="87" t="str">
        <f t="shared" si="8"/>
        <v/>
      </c>
      <c r="AU428" s="87" t="str">
        <f t="shared" si="9"/>
        <v/>
      </c>
      <c r="AV428" s="89" t="str">
        <f t="array" ref="AV428">IF(OR($A428="",$AB428="", $AC428=""),"",MAXA(IF($A428=$A$4:$A923,$AC$4:$AC923)))</f>
        <v/>
      </c>
    </row>
    <row r="429" ht="22.5" customHeight="1">
      <c r="A429" s="76"/>
      <c r="B429" s="68" t="str">
        <f t="shared" si="1"/>
        <v/>
      </c>
      <c r="C429" s="110"/>
      <c r="D429" s="70" t="str">
        <f t="shared" si="2"/>
        <v/>
      </c>
      <c r="E429" s="76"/>
      <c r="F429" s="68" t="str">
        <f t="array" ref="F429">IF($A429="","",IFERROR(INDEX(MA_INDIVIDUALES!C$2:C923, MATCH($A429,MA_INDIVIDUALES!$B$2:$B923,0),1),"CÓDIGO DE EXPEDIENTE INVÁLIDO"))</f>
        <v/>
      </c>
      <c r="G429" s="68" t="str">
        <f t="array" ref="G429">IF($A429="","",IFERROR(INDEX(MA_INDIVIDUALES!K$2:K923, MATCH($A429,MA_INDIVIDUALES!$B$2:$B923,0),1),"CÓDIGO DE EXPEDIENTE INVÁLIDO"))</f>
        <v/>
      </c>
      <c r="H429" s="68" t="str">
        <f t="array" ref="H429">IF($A429="","",IFERROR(INDEX(MA_INDIVIDUALES!L$2:L923, MATCH($A429,MA_INDIVIDUALES!$B$2:$B923,0),1),"CÓDIGO DE EXPEDIENTE INVÁLIDO"))</f>
        <v/>
      </c>
      <c r="I429" s="76"/>
      <c r="J429" s="76"/>
      <c r="K429" s="75"/>
      <c r="L429" s="74" t="str">
        <f>IF(A429="","",IF(K429="","",_xlfn.WORKDAY.INTL(K429,5,1,FERIADOS)))</f>
        <v/>
      </c>
      <c r="M429" s="76"/>
      <c r="N429" s="75"/>
      <c r="O429" s="76"/>
      <c r="P429" s="77" t="str">
        <f t="shared" si="3"/>
        <v/>
      </c>
      <c r="Q429" s="75"/>
      <c r="R429" s="76"/>
      <c r="S429" s="75"/>
      <c r="T429" s="75"/>
      <c r="U429" s="76"/>
      <c r="V429" s="76"/>
      <c r="W429" s="75"/>
      <c r="X429" s="76"/>
      <c r="Y429" s="29" t="str">
        <f t="shared" si="4"/>
        <v/>
      </c>
      <c r="Z429" s="29" t="str">
        <f t="shared" si="5"/>
        <v/>
      </c>
      <c r="AA429" s="76"/>
      <c r="AB429" s="76"/>
      <c r="AC429" s="75"/>
      <c r="AD429" s="75"/>
      <c r="AE429" s="78" t="str">
        <f>IF(U429="","",IF(AD429="","",_xlfn.WORKDAY.INTL(AD429,7,1,FERIADOS)))</f>
        <v/>
      </c>
      <c r="AF429" s="104"/>
      <c r="AG429" s="80" t="str">
        <f t="array" ref="AG429">IF(A429="","",IF(AF429="","",AF429*INDEX(PARAMETROS!F$2:F1492,MATCH(YEAR(AC429),PARAMETROS!E$2:E1492,0),1)))</f>
        <v/>
      </c>
      <c r="AH429" s="81"/>
      <c r="AI429" s="82"/>
      <c r="AJ429" s="81"/>
      <c r="AK429" s="81"/>
      <c r="AL429" s="76"/>
      <c r="AM429" s="75"/>
      <c r="AN429" s="76"/>
      <c r="AO429" s="95"/>
      <c r="AP429" s="96"/>
      <c r="AQ429" s="85" t="str">
        <f t="shared" si="6"/>
        <v/>
      </c>
      <c r="AR429" s="86" t="str">
        <f t="array" ref="AR429">IF(A429="","",IFERROR(INDEX('2) Etapas'!L$3:L923,MATCH(B429,'2) Etapas'!$A$4:$A923,0),1),-1))</f>
        <v/>
      </c>
      <c r="AS429" s="87" t="str">
        <f t="shared" si="7"/>
        <v/>
      </c>
      <c r="AT429" s="87" t="str">
        <f t="shared" si="8"/>
        <v/>
      </c>
      <c r="AU429" s="87" t="str">
        <f t="shared" si="9"/>
        <v/>
      </c>
      <c r="AV429" s="89" t="str">
        <f t="array" ref="AV429">IF(OR($A429="",$AB429="", $AC429=""),"",MAXA(IF($A429=$A$4:$A923,$AC$4:$AC923)))</f>
        <v/>
      </c>
    </row>
    <row r="430" ht="22.5" customHeight="1">
      <c r="A430" s="76"/>
      <c r="B430" s="68" t="str">
        <f t="shared" si="1"/>
        <v/>
      </c>
      <c r="C430" s="110"/>
      <c r="D430" s="70" t="str">
        <f t="shared" si="2"/>
        <v/>
      </c>
      <c r="E430" s="76"/>
      <c r="F430" s="68" t="str">
        <f t="array" ref="F430">IF($A430="","",IFERROR(INDEX(MA_INDIVIDUALES!C$2:C923, MATCH($A430,MA_INDIVIDUALES!$B$2:$B923,0),1),"CÓDIGO DE EXPEDIENTE INVÁLIDO"))</f>
        <v/>
      </c>
      <c r="G430" s="68" t="str">
        <f t="array" ref="G430">IF($A430="","",IFERROR(INDEX(MA_INDIVIDUALES!K$2:K923, MATCH($A430,MA_INDIVIDUALES!$B$2:$B923,0),1),"CÓDIGO DE EXPEDIENTE INVÁLIDO"))</f>
        <v/>
      </c>
      <c r="H430" s="68" t="str">
        <f t="array" ref="H430">IF($A430="","",IFERROR(INDEX(MA_INDIVIDUALES!L$2:L923, MATCH($A430,MA_INDIVIDUALES!$B$2:$B923,0),1),"CÓDIGO DE EXPEDIENTE INVÁLIDO"))</f>
        <v/>
      </c>
      <c r="I430" s="76"/>
      <c r="J430" s="76"/>
      <c r="K430" s="75"/>
      <c r="L430" s="74" t="str">
        <f>IF(A430="","",IF(K430="","",_xlfn.WORKDAY.INTL(K430,5,1,FERIADOS)))</f>
        <v/>
      </c>
      <c r="M430" s="76"/>
      <c r="N430" s="75"/>
      <c r="O430" s="76"/>
      <c r="P430" s="77" t="str">
        <f t="shared" si="3"/>
        <v/>
      </c>
      <c r="Q430" s="75"/>
      <c r="R430" s="76"/>
      <c r="S430" s="75"/>
      <c r="T430" s="75"/>
      <c r="U430" s="76"/>
      <c r="V430" s="76"/>
      <c r="W430" s="75"/>
      <c r="X430" s="76"/>
      <c r="Y430" s="29" t="str">
        <f t="shared" si="4"/>
        <v/>
      </c>
      <c r="Z430" s="29" t="str">
        <f t="shared" si="5"/>
        <v/>
      </c>
      <c r="AA430" s="76"/>
      <c r="AB430" s="76"/>
      <c r="AC430" s="75"/>
      <c r="AD430" s="75"/>
      <c r="AE430" s="78" t="str">
        <f>IF(U430="","",IF(AD430="","",_xlfn.WORKDAY.INTL(AD430,7,1,FERIADOS)))</f>
        <v/>
      </c>
      <c r="AF430" s="104"/>
      <c r="AG430" s="80" t="str">
        <f t="array" ref="AG430">IF(A430="","",IF(AF430="","",AF430*INDEX(PARAMETROS!F$2:F1493,MATCH(YEAR(AC430),PARAMETROS!E$2:E1493,0),1)))</f>
        <v/>
      </c>
      <c r="AH430" s="81"/>
      <c r="AI430" s="82"/>
      <c r="AJ430" s="81"/>
      <c r="AK430" s="81"/>
      <c r="AL430" s="76"/>
      <c r="AM430" s="75"/>
      <c r="AN430" s="76"/>
      <c r="AO430" s="95"/>
      <c r="AP430" s="96"/>
      <c r="AQ430" s="85" t="str">
        <f t="shared" si="6"/>
        <v/>
      </c>
      <c r="AR430" s="86" t="str">
        <f t="array" ref="AR430">IF(A430="","",IFERROR(INDEX('2) Etapas'!L$3:L923,MATCH(B430,'2) Etapas'!$A$4:$A923,0),1),-1))</f>
        <v/>
      </c>
      <c r="AS430" s="87" t="str">
        <f t="shared" si="7"/>
        <v/>
      </c>
      <c r="AT430" s="87" t="str">
        <f t="shared" si="8"/>
        <v/>
      </c>
      <c r="AU430" s="87" t="str">
        <f t="shared" si="9"/>
        <v/>
      </c>
      <c r="AV430" s="89" t="str">
        <f t="array" ref="AV430">IF(OR($A430="",$AB430="", $AC430=""),"",MAXA(IF($A430=$A$4:$A923,$AC$4:$AC923)))</f>
        <v/>
      </c>
    </row>
    <row r="431" ht="22.5" customHeight="1">
      <c r="A431" s="76"/>
      <c r="B431" s="68" t="str">
        <f t="shared" si="1"/>
        <v/>
      </c>
      <c r="C431" s="110"/>
      <c r="D431" s="70" t="str">
        <f t="shared" si="2"/>
        <v/>
      </c>
      <c r="E431" s="76"/>
      <c r="F431" s="68" t="str">
        <f t="array" ref="F431">IF($A431="","",IFERROR(INDEX(MA_INDIVIDUALES!C$2:C923, MATCH($A431,MA_INDIVIDUALES!$B$2:$B923,0),1),"CÓDIGO DE EXPEDIENTE INVÁLIDO"))</f>
        <v/>
      </c>
      <c r="G431" s="68" t="str">
        <f t="array" ref="G431">IF($A431="","",IFERROR(INDEX(MA_INDIVIDUALES!K$2:K923, MATCH($A431,MA_INDIVIDUALES!$B$2:$B923,0),1),"CÓDIGO DE EXPEDIENTE INVÁLIDO"))</f>
        <v/>
      </c>
      <c r="H431" s="68" t="str">
        <f t="array" ref="H431">IF($A431="","",IFERROR(INDEX(MA_INDIVIDUALES!L$2:L923, MATCH($A431,MA_INDIVIDUALES!$B$2:$B923,0),1),"CÓDIGO DE EXPEDIENTE INVÁLIDO"))</f>
        <v/>
      </c>
      <c r="I431" s="76"/>
      <c r="J431" s="76"/>
      <c r="K431" s="75"/>
      <c r="L431" s="74" t="str">
        <f>IF(A431="","",IF(K431="","",_xlfn.WORKDAY.INTL(K431,5,1,FERIADOS)))</f>
        <v/>
      </c>
      <c r="M431" s="76"/>
      <c r="N431" s="75"/>
      <c r="O431" s="76"/>
      <c r="P431" s="77" t="str">
        <f t="shared" si="3"/>
        <v/>
      </c>
      <c r="Q431" s="75"/>
      <c r="R431" s="76"/>
      <c r="S431" s="75"/>
      <c r="T431" s="75"/>
      <c r="U431" s="76"/>
      <c r="V431" s="76"/>
      <c r="W431" s="75"/>
      <c r="X431" s="76"/>
      <c r="Y431" s="29" t="str">
        <f t="shared" si="4"/>
        <v/>
      </c>
      <c r="Z431" s="29" t="str">
        <f t="shared" si="5"/>
        <v/>
      </c>
      <c r="AA431" s="76"/>
      <c r="AB431" s="76"/>
      <c r="AC431" s="75"/>
      <c r="AD431" s="75"/>
      <c r="AE431" s="78" t="str">
        <f>IF(U431="","",IF(AD431="","",_xlfn.WORKDAY.INTL(AD431,7,1,FERIADOS)))</f>
        <v/>
      </c>
      <c r="AF431" s="104"/>
      <c r="AG431" s="80" t="str">
        <f t="array" ref="AG431">IF(A431="","",IF(AF431="","",AF431*INDEX(PARAMETROS!F$2:F1494,MATCH(YEAR(AC431),PARAMETROS!E$2:E1494,0),1)))</f>
        <v/>
      </c>
      <c r="AH431" s="81"/>
      <c r="AI431" s="82"/>
      <c r="AJ431" s="81"/>
      <c r="AK431" s="81"/>
      <c r="AL431" s="76"/>
      <c r="AM431" s="75"/>
      <c r="AN431" s="76"/>
      <c r="AO431" s="95"/>
      <c r="AP431" s="96"/>
      <c r="AQ431" s="85" t="str">
        <f t="shared" si="6"/>
        <v/>
      </c>
      <c r="AR431" s="86" t="str">
        <f t="array" ref="AR431">IF(A431="","",IFERROR(INDEX('2) Etapas'!L$3:L923,MATCH(B431,'2) Etapas'!$A$4:$A923,0),1),-1))</f>
        <v/>
      </c>
      <c r="AS431" s="87" t="str">
        <f t="shared" si="7"/>
        <v/>
      </c>
      <c r="AT431" s="87" t="str">
        <f t="shared" si="8"/>
        <v/>
      </c>
      <c r="AU431" s="87" t="str">
        <f t="shared" si="9"/>
        <v/>
      </c>
      <c r="AV431" s="89" t="str">
        <f t="array" ref="AV431">IF(OR($A431="",$AB431="", $AC431=""),"",MAXA(IF($A431=$A$4:$A923,$AC$4:$AC923)))</f>
        <v/>
      </c>
    </row>
    <row r="432" ht="22.5" customHeight="1">
      <c r="A432" s="76"/>
      <c r="B432" s="68" t="str">
        <f t="shared" si="1"/>
        <v/>
      </c>
      <c r="C432" s="110"/>
      <c r="D432" s="70" t="str">
        <f t="shared" si="2"/>
        <v/>
      </c>
      <c r="E432" s="76"/>
      <c r="F432" s="68" t="str">
        <f t="array" ref="F432">IF($A432="","",IFERROR(INDEX(MA_INDIVIDUALES!C$2:C923, MATCH($A432,MA_INDIVIDUALES!$B$2:$B923,0),1),"CÓDIGO DE EXPEDIENTE INVÁLIDO"))</f>
        <v/>
      </c>
      <c r="G432" s="68" t="str">
        <f t="array" ref="G432">IF($A432="","",IFERROR(INDEX(MA_INDIVIDUALES!K$2:K923, MATCH($A432,MA_INDIVIDUALES!$B$2:$B923,0),1),"CÓDIGO DE EXPEDIENTE INVÁLIDO"))</f>
        <v/>
      </c>
      <c r="H432" s="68" t="str">
        <f t="array" ref="H432">IF($A432="","",IFERROR(INDEX(MA_INDIVIDUALES!L$2:L923, MATCH($A432,MA_INDIVIDUALES!$B$2:$B923,0),1),"CÓDIGO DE EXPEDIENTE INVÁLIDO"))</f>
        <v/>
      </c>
      <c r="I432" s="76"/>
      <c r="J432" s="76"/>
      <c r="K432" s="75"/>
      <c r="L432" s="74" t="str">
        <f>IF(A432="","",IF(K432="","",_xlfn.WORKDAY.INTL(K432,5,1,FERIADOS)))</f>
        <v/>
      </c>
      <c r="M432" s="76"/>
      <c r="N432" s="75"/>
      <c r="O432" s="76"/>
      <c r="P432" s="77" t="str">
        <f t="shared" si="3"/>
        <v/>
      </c>
      <c r="Q432" s="75"/>
      <c r="R432" s="76"/>
      <c r="S432" s="75"/>
      <c r="T432" s="75"/>
      <c r="U432" s="76"/>
      <c r="V432" s="76"/>
      <c r="W432" s="75"/>
      <c r="X432" s="76"/>
      <c r="Y432" s="29" t="str">
        <f t="shared" si="4"/>
        <v/>
      </c>
      <c r="Z432" s="29" t="str">
        <f t="shared" si="5"/>
        <v/>
      </c>
      <c r="AA432" s="76"/>
      <c r="AB432" s="76"/>
      <c r="AC432" s="75"/>
      <c r="AD432" s="75"/>
      <c r="AE432" s="78" t="str">
        <f>IF(U432="","",IF(AD432="","",_xlfn.WORKDAY.INTL(AD432,7,1,FERIADOS)))</f>
        <v/>
      </c>
      <c r="AF432" s="104"/>
      <c r="AG432" s="80" t="str">
        <f t="array" ref="AG432">IF(A432="","",IF(AF432="","",AF432*INDEX(PARAMETROS!F$2:F1495,MATCH(YEAR(AC432),PARAMETROS!E$2:E1495,0),1)))</f>
        <v/>
      </c>
      <c r="AH432" s="81"/>
      <c r="AI432" s="82"/>
      <c r="AJ432" s="81"/>
      <c r="AK432" s="81"/>
      <c r="AL432" s="76"/>
      <c r="AM432" s="75"/>
      <c r="AN432" s="76"/>
      <c r="AO432" s="95"/>
      <c r="AP432" s="96"/>
      <c r="AQ432" s="85" t="str">
        <f t="shared" si="6"/>
        <v/>
      </c>
      <c r="AR432" s="86" t="str">
        <f t="array" ref="AR432">IF(A432="","",IFERROR(INDEX('2) Etapas'!L$3:L923,MATCH(B432,'2) Etapas'!$A$4:$A923,0),1),-1))</f>
        <v/>
      </c>
      <c r="AS432" s="87" t="str">
        <f t="shared" si="7"/>
        <v/>
      </c>
      <c r="AT432" s="87" t="str">
        <f t="shared" si="8"/>
        <v/>
      </c>
      <c r="AU432" s="87" t="str">
        <f t="shared" si="9"/>
        <v/>
      </c>
      <c r="AV432" s="89" t="str">
        <f t="array" ref="AV432">IF(OR($A432="",$AB432="", $AC432=""),"",MAXA(IF($A432=$A$4:$A923,$AC$4:$AC923)))</f>
        <v/>
      </c>
    </row>
    <row r="433" ht="22.5" customHeight="1">
      <c r="A433" s="76"/>
      <c r="B433" s="68" t="str">
        <f t="shared" si="1"/>
        <v/>
      </c>
      <c r="C433" s="110"/>
      <c r="D433" s="70" t="str">
        <f t="shared" si="2"/>
        <v/>
      </c>
      <c r="E433" s="76"/>
      <c r="F433" s="68" t="str">
        <f t="array" ref="F433">IF($A433="","",IFERROR(INDEX(MA_INDIVIDUALES!C$2:C923, MATCH($A433,MA_INDIVIDUALES!$B$2:$B923,0),1),"CÓDIGO DE EXPEDIENTE INVÁLIDO"))</f>
        <v/>
      </c>
      <c r="G433" s="68" t="str">
        <f t="array" ref="G433">IF($A433="","",IFERROR(INDEX(MA_INDIVIDUALES!K$2:K923, MATCH($A433,MA_INDIVIDUALES!$B$2:$B923,0),1),"CÓDIGO DE EXPEDIENTE INVÁLIDO"))</f>
        <v/>
      </c>
      <c r="H433" s="68" t="str">
        <f t="array" ref="H433">IF($A433="","",IFERROR(INDEX(MA_INDIVIDUALES!L$2:L923, MATCH($A433,MA_INDIVIDUALES!$B$2:$B923,0),1),"CÓDIGO DE EXPEDIENTE INVÁLIDO"))</f>
        <v/>
      </c>
      <c r="I433" s="76"/>
      <c r="J433" s="76"/>
      <c r="K433" s="75"/>
      <c r="L433" s="74" t="str">
        <f>IF(A433="","",IF(K433="","",_xlfn.WORKDAY.INTL(K433,5,1,FERIADOS)))</f>
        <v/>
      </c>
      <c r="M433" s="76"/>
      <c r="N433" s="75"/>
      <c r="O433" s="76"/>
      <c r="P433" s="77" t="str">
        <f t="shared" si="3"/>
        <v/>
      </c>
      <c r="Q433" s="75"/>
      <c r="R433" s="76"/>
      <c r="S433" s="75"/>
      <c r="T433" s="75"/>
      <c r="U433" s="76"/>
      <c r="V433" s="76"/>
      <c r="W433" s="75"/>
      <c r="X433" s="76"/>
      <c r="Y433" s="29" t="str">
        <f t="shared" si="4"/>
        <v/>
      </c>
      <c r="Z433" s="29" t="str">
        <f t="shared" si="5"/>
        <v/>
      </c>
      <c r="AA433" s="76"/>
      <c r="AB433" s="76"/>
      <c r="AC433" s="75"/>
      <c r="AD433" s="75"/>
      <c r="AE433" s="78" t="str">
        <f>IF(U433="","",IF(AD433="","",_xlfn.WORKDAY.INTL(AD433,7,1,FERIADOS)))</f>
        <v/>
      </c>
      <c r="AF433" s="104"/>
      <c r="AG433" s="80" t="str">
        <f t="array" ref="AG433">IF(A433="","",IF(AF433="","",AF433*INDEX(PARAMETROS!F$2:F1496,MATCH(YEAR(AC433),PARAMETROS!E$2:E1496,0),1)))</f>
        <v/>
      </c>
      <c r="AH433" s="81"/>
      <c r="AI433" s="82"/>
      <c r="AJ433" s="81"/>
      <c r="AK433" s="81"/>
      <c r="AL433" s="76"/>
      <c r="AM433" s="75"/>
      <c r="AN433" s="76"/>
      <c r="AO433" s="95"/>
      <c r="AP433" s="96"/>
      <c r="AQ433" s="85" t="str">
        <f t="shared" si="6"/>
        <v/>
      </c>
      <c r="AR433" s="86" t="str">
        <f t="array" ref="AR433">IF(A433="","",IFERROR(INDEX('2) Etapas'!L$3:L923,MATCH(B433,'2) Etapas'!$A$4:$A923,0),1),-1))</f>
        <v/>
      </c>
      <c r="AS433" s="87" t="str">
        <f t="shared" si="7"/>
        <v/>
      </c>
      <c r="AT433" s="87" t="str">
        <f t="shared" si="8"/>
        <v/>
      </c>
      <c r="AU433" s="87" t="str">
        <f t="shared" si="9"/>
        <v/>
      </c>
      <c r="AV433" s="89" t="str">
        <f t="array" ref="AV433">IF(OR($A433="",$AB433="", $AC433=""),"",MAXA(IF($A433=$A$4:$A923,$AC$4:$AC923)))</f>
        <v/>
      </c>
    </row>
    <row r="434" ht="22.5" customHeight="1">
      <c r="A434" s="76"/>
      <c r="B434" s="68" t="str">
        <f t="shared" si="1"/>
        <v/>
      </c>
      <c r="C434" s="110"/>
      <c r="D434" s="70" t="str">
        <f t="shared" si="2"/>
        <v/>
      </c>
      <c r="E434" s="76"/>
      <c r="F434" s="68" t="str">
        <f t="array" ref="F434">IF($A434="","",IFERROR(INDEX(MA_INDIVIDUALES!C$2:C923, MATCH($A434,MA_INDIVIDUALES!$B$2:$B923,0),1),"CÓDIGO DE EXPEDIENTE INVÁLIDO"))</f>
        <v/>
      </c>
      <c r="G434" s="68" t="str">
        <f t="array" ref="G434">IF($A434="","",IFERROR(INDEX(MA_INDIVIDUALES!K$2:K923, MATCH($A434,MA_INDIVIDUALES!$B$2:$B923,0),1),"CÓDIGO DE EXPEDIENTE INVÁLIDO"))</f>
        <v/>
      </c>
      <c r="H434" s="68" t="str">
        <f t="array" ref="H434">IF($A434="","",IFERROR(INDEX(MA_INDIVIDUALES!L$2:L923, MATCH($A434,MA_INDIVIDUALES!$B$2:$B923,0),1),"CÓDIGO DE EXPEDIENTE INVÁLIDO"))</f>
        <v/>
      </c>
      <c r="I434" s="76"/>
      <c r="J434" s="76"/>
      <c r="K434" s="75"/>
      <c r="L434" s="74" t="str">
        <f>IF(A434="","",IF(K434="","",_xlfn.WORKDAY.INTL(K434,5,1,FERIADOS)))</f>
        <v/>
      </c>
      <c r="M434" s="76"/>
      <c r="N434" s="75"/>
      <c r="O434" s="76"/>
      <c r="P434" s="77" t="str">
        <f t="shared" si="3"/>
        <v/>
      </c>
      <c r="Q434" s="75"/>
      <c r="R434" s="76"/>
      <c r="S434" s="75"/>
      <c r="T434" s="75"/>
      <c r="U434" s="76"/>
      <c r="V434" s="76"/>
      <c r="W434" s="75"/>
      <c r="X434" s="76"/>
      <c r="Y434" s="29" t="str">
        <f t="shared" si="4"/>
        <v/>
      </c>
      <c r="Z434" s="29" t="str">
        <f t="shared" si="5"/>
        <v/>
      </c>
      <c r="AA434" s="76"/>
      <c r="AB434" s="76"/>
      <c r="AC434" s="75"/>
      <c r="AD434" s="75"/>
      <c r="AE434" s="78" t="str">
        <f>IF(U434="","",IF(AD434="","",_xlfn.WORKDAY.INTL(AD434,7,1,FERIADOS)))</f>
        <v/>
      </c>
      <c r="AF434" s="104"/>
      <c r="AG434" s="80" t="str">
        <f t="array" ref="AG434">IF(A434="","",IF(AF434="","",AF434*INDEX(PARAMETROS!F$2:F1497,MATCH(YEAR(AC434),PARAMETROS!E$2:E1497,0),1)))</f>
        <v/>
      </c>
      <c r="AH434" s="81"/>
      <c r="AI434" s="82"/>
      <c r="AJ434" s="81"/>
      <c r="AK434" s="81"/>
      <c r="AL434" s="76"/>
      <c r="AM434" s="75"/>
      <c r="AN434" s="76"/>
      <c r="AO434" s="95"/>
      <c r="AP434" s="96"/>
      <c r="AQ434" s="85" t="str">
        <f t="shared" si="6"/>
        <v/>
      </c>
      <c r="AR434" s="86" t="str">
        <f t="array" ref="AR434">IF(A434="","",IFERROR(INDEX('2) Etapas'!L$3:L923,MATCH(B434,'2) Etapas'!$A$4:$A923,0),1),-1))</f>
        <v/>
      </c>
      <c r="AS434" s="87" t="str">
        <f t="shared" si="7"/>
        <v/>
      </c>
      <c r="AT434" s="87" t="str">
        <f t="shared" si="8"/>
        <v/>
      </c>
      <c r="AU434" s="87" t="str">
        <f t="shared" si="9"/>
        <v/>
      </c>
      <c r="AV434" s="89" t="str">
        <f t="array" ref="AV434">IF(OR($A434="",$AB434="", $AC434=""),"",MAXA(IF($A434=$A$4:$A923,$AC$4:$AC923)))</f>
        <v/>
      </c>
    </row>
    <row r="435" ht="22.5" customHeight="1">
      <c r="A435" s="76"/>
      <c r="B435" s="68" t="str">
        <f t="shared" si="1"/>
        <v/>
      </c>
      <c r="C435" s="110"/>
      <c r="D435" s="70" t="str">
        <f t="shared" si="2"/>
        <v/>
      </c>
      <c r="E435" s="76"/>
      <c r="F435" s="68" t="str">
        <f t="array" ref="F435">IF($A435="","",IFERROR(INDEX(MA_INDIVIDUALES!C$2:C923, MATCH($A435,MA_INDIVIDUALES!$B$2:$B923,0),1),"CÓDIGO DE EXPEDIENTE INVÁLIDO"))</f>
        <v/>
      </c>
      <c r="G435" s="68" t="str">
        <f t="array" ref="G435">IF($A435="","",IFERROR(INDEX(MA_INDIVIDUALES!K$2:K923, MATCH($A435,MA_INDIVIDUALES!$B$2:$B923,0),1),"CÓDIGO DE EXPEDIENTE INVÁLIDO"))</f>
        <v/>
      </c>
      <c r="H435" s="68" t="str">
        <f t="array" ref="H435">IF($A435="","",IFERROR(INDEX(MA_INDIVIDUALES!L$2:L923, MATCH($A435,MA_INDIVIDUALES!$B$2:$B923,0),1),"CÓDIGO DE EXPEDIENTE INVÁLIDO"))</f>
        <v/>
      </c>
      <c r="I435" s="76"/>
      <c r="J435" s="76"/>
      <c r="K435" s="75"/>
      <c r="L435" s="74" t="str">
        <f>IF(A435="","",IF(K435="","",_xlfn.WORKDAY.INTL(K435,5,1,FERIADOS)))</f>
        <v/>
      </c>
      <c r="M435" s="76"/>
      <c r="N435" s="75"/>
      <c r="O435" s="76"/>
      <c r="P435" s="77" t="str">
        <f t="shared" si="3"/>
        <v/>
      </c>
      <c r="Q435" s="75"/>
      <c r="R435" s="76"/>
      <c r="S435" s="75"/>
      <c r="T435" s="75"/>
      <c r="U435" s="76"/>
      <c r="V435" s="76"/>
      <c r="W435" s="75"/>
      <c r="X435" s="76"/>
      <c r="Y435" s="29" t="str">
        <f t="shared" si="4"/>
        <v/>
      </c>
      <c r="Z435" s="29" t="str">
        <f t="shared" si="5"/>
        <v/>
      </c>
      <c r="AA435" s="76"/>
      <c r="AB435" s="76"/>
      <c r="AC435" s="75"/>
      <c r="AD435" s="75"/>
      <c r="AE435" s="78" t="str">
        <f>IF(U435="","",IF(AD435="","",_xlfn.WORKDAY.INTL(AD435,7,1,FERIADOS)))</f>
        <v/>
      </c>
      <c r="AF435" s="104"/>
      <c r="AG435" s="80" t="str">
        <f t="array" ref="AG435">IF(A435="","",IF(AF435="","",AF435*INDEX(PARAMETROS!F$2:F1498,MATCH(YEAR(AC435),PARAMETROS!E$2:E1498,0),1)))</f>
        <v/>
      </c>
      <c r="AH435" s="81"/>
      <c r="AI435" s="82"/>
      <c r="AJ435" s="81"/>
      <c r="AK435" s="81"/>
      <c r="AL435" s="76"/>
      <c r="AM435" s="75"/>
      <c r="AN435" s="76"/>
      <c r="AO435" s="95"/>
      <c r="AP435" s="96"/>
      <c r="AQ435" s="85" t="str">
        <f t="shared" si="6"/>
        <v/>
      </c>
      <c r="AR435" s="86" t="str">
        <f t="array" ref="AR435">IF(A435="","",IFERROR(INDEX('2) Etapas'!L$3:L923,MATCH(B435,'2) Etapas'!$A$4:$A923,0),1),-1))</f>
        <v/>
      </c>
      <c r="AS435" s="87" t="str">
        <f t="shared" si="7"/>
        <v/>
      </c>
      <c r="AT435" s="87" t="str">
        <f t="shared" si="8"/>
        <v/>
      </c>
      <c r="AU435" s="87" t="str">
        <f t="shared" si="9"/>
        <v/>
      </c>
      <c r="AV435" s="89" t="str">
        <f t="array" ref="AV435">IF(OR($A435="",$AB435="", $AC435=""),"",MAXA(IF($A435=$A$4:$A923,$AC$4:$AC923)))</f>
        <v/>
      </c>
    </row>
    <row r="436" ht="22.5" customHeight="1">
      <c r="A436" s="76"/>
      <c r="B436" s="68" t="str">
        <f t="shared" si="1"/>
        <v/>
      </c>
      <c r="C436" s="110"/>
      <c r="D436" s="70" t="str">
        <f t="shared" si="2"/>
        <v/>
      </c>
      <c r="E436" s="76"/>
      <c r="F436" s="68" t="str">
        <f t="array" ref="F436">IF($A436="","",IFERROR(INDEX(MA_INDIVIDUALES!C$2:C923, MATCH($A436,MA_INDIVIDUALES!$B$2:$B923,0),1),"CÓDIGO DE EXPEDIENTE INVÁLIDO"))</f>
        <v/>
      </c>
      <c r="G436" s="68" t="str">
        <f t="array" ref="G436">IF($A436="","",IFERROR(INDEX(MA_INDIVIDUALES!K$2:K923, MATCH($A436,MA_INDIVIDUALES!$B$2:$B923,0),1),"CÓDIGO DE EXPEDIENTE INVÁLIDO"))</f>
        <v/>
      </c>
      <c r="H436" s="68" t="str">
        <f t="array" ref="H436">IF($A436="","",IFERROR(INDEX(MA_INDIVIDUALES!L$2:L923, MATCH($A436,MA_INDIVIDUALES!$B$2:$B923,0),1),"CÓDIGO DE EXPEDIENTE INVÁLIDO"))</f>
        <v/>
      </c>
      <c r="I436" s="76"/>
      <c r="J436" s="76"/>
      <c r="K436" s="75"/>
      <c r="L436" s="74" t="str">
        <f>IF(A436="","",IF(K436="","",_xlfn.WORKDAY.INTL(K436,5,1,FERIADOS)))</f>
        <v/>
      </c>
      <c r="M436" s="76"/>
      <c r="N436" s="75"/>
      <c r="O436" s="76"/>
      <c r="P436" s="77" t="str">
        <f t="shared" si="3"/>
        <v/>
      </c>
      <c r="Q436" s="75"/>
      <c r="R436" s="76"/>
      <c r="S436" s="75"/>
      <c r="T436" s="75"/>
      <c r="U436" s="76"/>
      <c r="V436" s="76"/>
      <c r="W436" s="75"/>
      <c r="X436" s="76"/>
      <c r="Y436" s="29" t="str">
        <f t="shared" si="4"/>
        <v/>
      </c>
      <c r="Z436" s="29" t="str">
        <f t="shared" si="5"/>
        <v/>
      </c>
      <c r="AA436" s="76"/>
      <c r="AB436" s="76"/>
      <c r="AC436" s="75"/>
      <c r="AD436" s="75"/>
      <c r="AE436" s="78" t="str">
        <f>IF(U436="","",IF(AD436="","",_xlfn.WORKDAY.INTL(AD436,7,1,FERIADOS)))</f>
        <v/>
      </c>
      <c r="AF436" s="104"/>
      <c r="AG436" s="80" t="str">
        <f t="array" ref="AG436">IF(A436="","",IF(AF436="","",AF436*INDEX(PARAMETROS!F$2:F1499,MATCH(YEAR(AC436),PARAMETROS!E$2:E1499,0),1)))</f>
        <v/>
      </c>
      <c r="AH436" s="81"/>
      <c r="AI436" s="82"/>
      <c r="AJ436" s="81"/>
      <c r="AK436" s="81"/>
      <c r="AL436" s="76"/>
      <c r="AM436" s="75"/>
      <c r="AN436" s="76"/>
      <c r="AO436" s="95"/>
      <c r="AP436" s="96"/>
      <c r="AQ436" s="85" t="str">
        <f t="shared" si="6"/>
        <v/>
      </c>
      <c r="AR436" s="86" t="str">
        <f t="array" ref="AR436">IF(A436="","",IFERROR(INDEX('2) Etapas'!L$3:L923,MATCH(B436,'2) Etapas'!$A$4:$A923,0),1),-1))</f>
        <v/>
      </c>
      <c r="AS436" s="87" t="str">
        <f t="shared" si="7"/>
        <v/>
      </c>
      <c r="AT436" s="87" t="str">
        <f t="shared" si="8"/>
        <v/>
      </c>
      <c r="AU436" s="87" t="str">
        <f t="shared" si="9"/>
        <v/>
      </c>
      <c r="AV436" s="89" t="str">
        <f t="array" ref="AV436">IF(OR($A436="",$AB436="", $AC436=""),"",MAXA(IF($A436=$A$4:$A923,$AC$4:$AC923)))</f>
        <v/>
      </c>
    </row>
    <row r="437" ht="22.5" customHeight="1">
      <c r="A437" s="76"/>
      <c r="B437" s="68" t="str">
        <f t="shared" si="1"/>
        <v/>
      </c>
      <c r="C437" s="110"/>
      <c r="D437" s="70" t="str">
        <f t="shared" si="2"/>
        <v/>
      </c>
      <c r="E437" s="76"/>
      <c r="F437" s="68" t="str">
        <f t="array" ref="F437">IF($A437="","",IFERROR(INDEX(MA_INDIVIDUALES!C$2:C923, MATCH($A437,MA_INDIVIDUALES!$B$2:$B923,0),1),"CÓDIGO DE EXPEDIENTE INVÁLIDO"))</f>
        <v/>
      </c>
      <c r="G437" s="68" t="str">
        <f t="array" ref="G437">IF($A437="","",IFERROR(INDEX(MA_INDIVIDUALES!K$2:K923, MATCH($A437,MA_INDIVIDUALES!$B$2:$B923,0),1),"CÓDIGO DE EXPEDIENTE INVÁLIDO"))</f>
        <v/>
      </c>
      <c r="H437" s="68" t="str">
        <f t="array" ref="H437">IF($A437="","",IFERROR(INDEX(MA_INDIVIDUALES!L$2:L923, MATCH($A437,MA_INDIVIDUALES!$B$2:$B923,0),1),"CÓDIGO DE EXPEDIENTE INVÁLIDO"))</f>
        <v/>
      </c>
      <c r="I437" s="76"/>
      <c r="J437" s="76"/>
      <c r="K437" s="75"/>
      <c r="L437" s="74" t="str">
        <f>IF(A437="","",IF(K437="","",_xlfn.WORKDAY.INTL(K437,5,1,FERIADOS)))</f>
        <v/>
      </c>
      <c r="M437" s="76"/>
      <c r="N437" s="75"/>
      <c r="O437" s="76"/>
      <c r="P437" s="77" t="str">
        <f t="shared" si="3"/>
        <v/>
      </c>
      <c r="Q437" s="75"/>
      <c r="R437" s="76"/>
      <c r="S437" s="75"/>
      <c r="T437" s="75"/>
      <c r="U437" s="76"/>
      <c r="V437" s="76"/>
      <c r="W437" s="75"/>
      <c r="X437" s="76"/>
      <c r="Y437" s="29" t="str">
        <f t="shared" si="4"/>
        <v/>
      </c>
      <c r="Z437" s="29" t="str">
        <f t="shared" si="5"/>
        <v/>
      </c>
      <c r="AA437" s="76"/>
      <c r="AB437" s="76"/>
      <c r="AC437" s="75"/>
      <c r="AD437" s="75"/>
      <c r="AE437" s="78" t="str">
        <f>IF(U437="","",IF(AD437="","",_xlfn.WORKDAY.INTL(AD437,7,1,FERIADOS)))</f>
        <v/>
      </c>
      <c r="AF437" s="104"/>
      <c r="AG437" s="80" t="str">
        <f t="array" ref="AG437">IF(A437="","",IF(AF437="","",AF437*INDEX(PARAMETROS!F$2:F1500,MATCH(YEAR(AC437),PARAMETROS!E$2:E1500,0),1)))</f>
        <v/>
      </c>
      <c r="AH437" s="81"/>
      <c r="AI437" s="82"/>
      <c r="AJ437" s="81"/>
      <c r="AK437" s="81"/>
      <c r="AL437" s="76"/>
      <c r="AM437" s="75"/>
      <c r="AN437" s="76"/>
      <c r="AO437" s="95"/>
      <c r="AP437" s="96"/>
      <c r="AQ437" s="85" t="str">
        <f t="shared" si="6"/>
        <v/>
      </c>
      <c r="AR437" s="86" t="str">
        <f t="array" ref="AR437">IF(A437="","",IFERROR(INDEX('2) Etapas'!L$3:L923,MATCH(B437,'2) Etapas'!$A$4:$A923,0),1),-1))</f>
        <v/>
      </c>
      <c r="AS437" s="87" t="str">
        <f t="shared" si="7"/>
        <v/>
      </c>
      <c r="AT437" s="87" t="str">
        <f t="shared" si="8"/>
        <v/>
      </c>
      <c r="AU437" s="87" t="str">
        <f t="shared" si="9"/>
        <v/>
      </c>
      <c r="AV437" s="89" t="str">
        <f t="array" ref="AV437">IF(OR($A437="",$AB437="", $AC437=""),"",MAXA(IF($A437=$A$4:$A923,$AC$4:$AC923)))</f>
        <v/>
      </c>
    </row>
    <row r="438" ht="22.5" customHeight="1">
      <c r="A438" s="76"/>
      <c r="B438" s="68" t="str">
        <f t="shared" si="1"/>
        <v/>
      </c>
      <c r="C438" s="110"/>
      <c r="D438" s="70" t="str">
        <f t="shared" si="2"/>
        <v/>
      </c>
      <c r="E438" s="76"/>
      <c r="F438" s="68" t="str">
        <f t="array" ref="F438">IF($A438="","",IFERROR(INDEX(MA_INDIVIDUALES!C$2:C923, MATCH($A438,MA_INDIVIDUALES!$B$2:$B923,0),1),"CÓDIGO DE EXPEDIENTE INVÁLIDO"))</f>
        <v/>
      </c>
      <c r="G438" s="68" t="str">
        <f t="array" ref="G438">IF($A438="","",IFERROR(INDEX(MA_INDIVIDUALES!K$2:K923, MATCH($A438,MA_INDIVIDUALES!$B$2:$B923,0),1),"CÓDIGO DE EXPEDIENTE INVÁLIDO"))</f>
        <v/>
      </c>
      <c r="H438" s="68" t="str">
        <f t="array" ref="H438">IF($A438="","",IFERROR(INDEX(MA_INDIVIDUALES!L$2:L923, MATCH($A438,MA_INDIVIDUALES!$B$2:$B923,0),1),"CÓDIGO DE EXPEDIENTE INVÁLIDO"))</f>
        <v/>
      </c>
      <c r="I438" s="76"/>
      <c r="J438" s="76"/>
      <c r="K438" s="75"/>
      <c r="L438" s="74" t="str">
        <f>IF(A438="","",IF(K438="","",_xlfn.WORKDAY.INTL(K438,5,1,FERIADOS)))</f>
        <v/>
      </c>
      <c r="M438" s="76"/>
      <c r="N438" s="75"/>
      <c r="O438" s="76"/>
      <c r="P438" s="77" t="str">
        <f t="shared" si="3"/>
        <v/>
      </c>
      <c r="Q438" s="75"/>
      <c r="R438" s="76"/>
      <c r="S438" s="75"/>
      <c r="T438" s="75"/>
      <c r="U438" s="76"/>
      <c r="V438" s="76"/>
      <c r="W438" s="75"/>
      <c r="X438" s="76"/>
      <c r="Y438" s="29" t="str">
        <f t="shared" si="4"/>
        <v/>
      </c>
      <c r="Z438" s="29" t="str">
        <f t="shared" si="5"/>
        <v/>
      </c>
      <c r="AA438" s="76"/>
      <c r="AB438" s="76"/>
      <c r="AC438" s="75"/>
      <c r="AD438" s="75"/>
      <c r="AE438" s="78" t="str">
        <f>IF(U438="","",IF(AD438="","",_xlfn.WORKDAY.INTL(AD438,7,1,FERIADOS)))</f>
        <v/>
      </c>
      <c r="AF438" s="104"/>
      <c r="AG438" s="80" t="str">
        <f t="array" ref="AG438">IF(A438="","",IF(AF438="","",AF438*INDEX(PARAMETROS!F$2:F1501,MATCH(YEAR(AC438),PARAMETROS!E$2:E1501,0),1)))</f>
        <v/>
      </c>
      <c r="AH438" s="81"/>
      <c r="AI438" s="82"/>
      <c r="AJ438" s="81"/>
      <c r="AK438" s="81"/>
      <c r="AL438" s="76"/>
      <c r="AM438" s="75"/>
      <c r="AN438" s="76"/>
      <c r="AO438" s="95"/>
      <c r="AP438" s="96"/>
      <c r="AQ438" s="85" t="str">
        <f t="shared" si="6"/>
        <v/>
      </c>
      <c r="AR438" s="86" t="str">
        <f t="array" ref="AR438">IF(A438="","",IFERROR(INDEX('2) Etapas'!L$3:L923,MATCH(B438,'2) Etapas'!$A$4:$A923,0),1),-1))</f>
        <v/>
      </c>
      <c r="AS438" s="87" t="str">
        <f t="shared" si="7"/>
        <v/>
      </c>
      <c r="AT438" s="87" t="str">
        <f t="shared" si="8"/>
        <v/>
      </c>
      <c r="AU438" s="87" t="str">
        <f t="shared" si="9"/>
        <v/>
      </c>
      <c r="AV438" s="89" t="str">
        <f t="array" ref="AV438">IF(OR($A438="",$AB438="", $AC438=""),"",MAXA(IF($A438=$A$4:$A923,$AC$4:$AC923)))</f>
        <v/>
      </c>
    </row>
    <row r="439" ht="22.5" customHeight="1">
      <c r="A439" s="76"/>
      <c r="B439" s="68" t="str">
        <f t="shared" si="1"/>
        <v/>
      </c>
      <c r="C439" s="110"/>
      <c r="D439" s="70" t="str">
        <f t="shared" si="2"/>
        <v/>
      </c>
      <c r="E439" s="76"/>
      <c r="F439" s="68" t="str">
        <f t="array" ref="F439">IF($A439="","",IFERROR(INDEX(MA_INDIVIDUALES!C$2:C923, MATCH($A439,MA_INDIVIDUALES!$B$2:$B923,0),1),"CÓDIGO DE EXPEDIENTE INVÁLIDO"))</f>
        <v/>
      </c>
      <c r="G439" s="68" t="str">
        <f t="array" ref="G439">IF($A439="","",IFERROR(INDEX(MA_INDIVIDUALES!K$2:K923, MATCH($A439,MA_INDIVIDUALES!$B$2:$B923,0),1),"CÓDIGO DE EXPEDIENTE INVÁLIDO"))</f>
        <v/>
      </c>
      <c r="H439" s="68" t="str">
        <f t="array" ref="H439">IF($A439="","",IFERROR(INDEX(MA_INDIVIDUALES!L$2:L923, MATCH($A439,MA_INDIVIDUALES!$B$2:$B923,0),1),"CÓDIGO DE EXPEDIENTE INVÁLIDO"))</f>
        <v/>
      </c>
      <c r="I439" s="76"/>
      <c r="J439" s="76"/>
      <c r="K439" s="75"/>
      <c r="L439" s="74" t="str">
        <f>IF(A439="","",IF(K439="","",_xlfn.WORKDAY.INTL(K439,5,1,FERIADOS)))</f>
        <v/>
      </c>
      <c r="M439" s="76"/>
      <c r="N439" s="75"/>
      <c r="O439" s="76"/>
      <c r="P439" s="77" t="str">
        <f t="shared" si="3"/>
        <v/>
      </c>
      <c r="Q439" s="75"/>
      <c r="R439" s="76"/>
      <c r="S439" s="75"/>
      <c r="T439" s="75"/>
      <c r="U439" s="76"/>
      <c r="V439" s="76"/>
      <c r="W439" s="75"/>
      <c r="X439" s="76"/>
      <c r="Y439" s="29" t="str">
        <f t="shared" si="4"/>
        <v/>
      </c>
      <c r="Z439" s="29" t="str">
        <f t="shared" si="5"/>
        <v/>
      </c>
      <c r="AA439" s="76"/>
      <c r="AB439" s="76"/>
      <c r="AC439" s="75"/>
      <c r="AD439" s="75"/>
      <c r="AE439" s="78" t="str">
        <f>IF(U439="","",IF(AD439="","",_xlfn.WORKDAY.INTL(AD439,7,1,FERIADOS)))</f>
        <v/>
      </c>
      <c r="AF439" s="104"/>
      <c r="AG439" s="80" t="str">
        <f t="array" ref="AG439">IF(A439="","",IF(AF439="","",AF439*INDEX(PARAMETROS!F$2:F1502,MATCH(YEAR(AC439),PARAMETROS!E$2:E1502,0),1)))</f>
        <v/>
      </c>
      <c r="AH439" s="81"/>
      <c r="AI439" s="82"/>
      <c r="AJ439" s="81"/>
      <c r="AK439" s="81"/>
      <c r="AL439" s="76"/>
      <c r="AM439" s="75"/>
      <c r="AN439" s="76"/>
      <c r="AO439" s="95"/>
      <c r="AP439" s="96"/>
      <c r="AQ439" s="85" t="str">
        <f t="shared" si="6"/>
        <v/>
      </c>
      <c r="AR439" s="86" t="str">
        <f t="array" ref="AR439">IF(A439="","",IFERROR(INDEX('2) Etapas'!L$3:L923,MATCH(B439,'2) Etapas'!$A$4:$A923,0),1),-1))</f>
        <v/>
      </c>
      <c r="AS439" s="87" t="str">
        <f t="shared" si="7"/>
        <v/>
      </c>
      <c r="AT439" s="87" t="str">
        <f t="shared" si="8"/>
        <v/>
      </c>
      <c r="AU439" s="87" t="str">
        <f t="shared" si="9"/>
        <v/>
      </c>
      <c r="AV439" s="89" t="str">
        <f t="array" ref="AV439">IF(OR($A439="",$AB439="", $AC439=""),"",MAXA(IF($A439=$A$4:$A923,$AC$4:$AC923)))</f>
        <v/>
      </c>
    </row>
    <row r="440" ht="22.5" customHeight="1">
      <c r="A440" s="76"/>
      <c r="B440" s="68" t="str">
        <f t="shared" si="1"/>
        <v/>
      </c>
      <c r="C440" s="110"/>
      <c r="D440" s="70" t="str">
        <f t="shared" si="2"/>
        <v/>
      </c>
      <c r="E440" s="76"/>
      <c r="F440" s="68" t="str">
        <f t="array" ref="F440">IF($A440="","",IFERROR(INDEX(MA_INDIVIDUALES!C$2:C923, MATCH($A440,MA_INDIVIDUALES!$B$2:$B923,0),1),"CÓDIGO DE EXPEDIENTE INVÁLIDO"))</f>
        <v/>
      </c>
      <c r="G440" s="68" t="str">
        <f t="array" ref="G440">IF($A440="","",IFERROR(INDEX(MA_INDIVIDUALES!K$2:K923, MATCH($A440,MA_INDIVIDUALES!$B$2:$B923,0),1),"CÓDIGO DE EXPEDIENTE INVÁLIDO"))</f>
        <v/>
      </c>
      <c r="H440" s="68" t="str">
        <f t="array" ref="H440">IF($A440="","",IFERROR(INDEX(MA_INDIVIDUALES!L$2:L923, MATCH($A440,MA_INDIVIDUALES!$B$2:$B923,0),1),"CÓDIGO DE EXPEDIENTE INVÁLIDO"))</f>
        <v/>
      </c>
      <c r="I440" s="76"/>
      <c r="J440" s="76"/>
      <c r="K440" s="75"/>
      <c r="L440" s="74" t="str">
        <f>IF(A440="","",IF(K440="","",_xlfn.WORKDAY.INTL(K440,5,1,FERIADOS)))</f>
        <v/>
      </c>
      <c r="M440" s="76"/>
      <c r="N440" s="75"/>
      <c r="O440" s="76"/>
      <c r="P440" s="77" t="str">
        <f t="shared" si="3"/>
        <v/>
      </c>
      <c r="Q440" s="75"/>
      <c r="R440" s="76"/>
      <c r="S440" s="75"/>
      <c r="T440" s="75"/>
      <c r="U440" s="76"/>
      <c r="V440" s="76"/>
      <c r="W440" s="75"/>
      <c r="X440" s="76"/>
      <c r="Y440" s="29" t="str">
        <f t="shared" si="4"/>
        <v/>
      </c>
      <c r="Z440" s="29" t="str">
        <f t="shared" si="5"/>
        <v/>
      </c>
      <c r="AA440" s="76"/>
      <c r="AB440" s="76"/>
      <c r="AC440" s="75"/>
      <c r="AD440" s="75"/>
      <c r="AE440" s="78" t="str">
        <f>IF(U440="","",IF(AD440="","",_xlfn.WORKDAY.INTL(AD440,7,1,FERIADOS)))</f>
        <v/>
      </c>
      <c r="AF440" s="104"/>
      <c r="AG440" s="80" t="str">
        <f t="array" ref="AG440">IF(A440="","",IF(AF440="","",AF440*INDEX(PARAMETROS!F$2:F1503,MATCH(YEAR(AC440),PARAMETROS!E$2:E1503,0),1)))</f>
        <v/>
      </c>
      <c r="AH440" s="81"/>
      <c r="AI440" s="82"/>
      <c r="AJ440" s="81"/>
      <c r="AK440" s="81"/>
      <c r="AL440" s="76"/>
      <c r="AM440" s="75"/>
      <c r="AN440" s="76"/>
      <c r="AO440" s="95"/>
      <c r="AP440" s="96"/>
      <c r="AQ440" s="85" t="str">
        <f t="shared" si="6"/>
        <v/>
      </c>
      <c r="AR440" s="86" t="str">
        <f t="array" ref="AR440">IF(A440="","",IFERROR(INDEX('2) Etapas'!L$3:L923,MATCH(B440,'2) Etapas'!$A$4:$A923,0),1),-1))</f>
        <v/>
      </c>
      <c r="AS440" s="87" t="str">
        <f t="shared" si="7"/>
        <v/>
      </c>
      <c r="AT440" s="87" t="str">
        <f t="shared" si="8"/>
        <v/>
      </c>
      <c r="AU440" s="87" t="str">
        <f t="shared" si="9"/>
        <v/>
      </c>
      <c r="AV440" s="89" t="str">
        <f t="array" ref="AV440">IF(OR($A440="",$AB440="", $AC440=""),"",MAXA(IF($A440=$A$4:$A923,$AC$4:$AC923)))</f>
        <v/>
      </c>
    </row>
    <row r="441" ht="22.5" customHeight="1">
      <c r="A441" s="76"/>
      <c r="B441" s="68" t="str">
        <f t="shared" si="1"/>
        <v/>
      </c>
      <c r="C441" s="110"/>
      <c r="D441" s="70" t="str">
        <f t="shared" si="2"/>
        <v/>
      </c>
      <c r="E441" s="76"/>
      <c r="F441" s="68" t="str">
        <f t="array" ref="F441">IF($A441="","",IFERROR(INDEX(MA_INDIVIDUALES!C$2:C923, MATCH($A441,MA_INDIVIDUALES!$B$2:$B923,0),1),"CÓDIGO DE EXPEDIENTE INVÁLIDO"))</f>
        <v/>
      </c>
      <c r="G441" s="68" t="str">
        <f t="array" ref="G441">IF($A441="","",IFERROR(INDEX(MA_INDIVIDUALES!K$2:K923, MATCH($A441,MA_INDIVIDUALES!$B$2:$B923,0),1),"CÓDIGO DE EXPEDIENTE INVÁLIDO"))</f>
        <v/>
      </c>
      <c r="H441" s="68" t="str">
        <f t="array" ref="H441">IF($A441="","",IFERROR(INDEX(MA_INDIVIDUALES!L$2:L923, MATCH($A441,MA_INDIVIDUALES!$B$2:$B923,0),1),"CÓDIGO DE EXPEDIENTE INVÁLIDO"))</f>
        <v/>
      </c>
      <c r="I441" s="76"/>
      <c r="J441" s="76"/>
      <c r="K441" s="75"/>
      <c r="L441" s="74" t="str">
        <f>IF(A441="","",IF(K441="","",_xlfn.WORKDAY.INTL(K441,5,1,FERIADOS)))</f>
        <v/>
      </c>
      <c r="M441" s="76"/>
      <c r="N441" s="75"/>
      <c r="O441" s="76"/>
      <c r="P441" s="77" t="str">
        <f t="shared" si="3"/>
        <v/>
      </c>
      <c r="Q441" s="75"/>
      <c r="R441" s="76"/>
      <c r="S441" s="75"/>
      <c r="T441" s="75"/>
      <c r="U441" s="76"/>
      <c r="V441" s="76"/>
      <c r="W441" s="75"/>
      <c r="X441" s="76"/>
      <c r="Y441" s="29" t="str">
        <f t="shared" si="4"/>
        <v/>
      </c>
      <c r="Z441" s="29" t="str">
        <f t="shared" si="5"/>
        <v/>
      </c>
      <c r="AA441" s="76"/>
      <c r="AB441" s="76"/>
      <c r="AC441" s="75"/>
      <c r="AD441" s="75"/>
      <c r="AE441" s="78" t="str">
        <f>IF(U441="","",IF(AD441="","",_xlfn.WORKDAY.INTL(AD441,7,1,FERIADOS)))</f>
        <v/>
      </c>
      <c r="AF441" s="104"/>
      <c r="AG441" s="80" t="str">
        <f t="array" ref="AG441">IF(A441="","",IF(AF441="","",AF441*INDEX(PARAMETROS!F$2:F1504,MATCH(YEAR(AC441),PARAMETROS!E$2:E1504,0),1)))</f>
        <v/>
      </c>
      <c r="AH441" s="81"/>
      <c r="AI441" s="82"/>
      <c r="AJ441" s="81"/>
      <c r="AK441" s="81"/>
      <c r="AL441" s="76"/>
      <c r="AM441" s="75"/>
      <c r="AN441" s="76"/>
      <c r="AO441" s="95"/>
      <c r="AP441" s="96"/>
      <c r="AQ441" s="85" t="str">
        <f t="shared" si="6"/>
        <v/>
      </c>
      <c r="AR441" s="86" t="str">
        <f t="array" ref="AR441">IF(A441="","",IFERROR(INDEX('2) Etapas'!L$3:L923,MATCH(B441,'2) Etapas'!$A$4:$A923,0),1),-1))</f>
        <v/>
      </c>
      <c r="AS441" s="87" t="str">
        <f t="shared" si="7"/>
        <v/>
      </c>
      <c r="AT441" s="87" t="str">
        <f t="shared" si="8"/>
        <v/>
      </c>
      <c r="AU441" s="87" t="str">
        <f t="shared" si="9"/>
        <v/>
      </c>
      <c r="AV441" s="89" t="str">
        <f t="array" ref="AV441">IF(OR($A441="",$AB441="", $AC441=""),"",MAXA(IF($A441=$A$4:$A923,$AC$4:$AC923)))</f>
        <v/>
      </c>
    </row>
    <row r="442" ht="22.5" customHeight="1">
      <c r="A442" s="76"/>
      <c r="B442" s="68" t="str">
        <f t="shared" si="1"/>
        <v/>
      </c>
      <c r="C442" s="110"/>
      <c r="D442" s="70" t="str">
        <f t="shared" si="2"/>
        <v/>
      </c>
      <c r="E442" s="76"/>
      <c r="F442" s="68" t="str">
        <f t="array" ref="F442">IF($A442="","",IFERROR(INDEX(MA_INDIVIDUALES!C$2:C923, MATCH($A442,MA_INDIVIDUALES!$B$2:$B923,0),1),"CÓDIGO DE EXPEDIENTE INVÁLIDO"))</f>
        <v/>
      </c>
      <c r="G442" s="68" t="str">
        <f t="array" ref="G442">IF($A442="","",IFERROR(INDEX(MA_INDIVIDUALES!K$2:K923, MATCH($A442,MA_INDIVIDUALES!$B$2:$B923,0),1),"CÓDIGO DE EXPEDIENTE INVÁLIDO"))</f>
        <v/>
      </c>
      <c r="H442" s="68" t="str">
        <f t="array" ref="H442">IF($A442="","",IFERROR(INDEX(MA_INDIVIDUALES!L$2:L923, MATCH($A442,MA_INDIVIDUALES!$B$2:$B923,0),1),"CÓDIGO DE EXPEDIENTE INVÁLIDO"))</f>
        <v/>
      </c>
      <c r="I442" s="76"/>
      <c r="J442" s="76"/>
      <c r="K442" s="75"/>
      <c r="L442" s="74" t="str">
        <f>IF(A442="","",IF(K442="","",_xlfn.WORKDAY.INTL(K442,5,1,FERIADOS)))</f>
        <v/>
      </c>
      <c r="M442" s="76"/>
      <c r="N442" s="75"/>
      <c r="O442" s="76"/>
      <c r="P442" s="77" t="str">
        <f t="shared" si="3"/>
        <v/>
      </c>
      <c r="Q442" s="75"/>
      <c r="R442" s="76"/>
      <c r="S442" s="75"/>
      <c r="T442" s="75"/>
      <c r="U442" s="76"/>
      <c r="V442" s="76"/>
      <c r="W442" s="75"/>
      <c r="X442" s="76"/>
      <c r="Y442" s="29" t="str">
        <f t="shared" si="4"/>
        <v/>
      </c>
      <c r="Z442" s="29" t="str">
        <f t="shared" si="5"/>
        <v/>
      </c>
      <c r="AA442" s="76"/>
      <c r="AB442" s="76"/>
      <c r="AC442" s="75"/>
      <c r="AD442" s="75"/>
      <c r="AE442" s="78" t="str">
        <f>IF(U442="","",IF(AD442="","",_xlfn.WORKDAY.INTL(AD442,7,1,FERIADOS)))</f>
        <v/>
      </c>
      <c r="AF442" s="104"/>
      <c r="AG442" s="80" t="str">
        <f t="array" ref="AG442">IF(A442="","",IF(AF442="","",AF442*INDEX(PARAMETROS!F$2:F1505,MATCH(YEAR(AC442),PARAMETROS!E$2:E1505,0),1)))</f>
        <v/>
      </c>
      <c r="AH442" s="81"/>
      <c r="AI442" s="82"/>
      <c r="AJ442" s="81"/>
      <c r="AK442" s="81"/>
      <c r="AL442" s="76"/>
      <c r="AM442" s="75"/>
      <c r="AN442" s="76"/>
      <c r="AO442" s="95"/>
      <c r="AP442" s="96"/>
      <c r="AQ442" s="85" t="str">
        <f t="shared" si="6"/>
        <v/>
      </c>
      <c r="AR442" s="86" t="str">
        <f t="array" ref="AR442">IF(A442="","",IFERROR(INDEX('2) Etapas'!L$3:L923,MATCH(B442,'2) Etapas'!$A$4:$A923,0),1),-1))</f>
        <v/>
      </c>
      <c r="AS442" s="87" t="str">
        <f t="shared" si="7"/>
        <v/>
      </c>
      <c r="AT442" s="87" t="str">
        <f t="shared" si="8"/>
        <v/>
      </c>
      <c r="AU442" s="87" t="str">
        <f t="shared" si="9"/>
        <v/>
      </c>
      <c r="AV442" s="89" t="str">
        <f t="array" ref="AV442">IF(OR($A442="",$AB442="", $AC442=""),"",MAXA(IF($A442=$A$4:$A923,$AC$4:$AC923)))</f>
        <v/>
      </c>
    </row>
    <row r="443" ht="22.5" customHeight="1">
      <c r="A443" s="76"/>
      <c r="B443" s="68" t="str">
        <f t="shared" si="1"/>
        <v/>
      </c>
      <c r="C443" s="110"/>
      <c r="D443" s="70" t="str">
        <f t="shared" si="2"/>
        <v/>
      </c>
      <c r="E443" s="76"/>
      <c r="F443" s="68" t="str">
        <f t="array" ref="F443">IF($A443="","",IFERROR(INDEX(MA_INDIVIDUALES!C$2:C923, MATCH($A443,MA_INDIVIDUALES!$B$2:$B923,0),1),"CÓDIGO DE EXPEDIENTE INVÁLIDO"))</f>
        <v/>
      </c>
      <c r="G443" s="68" t="str">
        <f t="array" ref="G443">IF($A443="","",IFERROR(INDEX(MA_INDIVIDUALES!K$2:K923, MATCH($A443,MA_INDIVIDUALES!$B$2:$B923,0),1),"CÓDIGO DE EXPEDIENTE INVÁLIDO"))</f>
        <v/>
      </c>
      <c r="H443" s="68" t="str">
        <f t="array" ref="H443">IF($A443="","",IFERROR(INDEX(MA_INDIVIDUALES!L$2:L923, MATCH($A443,MA_INDIVIDUALES!$B$2:$B923,0),1),"CÓDIGO DE EXPEDIENTE INVÁLIDO"))</f>
        <v/>
      </c>
      <c r="I443" s="76"/>
      <c r="J443" s="76"/>
      <c r="K443" s="75"/>
      <c r="L443" s="74" t="str">
        <f>IF(A443="","",IF(K443="","",_xlfn.WORKDAY.INTL(K443,5,1,FERIADOS)))</f>
        <v/>
      </c>
      <c r="M443" s="76"/>
      <c r="N443" s="75"/>
      <c r="O443" s="76"/>
      <c r="P443" s="77" t="str">
        <f t="shared" si="3"/>
        <v/>
      </c>
      <c r="Q443" s="75"/>
      <c r="R443" s="76"/>
      <c r="S443" s="75"/>
      <c r="T443" s="75"/>
      <c r="U443" s="76"/>
      <c r="V443" s="76"/>
      <c r="W443" s="75"/>
      <c r="X443" s="76"/>
      <c r="Y443" s="29" t="str">
        <f t="shared" si="4"/>
        <v/>
      </c>
      <c r="Z443" s="29" t="str">
        <f t="shared" si="5"/>
        <v/>
      </c>
      <c r="AA443" s="76"/>
      <c r="AB443" s="76"/>
      <c r="AC443" s="75"/>
      <c r="AD443" s="75"/>
      <c r="AE443" s="78" t="str">
        <f>IF(U443="","",IF(AD443="","",_xlfn.WORKDAY.INTL(AD443,7,1,FERIADOS)))</f>
        <v/>
      </c>
      <c r="AF443" s="104"/>
      <c r="AG443" s="80" t="str">
        <f t="array" ref="AG443">IF(A443="","",IF(AF443="","",AF443*INDEX(PARAMETROS!F$2:F1506,MATCH(YEAR(AC443),PARAMETROS!E$2:E1506,0),1)))</f>
        <v/>
      </c>
      <c r="AH443" s="81"/>
      <c r="AI443" s="82"/>
      <c r="AJ443" s="81"/>
      <c r="AK443" s="81"/>
      <c r="AL443" s="76"/>
      <c r="AM443" s="75"/>
      <c r="AN443" s="76"/>
      <c r="AO443" s="95"/>
      <c r="AP443" s="96"/>
      <c r="AQ443" s="85" t="str">
        <f t="shared" si="6"/>
        <v/>
      </c>
      <c r="AR443" s="86" t="str">
        <f t="array" ref="AR443">IF(A443="","",IFERROR(INDEX('2) Etapas'!L$3:L923,MATCH(B443,'2) Etapas'!$A$4:$A923,0),1),-1))</f>
        <v/>
      </c>
      <c r="AS443" s="87" t="str">
        <f t="shared" si="7"/>
        <v/>
      </c>
      <c r="AT443" s="87" t="str">
        <f t="shared" si="8"/>
        <v/>
      </c>
      <c r="AU443" s="87" t="str">
        <f t="shared" si="9"/>
        <v/>
      </c>
      <c r="AV443" s="89" t="str">
        <f t="array" ref="AV443">IF(OR($A443="",$AB443="", $AC443=""),"",MAXA(IF($A443=$A$4:$A923,$AC$4:$AC923)))</f>
        <v/>
      </c>
    </row>
    <row r="444" ht="22.5" customHeight="1">
      <c r="A444" s="76"/>
      <c r="B444" s="68" t="str">
        <f t="shared" si="1"/>
        <v/>
      </c>
      <c r="C444" s="110"/>
      <c r="D444" s="70" t="str">
        <f t="shared" si="2"/>
        <v/>
      </c>
      <c r="E444" s="76"/>
      <c r="F444" s="68" t="str">
        <f t="array" ref="F444">IF($A444="","",IFERROR(INDEX(MA_INDIVIDUALES!C$2:C923, MATCH($A444,MA_INDIVIDUALES!$B$2:$B923,0),1),"CÓDIGO DE EXPEDIENTE INVÁLIDO"))</f>
        <v/>
      </c>
      <c r="G444" s="68" t="str">
        <f t="array" ref="G444">IF($A444="","",IFERROR(INDEX(MA_INDIVIDUALES!K$2:K923, MATCH($A444,MA_INDIVIDUALES!$B$2:$B923,0),1),"CÓDIGO DE EXPEDIENTE INVÁLIDO"))</f>
        <v/>
      </c>
      <c r="H444" s="68" t="str">
        <f t="array" ref="H444">IF($A444="","",IFERROR(INDEX(MA_INDIVIDUALES!L$2:L923, MATCH($A444,MA_INDIVIDUALES!$B$2:$B923,0),1),"CÓDIGO DE EXPEDIENTE INVÁLIDO"))</f>
        <v/>
      </c>
      <c r="I444" s="76"/>
      <c r="J444" s="76"/>
      <c r="K444" s="75"/>
      <c r="L444" s="74" t="str">
        <f>IF(A444="","",IF(K444="","",_xlfn.WORKDAY.INTL(K444,5,1,FERIADOS)))</f>
        <v/>
      </c>
      <c r="M444" s="76"/>
      <c r="N444" s="75"/>
      <c r="O444" s="76"/>
      <c r="P444" s="77" t="str">
        <f t="shared" si="3"/>
        <v/>
      </c>
      <c r="Q444" s="75"/>
      <c r="R444" s="76"/>
      <c r="S444" s="75"/>
      <c r="T444" s="75"/>
      <c r="U444" s="76"/>
      <c r="V444" s="76"/>
      <c r="W444" s="75"/>
      <c r="X444" s="76"/>
      <c r="Y444" s="29" t="str">
        <f t="shared" si="4"/>
        <v/>
      </c>
      <c r="Z444" s="29" t="str">
        <f t="shared" si="5"/>
        <v/>
      </c>
      <c r="AA444" s="76"/>
      <c r="AB444" s="76"/>
      <c r="AC444" s="75"/>
      <c r="AD444" s="75"/>
      <c r="AE444" s="78" t="str">
        <f>IF(U444="","",IF(AD444="","",_xlfn.WORKDAY.INTL(AD444,7,1,FERIADOS)))</f>
        <v/>
      </c>
      <c r="AF444" s="104"/>
      <c r="AG444" s="80" t="str">
        <f t="array" ref="AG444">IF(A444="","",IF(AF444="","",AF444*INDEX(PARAMETROS!F$2:F1507,MATCH(YEAR(AC444),PARAMETROS!E$2:E1507,0),1)))</f>
        <v/>
      </c>
      <c r="AH444" s="81"/>
      <c r="AI444" s="82"/>
      <c r="AJ444" s="81"/>
      <c r="AK444" s="81"/>
      <c r="AL444" s="76"/>
      <c r="AM444" s="75"/>
      <c r="AN444" s="76"/>
      <c r="AO444" s="95"/>
      <c r="AP444" s="96"/>
      <c r="AQ444" s="85" t="str">
        <f t="shared" si="6"/>
        <v/>
      </c>
      <c r="AR444" s="86" t="str">
        <f t="array" ref="AR444">IF(A444="","",IFERROR(INDEX('2) Etapas'!L$3:L923,MATCH(B444,'2) Etapas'!$A$4:$A923,0),1),-1))</f>
        <v/>
      </c>
      <c r="AS444" s="87" t="str">
        <f t="shared" si="7"/>
        <v/>
      </c>
      <c r="AT444" s="87" t="str">
        <f t="shared" si="8"/>
        <v/>
      </c>
      <c r="AU444" s="87" t="str">
        <f t="shared" si="9"/>
        <v/>
      </c>
      <c r="AV444" s="89" t="str">
        <f t="array" ref="AV444">IF(OR($A444="",$AB444="", $AC444=""),"",MAXA(IF($A444=$A$4:$A923,$AC$4:$AC923)))</f>
        <v/>
      </c>
    </row>
    <row r="445" ht="22.5" customHeight="1">
      <c r="A445" s="76"/>
      <c r="B445" s="68" t="str">
        <f t="shared" si="1"/>
        <v/>
      </c>
      <c r="C445" s="110"/>
      <c r="D445" s="70" t="str">
        <f t="shared" si="2"/>
        <v/>
      </c>
      <c r="E445" s="76"/>
      <c r="F445" s="68" t="str">
        <f t="array" ref="F445">IF($A445="","",IFERROR(INDEX(MA_INDIVIDUALES!C$2:C923, MATCH($A445,MA_INDIVIDUALES!$B$2:$B923,0),1),"CÓDIGO DE EXPEDIENTE INVÁLIDO"))</f>
        <v/>
      </c>
      <c r="G445" s="68" t="str">
        <f t="array" ref="G445">IF($A445="","",IFERROR(INDEX(MA_INDIVIDUALES!K$2:K923, MATCH($A445,MA_INDIVIDUALES!$B$2:$B923,0),1),"CÓDIGO DE EXPEDIENTE INVÁLIDO"))</f>
        <v/>
      </c>
      <c r="H445" s="68" t="str">
        <f t="array" ref="H445">IF($A445="","",IFERROR(INDEX(MA_INDIVIDUALES!L$2:L923, MATCH($A445,MA_INDIVIDUALES!$B$2:$B923,0),1),"CÓDIGO DE EXPEDIENTE INVÁLIDO"))</f>
        <v/>
      </c>
      <c r="I445" s="76"/>
      <c r="J445" s="76"/>
      <c r="K445" s="75"/>
      <c r="L445" s="74" t="str">
        <f>IF(A445="","",IF(K445="","",_xlfn.WORKDAY.INTL(K445,5,1,FERIADOS)))</f>
        <v/>
      </c>
      <c r="M445" s="76"/>
      <c r="N445" s="75"/>
      <c r="O445" s="76"/>
      <c r="P445" s="77" t="str">
        <f t="shared" si="3"/>
        <v/>
      </c>
      <c r="Q445" s="75"/>
      <c r="R445" s="76"/>
      <c r="S445" s="75"/>
      <c r="T445" s="75"/>
      <c r="U445" s="76"/>
      <c r="V445" s="76"/>
      <c r="W445" s="75"/>
      <c r="X445" s="76"/>
      <c r="Y445" s="29" t="str">
        <f t="shared" si="4"/>
        <v/>
      </c>
      <c r="Z445" s="29" t="str">
        <f t="shared" si="5"/>
        <v/>
      </c>
      <c r="AA445" s="76"/>
      <c r="AB445" s="76"/>
      <c r="AC445" s="75"/>
      <c r="AD445" s="75"/>
      <c r="AE445" s="78" t="str">
        <f>IF(U445="","",IF(AD445="","",_xlfn.WORKDAY.INTL(AD445,7,1,FERIADOS)))</f>
        <v/>
      </c>
      <c r="AF445" s="104"/>
      <c r="AG445" s="80" t="str">
        <f t="array" ref="AG445">IF(A445="","",IF(AF445="","",AF445*INDEX(PARAMETROS!F$2:F1508,MATCH(YEAR(AC445),PARAMETROS!E$2:E1508,0),1)))</f>
        <v/>
      </c>
      <c r="AH445" s="81"/>
      <c r="AI445" s="82"/>
      <c r="AJ445" s="81"/>
      <c r="AK445" s="81"/>
      <c r="AL445" s="76"/>
      <c r="AM445" s="75"/>
      <c r="AN445" s="76"/>
      <c r="AO445" s="95"/>
      <c r="AP445" s="96"/>
      <c r="AQ445" s="85" t="str">
        <f t="shared" si="6"/>
        <v/>
      </c>
      <c r="AR445" s="86" t="str">
        <f t="array" ref="AR445">IF(A445="","",IFERROR(INDEX('2) Etapas'!L$3:L923,MATCH(B445,'2) Etapas'!$A$4:$A923,0),1),-1))</f>
        <v/>
      </c>
      <c r="AS445" s="87" t="str">
        <f t="shared" si="7"/>
        <v/>
      </c>
      <c r="AT445" s="87" t="str">
        <f t="shared" si="8"/>
        <v/>
      </c>
      <c r="AU445" s="87" t="str">
        <f t="shared" si="9"/>
        <v/>
      </c>
      <c r="AV445" s="89" t="str">
        <f t="array" ref="AV445">IF(OR($A445="",$AB445="", $AC445=""),"",MAXA(IF($A445=$A$4:$A923,$AC$4:$AC923)))</f>
        <v/>
      </c>
    </row>
    <row r="446" ht="22.5" customHeight="1">
      <c r="A446" s="76"/>
      <c r="B446" s="68" t="str">
        <f t="shared" si="1"/>
        <v/>
      </c>
      <c r="C446" s="110"/>
      <c r="D446" s="70" t="str">
        <f t="shared" si="2"/>
        <v/>
      </c>
      <c r="E446" s="76"/>
      <c r="F446" s="68" t="str">
        <f t="array" ref="F446">IF($A446="","",IFERROR(INDEX(MA_INDIVIDUALES!C$2:C923, MATCH($A446,MA_INDIVIDUALES!$B$2:$B923,0),1),"CÓDIGO DE EXPEDIENTE INVÁLIDO"))</f>
        <v/>
      </c>
      <c r="G446" s="68" t="str">
        <f t="array" ref="G446">IF($A446="","",IFERROR(INDEX(MA_INDIVIDUALES!K$2:K923, MATCH($A446,MA_INDIVIDUALES!$B$2:$B923,0),1),"CÓDIGO DE EXPEDIENTE INVÁLIDO"))</f>
        <v/>
      </c>
      <c r="H446" s="68" t="str">
        <f t="array" ref="H446">IF($A446="","",IFERROR(INDEX(MA_INDIVIDUALES!L$2:L923, MATCH($A446,MA_INDIVIDUALES!$B$2:$B923,0),1),"CÓDIGO DE EXPEDIENTE INVÁLIDO"))</f>
        <v/>
      </c>
      <c r="I446" s="76"/>
      <c r="J446" s="76"/>
      <c r="K446" s="75"/>
      <c r="L446" s="74" t="str">
        <f>IF(A446="","",IF(K446="","",_xlfn.WORKDAY.INTL(K446,5,1,FERIADOS)))</f>
        <v/>
      </c>
      <c r="M446" s="76"/>
      <c r="N446" s="75"/>
      <c r="O446" s="76"/>
      <c r="P446" s="77" t="str">
        <f t="shared" si="3"/>
        <v/>
      </c>
      <c r="Q446" s="75"/>
      <c r="R446" s="76"/>
      <c r="S446" s="75"/>
      <c r="T446" s="75"/>
      <c r="U446" s="76"/>
      <c r="V446" s="76"/>
      <c r="W446" s="75"/>
      <c r="X446" s="76"/>
      <c r="Y446" s="29" t="str">
        <f t="shared" si="4"/>
        <v/>
      </c>
      <c r="Z446" s="29" t="str">
        <f t="shared" si="5"/>
        <v/>
      </c>
      <c r="AA446" s="76"/>
      <c r="AB446" s="76"/>
      <c r="AC446" s="75"/>
      <c r="AD446" s="75"/>
      <c r="AE446" s="78" t="str">
        <f>IF(U446="","",IF(AD446="","",_xlfn.WORKDAY.INTL(AD446,7,1,FERIADOS)))</f>
        <v/>
      </c>
      <c r="AF446" s="104"/>
      <c r="AG446" s="80" t="str">
        <f t="array" ref="AG446">IF(A446="","",IF(AF446="","",AF446*INDEX(PARAMETROS!F$2:F1509,MATCH(YEAR(AC446),PARAMETROS!E$2:E1509,0),1)))</f>
        <v/>
      </c>
      <c r="AH446" s="81"/>
      <c r="AI446" s="82"/>
      <c r="AJ446" s="81"/>
      <c r="AK446" s="81"/>
      <c r="AL446" s="76"/>
      <c r="AM446" s="75"/>
      <c r="AN446" s="76"/>
      <c r="AO446" s="95"/>
      <c r="AP446" s="96"/>
      <c r="AQ446" s="85" t="str">
        <f t="shared" si="6"/>
        <v/>
      </c>
      <c r="AR446" s="86" t="str">
        <f t="array" ref="AR446">IF(A446="","",IFERROR(INDEX('2) Etapas'!L$3:L923,MATCH(B446,'2) Etapas'!$A$4:$A923,0),1),-1))</f>
        <v/>
      </c>
      <c r="AS446" s="87" t="str">
        <f t="shared" si="7"/>
        <v/>
      </c>
      <c r="AT446" s="87" t="str">
        <f t="shared" si="8"/>
        <v/>
      </c>
      <c r="AU446" s="87" t="str">
        <f t="shared" si="9"/>
        <v/>
      </c>
      <c r="AV446" s="89" t="str">
        <f t="array" ref="AV446">IF(OR($A446="",$AB446="", $AC446=""),"",MAXA(IF($A446=$A$4:$A923,$AC$4:$AC923)))</f>
        <v/>
      </c>
    </row>
    <row r="447" ht="22.5" customHeight="1">
      <c r="A447" s="76"/>
      <c r="B447" s="68" t="str">
        <f t="shared" si="1"/>
        <v/>
      </c>
      <c r="C447" s="110"/>
      <c r="D447" s="70" t="str">
        <f t="shared" si="2"/>
        <v/>
      </c>
      <c r="E447" s="76"/>
      <c r="F447" s="68" t="str">
        <f t="array" ref="F447">IF($A447="","",IFERROR(INDEX(MA_INDIVIDUALES!C$2:C923, MATCH($A447,MA_INDIVIDUALES!$B$2:$B923,0),1),"CÓDIGO DE EXPEDIENTE INVÁLIDO"))</f>
        <v/>
      </c>
      <c r="G447" s="68" t="str">
        <f t="array" ref="G447">IF($A447="","",IFERROR(INDEX(MA_INDIVIDUALES!K$2:K923, MATCH($A447,MA_INDIVIDUALES!$B$2:$B923,0),1),"CÓDIGO DE EXPEDIENTE INVÁLIDO"))</f>
        <v/>
      </c>
      <c r="H447" s="68" t="str">
        <f t="array" ref="H447">IF($A447="","",IFERROR(INDEX(MA_INDIVIDUALES!L$2:L923, MATCH($A447,MA_INDIVIDUALES!$B$2:$B923,0),1),"CÓDIGO DE EXPEDIENTE INVÁLIDO"))</f>
        <v/>
      </c>
      <c r="I447" s="76"/>
      <c r="J447" s="76"/>
      <c r="K447" s="75"/>
      <c r="L447" s="74" t="str">
        <f>IF(A447="","",IF(K447="","",_xlfn.WORKDAY.INTL(K447,5,1,FERIADOS)))</f>
        <v/>
      </c>
      <c r="M447" s="76"/>
      <c r="N447" s="75"/>
      <c r="O447" s="76"/>
      <c r="P447" s="77" t="str">
        <f t="shared" si="3"/>
        <v/>
      </c>
      <c r="Q447" s="75"/>
      <c r="R447" s="76"/>
      <c r="S447" s="75"/>
      <c r="T447" s="75"/>
      <c r="U447" s="76"/>
      <c r="V447" s="76"/>
      <c r="W447" s="75"/>
      <c r="X447" s="76"/>
      <c r="Y447" s="29" t="str">
        <f t="shared" si="4"/>
        <v/>
      </c>
      <c r="Z447" s="29" t="str">
        <f t="shared" si="5"/>
        <v/>
      </c>
      <c r="AA447" s="76"/>
      <c r="AB447" s="76"/>
      <c r="AC447" s="75"/>
      <c r="AD447" s="75"/>
      <c r="AE447" s="78" t="str">
        <f>IF(U447="","",IF(AD447="","",_xlfn.WORKDAY.INTL(AD447,7,1,FERIADOS)))</f>
        <v/>
      </c>
      <c r="AF447" s="104"/>
      <c r="AG447" s="80" t="str">
        <f t="array" ref="AG447">IF(A447="","",IF(AF447="","",AF447*INDEX(PARAMETROS!F$2:F1510,MATCH(YEAR(AC447),PARAMETROS!E$2:E1510,0),1)))</f>
        <v/>
      </c>
      <c r="AH447" s="81"/>
      <c r="AI447" s="82"/>
      <c r="AJ447" s="81"/>
      <c r="AK447" s="81"/>
      <c r="AL447" s="76"/>
      <c r="AM447" s="75"/>
      <c r="AN447" s="76"/>
      <c r="AO447" s="95"/>
      <c r="AP447" s="96"/>
      <c r="AQ447" s="85" t="str">
        <f t="shared" si="6"/>
        <v/>
      </c>
      <c r="AR447" s="86" t="str">
        <f t="array" ref="AR447">IF(A447="","",IFERROR(INDEX('2) Etapas'!L$3:L923,MATCH(B447,'2) Etapas'!$A$4:$A923,0),1),-1))</f>
        <v/>
      </c>
      <c r="AS447" s="87" t="str">
        <f t="shared" si="7"/>
        <v/>
      </c>
      <c r="AT447" s="87" t="str">
        <f t="shared" si="8"/>
        <v/>
      </c>
      <c r="AU447" s="87" t="str">
        <f t="shared" si="9"/>
        <v/>
      </c>
      <c r="AV447" s="89" t="str">
        <f t="array" ref="AV447">IF(OR($A447="",$AB447="", $AC447=""),"",MAXA(IF($A447=$A$4:$A923,$AC$4:$AC923)))</f>
        <v/>
      </c>
    </row>
    <row r="448" ht="22.5" customHeight="1">
      <c r="A448" s="76"/>
      <c r="B448" s="68" t="str">
        <f t="shared" si="1"/>
        <v/>
      </c>
      <c r="C448" s="110"/>
      <c r="D448" s="70" t="str">
        <f t="shared" si="2"/>
        <v/>
      </c>
      <c r="E448" s="76"/>
      <c r="F448" s="68" t="str">
        <f t="array" ref="F448">IF($A448="","",IFERROR(INDEX(MA_INDIVIDUALES!C$2:C923, MATCH($A448,MA_INDIVIDUALES!$B$2:$B923,0),1),"CÓDIGO DE EXPEDIENTE INVÁLIDO"))</f>
        <v/>
      </c>
      <c r="G448" s="68" t="str">
        <f t="array" ref="G448">IF($A448="","",IFERROR(INDEX(MA_INDIVIDUALES!K$2:K923, MATCH($A448,MA_INDIVIDUALES!$B$2:$B923,0),1),"CÓDIGO DE EXPEDIENTE INVÁLIDO"))</f>
        <v/>
      </c>
      <c r="H448" s="68" t="str">
        <f t="array" ref="H448">IF($A448="","",IFERROR(INDEX(MA_INDIVIDUALES!L$2:L923, MATCH($A448,MA_INDIVIDUALES!$B$2:$B923,0),1),"CÓDIGO DE EXPEDIENTE INVÁLIDO"))</f>
        <v/>
      </c>
      <c r="I448" s="76"/>
      <c r="J448" s="76"/>
      <c r="K448" s="75"/>
      <c r="L448" s="74" t="str">
        <f>IF(A448="","",IF(K448="","",_xlfn.WORKDAY.INTL(K448,5,1,FERIADOS)))</f>
        <v/>
      </c>
      <c r="M448" s="76"/>
      <c r="N448" s="75"/>
      <c r="O448" s="76"/>
      <c r="P448" s="77" t="str">
        <f t="shared" si="3"/>
        <v/>
      </c>
      <c r="Q448" s="75"/>
      <c r="R448" s="76"/>
      <c r="S448" s="75"/>
      <c r="T448" s="75"/>
      <c r="U448" s="76"/>
      <c r="V448" s="76"/>
      <c r="W448" s="75"/>
      <c r="X448" s="76"/>
      <c r="Y448" s="29" t="str">
        <f t="shared" si="4"/>
        <v/>
      </c>
      <c r="Z448" s="29" t="str">
        <f t="shared" si="5"/>
        <v/>
      </c>
      <c r="AA448" s="76"/>
      <c r="AB448" s="76"/>
      <c r="AC448" s="75"/>
      <c r="AD448" s="75"/>
      <c r="AE448" s="78" t="str">
        <f>IF(U448="","",IF(AD448="","",_xlfn.WORKDAY.INTL(AD448,7,1,FERIADOS)))</f>
        <v/>
      </c>
      <c r="AF448" s="104"/>
      <c r="AG448" s="80" t="str">
        <f t="array" ref="AG448">IF(A448="","",IF(AF448="","",AF448*INDEX(PARAMETROS!F$2:F1511,MATCH(YEAR(AC448),PARAMETROS!E$2:E1511,0),1)))</f>
        <v/>
      </c>
      <c r="AH448" s="81"/>
      <c r="AI448" s="82"/>
      <c r="AJ448" s="81"/>
      <c r="AK448" s="81"/>
      <c r="AL448" s="76"/>
      <c r="AM448" s="75"/>
      <c r="AN448" s="76"/>
      <c r="AO448" s="95"/>
      <c r="AP448" s="96"/>
      <c r="AQ448" s="85" t="str">
        <f t="shared" si="6"/>
        <v/>
      </c>
      <c r="AR448" s="86" t="str">
        <f t="array" ref="AR448">IF(A448="","",IFERROR(INDEX('2) Etapas'!L$3:L923,MATCH(B448,'2) Etapas'!$A$4:$A923,0),1),-1))</f>
        <v/>
      </c>
      <c r="AS448" s="87" t="str">
        <f t="shared" si="7"/>
        <v/>
      </c>
      <c r="AT448" s="87" t="str">
        <f t="shared" si="8"/>
        <v/>
      </c>
      <c r="AU448" s="87" t="str">
        <f t="shared" si="9"/>
        <v/>
      </c>
      <c r="AV448" s="89" t="str">
        <f t="array" ref="AV448">IF(OR($A448="",$AB448="", $AC448=""),"",MAXA(IF($A448=$A$4:$A923,$AC$4:$AC923)))</f>
        <v/>
      </c>
    </row>
    <row r="449" ht="22.5" customHeight="1">
      <c r="A449" s="76"/>
      <c r="B449" s="68" t="str">
        <f t="shared" si="1"/>
        <v/>
      </c>
      <c r="C449" s="110"/>
      <c r="D449" s="70" t="str">
        <f t="shared" si="2"/>
        <v/>
      </c>
      <c r="E449" s="76"/>
      <c r="F449" s="68" t="str">
        <f t="array" ref="F449">IF($A449="","",IFERROR(INDEX(MA_INDIVIDUALES!C$2:C923, MATCH($A449,MA_INDIVIDUALES!$B$2:$B923,0),1),"CÓDIGO DE EXPEDIENTE INVÁLIDO"))</f>
        <v/>
      </c>
      <c r="G449" s="68" t="str">
        <f t="array" ref="G449">IF($A449="","",IFERROR(INDEX(MA_INDIVIDUALES!K$2:K923, MATCH($A449,MA_INDIVIDUALES!$B$2:$B923,0),1),"CÓDIGO DE EXPEDIENTE INVÁLIDO"))</f>
        <v/>
      </c>
      <c r="H449" s="68" t="str">
        <f t="array" ref="H449">IF($A449="","",IFERROR(INDEX(MA_INDIVIDUALES!L$2:L923, MATCH($A449,MA_INDIVIDUALES!$B$2:$B923,0),1),"CÓDIGO DE EXPEDIENTE INVÁLIDO"))</f>
        <v/>
      </c>
      <c r="I449" s="76"/>
      <c r="J449" s="76"/>
      <c r="K449" s="75"/>
      <c r="L449" s="74" t="str">
        <f>IF(A449="","",IF(K449="","",_xlfn.WORKDAY.INTL(K449,5,1,FERIADOS)))</f>
        <v/>
      </c>
      <c r="M449" s="76"/>
      <c r="N449" s="75"/>
      <c r="O449" s="76"/>
      <c r="P449" s="77" t="str">
        <f t="shared" si="3"/>
        <v/>
      </c>
      <c r="Q449" s="75"/>
      <c r="R449" s="76"/>
      <c r="S449" s="75"/>
      <c r="T449" s="75"/>
      <c r="U449" s="76"/>
      <c r="V449" s="76"/>
      <c r="W449" s="75"/>
      <c r="X449" s="76"/>
      <c r="Y449" s="29" t="str">
        <f t="shared" si="4"/>
        <v/>
      </c>
      <c r="Z449" s="29" t="str">
        <f t="shared" si="5"/>
        <v/>
      </c>
      <c r="AA449" s="76"/>
      <c r="AB449" s="76"/>
      <c r="AC449" s="75"/>
      <c r="AD449" s="75"/>
      <c r="AE449" s="78" t="str">
        <f>IF(U449="","",IF(AD449="","",_xlfn.WORKDAY.INTL(AD449,7,1,FERIADOS)))</f>
        <v/>
      </c>
      <c r="AF449" s="104"/>
      <c r="AG449" s="80" t="str">
        <f t="array" ref="AG449">IF(A449="","",IF(AF449="","",AF449*INDEX(PARAMETROS!F$2:F1512,MATCH(YEAR(AC449),PARAMETROS!E$2:E1512,0),1)))</f>
        <v/>
      </c>
      <c r="AH449" s="81"/>
      <c r="AI449" s="82"/>
      <c r="AJ449" s="81"/>
      <c r="AK449" s="81"/>
      <c r="AL449" s="76"/>
      <c r="AM449" s="75"/>
      <c r="AN449" s="76"/>
      <c r="AO449" s="95"/>
      <c r="AP449" s="96"/>
      <c r="AQ449" s="85" t="str">
        <f t="shared" si="6"/>
        <v/>
      </c>
      <c r="AR449" s="86" t="str">
        <f t="array" ref="AR449">IF(A449="","",IFERROR(INDEX('2) Etapas'!L$3:L923,MATCH(B449,'2) Etapas'!$A$4:$A923,0),1),-1))</f>
        <v/>
      </c>
      <c r="AS449" s="87" t="str">
        <f t="shared" si="7"/>
        <v/>
      </c>
      <c r="AT449" s="87" t="str">
        <f t="shared" si="8"/>
        <v/>
      </c>
      <c r="AU449" s="87" t="str">
        <f t="shared" si="9"/>
        <v/>
      </c>
      <c r="AV449" s="89" t="str">
        <f t="array" ref="AV449">IF(OR($A449="",$AB449="", $AC449=""),"",MAXA(IF($A449=$A$4:$A923,$AC$4:$AC923)))</f>
        <v/>
      </c>
    </row>
    <row r="450" ht="22.5" customHeight="1">
      <c r="A450" s="76"/>
      <c r="B450" s="68" t="str">
        <f t="shared" si="1"/>
        <v/>
      </c>
      <c r="C450" s="110"/>
      <c r="D450" s="70" t="str">
        <f t="shared" si="2"/>
        <v/>
      </c>
      <c r="E450" s="76"/>
      <c r="F450" s="68" t="str">
        <f t="array" ref="F450">IF($A450="","",IFERROR(INDEX(MA_INDIVIDUALES!C$2:C923, MATCH($A450,MA_INDIVIDUALES!$B$2:$B923,0),1),"CÓDIGO DE EXPEDIENTE INVÁLIDO"))</f>
        <v/>
      </c>
      <c r="G450" s="68" t="str">
        <f t="array" ref="G450">IF($A450="","",IFERROR(INDEX(MA_INDIVIDUALES!K$2:K923, MATCH($A450,MA_INDIVIDUALES!$B$2:$B923,0),1),"CÓDIGO DE EXPEDIENTE INVÁLIDO"))</f>
        <v/>
      </c>
      <c r="H450" s="68" t="str">
        <f t="array" ref="H450">IF($A450="","",IFERROR(INDEX(MA_INDIVIDUALES!L$2:L923, MATCH($A450,MA_INDIVIDUALES!$B$2:$B923,0),1),"CÓDIGO DE EXPEDIENTE INVÁLIDO"))</f>
        <v/>
      </c>
      <c r="I450" s="76"/>
      <c r="J450" s="76"/>
      <c r="K450" s="75"/>
      <c r="L450" s="74" t="str">
        <f>IF(A450="","",IF(K450="","",_xlfn.WORKDAY.INTL(K450,5,1,FERIADOS)))</f>
        <v/>
      </c>
      <c r="M450" s="76"/>
      <c r="N450" s="75"/>
      <c r="O450" s="76"/>
      <c r="P450" s="77" t="str">
        <f t="shared" si="3"/>
        <v/>
      </c>
      <c r="Q450" s="75"/>
      <c r="R450" s="76"/>
      <c r="S450" s="75"/>
      <c r="T450" s="75"/>
      <c r="U450" s="76"/>
      <c r="V450" s="76"/>
      <c r="W450" s="75"/>
      <c r="X450" s="76"/>
      <c r="Y450" s="29" t="str">
        <f t="shared" si="4"/>
        <v/>
      </c>
      <c r="Z450" s="29" t="str">
        <f t="shared" si="5"/>
        <v/>
      </c>
      <c r="AA450" s="76"/>
      <c r="AB450" s="76"/>
      <c r="AC450" s="75"/>
      <c r="AD450" s="75"/>
      <c r="AE450" s="78" t="str">
        <f>IF(U450="","",IF(AD450="","",_xlfn.WORKDAY.INTL(AD450,7,1,FERIADOS)))</f>
        <v/>
      </c>
      <c r="AF450" s="104"/>
      <c r="AG450" s="80" t="str">
        <f t="array" ref="AG450">IF(A450="","",IF(AF450="","",AF450*INDEX(PARAMETROS!F$2:F1513,MATCH(YEAR(AC450),PARAMETROS!E$2:E1513,0),1)))</f>
        <v/>
      </c>
      <c r="AH450" s="81"/>
      <c r="AI450" s="82"/>
      <c r="AJ450" s="81"/>
      <c r="AK450" s="81"/>
      <c r="AL450" s="76"/>
      <c r="AM450" s="75"/>
      <c r="AN450" s="76"/>
      <c r="AO450" s="95"/>
      <c r="AP450" s="96"/>
      <c r="AQ450" s="85" t="str">
        <f t="shared" si="6"/>
        <v/>
      </c>
      <c r="AR450" s="86" t="str">
        <f t="array" ref="AR450">IF(A450="","",IFERROR(INDEX('2) Etapas'!L$3:L923,MATCH(B450,'2) Etapas'!$A$4:$A923,0),1),-1))</f>
        <v/>
      </c>
      <c r="AS450" s="87" t="str">
        <f t="shared" si="7"/>
        <v/>
      </c>
      <c r="AT450" s="87" t="str">
        <f t="shared" si="8"/>
        <v/>
      </c>
      <c r="AU450" s="87" t="str">
        <f t="shared" si="9"/>
        <v/>
      </c>
      <c r="AV450" s="89" t="str">
        <f t="array" ref="AV450">IF(OR($A450="",$AB450="", $AC450=""),"",MAXA(IF($A450=$A$4:$A923,$AC$4:$AC923)))</f>
        <v/>
      </c>
    </row>
    <row r="451" ht="22.5" customHeight="1">
      <c r="A451" s="76"/>
      <c r="B451" s="68" t="str">
        <f t="shared" si="1"/>
        <v/>
      </c>
      <c r="C451" s="110"/>
      <c r="D451" s="70" t="str">
        <f t="shared" si="2"/>
        <v/>
      </c>
      <c r="E451" s="76"/>
      <c r="F451" s="68" t="str">
        <f t="array" ref="F451">IF($A451="","",IFERROR(INDEX(MA_INDIVIDUALES!C$2:C923, MATCH($A451,MA_INDIVIDUALES!$B$2:$B923,0),1),"CÓDIGO DE EXPEDIENTE INVÁLIDO"))</f>
        <v/>
      </c>
      <c r="G451" s="68" t="str">
        <f t="array" ref="G451">IF($A451="","",IFERROR(INDEX(MA_INDIVIDUALES!K$2:K923, MATCH($A451,MA_INDIVIDUALES!$B$2:$B923,0),1),"CÓDIGO DE EXPEDIENTE INVÁLIDO"))</f>
        <v/>
      </c>
      <c r="H451" s="68" t="str">
        <f t="array" ref="H451">IF($A451="","",IFERROR(INDEX(MA_INDIVIDUALES!L$2:L923, MATCH($A451,MA_INDIVIDUALES!$B$2:$B923,0),1),"CÓDIGO DE EXPEDIENTE INVÁLIDO"))</f>
        <v/>
      </c>
      <c r="I451" s="76"/>
      <c r="J451" s="76"/>
      <c r="K451" s="75"/>
      <c r="L451" s="74" t="str">
        <f>IF(A451="","",IF(K451="","",_xlfn.WORKDAY.INTL(K451,5,1,FERIADOS)))</f>
        <v/>
      </c>
      <c r="M451" s="76"/>
      <c r="N451" s="75"/>
      <c r="O451" s="76"/>
      <c r="P451" s="77" t="str">
        <f t="shared" si="3"/>
        <v/>
      </c>
      <c r="Q451" s="75"/>
      <c r="R451" s="76"/>
      <c r="S451" s="75"/>
      <c r="T451" s="75"/>
      <c r="U451" s="76"/>
      <c r="V451" s="76"/>
      <c r="W451" s="75"/>
      <c r="X451" s="76"/>
      <c r="Y451" s="29" t="str">
        <f t="shared" si="4"/>
        <v/>
      </c>
      <c r="Z451" s="29" t="str">
        <f t="shared" si="5"/>
        <v/>
      </c>
      <c r="AA451" s="76"/>
      <c r="AB451" s="76"/>
      <c r="AC451" s="75"/>
      <c r="AD451" s="75"/>
      <c r="AE451" s="78" t="str">
        <f>IF(U451="","",IF(AD451="","",_xlfn.WORKDAY.INTL(AD451,7,1,FERIADOS)))</f>
        <v/>
      </c>
      <c r="AF451" s="104"/>
      <c r="AG451" s="80" t="str">
        <f t="array" ref="AG451">IF(A451="","",IF(AF451="","",AF451*INDEX(PARAMETROS!F$2:F1514,MATCH(YEAR(AC451),PARAMETROS!E$2:E1514,0),1)))</f>
        <v/>
      </c>
      <c r="AH451" s="81"/>
      <c r="AI451" s="82"/>
      <c r="AJ451" s="81"/>
      <c r="AK451" s="81"/>
      <c r="AL451" s="76"/>
      <c r="AM451" s="75"/>
      <c r="AN451" s="76"/>
      <c r="AO451" s="95"/>
      <c r="AP451" s="96"/>
      <c r="AQ451" s="85" t="str">
        <f t="shared" si="6"/>
        <v/>
      </c>
      <c r="AR451" s="86" t="str">
        <f t="array" ref="AR451">IF(A451="","",IFERROR(INDEX('2) Etapas'!L$3:L923,MATCH(B451,'2) Etapas'!$A$4:$A923,0),1),-1))</f>
        <v/>
      </c>
      <c r="AS451" s="87" t="str">
        <f t="shared" si="7"/>
        <v/>
      </c>
      <c r="AT451" s="87" t="str">
        <f t="shared" si="8"/>
        <v/>
      </c>
      <c r="AU451" s="87" t="str">
        <f t="shared" si="9"/>
        <v/>
      </c>
      <c r="AV451" s="89" t="str">
        <f t="array" ref="AV451">IF(OR($A451="",$AB451="", $AC451=""),"",MAXA(IF($A451=$A$4:$A923,$AC$4:$AC923)))</f>
        <v/>
      </c>
    </row>
    <row r="452" ht="22.5" customHeight="1">
      <c r="A452" s="76"/>
      <c r="B452" s="68" t="str">
        <f t="shared" si="1"/>
        <v/>
      </c>
      <c r="C452" s="110"/>
      <c r="D452" s="70" t="str">
        <f t="shared" si="2"/>
        <v/>
      </c>
      <c r="E452" s="76"/>
      <c r="F452" s="68" t="str">
        <f t="array" ref="F452">IF($A452="","",IFERROR(INDEX(MA_INDIVIDUALES!C$2:C923, MATCH($A452,MA_INDIVIDUALES!$B$2:$B923,0),1),"CÓDIGO DE EXPEDIENTE INVÁLIDO"))</f>
        <v/>
      </c>
      <c r="G452" s="68" t="str">
        <f t="array" ref="G452">IF($A452="","",IFERROR(INDEX(MA_INDIVIDUALES!K$2:K923, MATCH($A452,MA_INDIVIDUALES!$B$2:$B923,0),1),"CÓDIGO DE EXPEDIENTE INVÁLIDO"))</f>
        <v/>
      </c>
      <c r="H452" s="68" t="str">
        <f t="array" ref="H452">IF($A452="","",IFERROR(INDEX(MA_INDIVIDUALES!L$2:L923, MATCH($A452,MA_INDIVIDUALES!$B$2:$B923,0),1),"CÓDIGO DE EXPEDIENTE INVÁLIDO"))</f>
        <v/>
      </c>
      <c r="I452" s="76"/>
      <c r="J452" s="76"/>
      <c r="K452" s="75"/>
      <c r="L452" s="74" t="str">
        <f>IF(A452="","",IF(K452="","",_xlfn.WORKDAY.INTL(K452,5,1,FERIADOS)))</f>
        <v/>
      </c>
      <c r="M452" s="76"/>
      <c r="N452" s="75"/>
      <c r="O452" s="76"/>
      <c r="P452" s="77" t="str">
        <f t="shared" si="3"/>
        <v/>
      </c>
      <c r="Q452" s="75"/>
      <c r="R452" s="76"/>
      <c r="S452" s="75"/>
      <c r="T452" s="75"/>
      <c r="U452" s="76"/>
      <c r="V452" s="76"/>
      <c r="W452" s="75"/>
      <c r="X452" s="76"/>
      <c r="Y452" s="29" t="str">
        <f t="shared" si="4"/>
        <v/>
      </c>
      <c r="Z452" s="29" t="str">
        <f t="shared" si="5"/>
        <v/>
      </c>
      <c r="AA452" s="76"/>
      <c r="AB452" s="76"/>
      <c r="AC452" s="75"/>
      <c r="AD452" s="75"/>
      <c r="AE452" s="78" t="str">
        <f>IF(U452="","",IF(AD452="","",_xlfn.WORKDAY.INTL(AD452,7,1,FERIADOS)))</f>
        <v/>
      </c>
      <c r="AF452" s="104"/>
      <c r="AG452" s="80" t="str">
        <f t="array" ref="AG452">IF(A452="","",IF(AF452="","",AF452*INDEX(PARAMETROS!F$2:F1515,MATCH(YEAR(AC452),PARAMETROS!E$2:E1515,0),1)))</f>
        <v/>
      </c>
      <c r="AH452" s="81"/>
      <c r="AI452" s="82"/>
      <c r="AJ452" s="81"/>
      <c r="AK452" s="81"/>
      <c r="AL452" s="76"/>
      <c r="AM452" s="75"/>
      <c r="AN452" s="76"/>
      <c r="AO452" s="95"/>
      <c r="AP452" s="96"/>
      <c r="AQ452" s="85" t="str">
        <f t="shared" si="6"/>
        <v/>
      </c>
      <c r="AR452" s="86" t="str">
        <f t="array" ref="AR452">IF(A452="","",IFERROR(INDEX('2) Etapas'!L$3:L923,MATCH(B452,'2) Etapas'!$A$4:$A923,0),1),-1))</f>
        <v/>
      </c>
      <c r="AS452" s="87" t="str">
        <f t="shared" si="7"/>
        <v/>
      </c>
      <c r="AT452" s="87" t="str">
        <f t="shared" si="8"/>
        <v/>
      </c>
      <c r="AU452" s="87" t="str">
        <f t="shared" si="9"/>
        <v/>
      </c>
      <c r="AV452" s="89" t="str">
        <f t="array" ref="AV452">IF(OR($A452="",$AB452="", $AC452=""),"",MAXA(IF($A452=$A$4:$A923,$AC$4:$AC923)))</f>
        <v/>
      </c>
    </row>
    <row r="453" ht="22.5" customHeight="1">
      <c r="A453" s="76"/>
      <c r="B453" s="68" t="str">
        <f t="shared" si="1"/>
        <v/>
      </c>
      <c r="C453" s="110"/>
      <c r="D453" s="70" t="str">
        <f t="shared" si="2"/>
        <v/>
      </c>
      <c r="E453" s="76"/>
      <c r="F453" s="68" t="str">
        <f t="array" ref="F453">IF($A453="","",IFERROR(INDEX(MA_INDIVIDUALES!C$2:C923, MATCH($A453,MA_INDIVIDUALES!$B$2:$B923,0),1),"CÓDIGO DE EXPEDIENTE INVÁLIDO"))</f>
        <v/>
      </c>
      <c r="G453" s="68" t="str">
        <f t="array" ref="G453">IF($A453="","",IFERROR(INDEX(MA_INDIVIDUALES!K$2:K923, MATCH($A453,MA_INDIVIDUALES!$B$2:$B923,0),1),"CÓDIGO DE EXPEDIENTE INVÁLIDO"))</f>
        <v/>
      </c>
      <c r="H453" s="68" t="str">
        <f t="array" ref="H453">IF($A453="","",IFERROR(INDEX(MA_INDIVIDUALES!L$2:L923, MATCH($A453,MA_INDIVIDUALES!$B$2:$B923,0),1),"CÓDIGO DE EXPEDIENTE INVÁLIDO"))</f>
        <v/>
      </c>
      <c r="I453" s="76"/>
      <c r="J453" s="76"/>
      <c r="K453" s="75"/>
      <c r="L453" s="74" t="str">
        <f>IF(A453="","",IF(K453="","",_xlfn.WORKDAY.INTL(K453,5,1,FERIADOS)))</f>
        <v/>
      </c>
      <c r="M453" s="76"/>
      <c r="N453" s="75"/>
      <c r="O453" s="76"/>
      <c r="P453" s="77" t="str">
        <f t="shared" si="3"/>
        <v/>
      </c>
      <c r="Q453" s="75"/>
      <c r="R453" s="76"/>
      <c r="S453" s="75"/>
      <c r="T453" s="75"/>
      <c r="U453" s="76"/>
      <c r="V453" s="76"/>
      <c r="W453" s="75"/>
      <c r="X453" s="76"/>
      <c r="Y453" s="29" t="str">
        <f t="shared" si="4"/>
        <v/>
      </c>
      <c r="Z453" s="29" t="str">
        <f t="shared" si="5"/>
        <v/>
      </c>
      <c r="AA453" s="76"/>
      <c r="AB453" s="76"/>
      <c r="AC453" s="75"/>
      <c r="AD453" s="75"/>
      <c r="AE453" s="78" t="str">
        <f>IF(U453="","",IF(AD453="","",_xlfn.WORKDAY.INTL(AD453,7,1,FERIADOS)))</f>
        <v/>
      </c>
      <c r="AF453" s="104"/>
      <c r="AG453" s="80" t="str">
        <f t="array" ref="AG453">IF(A453="","",IF(AF453="","",AF453*INDEX(PARAMETROS!F$2:F1516,MATCH(YEAR(AC453),PARAMETROS!E$2:E1516,0),1)))</f>
        <v/>
      </c>
      <c r="AH453" s="81"/>
      <c r="AI453" s="82"/>
      <c r="AJ453" s="81"/>
      <c r="AK453" s="81"/>
      <c r="AL453" s="76"/>
      <c r="AM453" s="75"/>
      <c r="AN453" s="76"/>
      <c r="AO453" s="95"/>
      <c r="AP453" s="96"/>
      <c r="AQ453" s="85" t="str">
        <f t="shared" si="6"/>
        <v/>
      </c>
      <c r="AR453" s="86" t="str">
        <f t="array" ref="AR453">IF(A453="","",IFERROR(INDEX('2) Etapas'!L$3:L923,MATCH(B453,'2) Etapas'!$A$4:$A923,0),1),-1))</f>
        <v/>
      </c>
      <c r="AS453" s="87" t="str">
        <f t="shared" si="7"/>
        <v/>
      </c>
      <c r="AT453" s="87" t="str">
        <f t="shared" si="8"/>
        <v/>
      </c>
      <c r="AU453" s="87" t="str">
        <f t="shared" si="9"/>
        <v/>
      </c>
      <c r="AV453" s="89" t="str">
        <f t="array" ref="AV453">IF(OR($A453="",$AB453="", $AC453=""),"",MAXA(IF($A453=$A$4:$A923,$AC$4:$AC923)))</f>
        <v/>
      </c>
    </row>
    <row r="454" ht="22.5" customHeight="1">
      <c r="A454" s="76"/>
      <c r="B454" s="68" t="str">
        <f t="shared" si="1"/>
        <v/>
      </c>
      <c r="C454" s="110"/>
      <c r="D454" s="70" t="str">
        <f t="shared" si="2"/>
        <v/>
      </c>
      <c r="E454" s="76"/>
      <c r="F454" s="68" t="str">
        <f t="array" ref="F454">IF($A454="","",IFERROR(INDEX(MA_INDIVIDUALES!C$2:C923, MATCH($A454,MA_INDIVIDUALES!$B$2:$B923,0),1),"CÓDIGO DE EXPEDIENTE INVÁLIDO"))</f>
        <v/>
      </c>
      <c r="G454" s="68" t="str">
        <f t="array" ref="G454">IF($A454="","",IFERROR(INDEX(MA_INDIVIDUALES!K$2:K923, MATCH($A454,MA_INDIVIDUALES!$B$2:$B923,0),1),"CÓDIGO DE EXPEDIENTE INVÁLIDO"))</f>
        <v/>
      </c>
      <c r="H454" s="68" t="str">
        <f t="array" ref="H454">IF($A454="","",IFERROR(INDEX(MA_INDIVIDUALES!L$2:L923, MATCH($A454,MA_INDIVIDUALES!$B$2:$B923,0),1),"CÓDIGO DE EXPEDIENTE INVÁLIDO"))</f>
        <v/>
      </c>
      <c r="I454" s="76"/>
      <c r="J454" s="76"/>
      <c r="K454" s="75"/>
      <c r="L454" s="74" t="str">
        <f>IF(A454="","",IF(K454="","",_xlfn.WORKDAY.INTL(K454,5,1,FERIADOS)))</f>
        <v/>
      </c>
      <c r="M454" s="76"/>
      <c r="N454" s="75"/>
      <c r="O454" s="76"/>
      <c r="P454" s="77" t="str">
        <f t="shared" si="3"/>
        <v/>
      </c>
      <c r="Q454" s="75"/>
      <c r="R454" s="76"/>
      <c r="S454" s="75"/>
      <c r="T454" s="75"/>
      <c r="U454" s="76"/>
      <c r="V454" s="76"/>
      <c r="W454" s="75"/>
      <c r="X454" s="76"/>
      <c r="Y454" s="29" t="str">
        <f t="shared" si="4"/>
        <v/>
      </c>
      <c r="Z454" s="29" t="str">
        <f t="shared" si="5"/>
        <v/>
      </c>
      <c r="AA454" s="76"/>
      <c r="AB454" s="76"/>
      <c r="AC454" s="75"/>
      <c r="AD454" s="75"/>
      <c r="AE454" s="78" t="str">
        <f>IF(U454="","",IF(AD454="","",_xlfn.WORKDAY.INTL(AD454,7,1,FERIADOS)))</f>
        <v/>
      </c>
      <c r="AF454" s="104"/>
      <c r="AG454" s="80" t="str">
        <f t="array" ref="AG454">IF(A454="","",IF(AF454="","",AF454*INDEX(PARAMETROS!F$2:F1517,MATCH(YEAR(AC454),PARAMETROS!E$2:E1517,0),1)))</f>
        <v/>
      </c>
      <c r="AH454" s="81"/>
      <c r="AI454" s="82"/>
      <c r="AJ454" s="81"/>
      <c r="AK454" s="81"/>
      <c r="AL454" s="76"/>
      <c r="AM454" s="75"/>
      <c r="AN454" s="76"/>
      <c r="AO454" s="95"/>
      <c r="AP454" s="96"/>
      <c r="AQ454" s="85" t="str">
        <f t="shared" si="6"/>
        <v/>
      </c>
      <c r="AR454" s="86" t="str">
        <f t="array" ref="AR454">IF(A454="","",IFERROR(INDEX('2) Etapas'!L$3:L923,MATCH(B454,'2) Etapas'!$A$4:$A923,0),1),-1))</f>
        <v/>
      </c>
      <c r="AS454" s="87" t="str">
        <f t="shared" si="7"/>
        <v/>
      </c>
      <c r="AT454" s="87" t="str">
        <f t="shared" si="8"/>
        <v/>
      </c>
      <c r="AU454" s="87" t="str">
        <f t="shared" si="9"/>
        <v/>
      </c>
      <c r="AV454" s="89" t="str">
        <f t="array" ref="AV454">IF(OR($A454="",$AB454="", $AC454=""),"",MAXA(IF($A454=$A$4:$A923,$AC$4:$AC923)))</f>
        <v/>
      </c>
    </row>
    <row r="455" ht="22.5" customHeight="1">
      <c r="A455" s="76"/>
      <c r="B455" s="68" t="str">
        <f t="shared" si="1"/>
        <v/>
      </c>
      <c r="C455" s="110"/>
      <c r="D455" s="70" t="str">
        <f t="shared" si="2"/>
        <v/>
      </c>
      <c r="E455" s="76"/>
      <c r="F455" s="68" t="str">
        <f t="array" ref="F455">IF($A455="","",IFERROR(INDEX(MA_INDIVIDUALES!C$2:C923, MATCH($A455,MA_INDIVIDUALES!$B$2:$B923,0),1),"CÓDIGO DE EXPEDIENTE INVÁLIDO"))</f>
        <v/>
      </c>
      <c r="G455" s="68" t="str">
        <f t="array" ref="G455">IF($A455="","",IFERROR(INDEX(MA_INDIVIDUALES!K$2:K923, MATCH($A455,MA_INDIVIDUALES!$B$2:$B923,0),1),"CÓDIGO DE EXPEDIENTE INVÁLIDO"))</f>
        <v/>
      </c>
      <c r="H455" s="68" t="str">
        <f t="array" ref="H455">IF($A455="","",IFERROR(INDEX(MA_INDIVIDUALES!L$2:L923, MATCH($A455,MA_INDIVIDUALES!$B$2:$B923,0),1),"CÓDIGO DE EXPEDIENTE INVÁLIDO"))</f>
        <v/>
      </c>
      <c r="I455" s="76"/>
      <c r="J455" s="76"/>
      <c r="K455" s="75"/>
      <c r="L455" s="74" t="str">
        <f>IF(A455="","",IF(K455="","",_xlfn.WORKDAY.INTL(K455,5,1,FERIADOS)))</f>
        <v/>
      </c>
      <c r="M455" s="76"/>
      <c r="N455" s="75"/>
      <c r="O455" s="76"/>
      <c r="P455" s="77" t="str">
        <f t="shared" si="3"/>
        <v/>
      </c>
      <c r="Q455" s="75"/>
      <c r="R455" s="76"/>
      <c r="S455" s="75"/>
      <c r="T455" s="75"/>
      <c r="U455" s="76"/>
      <c r="V455" s="76"/>
      <c r="W455" s="75"/>
      <c r="X455" s="76"/>
      <c r="Y455" s="29" t="str">
        <f t="shared" si="4"/>
        <v/>
      </c>
      <c r="Z455" s="29" t="str">
        <f t="shared" si="5"/>
        <v/>
      </c>
      <c r="AA455" s="76"/>
      <c r="AB455" s="76"/>
      <c r="AC455" s="75"/>
      <c r="AD455" s="75"/>
      <c r="AE455" s="78" t="str">
        <f>IF(U455="","",IF(AD455="","",_xlfn.WORKDAY.INTL(AD455,7,1,FERIADOS)))</f>
        <v/>
      </c>
      <c r="AF455" s="104"/>
      <c r="AG455" s="80" t="str">
        <f t="array" ref="AG455">IF(A455="","",IF(AF455="","",AF455*INDEX(PARAMETROS!F$2:F1518,MATCH(YEAR(AC455),PARAMETROS!E$2:E1518,0),1)))</f>
        <v/>
      </c>
      <c r="AH455" s="81"/>
      <c r="AI455" s="82"/>
      <c r="AJ455" s="81"/>
      <c r="AK455" s="81"/>
      <c r="AL455" s="76"/>
      <c r="AM455" s="75"/>
      <c r="AN455" s="76"/>
      <c r="AO455" s="95"/>
      <c r="AP455" s="96"/>
      <c r="AQ455" s="85" t="str">
        <f t="shared" si="6"/>
        <v/>
      </c>
      <c r="AR455" s="86" t="str">
        <f t="array" ref="AR455">IF(A455="","",IFERROR(INDEX('2) Etapas'!L$3:L923,MATCH(B455,'2) Etapas'!$A$4:$A923,0),1),-1))</f>
        <v/>
      </c>
      <c r="AS455" s="87" t="str">
        <f t="shared" si="7"/>
        <v/>
      </c>
      <c r="AT455" s="87" t="str">
        <f t="shared" si="8"/>
        <v/>
      </c>
      <c r="AU455" s="87" t="str">
        <f t="shared" si="9"/>
        <v/>
      </c>
      <c r="AV455" s="89" t="str">
        <f t="array" ref="AV455">IF(OR($A455="",$AB455="", $AC455=""),"",MAXA(IF($A455=$A$4:$A923,$AC$4:$AC923)))</f>
        <v/>
      </c>
    </row>
    <row r="456" ht="22.5" customHeight="1">
      <c r="A456" s="76"/>
      <c r="B456" s="68" t="str">
        <f t="shared" si="1"/>
        <v/>
      </c>
      <c r="C456" s="110"/>
      <c r="D456" s="70" t="str">
        <f t="shared" si="2"/>
        <v/>
      </c>
      <c r="E456" s="76"/>
      <c r="F456" s="68" t="str">
        <f t="array" ref="F456">IF($A456="","",IFERROR(INDEX(MA_INDIVIDUALES!C$2:C923, MATCH($A456,MA_INDIVIDUALES!$B$2:$B923,0),1),"CÓDIGO DE EXPEDIENTE INVÁLIDO"))</f>
        <v/>
      </c>
      <c r="G456" s="68" t="str">
        <f t="array" ref="G456">IF($A456="","",IFERROR(INDEX(MA_INDIVIDUALES!K$2:K923, MATCH($A456,MA_INDIVIDUALES!$B$2:$B923,0),1),"CÓDIGO DE EXPEDIENTE INVÁLIDO"))</f>
        <v/>
      </c>
      <c r="H456" s="68" t="str">
        <f t="array" ref="H456">IF($A456="","",IFERROR(INDEX(MA_INDIVIDUALES!L$2:L923, MATCH($A456,MA_INDIVIDUALES!$B$2:$B923,0),1),"CÓDIGO DE EXPEDIENTE INVÁLIDO"))</f>
        <v/>
      </c>
      <c r="I456" s="76"/>
      <c r="J456" s="76"/>
      <c r="K456" s="75"/>
      <c r="L456" s="74" t="str">
        <f>IF(A456="","",IF(K456="","",_xlfn.WORKDAY.INTL(K456,5,1,FERIADOS)))</f>
        <v/>
      </c>
      <c r="M456" s="76"/>
      <c r="N456" s="75"/>
      <c r="O456" s="76"/>
      <c r="P456" s="77" t="str">
        <f t="shared" si="3"/>
        <v/>
      </c>
      <c r="Q456" s="75"/>
      <c r="R456" s="76"/>
      <c r="S456" s="75"/>
      <c r="T456" s="75"/>
      <c r="U456" s="76"/>
      <c r="V456" s="76"/>
      <c r="W456" s="75"/>
      <c r="X456" s="76"/>
      <c r="Y456" s="29" t="str">
        <f t="shared" si="4"/>
        <v/>
      </c>
      <c r="Z456" s="29" t="str">
        <f t="shared" si="5"/>
        <v/>
      </c>
      <c r="AA456" s="76"/>
      <c r="AB456" s="76"/>
      <c r="AC456" s="75"/>
      <c r="AD456" s="75"/>
      <c r="AE456" s="78" t="str">
        <f>IF(U456="","",IF(AD456="","",_xlfn.WORKDAY.INTL(AD456,7,1,FERIADOS)))</f>
        <v/>
      </c>
      <c r="AF456" s="104"/>
      <c r="AG456" s="80" t="str">
        <f t="array" ref="AG456">IF(A456="","",IF(AF456="","",AF456*INDEX(PARAMETROS!F$2:F1519,MATCH(YEAR(AC456),PARAMETROS!E$2:E1519,0),1)))</f>
        <v/>
      </c>
      <c r="AH456" s="81"/>
      <c r="AI456" s="82"/>
      <c r="AJ456" s="81"/>
      <c r="AK456" s="81"/>
      <c r="AL456" s="76"/>
      <c r="AM456" s="75"/>
      <c r="AN456" s="76"/>
      <c r="AO456" s="95"/>
      <c r="AP456" s="96"/>
      <c r="AQ456" s="85" t="str">
        <f t="shared" si="6"/>
        <v/>
      </c>
      <c r="AR456" s="86" t="str">
        <f t="array" ref="AR456">IF(A456="","",IFERROR(INDEX('2) Etapas'!L$3:L923,MATCH(B456,'2) Etapas'!$A$4:$A923,0),1),-1))</f>
        <v/>
      </c>
      <c r="AS456" s="87" t="str">
        <f t="shared" si="7"/>
        <v/>
      </c>
      <c r="AT456" s="87" t="str">
        <f t="shared" si="8"/>
        <v/>
      </c>
      <c r="AU456" s="87" t="str">
        <f t="shared" si="9"/>
        <v/>
      </c>
      <c r="AV456" s="89" t="str">
        <f t="array" ref="AV456">IF(OR($A456="",$AB456="", $AC456=""),"",MAXA(IF($A456=$A$4:$A923,$AC$4:$AC923)))</f>
        <v/>
      </c>
    </row>
    <row r="457" ht="22.5" customHeight="1">
      <c r="A457" s="76"/>
      <c r="B457" s="68" t="str">
        <f t="shared" si="1"/>
        <v/>
      </c>
      <c r="C457" s="110"/>
      <c r="D457" s="70" t="str">
        <f t="shared" si="2"/>
        <v/>
      </c>
      <c r="E457" s="76"/>
      <c r="F457" s="68" t="str">
        <f t="array" ref="F457">IF($A457="","",IFERROR(INDEX(MA_INDIVIDUALES!C$2:C923, MATCH($A457,MA_INDIVIDUALES!$B$2:$B923,0),1),"CÓDIGO DE EXPEDIENTE INVÁLIDO"))</f>
        <v/>
      </c>
      <c r="G457" s="68" t="str">
        <f t="array" ref="G457">IF($A457="","",IFERROR(INDEX(MA_INDIVIDUALES!K$2:K923, MATCH($A457,MA_INDIVIDUALES!$B$2:$B923,0),1),"CÓDIGO DE EXPEDIENTE INVÁLIDO"))</f>
        <v/>
      </c>
      <c r="H457" s="68" t="str">
        <f t="array" ref="H457">IF($A457="","",IFERROR(INDEX(MA_INDIVIDUALES!L$2:L923, MATCH($A457,MA_INDIVIDUALES!$B$2:$B923,0),1),"CÓDIGO DE EXPEDIENTE INVÁLIDO"))</f>
        <v/>
      </c>
      <c r="I457" s="76"/>
      <c r="J457" s="76"/>
      <c r="K457" s="75"/>
      <c r="L457" s="74" t="str">
        <f>IF(A457="","",IF(K457="","",_xlfn.WORKDAY.INTL(K457,5,1,FERIADOS)))</f>
        <v/>
      </c>
      <c r="M457" s="76"/>
      <c r="N457" s="75"/>
      <c r="O457" s="76"/>
      <c r="P457" s="77" t="str">
        <f t="shared" si="3"/>
        <v/>
      </c>
      <c r="Q457" s="75"/>
      <c r="R457" s="76"/>
      <c r="S457" s="75"/>
      <c r="T457" s="75"/>
      <c r="U457" s="76"/>
      <c r="V457" s="76"/>
      <c r="W457" s="75"/>
      <c r="X457" s="76"/>
      <c r="Y457" s="29" t="str">
        <f t="shared" si="4"/>
        <v/>
      </c>
      <c r="Z457" s="29" t="str">
        <f t="shared" si="5"/>
        <v/>
      </c>
      <c r="AA457" s="76"/>
      <c r="AB457" s="76"/>
      <c r="AC457" s="75"/>
      <c r="AD457" s="75"/>
      <c r="AE457" s="78" t="str">
        <f>IF(U457="","",IF(AD457="","",_xlfn.WORKDAY.INTL(AD457,7,1,FERIADOS)))</f>
        <v/>
      </c>
      <c r="AF457" s="104"/>
      <c r="AG457" s="80" t="str">
        <f t="array" ref="AG457">IF(A457="","",IF(AF457="","",AF457*INDEX(PARAMETROS!F$2:F1520,MATCH(YEAR(AC457),PARAMETROS!E$2:E1520,0),1)))</f>
        <v/>
      </c>
      <c r="AH457" s="81"/>
      <c r="AI457" s="82"/>
      <c r="AJ457" s="81"/>
      <c r="AK457" s="81"/>
      <c r="AL457" s="76"/>
      <c r="AM457" s="75"/>
      <c r="AN457" s="76"/>
      <c r="AO457" s="95"/>
      <c r="AP457" s="96"/>
      <c r="AQ457" s="85" t="str">
        <f t="shared" si="6"/>
        <v/>
      </c>
      <c r="AR457" s="86" t="str">
        <f t="array" ref="AR457">IF(A457="","",IFERROR(INDEX('2) Etapas'!L$3:L923,MATCH(B457,'2) Etapas'!$A$4:$A923,0),1),-1))</f>
        <v/>
      </c>
      <c r="AS457" s="87" t="str">
        <f t="shared" si="7"/>
        <v/>
      </c>
      <c r="AT457" s="87" t="str">
        <f t="shared" si="8"/>
        <v/>
      </c>
      <c r="AU457" s="87" t="str">
        <f t="shared" si="9"/>
        <v/>
      </c>
      <c r="AV457" s="89" t="str">
        <f t="array" ref="AV457">IF(OR($A457="",$AB457="", $AC457=""),"",MAXA(IF($A457=$A$4:$A923,$AC$4:$AC923)))</f>
        <v/>
      </c>
    </row>
    <row r="458" ht="22.5" customHeight="1">
      <c r="A458" s="76"/>
      <c r="B458" s="68" t="str">
        <f t="shared" si="1"/>
        <v/>
      </c>
      <c r="C458" s="110"/>
      <c r="D458" s="70" t="str">
        <f t="shared" si="2"/>
        <v/>
      </c>
      <c r="E458" s="76"/>
      <c r="F458" s="68" t="str">
        <f t="array" ref="F458">IF($A458="","",IFERROR(INDEX(MA_INDIVIDUALES!C$2:C923, MATCH($A458,MA_INDIVIDUALES!$B$2:$B923,0),1),"CÓDIGO DE EXPEDIENTE INVÁLIDO"))</f>
        <v/>
      </c>
      <c r="G458" s="68" t="str">
        <f t="array" ref="G458">IF($A458="","",IFERROR(INDEX(MA_INDIVIDUALES!K$2:K923, MATCH($A458,MA_INDIVIDUALES!$B$2:$B923,0),1),"CÓDIGO DE EXPEDIENTE INVÁLIDO"))</f>
        <v/>
      </c>
      <c r="H458" s="68" t="str">
        <f t="array" ref="H458">IF($A458="","",IFERROR(INDEX(MA_INDIVIDUALES!L$2:L923, MATCH($A458,MA_INDIVIDUALES!$B$2:$B923,0),1),"CÓDIGO DE EXPEDIENTE INVÁLIDO"))</f>
        <v/>
      </c>
      <c r="I458" s="76"/>
      <c r="J458" s="76"/>
      <c r="K458" s="75"/>
      <c r="L458" s="74" t="str">
        <f>IF(A458="","",IF(K458="","",_xlfn.WORKDAY.INTL(K458,5,1,FERIADOS)))</f>
        <v/>
      </c>
      <c r="M458" s="76"/>
      <c r="N458" s="75"/>
      <c r="O458" s="76"/>
      <c r="P458" s="77" t="str">
        <f t="shared" si="3"/>
        <v/>
      </c>
      <c r="Q458" s="75"/>
      <c r="R458" s="76"/>
      <c r="S458" s="75"/>
      <c r="T458" s="75"/>
      <c r="U458" s="76"/>
      <c r="V458" s="76"/>
      <c r="W458" s="75"/>
      <c r="X458" s="76"/>
      <c r="Y458" s="29" t="str">
        <f t="shared" si="4"/>
        <v/>
      </c>
      <c r="Z458" s="29" t="str">
        <f t="shared" si="5"/>
        <v/>
      </c>
      <c r="AA458" s="76"/>
      <c r="AB458" s="76"/>
      <c r="AC458" s="75"/>
      <c r="AD458" s="75"/>
      <c r="AE458" s="78" t="str">
        <f>IF(U458="","",IF(AD458="","",_xlfn.WORKDAY.INTL(AD458,7,1,FERIADOS)))</f>
        <v/>
      </c>
      <c r="AF458" s="104"/>
      <c r="AG458" s="80" t="str">
        <f t="array" ref="AG458">IF(A458="","",IF(AF458="","",AF458*INDEX(PARAMETROS!F$2:F1521,MATCH(YEAR(AC458),PARAMETROS!E$2:E1521,0),1)))</f>
        <v/>
      </c>
      <c r="AH458" s="81"/>
      <c r="AI458" s="82"/>
      <c r="AJ458" s="81"/>
      <c r="AK458" s="81"/>
      <c r="AL458" s="76"/>
      <c r="AM458" s="75"/>
      <c r="AN458" s="76"/>
      <c r="AO458" s="95"/>
      <c r="AP458" s="96"/>
      <c r="AQ458" s="85" t="str">
        <f t="shared" si="6"/>
        <v/>
      </c>
      <c r="AR458" s="86" t="str">
        <f t="array" ref="AR458">IF(A458="","",IFERROR(INDEX('2) Etapas'!L$3:L923,MATCH(B458,'2) Etapas'!$A$4:$A923,0),1),-1))</f>
        <v/>
      </c>
      <c r="AS458" s="87" t="str">
        <f t="shared" si="7"/>
        <v/>
      </c>
      <c r="AT458" s="87" t="str">
        <f t="shared" si="8"/>
        <v/>
      </c>
      <c r="AU458" s="87" t="str">
        <f t="shared" si="9"/>
        <v/>
      </c>
      <c r="AV458" s="89" t="str">
        <f t="array" ref="AV458">IF(OR($A458="",$AB458="", $AC458=""),"",MAXA(IF($A458=$A$4:$A923,$AC$4:$AC923)))</f>
        <v/>
      </c>
    </row>
    <row r="459" ht="22.5" customHeight="1">
      <c r="A459" s="76"/>
      <c r="B459" s="68" t="str">
        <f t="shared" si="1"/>
        <v/>
      </c>
      <c r="C459" s="110"/>
      <c r="D459" s="70" t="str">
        <f t="shared" si="2"/>
        <v/>
      </c>
      <c r="E459" s="76"/>
      <c r="F459" s="68" t="str">
        <f t="array" ref="F459">IF($A459="","",IFERROR(INDEX(MA_INDIVIDUALES!C$2:C923, MATCH($A459,MA_INDIVIDUALES!$B$2:$B923,0),1),"CÓDIGO DE EXPEDIENTE INVÁLIDO"))</f>
        <v/>
      </c>
      <c r="G459" s="68" t="str">
        <f t="array" ref="G459">IF($A459="","",IFERROR(INDEX(MA_INDIVIDUALES!K$2:K923, MATCH($A459,MA_INDIVIDUALES!$B$2:$B923,0),1),"CÓDIGO DE EXPEDIENTE INVÁLIDO"))</f>
        <v/>
      </c>
      <c r="H459" s="68" t="str">
        <f t="array" ref="H459">IF($A459="","",IFERROR(INDEX(MA_INDIVIDUALES!L$2:L923, MATCH($A459,MA_INDIVIDUALES!$B$2:$B923,0),1),"CÓDIGO DE EXPEDIENTE INVÁLIDO"))</f>
        <v/>
      </c>
      <c r="I459" s="76"/>
      <c r="J459" s="76"/>
      <c r="K459" s="75"/>
      <c r="L459" s="74" t="str">
        <f>IF(A459="","",IF(K459="","",_xlfn.WORKDAY.INTL(K459,5,1,FERIADOS)))</f>
        <v/>
      </c>
      <c r="M459" s="76"/>
      <c r="N459" s="75"/>
      <c r="O459" s="76"/>
      <c r="P459" s="77" t="str">
        <f t="shared" si="3"/>
        <v/>
      </c>
      <c r="Q459" s="75"/>
      <c r="R459" s="76"/>
      <c r="S459" s="75"/>
      <c r="T459" s="75"/>
      <c r="U459" s="76"/>
      <c r="V459" s="76"/>
      <c r="W459" s="75"/>
      <c r="X459" s="76"/>
      <c r="Y459" s="29" t="str">
        <f t="shared" si="4"/>
        <v/>
      </c>
      <c r="Z459" s="29" t="str">
        <f t="shared" si="5"/>
        <v/>
      </c>
      <c r="AA459" s="76"/>
      <c r="AB459" s="76"/>
      <c r="AC459" s="75"/>
      <c r="AD459" s="75"/>
      <c r="AE459" s="78" t="str">
        <f>IF(U459="","",IF(AD459="","",_xlfn.WORKDAY.INTL(AD459,7,1,FERIADOS)))</f>
        <v/>
      </c>
      <c r="AF459" s="104"/>
      <c r="AG459" s="80" t="str">
        <f t="array" ref="AG459">IF(A459="","",IF(AF459="","",AF459*INDEX(PARAMETROS!F$2:F1522,MATCH(YEAR(AC459),PARAMETROS!E$2:E1522,0),1)))</f>
        <v/>
      </c>
      <c r="AH459" s="81"/>
      <c r="AI459" s="82"/>
      <c r="AJ459" s="81"/>
      <c r="AK459" s="81"/>
      <c r="AL459" s="76"/>
      <c r="AM459" s="75"/>
      <c r="AN459" s="76"/>
      <c r="AO459" s="95"/>
      <c r="AP459" s="96"/>
      <c r="AQ459" s="85" t="str">
        <f t="shared" si="6"/>
        <v/>
      </c>
      <c r="AR459" s="86" t="str">
        <f t="array" ref="AR459">IF(A459="","",IFERROR(INDEX('2) Etapas'!L$3:L923,MATCH(B459,'2) Etapas'!$A$4:$A923,0),1),-1))</f>
        <v/>
      </c>
      <c r="AS459" s="87" t="str">
        <f t="shared" si="7"/>
        <v/>
      </c>
      <c r="AT459" s="87" t="str">
        <f t="shared" si="8"/>
        <v/>
      </c>
      <c r="AU459" s="87" t="str">
        <f t="shared" si="9"/>
        <v/>
      </c>
      <c r="AV459" s="89" t="str">
        <f t="array" ref="AV459">IF(OR($A459="",$AB459="", $AC459=""),"",MAXA(IF($A459=$A$4:$A923,$AC$4:$AC923)))</f>
        <v/>
      </c>
    </row>
    <row r="460" ht="22.5" customHeight="1">
      <c r="A460" s="76"/>
      <c r="B460" s="68" t="str">
        <f t="shared" si="1"/>
        <v/>
      </c>
      <c r="C460" s="110"/>
      <c r="D460" s="70" t="str">
        <f t="shared" si="2"/>
        <v/>
      </c>
      <c r="E460" s="76"/>
      <c r="F460" s="68" t="str">
        <f t="array" ref="F460">IF($A460="","",IFERROR(INDEX(MA_INDIVIDUALES!C$2:C923, MATCH($A460,MA_INDIVIDUALES!$B$2:$B923,0),1),"CÓDIGO DE EXPEDIENTE INVÁLIDO"))</f>
        <v/>
      </c>
      <c r="G460" s="68" t="str">
        <f t="array" ref="G460">IF($A460="","",IFERROR(INDEX(MA_INDIVIDUALES!K$2:K923, MATCH($A460,MA_INDIVIDUALES!$B$2:$B923,0),1),"CÓDIGO DE EXPEDIENTE INVÁLIDO"))</f>
        <v/>
      </c>
      <c r="H460" s="68" t="str">
        <f t="array" ref="H460">IF($A460="","",IFERROR(INDEX(MA_INDIVIDUALES!L$2:L923, MATCH($A460,MA_INDIVIDUALES!$B$2:$B923,0),1),"CÓDIGO DE EXPEDIENTE INVÁLIDO"))</f>
        <v/>
      </c>
      <c r="I460" s="76"/>
      <c r="J460" s="76"/>
      <c r="K460" s="75"/>
      <c r="L460" s="74" t="str">
        <f>IF(A460="","",IF(K460="","",_xlfn.WORKDAY.INTL(K460,5,1,FERIADOS)))</f>
        <v/>
      </c>
      <c r="M460" s="76"/>
      <c r="N460" s="75"/>
      <c r="O460" s="76"/>
      <c r="P460" s="77" t="str">
        <f t="shared" si="3"/>
        <v/>
      </c>
      <c r="Q460" s="75"/>
      <c r="R460" s="76"/>
      <c r="S460" s="75"/>
      <c r="T460" s="75"/>
      <c r="U460" s="76"/>
      <c r="V460" s="76"/>
      <c r="W460" s="75"/>
      <c r="X460" s="76"/>
      <c r="Y460" s="29" t="str">
        <f t="shared" si="4"/>
        <v/>
      </c>
      <c r="Z460" s="29" t="str">
        <f t="shared" si="5"/>
        <v/>
      </c>
      <c r="AA460" s="76"/>
      <c r="AB460" s="76"/>
      <c r="AC460" s="75"/>
      <c r="AD460" s="75"/>
      <c r="AE460" s="78" t="str">
        <f>IF(U460="","",IF(AD460="","",_xlfn.WORKDAY.INTL(AD460,7,1,FERIADOS)))</f>
        <v/>
      </c>
      <c r="AF460" s="104"/>
      <c r="AG460" s="80" t="str">
        <f t="array" ref="AG460">IF(A460="","",IF(AF460="","",AF460*INDEX(PARAMETROS!F$2:F1523,MATCH(YEAR(AC460),PARAMETROS!E$2:E1523,0),1)))</f>
        <v/>
      </c>
      <c r="AH460" s="81"/>
      <c r="AI460" s="82"/>
      <c r="AJ460" s="81"/>
      <c r="AK460" s="81"/>
      <c r="AL460" s="76"/>
      <c r="AM460" s="75"/>
      <c r="AN460" s="76"/>
      <c r="AO460" s="95"/>
      <c r="AP460" s="96"/>
      <c r="AQ460" s="85" t="str">
        <f t="shared" si="6"/>
        <v/>
      </c>
      <c r="AR460" s="86" t="str">
        <f t="array" ref="AR460">IF(A460="","",IFERROR(INDEX('2) Etapas'!L$3:L923,MATCH(B460,'2) Etapas'!$A$4:$A923,0),1),-1))</f>
        <v/>
      </c>
      <c r="AS460" s="87" t="str">
        <f t="shared" si="7"/>
        <v/>
      </c>
      <c r="AT460" s="87" t="str">
        <f t="shared" si="8"/>
        <v/>
      </c>
      <c r="AU460" s="87" t="str">
        <f t="shared" si="9"/>
        <v/>
      </c>
      <c r="AV460" s="89" t="str">
        <f t="array" ref="AV460">IF(OR($A460="",$AB460="", $AC460=""),"",MAXA(IF($A460=$A$4:$A923,$AC$4:$AC923)))</f>
        <v/>
      </c>
    </row>
    <row r="461" ht="22.5" customHeight="1">
      <c r="A461" s="76"/>
      <c r="B461" s="68" t="str">
        <f t="shared" si="1"/>
        <v/>
      </c>
      <c r="C461" s="110"/>
      <c r="D461" s="70" t="str">
        <f t="shared" si="2"/>
        <v/>
      </c>
      <c r="E461" s="76"/>
      <c r="F461" s="68" t="str">
        <f t="array" ref="F461">IF($A461="","",IFERROR(INDEX(MA_INDIVIDUALES!C$2:C923, MATCH($A461,MA_INDIVIDUALES!$B$2:$B923,0),1),"CÓDIGO DE EXPEDIENTE INVÁLIDO"))</f>
        <v/>
      </c>
      <c r="G461" s="68" t="str">
        <f t="array" ref="G461">IF($A461="","",IFERROR(INDEX(MA_INDIVIDUALES!K$2:K923, MATCH($A461,MA_INDIVIDUALES!$B$2:$B923,0),1),"CÓDIGO DE EXPEDIENTE INVÁLIDO"))</f>
        <v/>
      </c>
      <c r="H461" s="68" t="str">
        <f t="array" ref="H461">IF($A461="","",IFERROR(INDEX(MA_INDIVIDUALES!L$2:L923, MATCH($A461,MA_INDIVIDUALES!$B$2:$B923,0),1),"CÓDIGO DE EXPEDIENTE INVÁLIDO"))</f>
        <v/>
      </c>
      <c r="I461" s="76"/>
      <c r="J461" s="76"/>
      <c r="K461" s="75"/>
      <c r="L461" s="74" t="str">
        <f>IF(A461="","",IF(K461="","",_xlfn.WORKDAY.INTL(K461,5,1,FERIADOS)))</f>
        <v/>
      </c>
      <c r="M461" s="76"/>
      <c r="N461" s="75"/>
      <c r="O461" s="76"/>
      <c r="P461" s="77" t="str">
        <f t="shared" si="3"/>
        <v/>
      </c>
      <c r="Q461" s="75"/>
      <c r="R461" s="76"/>
      <c r="S461" s="75"/>
      <c r="T461" s="75"/>
      <c r="U461" s="76"/>
      <c r="V461" s="76"/>
      <c r="W461" s="75"/>
      <c r="X461" s="76"/>
      <c r="Y461" s="29" t="str">
        <f t="shared" si="4"/>
        <v/>
      </c>
      <c r="Z461" s="29" t="str">
        <f t="shared" si="5"/>
        <v/>
      </c>
      <c r="AA461" s="76"/>
      <c r="AB461" s="76"/>
      <c r="AC461" s="75"/>
      <c r="AD461" s="75"/>
      <c r="AE461" s="78" t="str">
        <f>IF(U461="","",IF(AD461="","",_xlfn.WORKDAY.INTL(AD461,7,1,FERIADOS)))</f>
        <v/>
      </c>
      <c r="AF461" s="104"/>
      <c r="AG461" s="80" t="str">
        <f t="array" ref="AG461">IF(A461="","",IF(AF461="","",AF461*INDEX(PARAMETROS!F$2:F1524,MATCH(YEAR(AC461),PARAMETROS!E$2:E1524,0),1)))</f>
        <v/>
      </c>
      <c r="AH461" s="81"/>
      <c r="AI461" s="82"/>
      <c r="AJ461" s="81"/>
      <c r="AK461" s="81"/>
      <c r="AL461" s="76"/>
      <c r="AM461" s="75"/>
      <c r="AN461" s="76"/>
      <c r="AO461" s="95"/>
      <c r="AP461" s="96"/>
      <c r="AQ461" s="85" t="str">
        <f t="shared" si="6"/>
        <v/>
      </c>
      <c r="AR461" s="86" t="str">
        <f t="array" ref="AR461">IF(A461="","",IFERROR(INDEX('2) Etapas'!L$3:L923,MATCH(B461,'2) Etapas'!$A$4:$A923,0),1),-1))</f>
        <v/>
      </c>
      <c r="AS461" s="87" t="str">
        <f t="shared" si="7"/>
        <v/>
      </c>
      <c r="AT461" s="87" t="str">
        <f t="shared" si="8"/>
        <v/>
      </c>
      <c r="AU461" s="87" t="str">
        <f t="shared" si="9"/>
        <v/>
      </c>
      <c r="AV461" s="89" t="str">
        <f t="array" ref="AV461">IF(OR($A461="",$AB461="", $AC461=""),"",MAXA(IF($A461=$A$4:$A923,$AC$4:$AC923)))</f>
        <v/>
      </c>
    </row>
    <row r="462" ht="22.5" customHeight="1">
      <c r="A462" s="76"/>
      <c r="B462" s="68" t="str">
        <f t="shared" si="1"/>
        <v/>
      </c>
      <c r="C462" s="110"/>
      <c r="D462" s="70" t="str">
        <f t="shared" si="2"/>
        <v/>
      </c>
      <c r="E462" s="76"/>
      <c r="F462" s="68" t="str">
        <f t="array" ref="F462">IF($A462="","",IFERROR(INDEX(MA_INDIVIDUALES!C$2:C923, MATCH($A462,MA_INDIVIDUALES!$B$2:$B923,0),1),"CÓDIGO DE EXPEDIENTE INVÁLIDO"))</f>
        <v/>
      </c>
      <c r="G462" s="68" t="str">
        <f t="array" ref="G462">IF($A462="","",IFERROR(INDEX(MA_INDIVIDUALES!K$2:K923, MATCH($A462,MA_INDIVIDUALES!$B$2:$B923,0),1),"CÓDIGO DE EXPEDIENTE INVÁLIDO"))</f>
        <v/>
      </c>
      <c r="H462" s="68" t="str">
        <f t="array" ref="H462">IF($A462="","",IFERROR(INDEX(MA_INDIVIDUALES!L$2:L923, MATCH($A462,MA_INDIVIDUALES!$B$2:$B923,0),1),"CÓDIGO DE EXPEDIENTE INVÁLIDO"))</f>
        <v/>
      </c>
      <c r="I462" s="76"/>
      <c r="J462" s="76"/>
      <c r="K462" s="75"/>
      <c r="L462" s="74" t="str">
        <f>IF(A462="","",IF(K462="","",_xlfn.WORKDAY.INTL(K462,5,1,FERIADOS)))</f>
        <v/>
      </c>
      <c r="M462" s="76"/>
      <c r="N462" s="75"/>
      <c r="O462" s="76"/>
      <c r="P462" s="77" t="str">
        <f t="shared" si="3"/>
        <v/>
      </c>
      <c r="Q462" s="75"/>
      <c r="R462" s="76"/>
      <c r="S462" s="75"/>
      <c r="T462" s="75"/>
      <c r="U462" s="76"/>
      <c r="V462" s="76"/>
      <c r="W462" s="75"/>
      <c r="X462" s="76"/>
      <c r="Y462" s="29" t="str">
        <f t="shared" si="4"/>
        <v/>
      </c>
      <c r="Z462" s="29" t="str">
        <f t="shared" si="5"/>
        <v/>
      </c>
      <c r="AA462" s="76"/>
      <c r="AB462" s="76"/>
      <c r="AC462" s="75"/>
      <c r="AD462" s="75"/>
      <c r="AE462" s="78" t="str">
        <f>IF(U462="","",IF(AD462="","",_xlfn.WORKDAY.INTL(AD462,7,1,FERIADOS)))</f>
        <v/>
      </c>
      <c r="AF462" s="104"/>
      <c r="AG462" s="80" t="str">
        <f t="array" ref="AG462">IF(A462="","",IF(AF462="","",AF462*INDEX(PARAMETROS!F$2:F1525,MATCH(YEAR(AC462),PARAMETROS!E$2:E1525,0),1)))</f>
        <v/>
      </c>
      <c r="AH462" s="81"/>
      <c r="AI462" s="82"/>
      <c r="AJ462" s="81"/>
      <c r="AK462" s="81"/>
      <c r="AL462" s="76"/>
      <c r="AM462" s="75"/>
      <c r="AN462" s="76"/>
      <c r="AO462" s="95"/>
      <c r="AP462" s="96"/>
      <c r="AQ462" s="85" t="str">
        <f t="shared" si="6"/>
        <v/>
      </c>
      <c r="AR462" s="86" t="str">
        <f t="array" ref="AR462">IF(A462="","",IFERROR(INDEX('2) Etapas'!L$3:L923,MATCH(B462,'2) Etapas'!$A$4:$A923,0),1),-1))</f>
        <v/>
      </c>
      <c r="AS462" s="87" t="str">
        <f t="shared" si="7"/>
        <v/>
      </c>
      <c r="AT462" s="87" t="str">
        <f t="shared" si="8"/>
        <v/>
      </c>
      <c r="AU462" s="87" t="str">
        <f t="shared" si="9"/>
        <v/>
      </c>
      <c r="AV462" s="89" t="str">
        <f t="array" ref="AV462">IF(OR($A462="",$AB462="", $AC462=""),"",MAXA(IF($A462=$A$4:$A923,$AC$4:$AC923)))</f>
        <v/>
      </c>
    </row>
    <row r="463" ht="22.5" customHeight="1">
      <c r="A463" s="76"/>
      <c r="B463" s="68" t="str">
        <f t="shared" si="1"/>
        <v/>
      </c>
      <c r="C463" s="110"/>
      <c r="D463" s="70" t="str">
        <f t="shared" si="2"/>
        <v/>
      </c>
      <c r="E463" s="76"/>
      <c r="F463" s="68" t="str">
        <f t="array" ref="F463">IF($A463="","",IFERROR(INDEX(MA_INDIVIDUALES!C$2:C923, MATCH($A463,MA_INDIVIDUALES!$B$2:$B923,0),1),"CÓDIGO DE EXPEDIENTE INVÁLIDO"))</f>
        <v/>
      </c>
      <c r="G463" s="68" t="str">
        <f t="array" ref="G463">IF($A463="","",IFERROR(INDEX(MA_INDIVIDUALES!K$2:K923, MATCH($A463,MA_INDIVIDUALES!$B$2:$B923,0),1),"CÓDIGO DE EXPEDIENTE INVÁLIDO"))</f>
        <v/>
      </c>
      <c r="H463" s="68" t="str">
        <f t="array" ref="H463">IF($A463="","",IFERROR(INDEX(MA_INDIVIDUALES!L$2:L923, MATCH($A463,MA_INDIVIDUALES!$B$2:$B923,0),1),"CÓDIGO DE EXPEDIENTE INVÁLIDO"))</f>
        <v/>
      </c>
      <c r="I463" s="76"/>
      <c r="J463" s="76"/>
      <c r="K463" s="75"/>
      <c r="L463" s="74" t="str">
        <f>IF(A463="","",IF(K463="","",_xlfn.WORKDAY.INTL(K463,5,1,FERIADOS)))</f>
        <v/>
      </c>
      <c r="M463" s="76"/>
      <c r="N463" s="75"/>
      <c r="O463" s="76"/>
      <c r="P463" s="77" t="str">
        <f t="shared" si="3"/>
        <v/>
      </c>
      <c r="Q463" s="75"/>
      <c r="R463" s="76"/>
      <c r="S463" s="75"/>
      <c r="T463" s="75"/>
      <c r="U463" s="76"/>
      <c r="V463" s="76"/>
      <c r="W463" s="75"/>
      <c r="X463" s="76"/>
      <c r="Y463" s="29" t="str">
        <f t="shared" si="4"/>
        <v/>
      </c>
      <c r="Z463" s="29" t="str">
        <f t="shared" si="5"/>
        <v/>
      </c>
      <c r="AA463" s="76"/>
      <c r="AB463" s="76"/>
      <c r="AC463" s="75"/>
      <c r="AD463" s="75"/>
      <c r="AE463" s="78" t="str">
        <f>IF(U463="","",IF(AD463="","",_xlfn.WORKDAY.INTL(AD463,7,1,FERIADOS)))</f>
        <v/>
      </c>
      <c r="AF463" s="104"/>
      <c r="AG463" s="80" t="str">
        <f t="array" ref="AG463">IF(A463="","",IF(AF463="","",AF463*INDEX(PARAMETROS!F$2:F1526,MATCH(YEAR(AC463),PARAMETROS!E$2:E1526,0),1)))</f>
        <v/>
      </c>
      <c r="AH463" s="81"/>
      <c r="AI463" s="82"/>
      <c r="AJ463" s="81"/>
      <c r="AK463" s="81"/>
      <c r="AL463" s="76"/>
      <c r="AM463" s="75"/>
      <c r="AN463" s="76"/>
      <c r="AO463" s="95"/>
      <c r="AP463" s="96"/>
      <c r="AQ463" s="85" t="str">
        <f t="shared" si="6"/>
        <v/>
      </c>
      <c r="AR463" s="86" t="str">
        <f t="array" ref="AR463">IF(A463="","",IFERROR(INDEX('2) Etapas'!L$3:L923,MATCH(B463,'2) Etapas'!$A$4:$A923,0),1),-1))</f>
        <v/>
      </c>
      <c r="AS463" s="87" t="str">
        <f t="shared" si="7"/>
        <v/>
      </c>
      <c r="AT463" s="87" t="str">
        <f t="shared" si="8"/>
        <v/>
      </c>
      <c r="AU463" s="87" t="str">
        <f t="shared" si="9"/>
        <v/>
      </c>
      <c r="AV463" s="89" t="str">
        <f t="array" ref="AV463">IF(OR($A463="",$AB463="", $AC463=""),"",MAXA(IF($A463=$A$4:$A923,$AC$4:$AC923)))</f>
        <v/>
      </c>
    </row>
    <row r="464" ht="22.5" customHeight="1">
      <c r="A464" s="76"/>
      <c r="B464" s="68" t="str">
        <f t="shared" si="1"/>
        <v/>
      </c>
      <c r="C464" s="110"/>
      <c r="D464" s="70" t="str">
        <f t="shared" si="2"/>
        <v/>
      </c>
      <c r="E464" s="76"/>
      <c r="F464" s="68" t="str">
        <f t="array" ref="F464">IF($A464="","",IFERROR(INDEX(MA_INDIVIDUALES!C$2:C923, MATCH($A464,MA_INDIVIDUALES!$B$2:$B923,0),1),"CÓDIGO DE EXPEDIENTE INVÁLIDO"))</f>
        <v/>
      </c>
      <c r="G464" s="68" t="str">
        <f t="array" ref="G464">IF($A464="","",IFERROR(INDEX(MA_INDIVIDUALES!K$2:K923, MATCH($A464,MA_INDIVIDUALES!$B$2:$B923,0),1),"CÓDIGO DE EXPEDIENTE INVÁLIDO"))</f>
        <v/>
      </c>
      <c r="H464" s="68" t="str">
        <f t="array" ref="H464">IF($A464="","",IFERROR(INDEX(MA_INDIVIDUALES!L$2:L923, MATCH($A464,MA_INDIVIDUALES!$B$2:$B923,0),1),"CÓDIGO DE EXPEDIENTE INVÁLIDO"))</f>
        <v/>
      </c>
      <c r="I464" s="76"/>
      <c r="J464" s="76"/>
      <c r="K464" s="75"/>
      <c r="L464" s="74" t="str">
        <f>IF(A464="","",IF(K464="","",_xlfn.WORKDAY.INTL(K464,5,1,FERIADOS)))</f>
        <v/>
      </c>
      <c r="M464" s="76"/>
      <c r="N464" s="75"/>
      <c r="O464" s="76"/>
      <c r="P464" s="77" t="str">
        <f t="shared" si="3"/>
        <v/>
      </c>
      <c r="Q464" s="75"/>
      <c r="R464" s="76"/>
      <c r="S464" s="75"/>
      <c r="T464" s="75"/>
      <c r="U464" s="76"/>
      <c r="V464" s="76"/>
      <c r="W464" s="75"/>
      <c r="X464" s="76"/>
      <c r="Y464" s="29" t="str">
        <f t="shared" si="4"/>
        <v/>
      </c>
      <c r="Z464" s="29" t="str">
        <f t="shared" si="5"/>
        <v/>
      </c>
      <c r="AA464" s="76"/>
      <c r="AB464" s="76"/>
      <c r="AC464" s="75"/>
      <c r="AD464" s="75"/>
      <c r="AE464" s="78" t="str">
        <f>IF(U464="","",IF(AD464="","",_xlfn.WORKDAY.INTL(AD464,7,1,FERIADOS)))</f>
        <v/>
      </c>
      <c r="AF464" s="104"/>
      <c r="AG464" s="80" t="str">
        <f t="array" ref="AG464">IF(A464="","",IF(AF464="","",AF464*INDEX(PARAMETROS!F$2:F1527,MATCH(YEAR(AC464),PARAMETROS!E$2:E1527,0),1)))</f>
        <v/>
      </c>
      <c r="AH464" s="81"/>
      <c r="AI464" s="82"/>
      <c r="AJ464" s="81"/>
      <c r="AK464" s="81"/>
      <c r="AL464" s="76"/>
      <c r="AM464" s="75"/>
      <c r="AN464" s="76"/>
      <c r="AO464" s="95"/>
      <c r="AP464" s="96"/>
      <c r="AQ464" s="85" t="str">
        <f t="shared" si="6"/>
        <v/>
      </c>
      <c r="AR464" s="86" t="str">
        <f t="array" ref="AR464">IF(A464="","",IFERROR(INDEX('2) Etapas'!L$3:L923,MATCH(B464,'2) Etapas'!$A$4:$A923,0),1),-1))</f>
        <v/>
      </c>
      <c r="AS464" s="87" t="str">
        <f t="shared" si="7"/>
        <v/>
      </c>
      <c r="AT464" s="87" t="str">
        <f t="shared" si="8"/>
        <v/>
      </c>
      <c r="AU464" s="87" t="str">
        <f t="shared" si="9"/>
        <v/>
      </c>
      <c r="AV464" s="89" t="str">
        <f t="array" ref="AV464">IF(OR($A464="",$AB464="", $AC464=""),"",MAXA(IF($A464=$A$4:$A923,$AC$4:$AC923)))</f>
        <v/>
      </c>
    </row>
    <row r="465" ht="22.5" customHeight="1">
      <c r="A465" s="76"/>
      <c r="B465" s="68" t="str">
        <f t="shared" si="1"/>
        <v/>
      </c>
      <c r="C465" s="110"/>
      <c r="D465" s="70" t="str">
        <f t="shared" si="2"/>
        <v/>
      </c>
      <c r="E465" s="76"/>
      <c r="F465" s="68" t="str">
        <f t="array" ref="F465">IF($A465="","",IFERROR(INDEX(MA_INDIVIDUALES!C$2:C923, MATCH($A465,MA_INDIVIDUALES!$B$2:$B923,0),1),"CÓDIGO DE EXPEDIENTE INVÁLIDO"))</f>
        <v/>
      </c>
      <c r="G465" s="68" t="str">
        <f t="array" ref="G465">IF($A465="","",IFERROR(INDEX(MA_INDIVIDUALES!K$2:K923, MATCH($A465,MA_INDIVIDUALES!$B$2:$B923,0),1),"CÓDIGO DE EXPEDIENTE INVÁLIDO"))</f>
        <v/>
      </c>
      <c r="H465" s="68" t="str">
        <f t="array" ref="H465">IF($A465="","",IFERROR(INDEX(MA_INDIVIDUALES!L$2:L923, MATCH($A465,MA_INDIVIDUALES!$B$2:$B923,0),1),"CÓDIGO DE EXPEDIENTE INVÁLIDO"))</f>
        <v/>
      </c>
      <c r="I465" s="76"/>
      <c r="J465" s="76"/>
      <c r="K465" s="75"/>
      <c r="L465" s="74" t="str">
        <f>IF(A465="","",IF(K465="","",_xlfn.WORKDAY.INTL(K465,5,1,FERIADOS)))</f>
        <v/>
      </c>
      <c r="M465" s="76"/>
      <c r="N465" s="75"/>
      <c r="O465" s="76"/>
      <c r="P465" s="77" t="str">
        <f t="shared" si="3"/>
        <v/>
      </c>
      <c r="Q465" s="75"/>
      <c r="R465" s="76"/>
      <c r="S465" s="75"/>
      <c r="T465" s="75"/>
      <c r="U465" s="76"/>
      <c r="V465" s="76"/>
      <c r="W465" s="75"/>
      <c r="X465" s="76"/>
      <c r="Y465" s="29" t="str">
        <f t="shared" si="4"/>
        <v/>
      </c>
      <c r="Z465" s="29" t="str">
        <f t="shared" si="5"/>
        <v/>
      </c>
      <c r="AA465" s="76"/>
      <c r="AB465" s="76"/>
      <c r="AC465" s="75"/>
      <c r="AD465" s="75"/>
      <c r="AE465" s="78" t="str">
        <f>IF(U465="","",IF(AD465="","",_xlfn.WORKDAY.INTL(AD465,7,1,FERIADOS)))</f>
        <v/>
      </c>
      <c r="AF465" s="104"/>
      <c r="AG465" s="80" t="str">
        <f t="array" ref="AG465">IF(A465="","",IF(AF465="","",AF465*INDEX(PARAMETROS!F$2:F1528,MATCH(YEAR(AC465),PARAMETROS!E$2:E1528,0),1)))</f>
        <v/>
      </c>
      <c r="AH465" s="81"/>
      <c r="AI465" s="82"/>
      <c r="AJ465" s="81"/>
      <c r="AK465" s="81"/>
      <c r="AL465" s="76"/>
      <c r="AM465" s="75"/>
      <c r="AN465" s="76"/>
      <c r="AO465" s="95"/>
      <c r="AP465" s="96"/>
      <c r="AQ465" s="85" t="str">
        <f t="shared" si="6"/>
        <v/>
      </c>
      <c r="AR465" s="86" t="str">
        <f t="array" ref="AR465">IF(A465="","",IFERROR(INDEX('2) Etapas'!L$3:L923,MATCH(B465,'2) Etapas'!$A$4:$A923,0),1),-1))</f>
        <v/>
      </c>
      <c r="AS465" s="87" t="str">
        <f t="shared" si="7"/>
        <v/>
      </c>
      <c r="AT465" s="87" t="str">
        <f t="shared" si="8"/>
        <v/>
      </c>
      <c r="AU465" s="87" t="str">
        <f t="shared" si="9"/>
        <v/>
      </c>
      <c r="AV465" s="89" t="str">
        <f t="array" ref="AV465">IF(OR($A465="",$AB465="", $AC465=""),"",MAXA(IF($A465=$A$4:$A923,$AC$4:$AC923)))</f>
        <v/>
      </c>
    </row>
    <row r="466" ht="22.5" customHeight="1">
      <c r="A466" s="76"/>
      <c r="B466" s="68" t="str">
        <f t="shared" si="1"/>
        <v/>
      </c>
      <c r="C466" s="110"/>
      <c r="D466" s="70" t="str">
        <f t="shared" si="2"/>
        <v/>
      </c>
      <c r="E466" s="76"/>
      <c r="F466" s="68" t="str">
        <f t="array" ref="F466">IF($A466="","",IFERROR(INDEX(MA_INDIVIDUALES!C$2:C923, MATCH($A466,MA_INDIVIDUALES!$B$2:$B923,0),1),"CÓDIGO DE EXPEDIENTE INVÁLIDO"))</f>
        <v/>
      </c>
      <c r="G466" s="68" t="str">
        <f t="array" ref="G466">IF($A466="","",IFERROR(INDEX(MA_INDIVIDUALES!K$2:K923, MATCH($A466,MA_INDIVIDUALES!$B$2:$B923,0),1),"CÓDIGO DE EXPEDIENTE INVÁLIDO"))</f>
        <v/>
      </c>
      <c r="H466" s="68" t="str">
        <f t="array" ref="H466">IF($A466="","",IFERROR(INDEX(MA_INDIVIDUALES!L$2:L923, MATCH($A466,MA_INDIVIDUALES!$B$2:$B923,0),1),"CÓDIGO DE EXPEDIENTE INVÁLIDO"))</f>
        <v/>
      </c>
      <c r="I466" s="76"/>
      <c r="J466" s="76"/>
      <c r="K466" s="75"/>
      <c r="L466" s="74" t="str">
        <f>IF(A466="","",IF(K466="","",_xlfn.WORKDAY.INTL(K466,5,1,FERIADOS)))</f>
        <v/>
      </c>
      <c r="M466" s="76"/>
      <c r="N466" s="75"/>
      <c r="O466" s="76"/>
      <c r="P466" s="77" t="str">
        <f t="shared" si="3"/>
        <v/>
      </c>
      <c r="Q466" s="75"/>
      <c r="R466" s="76"/>
      <c r="S466" s="75"/>
      <c r="T466" s="75"/>
      <c r="U466" s="76"/>
      <c r="V466" s="76"/>
      <c r="W466" s="75"/>
      <c r="X466" s="76"/>
      <c r="Y466" s="29" t="str">
        <f t="shared" si="4"/>
        <v/>
      </c>
      <c r="Z466" s="29" t="str">
        <f t="shared" si="5"/>
        <v/>
      </c>
      <c r="AA466" s="76"/>
      <c r="AB466" s="76"/>
      <c r="AC466" s="75"/>
      <c r="AD466" s="75"/>
      <c r="AE466" s="78" t="str">
        <f>IF(U466="","",IF(AD466="","",_xlfn.WORKDAY.INTL(AD466,7,1,FERIADOS)))</f>
        <v/>
      </c>
      <c r="AF466" s="104"/>
      <c r="AG466" s="80" t="str">
        <f t="array" ref="AG466">IF(A466="","",IF(AF466="","",AF466*INDEX(PARAMETROS!F$2:F1529,MATCH(YEAR(AC466),PARAMETROS!E$2:E1529,0),1)))</f>
        <v/>
      </c>
      <c r="AH466" s="81"/>
      <c r="AI466" s="82"/>
      <c r="AJ466" s="81"/>
      <c r="AK466" s="81"/>
      <c r="AL466" s="76"/>
      <c r="AM466" s="75"/>
      <c r="AN466" s="76"/>
      <c r="AO466" s="95"/>
      <c r="AP466" s="96"/>
      <c r="AQ466" s="85" t="str">
        <f t="shared" si="6"/>
        <v/>
      </c>
      <c r="AR466" s="86" t="str">
        <f t="array" ref="AR466">IF(A466="","",IFERROR(INDEX('2) Etapas'!L$3:L923,MATCH(B466,'2) Etapas'!$A$4:$A923,0),1),-1))</f>
        <v/>
      </c>
      <c r="AS466" s="87" t="str">
        <f t="shared" si="7"/>
        <v/>
      </c>
      <c r="AT466" s="87" t="str">
        <f t="shared" si="8"/>
        <v/>
      </c>
      <c r="AU466" s="87" t="str">
        <f t="shared" si="9"/>
        <v/>
      </c>
      <c r="AV466" s="89" t="str">
        <f t="array" ref="AV466">IF(OR($A466="",$AB466="", $AC466=""),"",MAXA(IF($A466=$A$4:$A923,$AC$4:$AC923)))</f>
        <v/>
      </c>
    </row>
    <row r="467" ht="22.5" customHeight="1">
      <c r="A467" s="76"/>
      <c r="B467" s="68" t="str">
        <f t="shared" si="1"/>
        <v/>
      </c>
      <c r="C467" s="110"/>
      <c r="D467" s="70" t="str">
        <f t="shared" si="2"/>
        <v/>
      </c>
      <c r="E467" s="76"/>
      <c r="F467" s="68" t="str">
        <f t="array" ref="F467">IF($A467="","",IFERROR(INDEX(MA_INDIVIDUALES!C$2:C923, MATCH($A467,MA_INDIVIDUALES!$B$2:$B923,0),1),"CÓDIGO DE EXPEDIENTE INVÁLIDO"))</f>
        <v/>
      </c>
      <c r="G467" s="68" t="str">
        <f t="array" ref="G467">IF($A467="","",IFERROR(INDEX(MA_INDIVIDUALES!K$2:K923, MATCH($A467,MA_INDIVIDUALES!$B$2:$B923,0),1),"CÓDIGO DE EXPEDIENTE INVÁLIDO"))</f>
        <v/>
      </c>
      <c r="H467" s="68" t="str">
        <f t="array" ref="H467">IF($A467="","",IFERROR(INDEX(MA_INDIVIDUALES!L$2:L923, MATCH($A467,MA_INDIVIDUALES!$B$2:$B923,0),1),"CÓDIGO DE EXPEDIENTE INVÁLIDO"))</f>
        <v/>
      </c>
      <c r="I467" s="76"/>
      <c r="J467" s="76"/>
      <c r="K467" s="75"/>
      <c r="L467" s="74" t="str">
        <f>IF(A467="","",IF(K467="","",_xlfn.WORKDAY.INTL(K467,5,1,FERIADOS)))</f>
        <v/>
      </c>
      <c r="M467" s="76"/>
      <c r="N467" s="75"/>
      <c r="O467" s="76"/>
      <c r="P467" s="77" t="str">
        <f t="shared" si="3"/>
        <v/>
      </c>
      <c r="Q467" s="75"/>
      <c r="R467" s="76"/>
      <c r="S467" s="75"/>
      <c r="T467" s="75"/>
      <c r="U467" s="76"/>
      <c r="V467" s="76"/>
      <c r="W467" s="75"/>
      <c r="X467" s="76"/>
      <c r="Y467" s="29" t="str">
        <f t="shared" si="4"/>
        <v/>
      </c>
      <c r="Z467" s="29" t="str">
        <f t="shared" si="5"/>
        <v/>
      </c>
      <c r="AA467" s="76"/>
      <c r="AB467" s="76"/>
      <c r="AC467" s="75"/>
      <c r="AD467" s="75"/>
      <c r="AE467" s="78" t="str">
        <f>IF(U467="","",IF(AD467="","",_xlfn.WORKDAY.INTL(AD467,7,1,FERIADOS)))</f>
        <v/>
      </c>
      <c r="AF467" s="104"/>
      <c r="AG467" s="80" t="str">
        <f t="array" ref="AG467">IF(A467="","",IF(AF467="","",AF467*INDEX(PARAMETROS!F$2:F1530,MATCH(YEAR(AC467),PARAMETROS!E$2:E1530,0),1)))</f>
        <v/>
      </c>
      <c r="AH467" s="81"/>
      <c r="AI467" s="82"/>
      <c r="AJ467" s="81"/>
      <c r="AK467" s="81"/>
      <c r="AL467" s="76"/>
      <c r="AM467" s="75"/>
      <c r="AN467" s="76"/>
      <c r="AO467" s="95"/>
      <c r="AP467" s="96"/>
      <c r="AQ467" s="85" t="str">
        <f t="shared" si="6"/>
        <v/>
      </c>
      <c r="AR467" s="86" t="str">
        <f t="array" ref="AR467">IF(A467="","",IFERROR(INDEX('2) Etapas'!L$3:L923,MATCH(B467,'2) Etapas'!$A$4:$A923,0),1),-1))</f>
        <v/>
      </c>
      <c r="AS467" s="87" t="str">
        <f t="shared" si="7"/>
        <v/>
      </c>
      <c r="AT467" s="87" t="str">
        <f t="shared" si="8"/>
        <v/>
      </c>
      <c r="AU467" s="87" t="str">
        <f t="shared" si="9"/>
        <v/>
      </c>
      <c r="AV467" s="89" t="str">
        <f t="array" ref="AV467">IF(OR($A467="",$AB467="", $AC467=""),"",MAXA(IF($A467=$A$4:$A923,$AC$4:$AC923)))</f>
        <v/>
      </c>
    </row>
    <row r="468" ht="22.5" customHeight="1">
      <c r="A468" s="76"/>
      <c r="B468" s="68" t="str">
        <f t="shared" si="1"/>
        <v/>
      </c>
      <c r="C468" s="110"/>
      <c r="D468" s="70" t="str">
        <f t="shared" si="2"/>
        <v/>
      </c>
      <c r="E468" s="76"/>
      <c r="F468" s="68" t="str">
        <f t="array" ref="F468">IF($A468="","",IFERROR(INDEX(MA_INDIVIDUALES!C$2:C923, MATCH($A468,MA_INDIVIDUALES!$B$2:$B923,0),1),"CÓDIGO DE EXPEDIENTE INVÁLIDO"))</f>
        <v/>
      </c>
      <c r="G468" s="68" t="str">
        <f t="array" ref="G468">IF($A468="","",IFERROR(INDEX(MA_INDIVIDUALES!K$2:K923, MATCH($A468,MA_INDIVIDUALES!$B$2:$B923,0),1),"CÓDIGO DE EXPEDIENTE INVÁLIDO"))</f>
        <v/>
      </c>
      <c r="H468" s="68" t="str">
        <f t="array" ref="H468">IF($A468="","",IFERROR(INDEX(MA_INDIVIDUALES!L$2:L923, MATCH($A468,MA_INDIVIDUALES!$B$2:$B923,0),1),"CÓDIGO DE EXPEDIENTE INVÁLIDO"))</f>
        <v/>
      </c>
      <c r="I468" s="76"/>
      <c r="J468" s="76"/>
      <c r="K468" s="75"/>
      <c r="L468" s="74" t="str">
        <f>IF(A468="","",IF(K468="","",_xlfn.WORKDAY.INTL(K468,5,1,FERIADOS)))</f>
        <v/>
      </c>
      <c r="M468" s="76"/>
      <c r="N468" s="75"/>
      <c r="O468" s="76"/>
      <c r="P468" s="77" t="str">
        <f t="shared" si="3"/>
        <v/>
      </c>
      <c r="Q468" s="75"/>
      <c r="R468" s="76"/>
      <c r="S468" s="75"/>
      <c r="T468" s="75"/>
      <c r="U468" s="76"/>
      <c r="V468" s="76"/>
      <c r="W468" s="75"/>
      <c r="X468" s="76"/>
      <c r="Y468" s="29" t="str">
        <f t="shared" si="4"/>
        <v/>
      </c>
      <c r="Z468" s="29" t="str">
        <f t="shared" si="5"/>
        <v/>
      </c>
      <c r="AA468" s="76"/>
      <c r="AB468" s="76"/>
      <c r="AC468" s="75"/>
      <c r="AD468" s="75"/>
      <c r="AE468" s="78" t="str">
        <f>IF(U468="","",IF(AD468="","",_xlfn.WORKDAY.INTL(AD468,7,1,FERIADOS)))</f>
        <v/>
      </c>
      <c r="AF468" s="104"/>
      <c r="AG468" s="80" t="str">
        <f t="array" ref="AG468">IF(A468="","",IF(AF468="","",AF468*INDEX(PARAMETROS!F$2:F1531,MATCH(YEAR(AC468),PARAMETROS!E$2:E1531,0),1)))</f>
        <v/>
      </c>
      <c r="AH468" s="81"/>
      <c r="AI468" s="82"/>
      <c r="AJ468" s="81"/>
      <c r="AK468" s="81"/>
      <c r="AL468" s="76"/>
      <c r="AM468" s="75"/>
      <c r="AN468" s="76"/>
      <c r="AO468" s="95"/>
      <c r="AP468" s="96"/>
      <c r="AQ468" s="85" t="str">
        <f t="shared" si="6"/>
        <v/>
      </c>
      <c r="AR468" s="86" t="str">
        <f t="array" ref="AR468">IF(A468="","",IFERROR(INDEX('2) Etapas'!L$3:L923,MATCH(B468,'2) Etapas'!$A$4:$A923,0),1),-1))</f>
        <v/>
      </c>
      <c r="AS468" s="87" t="str">
        <f t="shared" si="7"/>
        <v/>
      </c>
      <c r="AT468" s="87" t="str">
        <f t="shared" si="8"/>
        <v/>
      </c>
      <c r="AU468" s="87" t="str">
        <f t="shared" si="9"/>
        <v/>
      </c>
      <c r="AV468" s="89" t="str">
        <f t="array" ref="AV468">IF(OR($A468="",$AB468="", $AC468=""),"",MAXA(IF($A468=$A$4:$A923,$AC$4:$AC923)))</f>
        <v/>
      </c>
    </row>
    <row r="469" ht="22.5" customHeight="1">
      <c r="A469" s="76"/>
      <c r="B469" s="68" t="str">
        <f t="shared" si="1"/>
        <v/>
      </c>
      <c r="C469" s="110"/>
      <c r="D469" s="70" t="str">
        <f t="shared" si="2"/>
        <v/>
      </c>
      <c r="E469" s="76"/>
      <c r="F469" s="68" t="str">
        <f t="array" ref="F469">IF($A469="","",IFERROR(INDEX(MA_INDIVIDUALES!C$2:C923, MATCH($A469,MA_INDIVIDUALES!$B$2:$B923,0),1),"CÓDIGO DE EXPEDIENTE INVÁLIDO"))</f>
        <v/>
      </c>
      <c r="G469" s="68" t="str">
        <f t="array" ref="G469">IF($A469="","",IFERROR(INDEX(MA_INDIVIDUALES!K$2:K923, MATCH($A469,MA_INDIVIDUALES!$B$2:$B923,0),1),"CÓDIGO DE EXPEDIENTE INVÁLIDO"))</f>
        <v/>
      </c>
      <c r="H469" s="68" t="str">
        <f t="array" ref="H469">IF($A469="","",IFERROR(INDEX(MA_INDIVIDUALES!L$2:L923, MATCH($A469,MA_INDIVIDUALES!$B$2:$B923,0),1),"CÓDIGO DE EXPEDIENTE INVÁLIDO"))</f>
        <v/>
      </c>
      <c r="I469" s="76"/>
      <c r="J469" s="76"/>
      <c r="K469" s="75"/>
      <c r="L469" s="74" t="str">
        <f>IF(A469="","",IF(K469="","",_xlfn.WORKDAY.INTL(K469,5,1,FERIADOS)))</f>
        <v/>
      </c>
      <c r="M469" s="76"/>
      <c r="N469" s="75"/>
      <c r="O469" s="76"/>
      <c r="P469" s="77" t="str">
        <f t="shared" si="3"/>
        <v/>
      </c>
      <c r="Q469" s="75"/>
      <c r="R469" s="76"/>
      <c r="S469" s="75"/>
      <c r="T469" s="75"/>
      <c r="U469" s="76"/>
      <c r="V469" s="76"/>
      <c r="W469" s="75"/>
      <c r="X469" s="76"/>
      <c r="Y469" s="29" t="str">
        <f t="shared" si="4"/>
        <v/>
      </c>
      <c r="Z469" s="29" t="str">
        <f t="shared" si="5"/>
        <v/>
      </c>
      <c r="AA469" s="76"/>
      <c r="AB469" s="76"/>
      <c r="AC469" s="75"/>
      <c r="AD469" s="75"/>
      <c r="AE469" s="78" t="str">
        <f>IF(U469="","",IF(AD469="","",_xlfn.WORKDAY.INTL(AD469,7,1,FERIADOS)))</f>
        <v/>
      </c>
      <c r="AF469" s="104"/>
      <c r="AG469" s="80" t="str">
        <f t="array" ref="AG469">IF(A469="","",IF(AF469="","",AF469*INDEX(PARAMETROS!F$2:F1532,MATCH(YEAR(AC469),PARAMETROS!E$2:E1532,0),1)))</f>
        <v/>
      </c>
      <c r="AH469" s="81"/>
      <c r="AI469" s="82"/>
      <c r="AJ469" s="81"/>
      <c r="AK469" s="81"/>
      <c r="AL469" s="76"/>
      <c r="AM469" s="75"/>
      <c r="AN469" s="76"/>
      <c r="AO469" s="95"/>
      <c r="AP469" s="96"/>
      <c r="AQ469" s="85" t="str">
        <f t="shared" si="6"/>
        <v/>
      </c>
      <c r="AR469" s="86" t="str">
        <f t="array" ref="AR469">IF(A469="","",IFERROR(INDEX('2) Etapas'!L$3:L923,MATCH(B469,'2) Etapas'!$A$4:$A923,0),1),-1))</f>
        <v/>
      </c>
      <c r="AS469" s="87" t="str">
        <f t="shared" si="7"/>
        <v/>
      </c>
      <c r="AT469" s="87" t="str">
        <f t="shared" si="8"/>
        <v/>
      </c>
      <c r="AU469" s="87" t="str">
        <f t="shared" si="9"/>
        <v/>
      </c>
      <c r="AV469" s="89" t="str">
        <f t="array" ref="AV469">IF(OR($A469="",$AB469="", $AC469=""),"",MAXA(IF($A469=$A$4:$A923,$AC$4:$AC923)))</f>
        <v/>
      </c>
    </row>
    <row r="470" ht="22.5" customHeight="1">
      <c r="A470" s="76"/>
      <c r="B470" s="68" t="str">
        <f t="shared" si="1"/>
        <v/>
      </c>
      <c r="C470" s="110"/>
      <c r="D470" s="70" t="str">
        <f t="shared" si="2"/>
        <v/>
      </c>
      <c r="E470" s="76"/>
      <c r="F470" s="68" t="str">
        <f t="array" ref="F470">IF($A470="","",IFERROR(INDEX(MA_INDIVIDUALES!C$2:C923, MATCH($A470,MA_INDIVIDUALES!$B$2:$B923,0),1),"CÓDIGO DE EXPEDIENTE INVÁLIDO"))</f>
        <v/>
      </c>
      <c r="G470" s="68" t="str">
        <f t="array" ref="G470">IF($A470="","",IFERROR(INDEX(MA_INDIVIDUALES!K$2:K923, MATCH($A470,MA_INDIVIDUALES!$B$2:$B923,0),1),"CÓDIGO DE EXPEDIENTE INVÁLIDO"))</f>
        <v/>
      </c>
      <c r="H470" s="68" t="str">
        <f t="array" ref="H470">IF($A470="","",IFERROR(INDEX(MA_INDIVIDUALES!L$2:L923, MATCH($A470,MA_INDIVIDUALES!$B$2:$B923,0),1),"CÓDIGO DE EXPEDIENTE INVÁLIDO"))</f>
        <v/>
      </c>
      <c r="I470" s="76"/>
      <c r="J470" s="76"/>
      <c r="K470" s="75"/>
      <c r="L470" s="74" t="str">
        <f>IF(A470="","",IF(K470="","",_xlfn.WORKDAY.INTL(K470,5,1,FERIADOS)))</f>
        <v/>
      </c>
      <c r="M470" s="76"/>
      <c r="N470" s="75"/>
      <c r="O470" s="76"/>
      <c r="P470" s="77" t="str">
        <f t="shared" si="3"/>
        <v/>
      </c>
      <c r="Q470" s="75"/>
      <c r="R470" s="76"/>
      <c r="S470" s="75"/>
      <c r="T470" s="75"/>
      <c r="U470" s="76"/>
      <c r="V470" s="76"/>
      <c r="W470" s="75"/>
      <c r="X470" s="76"/>
      <c r="Y470" s="29" t="str">
        <f t="shared" si="4"/>
        <v/>
      </c>
      <c r="Z470" s="29" t="str">
        <f t="shared" si="5"/>
        <v/>
      </c>
      <c r="AA470" s="76"/>
      <c r="AB470" s="76"/>
      <c r="AC470" s="75"/>
      <c r="AD470" s="75"/>
      <c r="AE470" s="78" t="str">
        <f>IF(U470="","",IF(AD470="","",_xlfn.WORKDAY.INTL(AD470,7,1,FERIADOS)))</f>
        <v/>
      </c>
      <c r="AF470" s="104"/>
      <c r="AG470" s="80" t="str">
        <f t="array" ref="AG470">IF(A470="","",IF(AF470="","",AF470*INDEX(PARAMETROS!F$2:F1533,MATCH(YEAR(AC470),PARAMETROS!E$2:E1533,0),1)))</f>
        <v/>
      </c>
      <c r="AH470" s="81"/>
      <c r="AI470" s="82"/>
      <c r="AJ470" s="81"/>
      <c r="AK470" s="81"/>
      <c r="AL470" s="76"/>
      <c r="AM470" s="75"/>
      <c r="AN470" s="76"/>
      <c r="AO470" s="95"/>
      <c r="AP470" s="96"/>
      <c r="AQ470" s="85" t="str">
        <f t="shared" si="6"/>
        <v/>
      </c>
      <c r="AR470" s="86" t="str">
        <f t="array" ref="AR470">IF(A470="","",IFERROR(INDEX('2) Etapas'!L$3:L923,MATCH(B470,'2) Etapas'!$A$4:$A923,0),1),-1))</f>
        <v/>
      </c>
      <c r="AS470" s="87" t="str">
        <f t="shared" si="7"/>
        <v/>
      </c>
      <c r="AT470" s="87" t="str">
        <f t="shared" si="8"/>
        <v/>
      </c>
      <c r="AU470" s="87" t="str">
        <f t="shared" si="9"/>
        <v/>
      </c>
      <c r="AV470" s="89" t="str">
        <f t="array" ref="AV470">IF(OR($A470="",$AB470="", $AC470=""),"",MAXA(IF($A470=$A$4:$A923,$AC$4:$AC923)))</f>
        <v/>
      </c>
    </row>
    <row r="471" ht="22.5" customHeight="1">
      <c r="A471" s="76"/>
      <c r="B471" s="68" t="str">
        <f t="shared" si="1"/>
        <v/>
      </c>
      <c r="C471" s="110"/>
      <c r="D471" s="70" t="str">
        <f t="shared" si="2"/>
        <v/>
      </c>
      <c r="E471" s="76"/>
      <c r="F471" s="68" t="str">
        <f t="array" ref="F471">IF($A471="","",IFERROR(INDEX(MA_INDIVIDUALES!C$2:C923, MATCH($A471,MA_INDIVIDUALES!$B$2:$B923,0),1),"CÓDIGO DE EXPEDIENTE INVÁLIDO"))</f>
        <v/>
      </c>
      <c r="G471" s="68" t="str">
        <f t="array" ref="G471">IF($A471="","",IFERROR(INDEX(MA_INDIVIDUALES!K$2:K923, MATCH($A471,MA_INDIVIDUALES!$B$2:$B923,0),1),"CÓDIGO DE EXPEDIENTE INVÁLIDO"))</f>
        <v/>
      </c>
      <c r="H471" s="68" t="str">
        <f t="array" ref="H471">IF($A471="","",IFERROR(INDEX(MA_INDIVIDUALES!L$2:L923, MATCH($A471,MA_INDIVIDUALES!$B$2:$B923,0),1),"CÓDIGO DE EXPEDIENTE INVÁLIDO"))</f>
        <v/>
      </c>
      <c r="I471" s="76"/>
      <c r="J471" s="76"/>
      <c r="K471" s="75"/>
      <c r="L471" s="74" t="str">
        <f>IF(A471="","",IF(K471="","",_xlfn.WORKDAY.INTL(K471,5,1,FERIADOS)))</f>
        <v/>
      </c>
      <c r="M471" s="76"/>
      <c r="N471" s="75"/>
      <c r="O471" s="76"/>
      <c r="P471" s="77" t="str">
        <f t="shared" si="3"/>
        <v/>
      </c>
      <c r="Q471" s="75"/>
      <c r="R471" s="76"/>
      <c r="S471" s="75"/>
      <c r="T471" s="75"/>
      <c r="U471" s="76"/>
      <c r="V471" s="76"/>
      <c r="W471" s="75"/>
      <c r="X471" s="76"/>
      <c r="Y471" s="29" t="str">
        <f t="shared" si="4"/>
        <v/>
      </c>
      <c r="Z471" s="29" t="str">
        <f t="shared" si="5"/>
        <v/>
      </c>
      <c r="AA471" s="76"/>
      <c r="AB471" s="76"/>
      <c r="AC471" s="75"/>
      <c r="AD471" s="75"/>
      <c r="AE471" s="78" t="str">
        <f>IF(U471="","",IF(AD471="","",_xlfn.WORKDAY.INTL(AD471,7,1,FERIADOS)))</f>
        <v/>
      </c>
      <c r="AF471" s="104"/>
      <c r="AG471" s="80" t="str">
        <f t="array" ref="AG471">IF(A471="","",IF(AF471="","",AF471*INDEX(PARAMETROS!F$2:F1534,MATCH(YEAR(AC471),PARAMETROS!E$2:E1534,0),1)))</f>
        <v/>
      </c>
      <c r="AH471" s="81"/>
      <c r="AI471" s="82"/>
      <c r="AJ471" s="81"/>
      <c r="AK471" s="81"/>
      <c r="AL471" s="76"/>
      <c r="AM471" s="75"/>
      <c r="AN471" s="76"/>
      <c r="AO471" s="95"/>
      <c r="AP471" s="96"/>
      <c r="AQ471" s="85" t="str">
        <f t="shared" si="6"/>
        <v/>
      </c>
      <c r="AR471" s="86" t="str">
        <f t="array" ref="AR471">IF(A471="","",IFERROR(INDEX('2) Etapas'!L$3:L923,MATCH(B471,'2) Etapas'!$A$4:$A923,0),1),-1))</f>
        <v/>
      </c>
      <c r="AS471" s="87" t="str">
        <f t="shared" si="7"/>
        <v/>
      </c>
      <c r="AT471" s="87" t="str">
        <f t="shared" si="8"/>
        <v/>
      </c>
      <c r="AU471" s="87" t="str">
        <f t="shared" si="9"/>
        <v/>
      </c>
      <c r="AV471" s="89" t="str">
        <f t="array" ref="AV471">IF(OR($A471="",$AB471="", $AC471=""),"",MAXA(IF($A471=$A$4:$A923,$AC$4:$AC923)))</f>
        <v/>
      </c>
    </row>
    <row r="472" ht="22.5" customHeight="1">
      <c r="A472" s="76"/>
      <c r="B472" s="68" t="str">
        <f t="shared" si="1"/>
        <v/>
      </c>
      <c r="C472" s="110"/>
      <c r="D472" s="70" t="str">
        <f t="shared" si="2"/>
        <v/>
      </c>
      <c r="E472" s="76"/>
      <c r="F472" s="68" t="str">
        <f t="array" ref="F472">IF($A472="","",IFERROR(INDEX(MA_INDIVIDUALES!C$2:C923, MATCH($A472,MA_INDIVIDUALES!$B$2:$B923,0),1),"CÓDIGO DE EXPEDIENTE INVÁLIDO"))</f>
        <v/>
      </c>
      <c r="G472" s="68" t="str">
        <f t="array" ref="G472">IF($A472="","",IFERROR(INDEX(MA_INDIVIDUALES!K$2:K923, MATCH($A472,MA_INDIVIDUALES!$B$2:$B923,0),1),"CÓDIGO DE EXPEDIENTE INVÁLIDO"))</f>
        <v/>
      </c>
      <c r="H472" s="68" t="str">
        <f t="array" ref="H472">IF($A472="","",IFERROR(INDEX(MA_INDIVIDUALES!L$2:L923, MATCH($A472,MA_INDIVIDUALES!$B$2:$B923,0),1),"CÓDIGO DE EXPEDIENTE INVÁLIDO"))</f>
        <v/>
      </c>
      <c r="I472" s="76"/>
      <c r="J472" s="76"/>
      <c r="K472" s="75"/>
      <c r="L472" s="74" t="str">
        <f>IF(A472="","",IF(K472="","",_xlfn.WORKDAY.INTL(K472,5,1,FERIADOS)))</f>
        <v/>
      </c>
      <c r="M472" s="76"/>
      <c r="N472" s="75"/>
      <c r="O472" s="76"/>
      <c r="P472" s="77" t="str">
        <f t="shared" si="3"/>
        <v/>
      </c>
      <c r="Q472" s="75"/>
      <c r="R472" s="76"/>
      <c r="S472" s="75"/>
      <c r="T472" s="75"/>
      <c r="U472" s="76"/>
      <c r="V472" s="76"/>
      <c r="W472" s="75"/>
      <c r="X472" s="76"/>
      <c r="Y472" s="29" t="str">
        <f t="shared" si="4"/>
        <v/>
      </c>
      <c r="Z472" s="29" t="str">
        <f t="shared" si="5"/>
        <v/>
      </c>
      <c r="AA472" s="76"/>
      <c r="AB472" s="76"/>
      <c r="AC472" s="75"/>
      <c r="AD472" s="75"/>
      <c r="AE472" s="78" t="str">
        <f>IF(U472="","",IF(AD472="","",_xlfn.WORKDAY.INTL(AD472,7,1,FERIADOS)))</f>
        <v/>
      </c>
      <c r="AF472" s="104"/>
      <c r="AG472" s="80" t="str">
        <f t="array" ref="AG472">IF(A472="","",IF(AF472="","",AF472*INDEX(PARAMETROS!F$2:F1535,MATCH(YEAR(AC472),PARAMETROS!E$2:E1535,0),1)))</f>
        <v/>
      </c>
      <c r="AH472" s="81"/>
      <c r="AI472" s="82"/>
      <c r="AJ472" s="81"/>
      <c r="AK472" s="81"/>
      <c r="AL472" s="76"/>
      <c r="AM472" s="75"/>
      <c r="AN472" s="76"/>
      <c r="AO472" s="95"/>
      <c r="AP472" s="96"/>
      <c r="AQ472" s="85" t="str">
        <f t="shared" si="6"/>
        <v/>
      </c>
      <c r="AR472" s="86" t="str">
        <f t="array" ref="AR472">IF(A472="","",IFERROR(INDEX('2) Etapas'!L$3:L923,MATCH(B472,'2) Etapas'!$A$4:$A923,0),1),-1))</f>
        <v/>
      </c>
      <c r="AS472" s="87" t="str">
        <f t="shared" si="7"/>
        <v/>
      </c>
      <c r="AT472" s="87" t="str">
        <f t="shared" si="8"/>
        <v/>
      </c>
      <c r="AU472" s="87" t="str">
        <f t="shared" si="9"/>
        <v/>
      </c>
      <c r="AV472" s="89" t="str">
        <f t="array" ref="AV472">IF(OR($A472="",$AB472="", $AC472=""),"",MAXA(IF($A472=$A$4:$A923,$AC$4:$AC923)))</f>
        <v/>
      </c>
    </row>
    <row r="473" ht="22.5" customHeight="1">
      <c r="A473" s="76"/>
      <c r="B473" s="68" t="str">
        <f t="shared" si="1"/>
        <v/>
      </c>
      <c r="C473" s="110"/>
      <c r="D473" s="70" t="str">
        <f t="shared" si="2"/>
        <v/>
      </c>
      <c r="E473" s="76"/>
      <c r="F473" s="68" t="str">
        <f t="array" ref="F473">IF($A473="","",IFERROR(INDEX(MA_INDIVIDUALES!C$2:C923, MATCH($A473,MA_INDIVIDUALES!$B$2:$B923,0),1),"CÓDIGO DE EXPEDIENTE INVÁLIDO"))</f>
        <v/>
      </c>
      <c r="G473" s="68" t="str">
        <f t="array" ref="G473">IF($A473="","",IFERROR(INDEX(MA_INDIVIDUALES!K$2:K923, MATCH($A473,MA_INDIVIDUALES!$B$2:$B923,0),1),"CÓDIGO DE EXPEDIENTE INVÁLIDO"))</f>
        <v/>
      </c>
      <c r="H473" s="68" t="str">
        <f t="array" ref="H473">IF($A473="","",IFERROR(INDEX(MA_INDIVIDUALES!L$2:L923, MATCH($A473,MA_INDIVIDUALES!$B$2:$B923,0),1),"CÓDIGO DE EXPEDIENTE INVÁLIDO"))</f>
        <v/>
      </c>
      <c r="I473" s="76"/>
      <c r="J473" s="76"/>
      <c r="K473" s="75"/>
      <c r="L473" s="74" t="str">
        <f>IF(A473="","",IF(K473="","",_xlfn.WORKDAY.INTL(K473,5,1,FERIADOS)))</f>
        <v/>
      </c>
      <c r="M473" s="76"/>
      <c r="N473" s="75"/>
      <c r="O473" s="76"/>
      <c r="P473" s="77" t="str">
        <f t="shared" si="3"/>
        <v/>
      </c>
      <c r="Q473" s="75"/>
      <c r="R473" s="76"/>
      <c r="S473" s="75"/>
      <c r="T473" s="75"/>
      <c r="U473" s="76"/>
      <c r="V473" s="76"/>
      <c r="W473" s="75"/>
      <c r="X473" s="76"/>
      <c r="Y473" s="29" t="str">
        <f t="shared" si="4"/>
        <v/>
      </c>
      <c r="Z473" s="29" t="str">
        <f t="shared" si="5"/>
        <v/>
      </c>
      <c r="AA473" s="76"/>
      <c r="AB473" s="76"/>
      <c r="AC473" s="75"/>
      <c r="AD473" s="75"/>
      <c r="AE473" s="78" t="str">
        <f>IF(U473="","",IF(AD473="","",_xlfn.WORKDAY.INTL(AD473,7,1,FERIADOS)))</f>
        <v/>
      </c>
      <c r="AF473" s="104"/>
      <c r="AG473" s="80" t="str">
        <f t="array" ref="AG473">IF(A473="","",IF(AF473="","",AF473*INDEX(PARAMETROS!F$2:F1536,MATCH(YEAR(AC473),PARAMETROS!E$2:E1536,0),1)))</f>
        <v/>
      </c>
      <c r="AH473" s="81"/>
      <c r="AI473" s="82"/>
      <c r="AJ473" s="81"/>
      <c r="AK473" s="81"/>
      <c r="AL473" s="76"/>
      <c r="AM473" s="75"/>
      <c r="AN473" s="76"/>
      <c r="AO473" s="95"/>
      <c r="AP473" s="96"/>
      <c r="AQ473" s="85" t="str">
        <f t="shared" si="6"/>
        <v/>
      </c>
      <c r="AR473" s="86" t="str">
        <f t="array" ref="AR473">IF(A473="","",IFERROR(INDEX('2) Etapas'!L$3:L923,MATCH(B473,'2) Etapas'!$A$4:$A923,0),1),-1))</f>
        <v/>
      </c>
      <c r="AS473" s="87" t="str">
        <f t="shared" si="7"/>
        <v/>
      </c>
      <c r="AT473" s="87" t="str">
        <f t="shared" si="8"/>
        <v/>
      </c>
      <c r="AU473" s="87" t="str">
        <f t="shared" si="9"/>
        <v/>
      </c>
      <c r="AV473" s="89" t="str">
        <f t="array" ref="AV473">IF(OR($A473="",$AB473="", $AC473=""),"",MAXA(IF($A473=$A$4:$A923,$AC$4:$AC923)))</f>
        <v/>
      </c>
    </row>
    <row r="474" ht="22.5" customHeight="1">
      <c r="A474" s="76"/>
      <c r="B474" s="68" t="str">
        <f t="shared" si="1"/>
        <v/>
      </c>
      <c r="C474" s="110"/>
      <c r="D474" s="70" t="str">
        <f t="shared" si="2"/>
        <v/>
      </c>
      <c r="E474" s="76"/>
      <c r="F474" s="68" t="str">
        <f t="array" ref="F474">IF($A474="","",IFERROR(INDEX(MA_INDIVIDUALES!C$2:C923, MATCH($A474,MA_INDIVIDUALES!$B$2:$B923,0),1),"CÓDIGO DE EXPEDIENTE INVÁLIDO"))</f>
        <v/>
      </c>
      <c r="G474" s="68" t="str">
        <f t="array" ref="G474">IF($A474="","",IFERROR(INDEX(MA_INDIVIDUALES!K$2:K923, MATCH($A474,MA_INDIVIDUALES!$B$2:$B923,0),1),"CÓDIGO DE EXPEDIENTE INVÁLIDO"))</f>
        <v/>
      </c>
      <c r="H474" s="68" t="str">
        <f t="array" ref="H474">IF($A474="","",IFERROR(INDEX(MA_INDIVIDUALES!L$2:L923, MATCH($A474,MA_INDIVIDUALES!$B$2:$B923,0),1),"CÓDIGO DE EXPEDIENTE INVÁLIDO"))</f>
        <v/>
      </c>
      <c r="I474" s="76"/>
      <c r="J474" s="76"/>
      <c r="K474" s="75"/>
      <c r="L474" s="74" t="str">
        <f>IF(A474="","",IF(K474="","",_xlfn.WORKDAY.INTL(K474,5,1,FERIADOS)))</f>
        <v/>
      </c>
      <c r="M474" s="76"/>
      <c r="N474" s="75"/>
      <c r="O474" s="76"/>
      <c r="P474" s="77" t="str">
        <f t="shared" si="3"/>
        <v/>
      </c>
      <c r="Q474" s="75"/>
      <c r="R474" s="76"/>
      <c r="S474" s="75"/>
      <c r="T474" s="75"/>
      <c r="U474" s="76"/>
      <c r="V474" s="76"/>
      <c r="W474" s="75"/>
      <c r="X474" s="76"/>
      <c r="Y474" s="29" t="str">
        <f t="shared" si="4"/>
        <v/>
      </c>
      <c r="Z474" s="29" t="str">
        <f t="shared" si="5"/>
        <v/>
      </c>
      <c r="AA474" s="76"/>
      <c r="AB474" s="76"/>
      <c r="AC474" s="75"/>
      <c r="AD474" s="75"/>
      <c r="AE474" s="78" t="str">
        <f>IF(U474="","",IF(AD474="","",_xlfn.WORKDAY.INTL(AD474,7,1,FERIADOS)))</f>
        <v/>
      </c>
      <c r="AF474" s="104"/>
      <c r="AG474" s="80" t="str">
        <f t="array" ref="AG474">IF(A474="","",IF(AF474="","",AF474*INDEX(PARAMETROS!F$2:F1537,MATCH(YEAR(AC474),PARAMETROS!E$2:E1537,0),1)))</f>
        <v/>
      </c>
      <c r="AH474" s="81"/>
      <c r="AI474" s="82"/>
      <c r="AJ474" s="81"/>
      <c r="AK474" s="81"/>
      <c r="AL474" s="76"/>
      <c r="AM474" s="75"/>
      <c r="AN474" s="76"/>
      <c r="AO474" s="95"/>
      <c r="AP474" s="96"/>
      <c r="AQ474" s="85" t="str">
        <f t="shared" si="6"/>
        <v/>
      </c>
      <c r="AR474" s="86" t="str">
        <f t="array" ref="AR474">IF(A474="","",IFERROR(INDEX('2) Etapas'!L$3:L923,MATCH(B474,'2) Etapas'!$A$4:$A923,0),1),-1))</f>
        <v/>
      </c>
      <c r="AS474" s="87" t="str">
        <f t="shared" si="7"/>
        <v/>
      </c>
      <c r="AT474" s="87" t="str">
        <f t="shared" si="8"/>
        <v/>
      </c>
      <c r="AU474" s="87" t="str">
        <f t="shared" si="9"/>
        <v/>
      </c>
      <c r="AV474" s="89" t="str">
        <f t="array" ref="AV474">IF(OR($A474="",$AB474="", $AC474=""),"",MAXA(IF($A474=$A$4:$A923,$AC$4:$AC923)))</f>
        <v/>
      </c>
    </row>
    <row r="475" ht="22.5" customHeight="1">
      <c r="A475" s="76"/>
      <c r="B475" s="68" t="str">
        <f t="shared" si="1"/>
        <v/>
      </c>
      <c r="C475" s="110"/>
      <c r="D475" s="70" t="str">
        <f t="shared" si="2"/>
        <v/>
      </c>
      <c r="E475" s="76"/>
      <c r="F475" s="68" t="str">
        <f t="array" ref="F475">IF($A475="","",IFERROR(INDEX(MA_INDIVIDUALES!C$2:C923, MATCH($A475,MA_INDIVIDUALES!$B$2:$B923,0),1),"CÓDIGO DE EXPEDIENTE INVÁLIDO"))</f>
        <v/>
      </c>
      <c r="G475" s="68" t="str">
        <f t="array" ref="G475">IF($A475="","",IFERROR(INDEX(MA_INDIVIDUALES!K$2:K923, MATCH($A475,MA_INDIVIDUALES!$B$2:$B923,0),1),"CÓDIGO DE EXPEDIENTE INVÁLIDO"))</f>
        <v/>
      </c>
      <c r="H475" s="68" t="str">
        <f t="array" ref="H475">IF($A475="","",IFERROR(INDEX(MA_INDIVIDUALES!L$2:L923, MATCH($A475,MA_INDIVIDUALES!$B$2:$B923,0),1),"CÓDIGO DE EXPEDIENTE INVÁLIDO"))</f>
        <v/>
      </c>
      <c r="I475" s="76"/>
      <c r="J475" s="76"/>
      <c r="K475" s="75"/>
      <c r="L475" s="74" t="str">
        <f>IF(A475="","",IF(K475="","",_xlfn.WORKDAY.INTL(K475,5,1,FERIADOS)))</f>
        <v/>
      </c>
      <c r="M475" s="76"/>
      <c r="N475" s="75"/>
      <c r="O475" s="76"/>
      <c r="P475" s="77" t="str">
        <f t="shared" si="3"/>
        <v/>
      </c>
      <c r="Q475" s="75"/>
      <c r="R475" s="76"/>
      <c r="S475" s="75"/>
      <c r="T475" s="75"/>
      <c r="U475" s="76"/>
      <c r="V475" s="76"/>
      <c r="W475" s="75"/>
      <c r="X475" s="76"/>
      <c r="Y475" s="29" t="str">
        <f t="shared" si="4"/>
        <v/>
      </c>
      <c r="Z475" s="29" t="str">
        <f t="shared" si="5"/>
        <v/>
      </c>
      <c r="AA475" s="76"/>
      <c r="AB475" s="76"/>
      <c r="AC475" s="75"/>
      <c r="AD475" s="75"/>
      <c r="AE475" s="78" t="str">
        <f>IF(U475="","",IF(AD475="","",_xlfn.WORKDAY.INTL(AD475,7,1,FERIADOS)))</f>
        <v/>
      </c>
      <c r="AF475" s="104"/>
      <c r="AG475" s="80" t="str">
        <f t="array" ref="AG475">IF(A475="","",IF(AF475="","",AF475*INDEX(PARAMETROS!F$2:F1538,MATCH(YEAR(AC475),PARAMETROS!E$2:E1538,0),1)))</f>
        <v/>
      </c>
      <c r="AH475" s="81"/>
      <c r="AI475" s="82"/>
      <c r="AJ475" s="81"/>
      <c r="AK475" s="81"/>
      <c r="AL475" s="76"/>
      <c r="AM475" s="75"/>
      <c r="AN475" s="76"/>
      <c r="AO475" s="95"/>
      <c r="AP475" s="96"/>
      <c r="AQ475" s="85" t="str">
        <f t="shared" si="6"/>
        <v/>
      </c>
      <c r="AR475" s="86" t="str">
        <f t="array" ref="AR475">IF(A475="","",IFERROR(INDEX('2) Etapas'!L$3:L923,MATCH(B475,'2) Etapas'!$A$4:$A923,0),1),-1))</f>
        <v/>
      </c>
      <c r="AS475" s="87" t="str">
        <f t="shared" si="7"/>
        <v/>
      </c>
      <c r="AT475" s="87" t="str">
        <f t="shared" si="8"/>
        <v/>
      </c>
      <c r="AU475" s="87" t="str">
        <f t="shared" si="9"/>
        <v/>
      </c>
      <c r="AV475" s="89" t="str">
        <f t="array" ref="AV475">IF(OR($A475="",$AB475="", $AC475=""),"",MAXA(IF($A475=$A$4:$A923,$AC$4:$AC923)))</f>
        <v/>
      </c>
    </row>
    <row r="476" ht="22.5" customHeight="1">
      <c r="A476" s="76"/>
      <c r="B476" s="68" t="str">
        <f t="shared" si="1"/>
        <v/>
      </c>
      <c r="C476" s="110"/>
      <c r="D476" s="70" t="str">
        <f t="shared" si="2"/>
        <v/>
      </c>
      <c r="E476" s="76"/>
      <c r="F476" s="68" t="str">
        <f t="array" ref="F476">IF($A476="","",IFERROR(INDEX(MA_INDIVIDUALES!C$2:C923, MATCH($A476,MA_INDIVIDUALES!$B$2:$B923,0),1),"CÓDIGO DE EXPEDIENTE INVÁLIDO"))</f>
        <v/>
      </c>
      <c r="G476" s="68" t="str">
        <f t="array" ref="G476">IF($A476="","",IFERROR(INDEX(MA_INDIVIDUALES!K$2:K923, MATCH($A476,MA_INDIVIDUALES!$B$2:$B923,0),1),"CÓDIGO DE EXPEDIENTE INVÁLIDO"))</f>
        <v/>
      </c>
      <c r="H476" s="68" t="str">
        <f t="array" ref="H476">IF($A476="","",IFERROR(INDEX(MA_INDIVIDUALES!L$2:L923, MATCH($A476,MA_INDIVIDUALES!$B$2:$B923,0),1),"CÓDIGO DE EXPEDIENTE INVÁLIDO"))</f>
        <v/>
      </c>
      <c r="I476" s="76"/>
      <c r="J476" s="76"/>
      <c r="K476" s="75"/>
      <c r="L476" s="74" t="str">
        <f>IF(A476="","",IF(K476="","",_xlfn.WORKDAY.INTL(K476,5,1,FERIADOS)))</f>
        <v/>
      </c>
      <c r="M476" s="76"/>
      <c r="N476" s="75"/>
      <c r="O476" s="76"/>
      <c r="P476" s="77" t="str">
        <f t="shared" si="3"/>
        <v/>
      </c>
      <c r="Q476" s="75"/>
      <c r="R476" s="76"/>
      <c r="S476" s="75"/>
      <c r="T476" s="75"/>
      <c r="U476" s="76"/>
      <c r="V476" s="76"/>
      <c r="W476" s="75"/>
      <c r="X476" s="76"/>
      <c r="Y476" s="29" t="str">
        <f t="shared" si="4"/>
        <v/>
      </c>
      <c r="Z476" s="29" t="str">
        <f t="shared" si="5"/>
        <v/>
      </c>
      <c r="AA476" s="76"/>
      <c r="AB476" s="76"/>
      <c r="AC476" s="75"/>
      <c r="AD476" s="75"/>
      <c r="AE476" s="78" t="str">
        <f>IF(U476="","",IF(AD476="","",_xlfn.WORKDAY.INTL(AD476,7,1,FERIADOS)))</f>
        <v/>
      </c>
      <c r="AF476" s="104"/>
      <c r="AG476" s="80" t="str">
        <f t="array" ref="AG476">IF(A476="","",IF(AF476="","",AF476*INDEX(PARAMETROS!F$2:F1539,MATCH(YEAR(AC476),PARAMETROS!E$2:E1539,0),1)))</f>
        <v/>
      </c>
      <c r="AH476" s="81"/>
      <c r="AI476" s="82"/>
      <c r="AJ476" s="81"/>
      <c r="AK476" s="81"/>
      <c r="AL476" s="76"/>
      <c r="AM476" s="75"/>
      <c r="AN476" s="76"/>
      <c r="AO476" s="95"/>
      <c r="AP476" s="96"/>
      <c r="AQ476" s="85" t="str">
        <f t="shared" si="6"/>
        <v/>
      </c>
      <c r="AR476" s="86" t="str">
        <f t="array" ref="AR476">IF(A476="","",IFERROR(INDEX('2) Etapas'!L$3:L923,MATCH(B476,'2) Etapas'!$A$4:$A923,0),1),-1))</f>
        <v/>
      </c>
      <c r="AS476" s="87" t="str">
        <f t="shared" si="7"/>
        <v/>
      </c>
      <c r="AT476" s="87" t="str">
        <f t="shared" si="8"/>
        <v/>
      </c>
      <c r="AU476" s="87" t="str">
        <f t="shared" si="9"/>
        <v/>
      </c>
      <c r="AV476" s="89" t="str">
        <f t="array" ref="AV476">IF(OR($A476="",$AB476="", $AC476=""),"",MAXA(IF($A476=$A$4:$A923,$AC$4:$AC923)))</f>
        <v/>
      </c>
    </row>
    <row r="477" ht="22.5" customHeight="1">
      <c r="A477" s="76"/>
      <c r="B477" s="68" t="str">
        <f t="shared" si="1"/>
        <v/>
      </c>
      <c r="C477" s="110"/>
      <c r="D477" s="70" t="str">
        <f t="shared" si="2"/>
        <v/>
      </c>
      <c r="E477" s="76"/>
      <c r="F477" s="68" t="str">
        <f t="array" ref="F477">IF($A477="","",IFERROR(INDEX(MA_INDIVIDUALES!C$2:C923, MATCH($A477,MA_INDIVIDUALES!$B$2:$B923,0),1),"CÓDIGO DE EXPEDIENTE INVÁLIDO"))</f>
        <v/>
      </c>
      <c r="G477" s="68" t="str">
        <f t="array" ref="G477">IF($A477="","",IFERROR(INDEX(MA_INDIVIDUALES!K$2:K923, MATCH($A477,MA_INDIVIDUALES!$B$2:$B923,0),1),"CÓDIGO DE EXPEDIENTE INVÁLIDO"))</f>
        <v/>
      </c>
      <c r="H477" s="68" t="str">
        <f t="array" ref="H477">IF($A477="","",IFERROR(INDEX(MA_INDIVIDUALES!L$2:L923, MATCH($A477,MA_INDIVIDUALES!$B$2:$B923,0),1),"CÓDIGO DE EXPEDIENTE INVÁLIDO"))</f>
        <v/>
      </c>
      <c r="I477" s="76"/>
      <c r="J477" s="76"/>
      <c r="K477" s="75"/>
      <c r="L477" s="74" t="str">
        <f>IF(A477="","",IF(K477="","",_xlfn.WORKDAY.INTL(K477,5,1,FERIADOS)))</f>
        <v/>
      </c>
      <c r="M477" s="76"/>
      <c r="N477" s="75"/>
      <c r="O477" s="76"/>
      <c r="P477" s="77" t="str">
        <f t="shared" si="3"/>
        <v/>
      </c>
      <c r="Q477" s="75"/>
      <c r="R477" s="76"/>
      <c r="S477" s="75"/>
      <c r="T477" s="75"/>
      <c r="U477" s="76"/>
      <c r="V477" s="76"/>
      <c r="W477" s="75"/>
      <c r="X477" s="76"/>
      <c r="Y477" s="29" t="str">
        <f t="shared" si="4"/>
        <v/>
      </c>
      <c r="Z477" s="29" t="str">
        <f t="shared" si="5"/>
        <v/>
      </c>
      <c r="AA477" s="76"/>
      <c r="AB477" s="76"/>
      <c r="AC477" s="75"/>
      <c r="AD477" s="75"/>
      <c r="AE477" s="78" t="str">
        <f>IF(U477="","",IF(AD477="","",_xlfn.WORKDAY.INTL(AD477,7,1,FERIADOS)))</f>
        <v/>
      </c>
      <c r="AF477" s="104"/>
      <c r="AG477" s="80" t="str">
        <f t="array" ref="AG477">IF(A477="","",IF(AF477="","",AF477*INDEX(PARAMETROS!F$2:F1540,MATCH(YEAR(AC477),PARAMETROS!E$2:E1540,0),1)))</f>
        <v/>
      </c>
      <c r="AH477" s="81"/>
      <c r="AI477" s="82"/>
      <c r="AJ477" s="81"/>
      <c r="AK477" s="81"/>
      <c r="AL477" s="76"/>
      <c r="AM477" s="75"/>
      <c r="AN477" s="76"/>
      <c r="AO477" s="95"/>
      <c r="AP477" s="96"/>
      <c r="AQ477" s="85" t="str">
        <f t="shared" si="6"/>
        <v/>
      </c>
      <c r="AR477" s="86" t="str">
        <f t="array" ref="AR477">IF(A477="","",IFERROR(INDEX('2) Etapas'!L$3:L923,MATCH(B477,'2) Etapas'!$A$4:$A923,0),1),-1))</f>
        <v/>
      </c>
      <c r="AS477" s="87" t="str">
        <f t="shared" si="7"/>
        <v/>
      </c>
      <c r="AT477" s="87" t="str">
        <f t="shared" si="8"/>
        <v/>
      </c>
      <c r="AU477" s="87" t="str">
        <f t="shared" si="9"/>
        <v/>
      </c>
      <c r="AV477" s="89" t="str">
        <f t="array" ref="AV477">IF(OR($A477="",$AB477="", $AC477=""),"",MAXA(IF($A477=$A$4:$A923,$AC$4:$AC923)))</f>
        <v/>
      </c>
    </row>
    <row r="478" ht="22.5" customHeight="1">
      <c r="A478" s="76"/>
      <c r="B478" s="68" t="str">
        <f t="shared" si="1"/>
        <v/>
      </c>
      <c r="C478" s="110"/>
      <c r="D478" s="70" t="str">
        <f t="shared" si="2"/>
        <v/>
      </c>
      <c r="E478" s="76"/>
      <c r="F478" s="68" t="str">
        <f t="array" ref="F478">IF($A478="","",IFERROR(INDEX(MA_INDIVIDUALES!C$2:C923, MATCH($A478,MA_INDIVIDUALES!$B$2:$B923,0),1),"CÓDIGO DE EXPEDIENTE INVÁLIDO"))</f>
        <v/>
      </c>
      <c r="G478" s="68" t="str">
        <f t="array" ref="G478">IF($A478="","",IFERROR(INDEX(MA_INDIVIDUALES!K$2:K923, MATCH($A478,MA_INDIVIDUALES!$B$2:$B923,0),1),"CÓDIGO DE EXPEDIENTE INVÁLIDO"))</f>
        <v/>
      </c>
      <c r="H478" s="68" t="str">
        <f t="array" ref="H478">IF($A478="","",IFERROR(INDEX(MA_INDIVIDUALES!L$2:L923, MATCH($A478,MA_INDIVIDUALES!$B$2:$B923,0),1),"CÓDIGO DE EXPEDIENTE INVÁLIDO"))</f>
        <v/>
      </c>
      <c r="I478" s="76"/>
      <c r="J478" s="76"/>
      <c r="K478" s="75"/>
      <c r="L478" s="74" t="str">
        <f>IF(A478="","",IF(K478="","",_xlfn.WORKDAY.INTL(K478,5,1,FERIADOS)))</f>
        <v/>
      </c>
      <c r="M478" s="76"/>
      <c r="N478" s="75"/>
      <c r="O478" s="76"/>
      <c r="P478" s="77" t="str">
        <f t="shared" si="3"/>
        <v/>
      </c>
      <c r="Q478" s="75"/>
      <c r="R478" s="76"/>
      <c r="S478" s="75"/>
      <c r="T478" s="75"/>
      <c r="U478" s="76"/>
      <c r="V478" s="76"/>
      <c r="W478" s="75"/>
      <c r="X478" s="76"/>
      <c r="Y478" s="29" t="str">
        <f t="shared" si="4"/>
        <v/>
      </c>
      <c r="Z478" s="29" t="str">
        <f t="shared" si="5"/>
        <v/>
      </c>
      <c r="AA478" s="76"/>
      <c r="AB478" s="76"/>
      <c r="AC478" s="75"/>
      <c r="AD478" s="75"/>
      <c r="AE478" s="78" t="str">
        <f>IF(U478="","",IF(AD478="","",_xlfn.WORKDAY.INTL(AD478,7,1,FERIADOS)))</f>
        <v/>
      </c>
      <c r="AF478" s="104"/>
      <c r="AG478" s="80" t="str">
        <f t="array" ref="AG478">IF(A478="","",IF(AF478="","",AF478*INDEX(PARAMETROS!F$2:F1541,MATCH(YEAR(AC478),PARAMETROS!E$2:E1541,0),1)))</f>
        <v/>
      </c>
      <c r="AH478" s="81"/>
      <c r="AI478" s="82"/>
      <c r="AJ478" s="81"/>
      <c r="AK478" s="81"/>
      <c r="AL478" s="76"/>
      <c r="AM478" s="75"/>
      <c r="AN478" s="76"/>
      <c r="AO478" s="95"/>
      <c r="AP478" s="96"/>
      <c r="AQ478" s="85" t="str">
        <f t="shared" si="6"/>
        <v/>
      </c>
      <c r="AR478" s="86" t="str">
        <f t="array" ref="AR478">IF(A478="","",IFERROR(INDEX('2) Etapas'!L$3:L923,MATCH(B478,'2) Etapas'!$A$4:$A923,0),1),-1))</f>
        <v/>
      </c>
      <c r="AS478" s="87" t="str">
        <f t="shared" si="7"/>
        <v/>
      </c>
      <c r="AT478" s="87" t="str">
        <f t="shared" si="8"/>
        <v/>
      </c>
      <c r="AU478" s="87" t="str">
        <f t="shared" si="9"/>
        <v/>
      </c>
      <c r="AV478" s="89" t="str">
        <f t="array" ref="AV478">IF(OR($A478="",$AB478="", $AC478=""),"",MAXA(IF($A478=$A$4:$A923,$AC$4:$AC923)))</f>
        <v/>
      </c>
    </row>
    <row r="479" ht="22.5" customHeight="1">
      <c r="A479" s="76"/>
      <c r="B479" s="68" t="str">
        <f t="shared" si="1"/>
        <v/>
      </c>
      <c r="C479" s="110"/>
      <c r="D479" s="70" t="str">
        <f t="shared" si="2"/>
        <v/>
      </c>
      <c r="E479" s="76"/>
      <c r="F479" s="68" t="str">
        <f t="array" ref="F479">IF($A479="","",IFERROR(INDEX(MA_INDIVIDUALES!C$2:C923, MATCH($A479,MA_INDIVIDUALES!$B$2:$B923,0),1),"CÓDIGO DE EXPEDIENTE INVÁLIDO"))</f>
        <v/>
      </c>
      <c r="G479" s="68" t="str">
        <f t="array" ref="G479">IF($A479="","",IFERROR(INDEX(MA_INDIVIDUALES!K$2:K923, MATCH($A479,MA_INDIVIDUALES!$B$2:$B923,0),1),"CÓDIGO DE EXPEDIENTE INVÁLIDO"))</f>
        <v/>
      </c>
      <c r="H479" s="68" t="str">
        <f t="array" ref="H479">IF($A479="","",IFERROR(INDEX(MA_INDIVIDUALES!L$2:L923, MATCH($A479,MA_INDIVIDUALES!$B$2:$B923,0),1),"CÓDIGO DE EXPEDIENTE INVÁLIDO"))</f>
        <v/>
      </c>
      <c r="I479" s="76"/>
      <c r="J479" s="76"/>
      <c r="K479" s="75"/>
      <c r="L479" s="74" t="str">
        <f>IF(A479="","",IF(K479="","",_xlfn.WORKDAY.INTL(K479,5,1,FERIADOS)))</f>
        <v/>
      </c>
      <c r="M479" s="76"/>
      <c r="N479" s="75"/>
      <c r="O479" s="76"/>
      <c r="P479" s="77" t="str">
        <f t="shared" si="3"/>
        <v/>
      </c>
      <c r="Q479" s="75"/>
      <c r="R479" s="76"/>
      <c r="S479" s="75"/>
      <c r="T479" s="75"/>
      <c r="U479" s="76"/>
      <c r="V479" s="76"/>
      <c r="W479" s="75"/>
      <c r="X479" s="76"/>
      <c r="Y479" s="29" t="str">
        <f t="shared" si="4"/>
        <v/>
      </c>
      <c r="Z479" s="29" t="str">
        <f t="shared" si="5"/>
        <v/>
      </c>
      <c r="AA479" s="76"/>
      <c r="AB479" s="76"/>
      <c r="AC479" s="75"/>
      <c r="AD479" s="75"/>
      <c r="AE479" s="78" t="str">
        <f>IF(U479="","",IF(AD479="","",_xlfn.WORKDAY.INTL(AD479,7,1,FERIADOS)))</f>
        <v/>
      </c>
      <c r="AF479" s="104"/>
      <c r="AG479" s="80" t="str">
        <f t="array" ref="AG479">IF(A479="","",IF(AF479="","",AF479*INDEX(PARAMETROS!F$2:F1542,MATCH(YEAR(AC479),PARAMETROS!E$2:E1542,0),1)))</f>
        <v/>
      </c>
      <c r="AH479" s="81"/>
      <c r="AI479" s="82"/>
      <c r="AJ479" s="81"/>
      <c r="AK479" s="81"/>
      <c r="AL479" s="76"/>
      <c r="AM479" s="75"/>
      <c r="AN479" s="76"/>
      <c r="AO479" s="95"/>
      <c r="AP479" s="96"/>
      <c r="AQ479" s="85" t="str">
        <f t="shared" si="6"/>
        <v/>
      </c>
      <c r="AR479" s="86" t="str">
        <f t="array" ref="AR479">IF(A479="","",IFERROR(INDEX('2) Etapas'!L$3:L923,MATCH(B479,'2) Etapas'!$A$4:$A923,0),1),-1))</f>
        <v/>
      </c>
      <c r="AS479" s="87" t="str">
        <f t="shared" si="7"/>
        <v/>
      </c>
      <c r="AT479" s="87" t="str">
        <f t="shared" si="8"/>
        <v/>
      </c>
      <c r="AU479" s="87" t="str">
        <f t="shared" si="9"/>
        <v/>
      </c>
      <c r="AV479" s="89" t="str">
        <f t="array" ref="AV479">IF(OR($A479="",$AB479="", $AC479=""),"",MAXA(IF($A479=$A$4:$A923,$AC$4:$AC923)))</f>
        <v/>
      </c>
    </row>
    <row r="480" ht="22.5" customHeight="1">
      <c r="A480" s="76"/>
      <c r="B480" s="68" t="str">
        <f t="shared" si="1"/>
        <v/>
      </c>
      <c r="C480" s="110"/>
      <c r="D480" s="70" t="str">
        <f t="shared" si="2"/>
        <v/>
      </c>
      <c r="E480" s="76"/>
      <c r="F480" s="68" t="str">
        <f t="array" ref="F480">IF($A480="","",IFERROR(INDEX(MA_INDIVIDUALES!C$2:C923, MATCH($A480,MA_INDIVIDUALES!$B$2:$B923,0),1),"CÓDIGO DE EXPEDIENTE INVÁLIDO"))</f>
        <v/>
      </c>
      <c r="G480" s="68" t="str">
        <f t="array" ref="G480">IF($A480="","",IFERROR(INDEX(MA_INDIVIDUALES!K$2:K923, MATCH($A480,MA_INDIVIDUALES!$B$2:$B923,0),1),"CÓDIGO DE EXPEDIENTE INVÁLIDO"))</f>
        <v/>
      </c>
      <c r="H480" s="68" t="str">
        <f t="array" ref="H480">IF($A480="","",IFERROR(INDEX(MA_INDIVIDUALES!L$2:L923, MATCH($A480,MA_INDIVIDUALES!$B$2:$B923,0),1),"CÓDIGO DE EXPEDIENTE INVÁLIDO"))</f>
        <v/>
      </c>
      <c r="I480" s="76"/>
      <c r="J480" s="76"/>
      <c r="K480" s="75"/>
      <c r="L480" s="74" t="str">
        <f>IF(A480="","",IF(K480="","",_xlfn.WORKDAY.INTL(K480,5,1,FERIADOS)))</f>
        <v/>
      </c>
      <c r="M480" s="76"/>
      <c r="N480" s="75"/>
      <c r="O480" s="76"/>
      <c r="P480" s="77" t="str">
        <f t="shared" si="3"/>
        <v/>
      </c>
      <c r="Q480" s="75"/>
      <c r="R480" s="76"/>
      <c r="S480" s="75"/>
      <c r="T480" s="75"/>
      <c r="U480" s="76"/>
      <c r="V480" s="76"/>
      <c r="W480" s="75"/>
      <c r="X480" s="76"/>
      <c r="Y480" s="29" t="str">
        <f t="shared" si="4"/>
        <v/>
      </c>
      <c r="Z480" s="29" t="str">
        <f t="shared" si="5"/>
        <v/>
      </c>
      <c r="AA480" s="76"/>
      <c r="AB480" s="76"/>
      <c r="AC480" s="75"/>
      <c r="AD480" s="75"/>
      <c r="AE480" s="78" t="str">
        <f>IF(U480="","",IF(AD480="","",_xlfn.WORKDAY.INTL(AD480,7,1,FERIADOS)))</f>
        <v/>
      </c>
      <c r="AF480" s="104"/>
      <c r="AG480" s="80" t="str">
        <f t="array" ref="AG480">IF(A480="","",IF(AF480="","",AF480*INDEX(PARAMETROS!F$2:F1543,MATCH(YEAR(AC480),PARAMETROS!E$2:E1543,0),1)))</f>
        <v/>
      </c>
      <c r="AH480" s="81"/>
      <c r="AI480" s="82"/>
      <c r="AJ480" s="81"/>
      <c r="AK480" s="81"/>
      <c r="AL480" s="76"/>
      <c r="AM480" s="75"/>
      <c r="AN480" s="76"/>
      <c r="AO480" s="95"/>
      <c r="AP480" s="96"/>
      <c r="AQ480" s="85" t="str">
        <f t="shared" si="6"/>
        <v/>
      </c>
      <c r="AR480" s="86" t="str">
        <f t="array" ref="AR480">IF(A480="","",IFERROR(INDEX('2) Etapas'!L$3:L923,MATCH(B480,'2) Etapas'!$A$4:$A923,0),1),-1))</f>
        <v/>
      </c>
      <c r="AS480" s="87" t="str">
        <f t="shared" si="7"/>
        <v/>
      </c>
      <c r="AT480" s="87" t="str">
        <f t="shared" si="8"/>
        <v/>
      </c>
      <c r="AU480" s="87" t="str">
        <f t="shared" si="9"/>
        <v/>
      </c>
      <c r="AV480" s="89" t="str">
        <f t="array" ref="AV480">IF(OR($A480="",$AB480="", $AC480=""),"",MAXA(IF($A480=$A$4:$A923,$AC$4:$AC923)))</f>
        <v/>
      </c>
    </row>
    <row r="481" ht="22.5" customHeight="1">
      <c r="A481" s="76"/>
      <c r="B481" s="68" t="str">
        <f t="shared" si="1"/>
        <v/>
      </c>
      <c r="C481" s="110"/>
      <c r="D481" s="70" t="str">
        <f t="shared" si="2"/>
        <v/>
      </c>
      <c r="E481" s="76"/>
      <c r="F481" s="68" t="str">
        <f t="array" ref="F481">IF($A481="","",IFERROR(INDEX(MA_INDIVIDUALES!C$2:C923, MATCH($A481,MA_INDIVIDUALES!$B$2:$B923,0),1),"CÓDIGO DE EXPEDIENTE INVÁLIDO"))</f>
        <v/>
      </c>
      <c r="G481" s="68" t="str">
        <f t="array" ref="G481">IF($A481="","",IFERROR(INDEX(MA_INDIVIDUALES!K$2:K923, MATCH($A481,MA_INDIVIDUALES!$B$2:$B923,0),1),"CÓDIGO DE EXPEDIENTE INVÁLIDO"))</f>
        <v/>
      </c>
      <c r="H481" s="68" t="str">
        <f t="array" ref="H481">IF($A481="","",IFERROR(INDEX(MA_INDIVIDUALES!L$2:L923, MATCH($A481,MA_INDIVIDUALES!$B$2:$B923,0),1),"CÓDIGO DE EXPEDIENTE INVÁLIDO"))</f>
        <v/>
      </c>
      <c r="I481" s="76"/>
      <c r="J481" s="76"/>
      <c r="K481" s="75"/>
      <c r="L481" s="74" t="str">
        <f>IF(A481="","",IF(K481="","",_xlfn.WORKDAY.INTL(K481,5,1,FERIADOS)))</f>
        <v/>
      </c>
      <c r="M481" s="76"/>
      <c r="N481" s="75"/>
      <c r="O481" s="76"/>
      <c r="P481" s="77" t="str">
        <f t="shared" si="3"/>
        <v/>
      </c>
      <c r="Q481" s="75"/>
      <c r="R481" s="76"/>
      <c r="S481" s="75"/>
      <c r="T481" s="75"/>
      <c r="U481" s="76"/>
      <c r="V481" s="76"/>
      <c r="W481" s="75"/>
      <c r="X481" s="76"/>
      <c r="Y481" s="29" t="str">
        <f t="shared" si="4"/>
        <v/>
      </c>
      <c r="Z481" s="29" t="str">
        <f t="shared" si="5"/>
        <v/>
      </c>
      <c r="AA481" s="76"/>
      <c r="AB481" s="76"/>
      <c r="AC481" s="75"/>
      <c r="AD481" s="75"/>
      <c r="AE481" s="78" t="str">
        <f>IF(U481="","",IF(AD481="","",_xlfn.WORKDAY.INTL(AD481,7,1,FERIADOS)))</f>
        <v/>
      </c>
      <c r="AF481" s="104"/>
      <c r="AG481" s="80" t="str">
        <f t="array" ref="AG481">IF(A481="","",IF(AF481="","",AF481*INDEX(PARAMETROS!F$2:F1544,MATCH(YEAR(AC481),PARAMETROS!E$2:E1544,0),1)))</f>
        <v/>
      </c>
      <c r="AH481" s="81"/>
      <c r="AI481" s="82"/>
      <c r="AJ481" s="81"/>
      <c r="AK481" s="81"/>
      <c r="AL481" s="76"/>
      <c r="AM481" s="75"/>
      <c r="AN481" s="76"/>
      <c r="AO481" s="95"/>
      <c r="AP481" s="96"/>
      <c r="AQ481" s="85" t="str">
        <f t="shared" si="6"/>
        <v/>
      </c>
      <c r="AR481" s="86" t="str">
        <f t="array" ref="AR481">IF(A481="","",IFERROR(INDEX('2) Etapas'!L$3:L923,MATCH(B481,'2) Etapas'!$A$4:$A923,0),1),-1))</f>
        <v/>
      </c>
      <c r="AS481" s="87" t="str">
        <f t="shared" si="7"/>
        <v/>
      </c>
      <c r="AT481" s="87" t="str">
        <f t="shared" si="8"/>
        <v/>
      </c>
      <c r="AU481" s="87" t="str">
        <f t="shared" si="9"/>
        <v/>
      </c>
      <c r="AV481" s="89" t="str">
        <f t="array" ref="AV481">IF(OR($A481="",$AB481="", $AC481=""),"",MAXA(IF($A481=$A$4:$A923,$AC$4:$AC923)))</f>
        <v/>
      </c>
    </row>
    <row r="482" ht="22.5" customHeight="1">
      <c r="A482" s="76"/>
      <c r="B482" s="68" t="str">
        <f t="shared" si="1"/>
        <v/>
      </c>
      <c r="C482" s="110"/>
      <c r="D482" s="70" t="str">
        <f t="shared" si="2"/>
        <v/>
      </c>
      <c r="E482" s="76"/>
      <c r="F482" s="68" t="str">
        <f t="array" ref="F482">IF($A482="","",IFERROR(INDEX(MA_INDIVIDUALES!C$2:C923, MATCH($A482,MA_INDIVIDUALES!$B$2:$B923,0),1),"CÓDIGO DE EXPEDIENTE INVÁLIDO"))</f>
        <v/>
      </c>
      <c r="G482" s="68" t="str">
        <f t="array" ref="G482">IF($A482="","",IFERROR(INDEX(MA_INDIVIDUALES!K$2:K923, MATCH($A482,MA_INDIVIDUALES!$B$2:$B923,0),1),"CÓDIGO DE EXPEDIENTE INVÁLIDO"))</f>
        <v/>
      </c>
      <c r="H482" s="68" t="str">
        <f t="array" ref="H482">IF($A482="","",IFERROR(INDEX(MA_INDIVIDUALES!L$2:L923, MATCH($A482,MA_INDIVIDUALES!$B$2:$B923,0),1),"CÓDIGO DE EXPEDIENTE INVÁLIDO"))</f>
        <v/>
      </c>
      <c r="I482" s="76"/>
      <c r="J482" s="76"/>
      <c r="K482" s="75"/>
      <c r="L482" s="74" t="str">
        <f>IF(A482="","",IF(K482="","",_xlfn.WORKDAY.INTL(K482,5,1,FERIADOS)))</f>
        <v/>
      </c>
      <c r="M482" s="76"/>
      <c r="N482" s="75"/>
      <c r="O482" s="76"/>
      <c r="P482" s="77" t="str">
        <f t="shared" si="3"/>
        <v/>
      </c>
      <c r="Q482" s="75"/>
      <c r="R482" s="76"/>
      <c r="S482" s="75"/>
      <c r="T482" s="75"/>
      <c r="U482" s="76"/>
      <c r="V482" s="76"/>
      <c r="W482" s="75"/>
      <c r="X482" s="76"/>
      <c r="Y482" s="29" t="str">
        <f t="shared" si="4"/>
        <v/>
      </c>
      <c r="Z482" s="29" t="str">
        <f t="shared" si="5"/>
        <v/>
      </c>
      <c r="AA482" s="76"/>
      <c r="AB482" s="76"/>
      <c r="AC482" s="75"/>
      <c r="AD482" s="75"/>
      <c r="AE482" s="78" t="str">
        <f>IF(U482="","",IF(AD482="","",_xlfn.WORKDAY.INTL(AD482,7,1,FERIADOS)))</f>
        <v/>
      </c>
      <c r="AF482" s="104"/>
      <c r="AG482" s="80" t="str">
        <f t="array" ref="AG482">IF(A482="","",IF(AF482="","",AF482*INDEX(PARAMETROS!F$2:F1545,MATCH(YEAR(AC482),PARAMETROS!E$2:E1545,0),1)))</f>
        <v/>
      </c>
      <c r="AH482" s="81"/>
      <c r="AI482" s="82"/>
      <c r="AJ482" s="81"/>
      <c r="AK482" s="81"/>
      <c r="AL482" s="76"/>
      <c r="AM482" s="75"/>
      <c r="AN482" s="76"/>
      <c r="AO482" s="95"/>
      <c r="AP482" s="96"/>
      <c r="AQ482" s="85" t="str">
        <f t="shared" si="6"/>
        <v/>
      </c>
      <c r="AR482" s="86" t="str">
        <f t="array" ref="AR482">IF(A482="","",IFERROR(INDEX('2) Etapas'!L$3:L923,MATCH(B482,'2) Etapas'!$A$4:$A923,0),1),-1))</f>
        <v/>
      </c>
      <c r="AS482" s="87" t="str">
        <f t="shared" si="7"/>
        <v/>
      </c>
      <c r="AT482" s="87" t="str">
        <f t="shared" si="8"/>
        <v/>
      </c>
      <c r="AU482" s="87" t="str">
        <f t="shared" si="9"/>
        <v/>
      </c>
      <c r="AV482" s="89" t="str">
        <f t="array" ref="AV482">IF(OR($A482="",$AB482="", $AC482=""),"",MAXA(IF($A482=$A$4:$A923,$AC$4:$AC923)))</f>
        <v/>
      </c>
    </row>
    <row r="483" ht="22.5" customHeight="1">
      <c r="A483" s="76"/>
      <c r="B483" s="68" t="str">
        <f t="shared" si="1"/>
        <v/>
      </c>
      <c r="C483" s="110"/>
      <c r="D483" s="70" t="str">
        <f t="shared" si="2"/>
        <v/>
      </c>
      <c r="E483" s="76"/>
      <c r="F483" s="68" t="str">
        <f t="array" ref="F483">IF($A483="","",IFERROR(INDEX(MA_INDIVIDUALES!C$2:C923, MATCH($A483,MA_INDIVIDUALES!$B$2:$B923,0),1),"CÓDIGO DE EXPEDIENTE INVÁLIDO"))</f>
        <v/>
      </c>
      <c r="G483" s="68" t="str">
        <f t="array" ref="G483">IF($A483="","",IFERROR(INDEX(MA_INDIVIDUALES!K$2:K923, MATCH($A483,MA_INDIVIDUALES!$B$2:$B923,0),1),"CÓDIGO DE EXPEDIENTE INVÁLIDO"))</f>
        <v/>
      </c>
      <c r="H483" s="68" t="str">
        <f t="array" ref="H483">IF($A483="","",IFERROR(INDEX(MA_INDIVIDUALES!L$2:L923, MATCH($A483,MA_INDIVIDUALES!$B$2:$B923,0),1),"CÓDIGO DE EXPEDIENTE INVÁLIDO"))</f>
        <v/>
      </c>
      <c r="I483" s="76"/>
      <c r="J483" s="76"/>
      <c r="K483" s="75"/>
      <c r="L483" s="74" t="str">
        <f>IF(A483="","",IF(K483="","",_xlfn.WORKDAY.INTL(K483,5,1,FERIADOS)))</f>
        <v/>
      </c>
      <c r="M483" s="76"/>
      <c r="N483" s="75"/>
      <c r="O483" s="76"/>
      <c r="P483" s="77" t="str">
        <f t="shared" si="3"/>
        <v/>
      </c>
      <c r="Q483" s="75"/>
      <c r="R483" s="76"/>
      <c r="S483" s="75"/>
      <c r="T483" s="75"/>
      <c r="U483" s="76"/>
      <c r="V483" s="76"/>
      <c r="W483" s="75"/>
      <c r="X483" s="76"/>
      <c r="Y483" s="29" t="str">
        <f t="shared" si="4"/>
        <v/>
      </c>
      <c r="Z483" s="29" t="str">
        <f t="shared" si="5"/>
        <v/>
      </c>
      <c r="AA483" s="76"/>
      <c r="AB483" s="76"/>
      <c r="AC483" s="75"/>
      <c r="AD483" s="75"/>
      <c r="AE483" s="78" t="str">
        <f>IF(U483="","",IF(AD483="","",_xlfn.WORKDAY.INTL(AD483,7,1,FERIADOS)))</f>
        <v/>
      </c>
      <c r="AF483" s="104"/>
      <c r="AG483" s="80" t="str">
        <f t="array" ref="AG483">IF(A483="","",IF(AF483="","",AF483*INDEX(PARAMETROS!F$2:F1546,MATCH(YEAR(AC483),PARAMETROS!E$2:E1546,0),1)))</f>
        <v/>
      </c>
      <c r="AH483" s="81"/>
      <c r="AI483" s="82"/>
      <c r="AJ483" s="81"/>
      <c r="AK483" s="81"/>
      <c r="AL483" s="76"/>
      <c r="AM483" s="75"/>
      <c r="AN483" s="76"/>
      <c r="AO483" s="95"/>
      <c r="AP483" s="96"/>
      <c r="AQ483" s="85" t="str">
        <f t="shared" si="6"/>
        <v/>
      </c>
      <c r="AR483" s="86" t="str">
        <f t="array" ref="AR483">IF(A483="","",IFERROR(INDEX('2) Etapas'!L$3:L923,MATCH(B483,'2) Etapas'!$A$4:$A923,0),1),-1))</f>
        <v/>
      </c>
      <c r="AS483" s="87" t="str">
        <f t="shared" si="7"/>
        <v/>
      </c>
      <c r="AT483" s="87" t="str">
        <f t="shared" si="8"/>
        <v/>
      </c>
      <c r="AU483" s="87" t="str">
        <f t="shared" si="9"/>
        <v/>
      </c>
      <c r="AV483" s="89" t="str">
        <f t="array" ref="AV483">IF(OR($A483="",$AB483="", $AC483=""),"",MAXA(IF($A483=$A$4:$A923,$AC$4:$AC923)))</f>
        <v/>
      </c>
    </row>
    <row r="484" ht="22.5" customHeight="1">
      <c r="A484" s="76"/>
      <c r="B484" s="68" t="str">
        <f t="shared" si="1"/>
        <v/>
      </c>
      <c r="C484" s="110"/>
      <c r="D484" s="70" t="str">
        <f t="shared" si="2"/>
        <v/>
      </c>
      <c r="E484" s="76"/>
      <c r="F484" s="68" t="str">
        <f t="array" ref="F484">IF($A484="","",IFERROR(INDEX(MA_INDIVIDUALES!C$2:C923, MATCH($A484,MA_INDIVIDUALES!$B$2:$B923,0),1),"CÓDIGO DE EXPEDIENTE INVÁLIDO"))</f>
        <v/>
      </c>
      <c r="G484" s="68" t="str">
        <f t="array" ref="G484">IF($A484="","",IFERROR(INDEX(MA_INDIVIDUALES!K$2:K923, MATCH($A484,MA_INDIVIDUALES!$B$2:$B923,0),1),"CÓDIGO DE EXPEDIENTE INVÁLIDO"))</f>
        <v/>
      </c>
      <c r="H484" s="68" t="str">
        <f t="array" ref="H484">IF($A484="","",IFERROR(INDEX(MA_INDIVIDUALES!L$2:L923, MATCH($A484,MA_INDIVIDUALES!$B$2:$B923,0),1),"CÓDIGO DE EXPEDIENTE INVÁLIDO"))</f>
        <v/>
      </c>
      <c r="I484" s="76"/>
      <c r="J484" s="76"/>
      <c r="K484" s="75"/>
      <c r="L484" s="74" t="str">
        <f>IF(A484="","",IF(K484="","",_xlfn.WORKDAY.INTL(K484,5,1,FERIADOS)))</f>
        <v/>
      </c>
      <c r="M484" s="76"/>
      <c r="N484" s="75"/>
      <c r="O484" s="76"/>
      <c r="P484" s="77" t="str">
        <f t="shared" si="3"/>
        <v/>
      </c>
      <c r="Q484" s="75"/>
      <c r="R484" s="76"/>
      <c r="S484" s="75"/>
      <c r="T484" s="75"/>
      <c r="U484" s="76"/>
      <c r="V484" s="76"/>
      <c r="W484" s="75"/>
      <c r="X484" s="76"/>
      <c r="Y484" s="29" t="str">
        <f t="shared" si="4"/>
        <v/>
      </c>
      <c r="Z484" s="29" t="str">
        <f t="shared" si="5"/>
        <v/>
      </c>
      <c r="AA484" s="76"/>
      <c r="AB484" s="76"/>
      <c r="AC484" s="75"/>
      <c r="AD484" s="75"/>
      <c r="AE484" s="78" t="str">
        <f>IF(U484="","",IF(AD484="","",_xlfn.WORKDAY.INTL(AD484,7,1,FERIADOS)))</f>
        <v/>
      </c>
      <c r="AF484" s="104"/>
      <c r="AG484" s="80" t="str">
        <f t="array" ref="AG484">IF(A484="","",IF(AF484="","",AF484*INDEX(PARAMETROS!F$2:F1547,MATCH(YEAR(AC484),PARAMETROS!E$2:E1547,0),1)))</f>
        <v/>
      </c>
      <c r="AH484" s="81"/>
      <c r="AI484" s="82"/>
      <c r="AJ484" s="81"/>
      <c r="AK484" s="81"/>
      <c r="AL484" s="76"/>
      <c r="AM484" s="75"/>
      <c r="AN484" s="76"/>
      <c r="AO484" s="95"/>
      <c r="AP484" s="96"/>
      <c r="AQ484" s="85" t="str">
        <f t="shared" si="6"/>
        <v/>
      </c>
      <c r="AR484" s="86" t="str">
        <f t="array" ref="AR484">IF(A484="","",IFERROR(INDEX('2) Etapas'!L$3:L923,MATCH(B484,'2) Etapas'!$A$4:$A923,0),1),-1))</f>
        <v/>
      </c>
      <c r="AS484" s="87" t="str">
        <f t="shared" si="7"/>
        <v/>
      </c>
      <c r="AT484" s="87" t="str">
        <f t="shared" si="8"/>
        <v/>
      </c>
      <c r="AU484" s="87" t="str">
        <f t="shared" si="9"/>
        <v/>
      </c>
      <c r="AV484" s="89" t="str">
        <f t="array" ref="AV484">IF(OR($A484="",$AB484="", $AC484=""),"",MAXA(IF($A484=$A$4:$A923,$AC$4:$AC923)))</f>
        <v/>
      </c>
    </row>
    <row r="485" ht="22.5" customHeight="1">
      <c r="A485" s="76"/>
      <c r="B485" s="68" t="str">
        <f t="shared" si="1"/>
        <v/>
      </c>
      <c r="C485" s="110"/>
      <c r="D485" s="70" t="str">
        <f t="shared" si="2"/>
        <v/>
      </c>
      <c r="E485" s="76"/>
      <c r="F485" s="68" t="str">
        <f t="array" ref="F485">IF($A485="","",IFERROR(INDEX(MA_INDIVIDUALES!C$2:C923, MATCH($A485,MA_INDIVIDUALES!$B$2:$B923,0),1),"CÓDIGO DE EXPEDIENTE INVÁLIDO"))</f>
        <v/>
      </c>
      <c r="G485" s="68" t="str">
        <f t="array" ref="G485">IF($A485="","",IFERROR(INDEX(MA_INDIVIDUALES!K$2:K923, MATCH($A485,MA_INDIVIDUALES!$B$2:$B923,0),1),"CÓDIGO DE EXPEDIENTE INVÁLIDO"))</f>
        <v/>
      </c>
      <c r="H485" s="68" t="str">
        <f t="array" ref="H485">IF($A485="","",IFERROR(INDEX(MA_INDIVIDUALES!L$2:L923, MATCH($A485,MA_INDIVIDUALES!$B$2:$B923,0),1),"CÓDIGO DE EXPEDIENTE INVÁLIDO"))</f>
        <v/>
      </c>
      <c r="I485" s="76"/>
      <c r="J485" s="76"/>
      <c r="K485" s="75"/>
      <c r="L485" s="74" t="str">
        <f>IF(A485="","",IF(K485="","",_xlfn.WORKDAY.INTL(K485,5,1,FERIADOS)))</f>
        <v/>
      </c>
      <c r="M485" s="76"/>
      <c r="N485" s="75"/>
      <c r="O485" s="76"/>
      <c r="P485" s="77" t="str">
        <f t="shared" si="3"/>
        <v/>
      </c>
      <c r="Q485" s="75"/>
      <c r="R485" s="76"/>
      <c r="S485" s="75"/>
      <c r="T485" s="75"/>
      <c r="U485" s="76"/>
      <c r="V485" s="76"/>
      <c r="W485" s="75"/>
      <c r="X485" s="76"/>
      <c r="Y485" s="29" t="str">
        <f t="shared" si="4"/>
        <v/>
      </c>
      <c r="Z485" s="29" t="str">
        <f t="shared" si="5"/>
        <v/>
      </c>
      <c r="AA485" s="76"/>
      <c r="AB485" s="76"/>
      <c r="AC485" s="75"/>
      <c r="AD485" s="75"/>
      <c r="AE485" s="78" t="str">
        <f>IF(U485="","",IF(AD485="","",_xlfn.WORKDAY.INTL(AD485,7,1,FERIADOS)))</f>
        <v/>
      </c>
      <c r="AF485" s="104"/>
      <c r="AG485" s="80" t="str">
        <f t="array" ref="AG485">IF(A485="","",IF(AF485="","",AF485*INDEX(PARAMETROS!F$2:F1548,MATCH(YEAR(AC485),PARAMETROS!E$2:E1548,0),1)))</f>
        <v/>
      </c>
      <c r="AH485" s="81"/>
      <c r="AI485" s="82"/>
      <c r="AJ485" s="81"/>
      <c r="AK485" s="81"/>
      <c r="AL485" s="76"/>
      <c r="AM485" s="75"/>
      <c r="AN485" s="76"/>
      <c r="AO485" s="95"/>
      <c r="AP485" s="96"/>
      <c r="AQ485" s="85" t="str">
        <f t="shared" si="6"/>
        <v/>
      </c>
      <c r="AR485" s="86" t="str">
        <f t="array" ref="AR485">IF(A485="","",IFERROR(INDEX('2) Etapas'!L$3:L923,MATCH(B485,'2) Etapas'!$A$4:$A923,0),1),-1))</f>
        <v/>
      </c>
      <c r="AS485" s="87" t="str">
        <f t="shared" si="7"/>
        <v/>
      </c>
      <c r="AT485" s="87" t="str">
        <f t="shared" si="8"/>
        <v/>
      </c>
      <c r="AU485" s="87" t="str">
        <f t="shared" si="9"/>
        <v/>
      </c>
      <c r="AV485" s="89" t="str">
        <f t="array" ref="AV485">IF(OR($A485="",$AB485="", $AC485=""),"",MAXA(IF($A485=$A$4:$A923,$AC$4:$AC923)))</f>
        <v/>
      </c>
    </row>
    <row r="486" ht="22.5" customHeight="1">
      <c r="A486" s="76"/>
      <c r="B486" s="68" t="str">
        <f t="shared" si="1"/>
        <v/>
      </c>
      <c r="C486" s="110"/>
      <c r="D486" s="70" t="str">
        <f t="shared" si="2"/>
        <v/>
      </c>
      <c r="E486" s="76"/>
      <c r="F486" s="68" t="str">
        <f t="array" ref="F486">IF($A486="","",IFERROR(INDEX(MA_INDIVIDUALES!C$2:C923, MATCH($A486,MA_INDIVIDUALES!$B$2:$B923,0),1),"CÓDIGO DE EXPEDIENTE INVÁLIDO"))</f>
        <v/>
      </c>
      <c r="G486" s="68" t="str">
        <f t="array" ref="G486">IF($A486="","",IFERROR(INDEX(MA_INDIVIDUALES!K$2:K923, MATCH($A486,MA_INDIVIDUALES!$B$2:$B923,0),1),"CÓDIGO DE EXPEDIENTE INVÁLIDO"))</f>
        <v/>
      </c>
      <c r="H486" s="68" t="str">
        <f t="array" ref="H486">IF($A486="","",IFERROR(INDEX(MA_INDIVIDUALES!L$2:L923, MATCH($A486,MA_INDIVIDUALES!$B$2:$B923,0),1),"CÓDIGO DE EXPEDIENTE INVÁLIDO"))</f>
        <v/>
      </c>
      <c r="I486" s="76"/>
      <c r="J486" s="76"/>
      <c r="K486" s="75"/>
      <c r="L486" s="74" t="str">
        <f>IF(A486="","",IF(K486="","",_xlfn.WORKDAY.INTL(K486,5,1,FERIADOS)))</f>
        <v/>
      </c>
      <c r="M486" s="76"/>
      <c r="N486" s="75"/>
      <c r="O486" s="76"/>
      <c r="P486" s="77" t="str">
        <f t="shared" si="3"/>
        <v/>
      </c>
      <c r="Q486" s="75"/>
      <c r="R486" s="76"/>
      <c r="S486" s="75"/>
      <c r="T486" s="75"/>
      <c r="U486" s="76"/>
      <c r="V486" s="76"/>
      <c r="W486" s="75"/>
      <c r="X486" s="76"/>
      <c r="Y486" s="29" t="str">
        <f t="shared" si="4"/>
        <v/>
      </c>
      <c r="Z486" s="29" t="str">
        <f t="shared" si="5"/>
        <v/>
      </c>
      <c r="AA486" s="76"/>
      <c r="AB486" s="76"/>
      <c r="AC486" s="75"/>
      <c r="AD486" s="75"/>
      <c r="AE486" s="78" t="str">
        <f>IF(U486="","",IF(AD486="","",_xlfn.WORKDAY.INTL(AD486,7,1,FERIADOS)))</f>
        <v/>
      </c>
      <c r="AF486" s="104"/>
      <c r="AG486" s="80" t="str">
        <f t="array" ref="AG486">IF(A486="","",IF(AF486="","",AF486*INDEX(PARAMETROS!F$2:F1549,MATCH(YEAR(AC486),PARAMETROS!E$2:E1549,0),1)))</f>
        <v/>
      </c>
      <c r="AH486" s="81"/>
      <c r="AI486" s="82"/>
      <c r="AJ486" s="81"/>
      <c r="AK486" s="81"/>
      <c r="AL486" s="76"/>
      <c r="AM486" s="75"/>
      <c r="AN486" s="76"/>
      <c r="AO486" s="95"/>
      <c r="AP486" s="96"/>
      <c r="AQ486" s="85" t="str">
        <f t="shared" si="6"/>
        <v/>
      </c>
      <c r="AR486" s="86" t="str">
        <f t="array" ref="AR486">IF(A486="","",IFERROR(INDEX('2) Etapas'!L$3:L923,MATCH(B486,'2) Etapas'!$A$4:$A923,0),1),-1))</f>
        <v/>
      </c>
      <c r="AS486" s="87" t="str">
        <f t="shared" si="7"/>
        <v/>
      </c>
      <c r="AT486" s="87" t="str">
        <f t="shared" si="8"/>
        <v/>
      </c>
      <c r="AU486" s="87" t="str">
        <f t="shared" si="9"/>
        <v/>
      </c>
      <c r="AV486" s="89" t="str">
        <f t="array" ref="AV486">IF(OR($A486="",$AB486="", $AC486=""),"",MAXA(IF($A486=$A$4:$A923,$AC$4:$AC923)))</f>
        <v/>
      </c>
    </row>
    <row r="487" ht="22.5" customHeight="1">
      <c r="A487" s="76"/>
      <c r="B487" s="68" t="str">
        <f t="shared" si="1"/>
        <v/>
      </c>
      <c r="C487" s="110"/>
      <c r="D487" s="70" t="str">
        <f t="shared" si="2"/>
        <v/>
      </c>
      <c r="E487" s="76"/>
      <c r="F487" s="68" t="str">
        <f t="array" ref="F487">IF($A487="","",IFERROR(INDEX(MA_INDIVIDUALES!C$2:C923, MATCH($A487,MA_INDIVIDUALES!$B$2:$B923,0),1),"CÓDIGO DE EXPEDIENTE INVÁLIDO"))</f>
        <v/>
      </c>
      <c r="G487" s="68" t="str">
        <f t="array" ref="G487">IF($A487="","",IFERROR(INDEX(MA_INDIVIDUALES!K$2:K923, MATCH($A487,MA_INDIVIDUALES!$B$2:$B923,0),1),"CÓDIGO DE EXPEDIENTE INVÁLIDO"))</f>
        <v/>
      </c>
      <c r="H487" s="68" t="str">
        <f t="array" ref="H487">IF($A487="","",IFERROR(INDEX(MA_INDIVIDUALES!L$2:L923, MATCH($A487,MA_INDIVIDUALES!$B$2:$B923,0),1),"CÓDIGO DE EXPEDIENTE INVÁLIDO"))</f>
        <v/>
      </c>
      <c r="I487" s="76"/>
      <c r="J487" s="76"/>
      <c r="K487" s="75"/>
      <c r="L487" s="74" t="str">
        <f>IF(A487="","",IF(K487="","",_xlfn.WORKDAY.INTL(K487,5,1,FERIADOS)))</f>
        <v/>
      </c>
      <c r="M487" s="76"/>
      <c r="N487" s="75"/>
      <c r="O487" s="76"/>
      <c r="P487" s="77" t="str">
        <f t="shared" si="3"/>
        <v/>
      </c>
      <c r="Q487" s="75"/>
      <c r="R487" s="76"/>
      <c r="S487" s="75"/>
      <c r="T487" s="75"/>
      <c r="U487" s="76"/>
      <c r="V487" s="76"/>
      <c r="W487" s="75"/>
      <c r="X487" s="76"/>
      <c r="Y487" s="29" t="str">
        <f t="shared" si="4"/>
        <v/>
      </c>
      <c r="Z487" s="29" t="str">
        <f t="shared" si="5"/>
        <v/>
      </c>
      <c r="AA487" s="76"/>
      <c r="AB487" s="76"/>
      <c r="AC487" s="75"/>
      <c r="AD487" s="75"/>
      <c r="AE487" s="78" t="str">
        <f>IF(U487="","",IF(AD487="","",_xlfn.WORKDAY.INTL(AD487,7,1,FERIADOS)))</f>
        <v/>
      </c>
      <c r="AF487" s="104"/>
      <c r="AG487" s="80" t="str">
        <f t="array" ref="AG487">IF(A487="","",IF(AF487="","",AF487*INDEX(PARAMETROS!F$2:F1550,MATCH(YEAR(AC487),PARAMETROS!E$2:E1550,0),1)))</f>
        <v/>
      </c>
      <c r="AH487" s="81"/>
      <c r="AI487" s="82"/>
      <c r="AJ487" s="81"/>
      <c r="AK487" s="81"/>
      <c r="AL487" s="76"/>
      <c r="AM487" s="75"/>
      <c r="AN487" s="76"/>
      <c r="AO487" s="95"/>
      <c r="AP487" s="96"/>
      <c r="AQ487" s="85" t="str">
        <f t="shared" si="6"/>
        <v/>
      </c>
      <c r="AR487" s="86" t="str">
        <f t="array" ref="AR487">IF(A487="","",IFERROR(INDEX('2) Etapas'!L$3:L923,MATCH(B487,'2) Etapas'!$A$4:$A923,0),1),-1))</f>
        <v/>
      </c>
      <c r="AS487" s="87" t="str">
        <f t="shared" si="7"/>
        <v/>
      </c>
      <c r="AT487" s="87" t="str">
        <f t="shared" si="8"/>
        <v/>
      </c>
      <c r="AU487" s="87" t="str">
        <f t="shared" si="9"/>
        <v/>
      </c>
      <c r="AV487" s="89" t="str">
        <f t="array" ref="AV487">IF(OR($A487="",$AB487="", $AC487=""),"",MAXA(IF($A487=$A$4:$A923,$AC$4:$AC923)))</f>
        <v/>
      </c>
    </row>
    <row r="488" ht="22.5" customHeight="1">
      <c r="A488" s="76"/>
      <c r="B488" s="68" t="str">
        <f t="shared" si="1"/>
        <v/>
      </c>
      <c r="C488" s="110"/>
      <c r="D488" s="70" t="str">
        <f t="shared" si="2"/>
        <v/>
      </c>
      <c r="E488" s="76"/>
      <c r="F488" s="68" t="str">
        <f t="array" ref="F488">IF($A488="","",IFERROR(INDEX(MA_INDIVIDUALES!C$2:C923, MATCH($A488,MA_INDIVIDUALES!$B$2:$B923,0),1),"CÓDIGO DE EXPEDIENTE INVÁLIDO"))</f>
        <v/>
      </c>
      <c r="G488" s="68" t="str">
        <f t="array" ref="G488">IF($A488="","",IFERROR(INDEX(MA_INDIVIDUALES!K$2:K923, MATCH($A488,MA_INDIVIDUALES!$B$2:$B923,0),1),"CÓDIGO DE EXPEDIENTE INVÁLIDO"))</f>
        <v/>
      </c>
      <c r="H488" s="68" t="str">
        <f t="array" ref="H488">IF($A488="","",IFERROR(INDEX(MA_INDIVIDUALES!L$2:L923, MATCH($A488,MA_INDIVIDUALES!$B$2:$B923,0),1),"CÓDIGO DE EXPEDIENTE INVÁLIDO"))</f>
        <v/>
      </c>
      <c r="I488" s="76"/>
      <c r="J488" s="76"/>
      <c r="K488" s="75"/>
      <c r="L488" s="74" t="str">
        <f>IF(A488="","",IF(K488="","",_xlfn.WORKDAY.INTL(K488,5,1,FERIADOS)))</f>
        <v/>
      </c>
      <c r="M488" s="76"/>
      <c r="N488" s="75"/>
      <c r="O488" s="76"/>
      <c r="P488" s="77" t="str">
        <f t="shared" si="3"/>
        <v/>
      </c>
      <c r="Q488" s="75"/>
      <c r="R488" s="76"/>
      <c r="S488" s="75"/>
      <c r="T488" s="75"/>
      <c r="U488" s="76"/>
      <c r="V488" s="76"/>
      <c r="W488" s="75"/>
      <c r="X488" s="76"/>
      <c r="Y488" s="29" t="str">
        <f t="shared" si="4"/>
        <v/>
      </c>
      <c r="Z488" s="29" t="str">
        <f t="shared" si="5"/>
        <v/>
      </c>
      <c r="AA488" s="76"/>
      <c r="AB488" s="76"/>
      <c r="AC488" s="75"/>
      <c r="AD488" s="75"/>
      <c r="AE488" s="78" t="str">
        <f>IF(U488="","",IF(AD488="","",_xlfn.WORKDAY.INTL(AD488,7,1,FERIADOS)))</f>
        <v/>
      </c>
      <c r="AF488" s="104"/>
      <c r="AG488" s="80" t="str">
        <f t="array" ref="AG488">IF(A488="","",IF(AF488="","",AF488*INDEX(PARAMETROS!F$2:F1551,MATCH(YEAR(AC488),PARAMETROS!E$2:E1551,0),1)))</f>
        <v/>
      </c>
      <c r="AH488" s="81"/>
      <c r="AI488" s="82"/>
      <c r="AJ488" s="81"/>
      <c r="AK488" s="81"/>
      <c r="AL488" s="76"/>
      <c r="AM488" s="75"/>
      <c r="AN488" s="76"/>
      <c r="AO488" s="95"/>
      <c r="AP488" s="96"/>
      <c r="AQ488" s="85" t="str">
        <f t="shared" si="6"/>
        <v/>
      </c>
      <c r="AR488" s="86" t="str">
        <f t="array" ref="AR488">IF(A488="","",IFERROR(INDEX('2) Etapas'!L$3:L923,MATCH(B488,'2) Etapas'!$A$4:$A923,0),1),-1))</f>
        <v/>
      </c>
      <c r="AS488" s="87" t="str">
        <f t="shared" si="7"/>
        <v/>
      </c>
      <c r="AT488" s="87" t="str">
        <f t="shared" si="8"/>
        <v/>
      </c>
      <c r="AU488" s="87" t="str">
        <f t="shared" si="9"/>
        <v/>
      </c>
      <c r="AV488" s="89" t="str">
        <f t="array" ref="AV488">IF(OR($A488="",$AB488="", $AC488=""),"",MAXA(IF($A488=$A$4:$A923,$AC$4:$AC923)))</f>
        <v/>
      </c>
    </row>
    <row r="489" ht="22.5" customHeight="1">
      <c r="A489" s="76"/>
      <c r="B489" s="68" t="str">
        <f t="shared" si="1"/>
        <v/>
      </c>
      <c r="C489" s="110"/>
      <c r="D489" s="70" t="str">
        <f t="shared" si="2"/>
        <v/>
      </c>
      <c r="E489" s="76"/>
      <c r="F489" s="68" t="str">
        <f t="array" ref="F489">IF($A489="","",IFERROR(INDEX(MA_INDIVIDUALES!C$2:C923, MATCH($A489,MA_INDIVIDUALES!$B$2:$B923,0),1),"CÓDIGO DE EXPEDIENTE INVÁLIDO"))</f>
        <v/>
      </c>
      <c r="G489" s="68" t="str">
        <f t="array" ref="G489">IF($A489="","",IFERROR(INDEX(MA_INDIVIDUALES!K$2:K923, MATCH($A489,MA_INDIVIDUALES!$B$2:$B923,0),1),"CÓDIGO DE EXPEDIENTE INVÁLIDO"))</f>
        <v/>
      </c>
      <c r="H489" s="68" t="str">
        <f t="array" ref="H489">IF($A489="","",IFERROR(INDEX(MA_INDIVIDUALES!L$2:L923, MATCH($A489,MA_INDIVIDUALES!$B$2:$B923,0),1),"CÓDIGO DE EXPEDIENTE INVÁLIDO"))</f>
        <v/>
      </c>
      <c r="I489" s="76"/>
      <c r="J489" s="76"/>
      <c r="K489" s="75"/>
      <c r="L489" s="74" t="str">
        <f>IF(A489="","",IF(K489="","",_xlfn.WORKDAY.INTL(K489,5,1,FERIADOS)))</f>
        <v/>
      </c>
      <c r="M489" s="76"/>
      <c r="N489" s="75"/>
      <c r="O489" s="76"/>
      <c r="P489" s="77" t="str">
        <f t="shared" si="3"/>
        <v/>
      </c>
      <c r="Q489" s="75"/>
      <c r="R489" s="76"/>
      <c r="S489" s="75"/>
      <c r="T489" s="75"/>
      <c r="U489" s="76"/>
      <c r="V489" s="76"/>
      <c r="W489" s="75"/>
      <c r="X489" s="76"/>
      <c r="Y489" s="29" t="str">
        <f t="shared" si="4"/>
        <v/>
      </c>
      <c r="Z489" s="29" t="str">
        <f t="shared" si="5"/>
        <v/>
      </c>
      <c r="AA489" s="76"/>
      <c r="AB489" s="76"/>
      <c r="AC489" s="75"/>
      <c r="AD489" s="75"/>
      <c r="AE489" s="78" t="str">
        <f>IF(U489="","",IF(AD489="","",_xlfn.WORKDAY.INTL(AD489,7,1,FERIADOS)))</f>
        <v/>
      </c>
      <c r="AF489" s="104"/>
      <c r="AG489" s="80" t="str">
        <f t="array" ref="AG489">IF(A489="","",IF(AF489="","",AF489*INDEX(PARAMETROS!F$2:F1552,MATCH(YEAR(AC489),PARAMETROS!E$2:E1552,0),1)))</f>
        <v/>
      </c>
      <c r="AH489" s="81"/>
      <c r="AI489" s="82"/>
      <c r="AJ489" s="81"/>
      <c r="AK489" s="81"/>
      <c r="AL489" s="76"/>
      <c r="AM489" s="75"/>
      <c r="AN489" s="76"/>
      <c r="AO489" s="95"/>
      <c r="AP489" s="96"/>
      <c r="AQ489" s="85" t="str">
        <f t="shared" si="6"/>
        <v/>
      </c>
      <c r="AR489" s="86" t="str">
        <f t="array" ref="AR489">IF(A489="","",IFERROR(INDEX('2) Etapas'!L$3:L923,MATCH(B489,'2) Etapas'!$A$4:$A923,0),1),-1))</f>
        <v/>
      </c>
      <c r="AS489" s="87" t="str">
        <f t="shared" si="7"/>
        <v/>
      </c>
      <c r="AT489" s="87" t="str">
        <f t="shared" si="8"/>
        <v/>
      </c>
      <c r="AU489" s="87" t="str">
        <f t="shared" si="9"/>
        <v/>
      </c>
      <c r="AV489" s="89" t="str">
        <f t="array" ref="AV489">IF(OR($A489="",$AB489="", $AC489=""),"",MAXA(IF($A489=$A$4:$A923,$AC$4:$AC923)))</f>
        <v/>
      </c>
    </row>
    <row r="490" ht="22.5" customHeight="1">
      <c r="A490" s="76"/>
      <c r="B490" s="68" t="str">
        <f t="shared" si="1"/>
        <v/>
      </c>
      <c r="C490" s="110"/>
      <c r="D490" s="70" t="str">
        <f t="shared" si="2"/>
        <v/>
      </c>
      <c r="E490" s="76"/>
      <c r="F490" s="68" t="str">
        <f t="array" ref="F490">IF($A490="","",IFERROR(INDEX(MA_INDIVIDUALES!C$2:C923, MATCH($A490,MA_INDIVIDUALES!$B$2:$B923,0),1),"CÓDIGO DE EXPEDIENTE INVÁLIDO"))</f>
        <v/>
      </c>
      <c r="G490" s="68" t="str">
        <f t="array" ref="G490">IF($A490="","",IFERROR(INDEX(MA_INDIVIDUALES!K$2:K923, MATCH($A490,MA_INDIVIDUALES!$B$2:$B923,0),1),"CÓDIGO DE EXPEDIENTE INVÁLIDO"))</f>
        <v/>
      </c>
      <c r="H490" s="68" t="str">
        <f t="array" ref="H490">IF($A490="","",IFERROR(INDEX(MA_INDIVIDUALES!L$2:L923, MATCH($A490,MA_INDIVIDUALES!$B$2:$B923,0),1),"CÓDIGO DE EXPEDIENTE INVÁLIDO"))</f>
        <v/>
      </c>
      <c r="I490" s="76"/>
      <c r="J490" s="76"/>
      <c r="K490" s="75"/>
      <c r="L490" s="74" t="str">
        <f>IF(A490="","",IF(K490="","",_xlfn.WORKDAY.INTL(K490,5,1,FERIADOS)))</f>
        <v/>
      </c>
      <c r="M490" s="76"/>
      <c r="N490" s="75"/>
      <c r="O490" s="76"/>
      <c r="P490" s="77" t="str">
        <f t="shared" si="3"/>
        <v/>
      </c>
      <c r="Q490" s="75"/>
      <c r="R490" s="76"/>
      <c r="S490" s="75"/>
      <c r="T490" s="75"/>
      <c r="U490" s="76"/>
      <c r="V490" s="76"/>
      <c r="W490" s="75"/>
      <c r="X490" s="76"/>
      <c r="Y490" s="29" t="str">
        <f t="shared" si="4"/>
        <v/>
      </c>
      <c r="Z490" s="29" t="str">
        <f t="shared" si="5"/>
        <v/>
      </c>
      <c r="AA490" s="76"/>
      <c r="AB490" s="76"/>
      <c r="AC490" s="75"/>
      <c r="AD490" s="75"/>
      <c r="AE490" s="78" t="str">
        <f>IF(U490="","",IF(AD490="","",_xlfn.WORKDAY.INTL(AD490,7,1,FERIADOS)))</f>
        <v/>
      </c>
      <c r="AF490" s="104"/>
      <c r="AG490" s="80" t="str">
        <f t="array" ref="AG490">IF(A490="","",IF(AF490="","",AF490*INDEX(PARAMETROS!F$2:F1553,MATCH(YEAR(AC490),PARAMETROS!E$2:E1553,0),1)))</f>
        <v/>
      </c>
      <c r="AH490" s="81"/>
      <c r="AI490" s="82"/>
      <c r="AJ490" s="81"/>
      <c r="AK490" s="81"/>
      <c r="AL490" s="76"/>
      <c r="AM490" s="75"/>
      <c r="AN490" s="76"/>
      <c r="AO490" s="95"/>
      <c r="AP490" s="96"/>
      <c r="AQ490" s="85" t="str">
        <f t="shared" si="6"/>
        <v/>
      </c>
      <c r="AR490" s="86" t="str">
        <f t="array" ref="AR490">IF(A490="","",IFERROR(INDEX('2) Etapas'!L$3:L923,MATCH(B490,'2) Etapas'!$A$4:$A923,0),1),-1))</f>
        <v/>
      </c>
      <c r="AS490" s="87" t="str">
        <f t="shared" si="7"/>
        <v/>
      </c>
      <c r="AT490" s="87" t="str">
        <f t="shared" si="8"/>
        <v/>
      </c>
      <c r="AU490" s="87" t="str">
        <f t="shared" si="9"/>
        <v/>
      </c>
      <c r="AV490" s="89" t="str">
        <f t="array" ref="AV490">IF(OR($A490="",$AB490="", $AC490=""),"",MAXA(IF($A490=$A$4:$A923,$AC$4:$AC923)))</f>
        <v/>
      </c>
    </row>
    <row r="491" ht="22.5" customHeight="1">
      <c r="A491" s="76"/>
      <c r="B491" s="68" t="str">
        <f t="shared" si="1"/>
        <v/>
      </c>
      <c r="C491" s="110"/>
      <c r="D491" s="70" t="str">
        <f t="shared" si="2"/>
        <v/>
      </c>
      <c r="E491" s="76"/>
      <c r="F491" s="68" t="str">
        <f t="array" ref="F491">IF($A491="","",IFERROR(INDEX(MA_INDIVIDUALES!C$2:C923, MATCH($A491,MA_INDIVIDUALES!$B$2:$B923,0),1),"CÓDIGO DE EXPEDIENTE INVÁLIDO"))</f>
        <v/>
      </c>
      <c r="G491" s="68" t="str">
        <f t="array" ref="G491">IF($A491="","",IFERROR(INDEX(MA_INDIVIDUALES!K$2:K923, MATCH($A491,MA_INDIVIDUALES!$B$2:$B923,0),1),"CÓDIGO DE EXPEDIENTE INVÁLIDO"))</f>
        <v/>
      </c>
      <c r="H491" s="68" t="str">
        <f t="array" ref="H491">IF($A491="","",IFERROR(INDEX(MA_INDIVIDUALES!L$2:L923, MATCH($A491,MA_INDIVIDUALES!$B$2:$B923,0),1),"CÓDIGO DE EXPEDIENTE INVÁLIDO"))</f>
        <v/>
      </c>
      <c r="I491" s="76"/>
      <c r="J491" s="76"/>
      <c r="K491" s="75"/>
      <c r="L491" s="74" t="str">
        <f>IF(A491="","",IF(K491="","",_xlfn.WORKDAY.INTL(K491,5,1,FERIADOS)))</f>
        <v/>
      </c>
      <c r="M491" s="76"/>
      <c r="N491" s="75"/>
      <c r="O491" s="76"/>
      <c r="P491" s="77" t="str">
        <f t="shared" si="3"/>
        <v/>
      </c>
      <c r="Q491" s="75"/>
      <c r="R491" s="76"/>
      <c r="S491" s="75"/>
      <c r="T491" s="75"/>
      <c r="U491" s="76"/>
      <c r="V491" s="76"/>
      <c r="W491" s="75"/>
      <c r="X491" s="76"/>
      <c r="Y491" s="29" t="str">
        <f t="shared" si="4"/>
        <v/>
      </c>
      <c r="Z491" s="29" t="str">
        <f t="shared" si="5"/>
        <v/>
      </c>
      <c r="AA491" s="76"/>
      <c r="AB491" s="76"/>
      <c r="AC491" s="75"/>
      <c r="AD491" s="75"/>
      <c r="AE491" s="78" t="str">
        <f>IF(U491="","",IF(AD491="","",_xlfn.WORKDAY.INTL(AD491,7,1,FERIADOS)))</f>
        <v/>
      </c>
      <c r="AF491" s="104"/>
      <c r="AG491" s="80" t="str">
        <f t="array" ref="AG491">IF(A491="","",IF(AF491="","",AF491*INDEX(PARAMETROS!F$2:F1554,MATCH(YEAR(AC491),PARAMETROS!E$2:E1554,0),1)))</f>
        <v/>
      </c>
      <c r="AH491" s="81"/>
      <c r="AI491" s="82"/>
      <c r="AJ491" s="81"/>
      <c r="AK491" s="81"/>
      <c r="AL491" s="76"/>
      <c r="AM491" s="75"/>
      <c r="AN491" s="76"/>
      <c r="AO491" s="95"/>
      <c r="AP491" s="96"/>
      <c r="AQ491" s="85" t="str">
        <f t="shared" si="6"/>
        <v/>
      </c>
      <c r="AR491" s="86" t="str">
        <f t="array" ref="AR491">IF(A491="","",IFERROR(INDEX('2) Etapas'!L$3:L923,MATCH(B491,'2) Etapas'!$A$4:$A923,0),1),-1))</f>
        <v/>
      </c>
      <c r="AS491" s="87" t="str">
        <f t="shared" si="7"/>
        <v/>
      </c>
      <c r="AT491" s="87" t="str">
        <f t="shared" si="8"/>
        <v/>
      </c>
      <c r="AU491" s="87" t="str">
        <f t="shared" si="9"/>
        <v/>
      </c>
      <c r="AV491" s="89" t="str">
        <f t="array" ref="AV491">IF(OR($A491="",$AB491="", $AC491=""),"",MAXA(IF($A491=$A$4:$A923,$AC$4:$AC923)))</f>
        <v/>
      </c>
    </row>
    <row r="492" ht="22.5" customHeight="1">
      <c r="A492" s="76"/>
      <c r="B492" s="68" t="str">
        <f t="shared" si="1"/>
        <v/>
      </c>
      <c r="C492" s="110"/>
      <c r="D492" s="70" t="str">
        <f t="shared" si="2"/>
        <v/>
      </c>
      <c r="E492" s="76"/>
      <c r="F492" s="68" t="str">
        <f t="array" ref="F492">IF($A492="","",IFERROR(INDEX(MA_INDIVIDUALES!C$2:C923, MATCH($A492,MA_INDIVIDUALES!$B$2:$B923,0),1),"CÓDIGO DE EXPEDIENTE INVÁLIDO"))</f>
        <v/>
      </c>
      <c r="G492" s="68" t="str">
        <f t="array" ref="G492">IF($A492="","",IFERROR(INDEX(MA_INDIVIDUALES!K$2:K923, MATCH($A492,MA_INDIVIDUALES!$B$2:$B923,0),1),"CÓDIGO DE EXPEDIENTE INVÁLIDO"))</f>
        <v/>
      </c>
      <c r="H492" s="68" t="str">
        <f t="array" ref="H492">IF($A492="","",IFERROR(INDEX(MA_INDIVIDUALES!L$2:L923, MATCH($A492,MA_INDIVIDUALES!$B$2:$B923,0),1),"CÓDIGO DE EXPEDIENTE INVÁLIDO"))</f>
        <v/>
      </c>
      <c r="I492" s="76"/>
      <c r="J492" s="76"/>
      <c r="K492" s="75"/>
      <c r="L492" s="74" t="str">
        <f>IF(A492="","",IF(K492="","",_xlfn.WORKDAY.INTL(K492,5,1,FERIADOS)))</f>
        <v/>
      </c>
      <c r="M492" s="76"/>
      <c r="N492" s="75"/>
      <c r="O492" s="76"/>
      <c r="P492" s="77" t="str">
        <f t="shared" si="3"/>
        <v/>
      </c>
      <c r="Q492" s="75"/>
      <c r="R492" s="76"/>
      <c r="S492" s="75"/>
      <c r="T492" s="75"/>
      <c r="U492" s="76"/>
      <c r="V492" s="76"/>
      <c r="W492" s="75"/>
      <c r="X492" s="76"/>
      <c r="Y492" s="29" t="str">
        <f t="shared" si="4"/>
        <v/>
      </c>
      <c r="Z492" s="29" t="str">
        <f t="shared" si="5"/>
        <v/>
      </c>
      <c r="AA492" s="76"/>
      <c r="AB492" s="76"/>
      <c r="AC492" s="75"/>
      <c r="AD492" s="75"/>
      <c r="AE492" s="78" t="str">
        <f>IF(U492="","",IF(AD492="","",_xlfn.WORKDAY.INTL(AD492,7,1,FERIADOS)))</f>
        <v/>
      </c>
      <c r="AF492" s="104"/>
      <c r="AG492" s="80" t="str">
        <f t="array" ref="AG492">IF(A492="","",IF(AF492="","",AF492*INDEX(PARAMETROS!F$2:F1555,MATCH(YEAR(AC492),PARAMETROS!E$2:E1555,0),1)))</f>
        <v/>
      </c>
      <c r="AH492" s="81"/>
      <c r="AI492" s="82"/>
      <c r="AJ492" s="81"/>
      <c r="AK492" s="81"/>
      <c r="AL492" s="76"/>
      <c r="AM492" s="75"/>
      <c r="AN492" s="76"/>
      <c r="AO492" s="95"/>
      <c r="AP492" s="96"/>
      <c r="AQ492" s="85" t="str">
        <f t="shared" si="6"/>
        <v/>
      </c>
      <c r="AR492" s="86" t="str">
        <f t="array" ref="AR492">IF(A492="","",IFERROR(INDEX('2) Etapas'!L$3:L923,MATCH(B492,'2) Etapas'!$A$4:$A923,0),1),-1))</f>
        <v/>
      </c>
      <c r="AS492" s="87" t="str">
        <f t="shared" si="7"/>
        <v/>
      </c>
      <c r="AT492" s="87" t="str">
        <f t="shared" si="8"/>
        <v/>
      </c>
      <c r="AU492" s="87" t="str">
        <f t="shared" si="9"/>
        <v/>
      </c>
      <c r="AV492" s="89" t="str">
        <f t="array" ref="AV492">IF(OR($A492="",$AB492="", $AC492=""),"",MAXA(IF($A492=$A$4:$A923,$AC$4:$AC923)))</f>
        <v/>
      </c>
    </row>
    <row r="493" ht="22.5" customHeight="1">
      <c r="A493" s="76"/>
      <c r="B493" s="68" t="str">
        <f t="shared" si="1"/>
        <v/>
      </c>
      <c r="C493" s="110"/>
      <c r="D493" s="70" t="str">
        <f t="shared" si="2"/>
        <v/>
      </c>
      <c r="E493" s="76"/>
      <c r="F493" s="68" t="str">
        <f t="array" ref="F493">IF($A493="","",IFERROR(INDEX(MA_INDIVIDUALES!C$2:C923, MATCH($A493,MA_INDIVIDUALES!$B$2:$B923,0),1),"CÓDIGO DE EXPEDIENTE INVÁLIDO"))</f>
        <v/>
      </c>
      <c r="G493" s="68" t="str">
        <f t="array" ref="G493">IF($A493="","",IFERROR(INDEX(MA_INDIVIDUALES!K$2:K923, MATCH($A493,MA_INDIVIDUALES!$B$2:$B923,0),1),"CÓDIGO DE EXPEDIENTE INVÁLIDO"))</f>
        <v/>
      </c>
      <c r="H493" s="68" t="str">
        <f t="array" ref="H493">IF($A493="","",IFERROR(INDEX(MA_INDIVIDUALES!L$2:L923, MATCH($A493,MA_INDIVIDUALES!$B$2:$B923,0),1),"CÓDIGO DE EXPEDIENTE INVÁLIDO"))</f>
        <v/>
      </c>
      <c r="I493" s="76"/>
      <c r="J493" s="76"/>
      <c r="K493" s="75"/>
      <c r="L493" s="74" t="str">
        <f>IF(A493="","",IF(K493="","",_xlfn.WORKDAY.INTL(K493,5,1,FERIADOS)))</f>
        <v/>
      </c>
      <c r="M493" s="76"/>
      <c r="N493" s="75"/>
      <c r="O493" s="76"/>
      <c r="P493" s="77" t="str">
        <f t="shared" si="3"/>
        <v/>
      </c>
      <c r="Q493" s="75"/>
      <c r="R493" s="76"/>
      <c r="S493" s="75"/>
      <c r="T493" s="75"/>
      <c r="U493" s="76"/>
      <c r="V493" s="76"/>
      <c r="W493" s="75"/>
      <c r="X493" s="76"/>
      <c r="Y493" s="29" t="str">
        <f t="shared" si="4"/>
        <v/>
      </c>
      <c r="Z493" s="29" t="str">
        <f t="shared" si="5"/>
        <v/>
      </c>
      <c r="AA493" s="76"/>
      <c r="AB493" s="76"/>
      <c r="AC493" s="75"/>
      <c r="AD493" s="75"/>
      <c r="AE493" s="78" t="str">
        <f>IF(U493="","",IF(AD493="","",_xlfn.WORKDAY.INTL(AD493,7,1,FERIADOS)))</f>
        <v/>
      </c>
      <c r="AF493" s="104"/>
      <c r="AG493" s="80" t="str">
        <f t="array" ref="AG493">IF(A493="","",IF(AF493="","",AF493*INDEX(PARAMETROS!F$2:F1556,MATCH(YEAR(AC493),PARAMETROS!E$2:E1556,0),1)))</f>
        <v/>
      </c>
      <c r="AH493" s="81"/>
      <c r="AI493" s="82"/>
      <c r="AJ493" s="81"/>
      <c r="AK493" s="81"/>
      <c r="AL493" s="76"/>
      <c r="AM493" s="75"/>
      <c r="AN493" s="76"/>
      <c r="AO493" s="95"/>
      <c r="AP493" s="96"/>
      <c r="AQ493" s="85" t="str">
        <f t="shared" si="6"/>
        <v/>
      </c>
      <c r="AR493" s="86" t="str">
        <f t="array" ref="AR493">IF(A493="","",IFERROR(INDEX('2) Etapas'!L$3:L923,MATCH(B493,'2) Etapas'!$A$4:$A923,0),1),-1))</f>
        <v/>
      </c>
      <c r="AS493" s="87" t="str">
        <f t="shared" si="7"/>
        <v/>
      </c>
      <c r="AT493" s="87" t="str">
        <f t="shared" si="8"/>
        <v/>
      </c>
      <c r="AU493" s="87" t="str">
        <f t="shared" si="9"/>
        <v/>
      </c>
      <c r="AV493" s="89" t="str">
        <f t="array" ref="AV493">IF(OR($A493="",$AB493="", $AC493=""),"",MAXA(IF($A493=$A$4:$A923,$AC$4:$AC923)))</f>
        <v/>
      </c>
    </row>
    <row r="494" ht="22.5" customHeight="1">
      <c r="A494" s="76"/>
      <c r="B494" s="68" t="str">
        <f t="shared" si="1"/>
        <v/>
      </c>
      <c r="C494" s="110"/>
      <c r="D494" s="70" t="str">
        <f t="shared" si="2"/>
        <v/>
      </c>
      <c r="E494" s="76"/>
      <c r="F494" s="68" t="str">
        <f t="array" ref="F494">IF($A494="","",IFERROR(INDEX(MA_INDIVIDUALES!C$2:C923, MATCH($A494,MA_INDIVIDUALES!$B$2:$B923,0),1),"CÓDIGO DE EXPEDIENTE INVÁLIDO"))</f>
        <v/>
      </c>
      <c r="G494" s="68" t="str">
        <f t="array" ref="G494">IF($A494="","",IFERROR(INDEX(MA_INDIVIDUALES!K$2:K923, MATCH($A494,MA_INDIVIDUALES!$B$2:$B923,0),1),"CÓDIGO DE EXPEDIENTE INVÁLIDO"))</f>
        <v/>
      </c>
      <c r="H494" s="68" t="str">
        <f t="array" ref="H494">IF($A494="","",IFERROR(INDEX(MA_INDIVIDUALES!L$2:L923, MATCH($A494,MA_INDIVIDUALES!$B$2:$B923,0),1),"CÓDIGO DE EXPEDIENTE INVÁLIDO"))</f>
        <v/>
      </c>
      <c r="I494" s="76"/>
      <c r="J494" s="76"/>
      <c r="K494" s="75"/>
      <c r="L494" s="74" t="str">
        <f>IF(A494="","",IF(K494="","",_xlfn.WORKDAY.INTL(K494,5,1,FERIADOS)))</f>
        <v/>
      </c>
      <c r="M494" s="76"/>
      <c r="N494" s="75"/>
      <c r="O494" s="76"/>
      <c r="P494" s="77" t="str">
        <f t="shared" si="3"/>
        <v/>
      </c>
      <c r="Q494" s="75"/>
      <c r="R494" s="76"/>
      <c r="S494" s="75"/>
      <c r="T494" s="75"/>
      <c r="U494" s="76"/>
      <c r="V494" s="76"/>
      <c r="W494" s="75"/>
      <c r="X494" s="76"/>
      <c r="Y494" s="29" t="str">
        <f t="shared" si="4"/>
        <v/>
      </c>
      <c r="Z494" s="29" t="str">
        <f t="shared" si="5"/>
        <v/>
      </c>
      <c r="AA494" s="76"/>
      <c r="AB494" s="76"/>
      <c r="AC494" s="75"/>
      <c r="AD494" s="75"/>
      <c r="AE494" s="78" t="str">
        <f>IF(U494="","",IF(AD494="","",_xlfn.WORKDAY.INTL(AD494,7,1,FERIADOS)))</f>
        <v/>
      </c>
      <c r="AF494" s="104"/>
      <c r="AG494" s="80" t="str">
        <f t="array" ref="AG494">IF(A494="","",IF(AF494="","",AF494*INDEX(PARAMETROS!F$2:F1557,MATCH(YEAR(AC494),PARAMETROS!E$2:E1557,0),1)))</f>
        <v/>
      </c>
      <c r="AH494" s="81"/>
      <c r="AI494" s="82"/>
      <c r="AJ494" s="81"/>
      <c r="AK494" s="81"/>
      <c r="AL494" s="76"/>
      <c r="AM494" s="75"/>
      <c r="AN494" s="76"/>
      <c r="AO494" s="95"/>
      <c r="AP494" s="96"/>
      <c r="AQ494" s="85" t="str">
        <f t="shared" si="6"/>
        <v/>
      </c>
      <c r="AR494" s="86" t="str">
        <f t="array" ref="AR494">IF(A494="","",IFERROR(INDEX('2) Etapas'!L$3:L923,MATCH(B494,'2) Etapas'!$A$4:$A923,0),1),-1))</f>
        <v/>
      </c>
      <c r="AS494" s="87" t="str">
        <f t="shared" si="7"/>
        <v/>
      </c>
      <c r="AT494" s="87" t="str">
        <f t="shared" si="8"/>
        <v/>
      </c>
      <c r="AU494" s="87" t="str">
        <f t="shared" si="9"/>
        <v/>
      </c>
      <c r="AV494" s="89" t="str">
        <f t="array" ref="AV494">IF(OR($A494="",$AB494="", $AC494=""),"",MAXA(IF($A494=$A$4:$A923,$AC$4:$AC923)))</f>
        <v/>
      </c>
    </row>
    <row r="495" ht="22.5" customHeight="1">
      <c r="A495" s="76"/>
      <c r="B495" s="68" t="str">
        <f t="shared" si="1"/>
        <v/>
      </c>
      <c r="C495" s="110"/>
      <c r="D495" s="70" t="str">
        <f t="shared" si="2"/>
        <v/>
      </c>
      <c r="E495" s="76"/>
      <c r="F495" s="68" t="str">
        <f t="array" ref="F495">IF($A495="","",IFERROR(INDEX(MA_INDIVIDUALES!C$2:C923, MATCH($A495,MA_INDIVIDUALES!$B$2:$B923,0),1),"CÓDIGO DE EXPEDIENTE INVÁLIDO"))</f>
        <v/>
      </c>
      <c r="G495" s="68" t="str">
        <f t="array" ref="G495">IF($A495="","",IFERROR(INDEX(MA_INDIVIDUALES!K$2:K923, MATCH($A495,MA_INDIVIDUALES!$B$2:$B923,0),1),"CÓDIGO DE EXPEDIENTE INVÁLIDO"))</f>
        <v/>
      </c>
      <c r="H495" s="68" t="str">
        <f t="array" ref="H495">IF($A495="","",IFERROR(INDEX(MA_INDIVIDUALES!L$2:L923, MATCH($A495,MA_INDIVIDUALES!$B$2:$B923,0),1),"CÓDIGO DE EXPEDIENTE INVÁLIDO"))</f>
        <v/>
      </c>
      <c r="I495" s="76"/>
      <c r="J495" s="76"/>
      <c r="K495" s="75"/>
      <c r="L495" s="74" t="str">
        <f>IF(A495="","",IF(K495="","",_xlfn.WORKDAY.INTL(K495,5,1,FERIADOS)))</f>
        <v/>
      </c>
      <c r="M495" s="76"/>
      <c r="N495" s="75"/>
      <c r="O495" s="76"/>
      <c r="P495" s="77" t="str">
        <f t="shared" si="3"/>
        <v/>
      </c>
      <c r="Q495" s="75"/>
      <c r="R495" s="76"/>
      <c r="S495" s="75"/>
      <c r="T495" s="75"/>
      <c r="U495" s="76"/>
      <c r="V495" s="76"/>
      <c r="W495" s="75"/>
      <c r="X495" s="76"/>
      <c r="Y495" s="29" t="str">
        <f t="shared" si="4"/>
        <v/>
      </c>
      <c r="Z495" s="29" t="str">
        <f t="shared" si="5"/>
        <v/>
      </c>
      <c r="AA495" s="76"/>
      <c r="AB495" s="76"/>
      <c r="AC495" s="75"/>
      <c r="AD495" s="75"/>
      <c r="AE495" s="78" t="str">
        <f>IF(U495="","",IF(AD495="","",_xlfn.WORKDAY.INTL(AD495,7,1,FERIADOS)))</f>
        <v/>
      </c>
      <c r="AF495" s="104"/>
      <c r="AG495" s="80" t="str">
        <f t="array" ref="AG495">IF(A495="","",IF(AF495="","",AF495*INDEX(PARAMETROS!F$2:F1558,MATCH(YEAR(AC495),PARAMETROS!E$2:E1558,0),1)))</f>
        <v/>
      </c>
      <c r="AH495" s="81"/>
      <c r="AI495" s="82"/>
      <c r="AJ495" s="81"/>
      <c r="AK495" s="81"/>
      <c r="AL495" s="76"/>
      <c r="AM495" s="75"/>
      <c r="AN495" s="76"/>
      <c r="AO495" s="95"/>
      <c r="AP495" s="96"/>
      <c r="AQ495" s="85" t="str">
        <f t="shared" si="6"/>
        <v/>
      </c>
      <c r="AR495" s="86" t="str">
        <f t="array" ref="AR495">IF(A495="","",IFERROR(INDEX('2) Etapas'!L$3:L923,MATCH(B495,'2) Etapas'!$A$4:$A923,0),1),-1))</f>
        <v/>
      </c>
      <c r="AS495" s="87" t="str">
        <f t="shared" si="7"/>
        <v/>
      </c>
      <c r="AT495" s="87" t="str">
        <f t="shared" si="8"/>
        <v/>
      </c>
      <c r="AU495" s="87" t="str">
        <f t="shared" si="9"/>
        <v/>
      </c>
      <c r="AV495" s="89" t="str">
        <f t="array" ref="AV495">IF(OR($A495="",$AB495="", $AC495=""),"",MAXA(IF($A495=$A$4:$A923,$AC$4:$AC923)))</f>
        <v/>
      </c>
    </row>
    <row r="496" ht="22.5" customHeight="1">
      <c r="A496" s="76"/>
      <c r="B496" s="68" t="str">
        <f t="shared" si="1"/>
        <v/>
      </c>
      <c r="C496" s="110"/>
      <c r="D496" s="70" t="str">
        <f t="shared" si="2"/>
        <v/>
      </c>
      <c r="E496" s="76"/>
      <c r="F496" s="68" t="str">
        <f t="array" ref="F496">IF($A496="","",IFERROR(INDEX(MA_INDIVIDUALES!C$2:C923, MATCH($A496,MA_INDIVIDUALES!$B$2:$B923,0),1),"CÓDIGO DE EXPEDIENTE INVÁLIDO"))</f>
        <v/>
      </c>
      <c r="G496" s="68" t="str">
        <f t="array" ref="G496">IF($A496="","",IFERROR(INDEX(MA_INDIVIDUALES!K$2:K923, MATCH($A496,MA_INDIVIDUALES!$B$2:$B923,0),1),"CÓDIGO DE EXPEDIENTE INVÁLIDO"))</f>
        <v/>
      </c>
      <c r="H496" s="68" t="str">
        <f t="array" ref="H496">IF($A496="","",IFERROR(INDEX(MA_INDIVIDUALES!L$2:L923, MATCH($A496,MA_INDIVIDUALES!$B$2:$B923,0),1),"CÓDIGO DE EXPEDIENTE INVÁLIDO"))</f>
        <v/>
      </c>
      <c r="I496" s="76"/>
      <c r="J496" s="76"/>
      <c r="K496" s="75"/>
      <c r="L496" s="74" t="str">
        <f>IF(A496="","",IF(K496="","",_xlfn.WORKDAY.INTL(K496,5,1,FERIADOS)))</f>
        <v/>
      </c>
      <c r="M496" s="76"/>
      <c r="N496" s="75"/>
      <c r="O496" s="76"/>
      <c r="P496" s="77" t="str">
        <f t="shared" si="3"/>
        <v/>
      </c>
      <c r="Q496" s="75"/>
      <c r="R496" s="76"/>
      <c r="S496" s="75"/>
      <c r="T496" s="75"/>
      <c r="U496" s="76"/>
      <c r="V496" s="76"/>
      <c r="W496" s="75"/>
      <c r="X496" s="76"/>
      <c r="Y496" s="29" t="str">
        <f t="shared" si="4"/>
        <v/>
      </c>
      <c r="Z496" s="29" t="str">
        <f t="shared" si="5"/>
        <v/>
      </c>
      <c r="AA496" s="76"/>
      <c r="AB496" s="76"/>
      <c r="AC496" s="75"/>
      <c r="AD496" s="75"/>
      <c r="AE496" s="78" t="str">
        <f>IF(U496="","",IF(AD496="","",_xlfn.WORKDAY.INTL(AD496,7,1,FERIADOS)))</f>
        <v/>
      </c>
      <c r="AF496" s="104"/>
      <c r="AG496" s="80" t="str">
        <f t="array" ref="AG496">IF(A496="","",IF(AF496="","",AF496*INDEX(PARAMETROS!F$2:F1559,MATCH(YEAR(AC496),PARAMETROS!E$2:E1559,0),1)))</f>
        <v/>
      </c>
      <c r="AH496" s="81"/>
      <c r="AI496" s="82"/>
      <c r="AJ496" s="81"/>
      <c r="AK496" s="81"/>
      <c r="AL496" s="76"/>
      <c r="AM496" s="75"/>
      <c r="AN496" s="76"/>
      <c r="AO496" s="95"/>
      <c r="AP496" s="96"/>
      <c r="AQ496" s="85" t="str">
        <f t="shared" si="6"/>
        <v/>
      </c>
      <c r="AR496" s="86" t="str">
        <f t="array" ref="AR496">IF(A496="","",IFERROR(INDEX('2) Etapas'!L$3:L923,MATCH(B496,'2) Etapas'!$A$4:$A923,0),1),-1))</f>
        <v/>
      </c>
      <c r="AS496" s="87" t="str">
        <f t="shared" si="7"/>
        <v/>
      </c>
      <c r="AT496" s="87" t="str">
        <f t="shared" si="8"/>
        <v/>
      </c>
      <c r="AU496" s="87" t="str">
        <f t="shared" si="9"/>
        <v/>
      </c>
      <c r="AV496" s="89" t="str">
        <f t="array" ref="AV496">IF(OR($A496="",$AB496="", $AC496=""),"",MAXA(IF($A496=$A$4:$A923,$AC$4:$AC923)))</f>
        <v/>
      </c>
    </row>
    <row r="497" ht="22.5" customHeight="1">
      <c r="A497" s="76"/>
      <c r="B497" s="68" t="str">
        <f t="shared" si="1"/>
        <v/>
      </c>
      <c r="C497" s="110"/>
      <c r="D497" s="70" t="str">
        <f t="shared" si="2"/>
        <v/>
      </c>
      <c r="E497" s="76"/>
      <c r="F497" s="68" t="str">
        <f t="array" ref="F497">IF($A497="","",IFERROR(INDEX(MA_INDIVIDUALES!C$2:C923, MATCH($A497,MA_INDIVIDUALES!$B$2:$B923,0),1),"CÓDIGO DE EXPEDIENTE INVÁLIDO"))</f>
        <v/>
      </c>
      <c r="G497" s="68" t="str">
        <f t="array" ref="G497">IF($A497="","",IFERROR(INDEX(MA_INDIVIDUALES!K$2:K923, MATCH($A497,MA_INDIVIDUALES!$B$2:$B923,0),1),"CÓDIGO DE EXPEDIENTE INVÁLIDO"))</f>
        <v/>
      </c>
      <c r="H497" s="68" t="str">
        <f t="array" ref="H497">IF($A497="","",IFERROR(INDEX(MA_INDIVIDUALES!L$2:L923, MATCH($A497,MA_INDIVIDUALES!$B$2:$B923,0),1),"CÓDIGO DE EXPEDIENTE INVÁLIDO"))</f>
        <v/>
      </c>
      <c r="I497" s="76"/>
      <c r="J497" s="76"/>
      <c r="K497" s="75"/>
      <c r="L497" s="74" t="str">
        <f>IF(A497="","",IF(K497="","",_xlfn.WORKDAY.INTL(K497,5,1,FERIADOS)))</f>
        <v/>
      </c>
      <c r="M497" s="76"/>
      <c r="N497" s="75"/>
      <c r="O497" s="76"/>
      <c r="P497" s="77" t="str">
        <f t="shared" si="3"/>
        <v/>
      </c>
      <c r="Q497" s="75"/>
      <c r="R497" s="76"/>
      <c r="S497" s="75"/>
      <c r="T497" s="75"/>
      <c r="U497" s="76"/>
      <c r="V497" s="76"/>
      <c r="W497" s="75"/>
      <c r="X497" s="76"/>
      <c r="Y497" s="29" t="str">
        <f t="shared" si="4"/>
        <v/>
      </c>
      <c r="Z497" s="29" t="str">
        <f t="shared" si="5"/>
        <v/>
      </c>
      <c r="AA497" s="76"/>
      <c r="AB497" s="76"/>
      <c r="AC497" s="75"/>
      <c r="AD497" s="75"/>
      <c r="AE497" s="78" t="str">
        <f>IF(U497="","",IF(AD497="","",_xlfn.WORKDAY.INTL(AD497,7,1,FERIADOS)))</f>
        <v/>
      </c>
      <c r="AF497" s="104"/>
      <c r="AG497" s="80" t="str">
        <f t="array" ref="AG497">IF(A497="","",IF(AF497="","",AF497*INDEX(PARAMETROS!F$2:F1560,MATCH(YEAR(AC497),PARAMETROS!E$2:E1560,0),1)))</f>
        <v/>
      </c>
      <c r="AH497" s="81"/>
      <c r="AI497" s="82"/>
      <c r="AJ497" s="81"/>
      <c r="AK497" s="81"/>
      <c r="AL497" s="76"/>
      <c r="AM497" s="75"/>
      <c r="AN497" s="76"/>
      <c r="AO497" s="95"/>
      <c r="AP497" s="96"/>
      <c r="AQ497" s="85" t="str">
        <f t="shared" si="6"/>
        <v/>
      </c>
      <c r="AR497" s="86" t="str">
        <f t="array" ref="AR497">IF(A497="","",IFERROR(INDEX('2) Etapas'!L$3:L923,MATCH(B497,'2) Etapas'!$A$4:$A923,0),1),-1))</f>
        <v/>
      </c>
      <c r="AS497" s="87" t="str">
        <f t="shared" si="7"/>
        <v/>
      </c>
      <c r="AT497" s="87" t="str">
        <f t="shared" si="8"/>
        <v/>
      </c>
      <c r="AU497" s="87" t="str">
        <f t="shared" si="9"/>
        <v/>
      </c>
      <c r="AV497" s="89" t="str">
        <f t="array" ref="AV497">IF(OR($A497="",$AB497="", $AC497=""),"",MAXA(IF($A497=$A$4:$A923,$AC$4:$AC923)))</f>
        <v/>
      </c>
    </row>
    <row r="498" ht="22.5" customHeight="1">
      <c r="A498" s="76"/>
      <c r="B498" s="68" t="str">
        <f t="shared" si="1"/>
        <v/>
      </c>
      <c r="C498" s="110"/>
      <c r="D498" s="70" t="str">
        <f t="shared" si="2"/>
        <v/>
      </c>
      <c r="E498" s="76"/>
      <c r="F498" s="68" t="str">
        <f t="array" ref="F498">IF($A498="","",IFERROR(INDEX(MA_INDIVIDUALES!C$2:C923, MATCH($A498,MA_INDIVIDUALES!$B$2:$B923,0),1),"CÓDIGO DE EXPEDIENTE INVÁLIDO"))</f>
        <v/>
      </c>
      <c r="G498" s="68" t="str">
        <f t="array" ref="G498">IF($A498="","",IFERROR(INDEX(MA_INDIVIDUALES!K$2:K923, MATCH($A498,MA_INDIVIDUALES!$B$2:$B923,0),1),"CÓDIGO DE EXPEDIENTE INVÁLIDO"))</f>
        <v/>
      </c>
      <c r="H498" s="68" t="str">
        <f t="array" ref="H498">IF($A498="","",IFERROR(INDEX(MA_INDIVIDUALES!L$2:L923, MATCH($A498,MA_INDIVIDUALES!$B$2:$B923,0),1),"CÓDIGO DE EXPEDIENTE INVÁLIDO"))</f>
        <v/>
      </c>
      <c r="I498" s="76"/>
      <c r="J498" s="76"/>
      <c r="K498" s="75"/>
      <c r="L498" s="74" t="str">
        <f>IF(A498="","",IF(K498="","",_xlfn.WORKDAY.INTL(K498,5,1,FERIADOS)))</f>
        <v/>
      </c>
      <c r="M498" s="76"/>
      <c r="N498" s="75"/>
      <c r="O498" s="76"/>
      <c r="P498" s="77" t="str">
        <f t="shared" si="3"/>
        <v/>
      </c>
      <c r="Q498" s="75"/>
      <c r="R498" s="76"/>
      <c r="S498" s="75"/>
      <c r="T498" s="75"/>
      <c r="U498" s="76"/>
      <c r="V498" s="76"/>
      <c r="W498" s="75"/>
      <c r="X498" s="76"/>
      <c r="Y498" s="29" t="str">
        <f t="shared" si="4"/>
        <v/>
      </c>
      <c r="Z498" s="29" t="str">
        <f t="shared" si="5"/>
        <v/>
      </c>
      <c r="AA498" s="76"/>
      <c r="AB498" s="76"/>
      <c r="AC498" s="75"/>
      <c r="AD498" s="75"/>
      <c r="AE498" s="78" t="str">
        <f>IF(U498="","",IF(AD498="","",_xlfn.WORKDAY.INTL(AD498,7,1,FERIADOS)))</f>
        <v/>
      </c>
      <c r="AF498" s="104"/>
      <c r="AG498" s="80" t="str">
        <f t="array" ref="AG498">IF(A498="","",IF(AF498="","",AF498*INDEX(PARAMETROS!F$2:F1561,MATCH(YEAR(AC498),PARAMETROS!E$2:E1561,0),1)))</f>
        <v/>
      </c>
      <c r="AH498" s="81"/>
      <c r="AI498" s="82"/>
      <c r="AJ498" s="81"/>
      <c r="AK498" s="81"/>
      <c r="AL498" s="76"/>
      <c r="AM498" s="75"/>
      <c r="AN498" s="76"/>
      <c r="AO498" s="95"/>
      <c r="AP498" s="96"/>
      <c r="AQ498" s="85" t="str">
        <f t="shared" si="6"/>
        <v/>
      </c>
      <c r="AR498" s="86" t="str">
        <f t="array" ref="AR498">IF(A498="","",IFERROR(INDEX('2) Etapas'!L$3:L923,MATCH(B498,'2) Etapas'!$A$4:$A923,0),1),-1))</f>
        <v/>
      </c>
      <c r="AS498" s="87" t="str">
        <f t="shared" si="7"/>
        <v/>
      </c>
      <c r="AT498" s="87" t="str">
        <f t="shared" si="8"/>
        <v/>
      </c>
      <c r="AU498" s="87" t="str">
        <f t="shared" si="9"/>
        <v/>
      </c>
      <c r="AV498" s="89" t="str">
        <f t="array" ref="AV498">IF(OR($A498="",$AB498="", $AC498=""),"",MAXA(IF($A498=$A$4:$A923,$AC$4:$AC923)))</f>
        <v/>
      </c>
    </row>
    <row r="499" ht="22.5" customHeight="1">
      <c r="A499" s="76"/>
      <c r="B499" s="68" t="str">
        <f t="shared" si="1"/>
        <v/>
      </c>
      <c r="C499" s="110"/>
      <c r="D499" s="70" t="str">
        <f t="shared" si="2"/>
        <v/>
      </c>
      <c r="E499" s="76"/>
      <c r="F499" s="68" t="str">
        <f t="array" ref="F499">IF($A499="","",IFERROR(INDEX(MA_INDIVIDUALES!C$2:C923, MATCH($A499,MA_INDIVIDUALES!$B$2:$B923,0),1),"CÓDIGO DE EXPEDIENTE INVÁLIDO"))</f>
        <v/>
      </c>
      <c r="G499" s="68" t="str">
        <f t="array" ref="G499">IF($A499="","",IFERROR(INDEX(MA_INDIVIDUALES!K$2:K923, MATCH($A499,MA_INDIVIDUALES!$B$2:$B923,0),1),"CÓDIGO DE EXPEDIENTE INVÁLIDO"))</f>
        <v/>
      </c>
      <c r="H499" s="68" t="str">
        <f t="array" ref="H499">IF($A499="","",IFERROR(INDEX(MA_INDIVIDUALES!L$2:L923, MATCH($A499,MA_INDIVIDUALES!$B$2:$B923,0),1),"CÓDIGO DE EXPEDIENTE INVÁLIDO"))</f>
        <v/>
      </c>
      <c r="I499" s="76"/>
      <c r="J499" s="76"/>
      <c r="K499" s="75"/>
      <c r="L499" s="74" t="str">
        <f>IF(A499="","",IF(K499="","",_xlfn.WORKDAY.INTL(K499,5,1,FERIADOS)))</f>
        <v/>
      </c>
      <c r="M499" s="76"/>
      <c r="N499" s="75"/>
      <c r="O499" s="76"/>
      <c r="P499" s="77" t="str">
        <f t="shared" si="3"/>
        <v/>
      </c>
      <c r="Q499" s="75"/>
      <c r="R499" s="76"/>
      <c r="S499" s="75"/>
      <c r="T499" s="75"/>
      <c r="U499" s="76"/>
      <c r="V499" s="76"/>
      <c r="W499" s="75"/>
      <c r="X499" s="76"/>
      <c r="Y499" s="29" t="str">
        <f t="shared" si="4"/>
        <v/>
      </c>
      <c r="Z499" s="29" t="str">
        <f t="shared" si="5"/>
        <v/>
      </c>
      <c r="AA499" s="76"/>
      <c r="AB499" s="76"/>
      <c r="AC499" s="75"/>
      <c r="AD499" s="75"/>
      <c r="AE499" s="78" t="str">
        <f>IF(U499="","",IF(AD499="","",_xlfn.WORKDAY.INTL(AD499,7,1,FERIADOS)))</f>
        <v/>
      </c>
      <c r="AF499" s="104"/>
      <c r="AG499" s="80" t="str">
        <f t="array" ref="AG499">IF(A499="","",IF(AF499="","",AF499*INDEX(PARAMETROS!F$2:F1562,MATCH(YEAR(AC499),PARAMETROS!E$2:E1562,0),1)))</f>
        <v/>
      </c>
      <c r="AH499" s="81"/>
      <c r="AI499" s="82"/>
      <c r="AJ499" s="81"/>
      <c r="AK499" s="81"/>
      <c r="AL499" s="76"/>
      <c r="AM499" s="75"/>
      <c r="AN499" s="76"/>
      <c r="AO499" s="95"/>
      <c r="AP499" s="96"/>
      <c r="AQ499" s="85" t="str">
        <f t="shared" si="6"/>
        <v/>
      </c>
      <c r="AR499" s="86" t="str">
        <f t="array" ref="AR499">IF(A499="","",IFERROR(INDEX('2) Etapas'!L$3:L923,MATCH(B499,'2) Etapas'!$A$4:$A923,0),1),-1))</f>
        <v/>
      </c>
      <c r="AS499" s="87" t="str">
        <f t="shared" si="7"/>
        <v/>
      </c>
      <c r="AT499" s="87" t="str">
        <f t="shared" si="8"/>
        <v/>
      </c>
      <c r="AU499" s="87" t="str">
        <f t="shared" si="9"/>
        <v/>
      </c>
      <c r="AV499" s="89" t="str">
        <f t="array" ref="AV499">IF(OR($A499="",$AB499="", $AC499=""),"",MAXA(IF($A499=$A$4:$A923,$AC$4:$AC923)))</f>
        <v/>
      </c>
    </row>
    <row r="500" ht="22.5" customHeight="1">
      <c r="A500" s="76"/>
      <c r="B500" s="68" t="str">
        <f t="shared" si="1"/>
        <v/>
      </c>
      <c r="C500" s="110"/>
      <c r="D500" s="70" t="str">
        <f t="shared" si="2"/>
        <v/>
      </c>
      <c r="E500" s="76"/>
      <c r="F500" s="68" t="str">
        <f t="array" ref="F500">IF($A500="","",IFERROR(INDEX(MA_INDIVIDUALES!C$2:C923, MATCH($A500,MA_INDIVIDUALES!$B$2:$B923,0),1),"CÓDIGO DE EXPEDIENTE INVÁLIDO"))</f>
        <v/>
      </c>
      <c r="G500" s="68" t="str">
        <f t="array" ref="G500">IF($A500="","",IFERROR(INDEX(MA_INDIVIDUALES!K$2:K923, MATCH($A500,MA_INDIVIDUALES!$B$2:$B923,0),1),"CÓDIGO DE EXPEDIENTE INVÁLIDO"))</f>
        <v/>
      </c>
      <c r="H500" s="68" t="str">
        <f t="array" ref="H500">IF($A500="","",IFERROR(INDEX(MA_INDIVIDUALES!L$2:L923, MATCH($A500,MA_INDIVIDUALES!$B$2:$B923,0),1),"CÓDIGO DE EXPEDIENTE INVÁLIDO"))</f>
        <v/>
      </c>
      <c r="I500" s="76"/>
      <c r="J500" s="76"/>
      <c r="K500" s="75"/>
      <c r="L500" s="74" t="str">
        <f>IF(A500="","",IF(K500="","",_xlfn.WORKDAY.INTL(K500,5,1,FERIADOS)))</f>
        <v/>
      </c>
      <c r="M500" s="76"/>
      <c r="N500" s="75"/>
      <c r="O500" s="76"/>
      <c r="P500" s="77" t="str">
        <f t="shared" si="3"/>
        <v/>
      </c>
      <c r="Q500" s="75"/>
      <c r="R500" s="76"/>
      <c r="S500" s="75"/>
      <c r="T500" s="75"/>
      <c r="U500" s="76"/>
      <c r="V500" s="76"/>
      <c r="W500" s="75"/>
      <c r="X500" s="76"/>
      <c r="Y500" s="29" t="str">
        <f t="shared" si="4"/>
        <v/>
      </c>
      <c r="Z500" s="29" t="str">
        <f t="shared" si="5"/>
        <v/>
      </c>
      <c r="AA500" s="76"/>
      <c r="AB500" s="76"/>
      <c r="AC500" s="75"/>
      <c r="AD500" s="75"/>
      <c r="AE500" s="78" t="str">
        <f>IF(U500="","",IF(AD500="","",_xlfn.WORKDAY.INTL(AD500,7,1,FERIADOS)))</f>
        <v/>
      </c>
      <c r="AF500" s="104"/>
      <c r="AG500" s="80" t="str">
        <f t="array" ref="AG500">IF(A500="","",IF(AF500="","",AF500*INDEX(PARAMETROS!F$2:F1563,MATCH(YEAR(AC500),PARAMETROS!E$2:E1563,0),1)))</f>
        <v/>
      </c>
      <c r="AH500" s="81"/>
      <c r="AI500" s="82"/>
      <c r="AJ500" s="81"/>
      <c r="AK500" s="81"/>
      <c r="AL500" s="76"/>
      <c r="AM500" s="75"/>
      <c r="AN500" s="76"/>
      <c r="AO500" s="95"/>
      <c r="AP500" s="96"/>
      <c r="AQ500" s="85" t="str">
        <f t="shared" si="6"/>
        <v/>
      </c>
      <c r="AR500" s="86" t="str">
        <f t="array" ref="AR500">IF(A500="","",IFERROR(INDEX('2) Etapas'!L$3:L923,MATCH(B500,'2) Etapas'!$A$4:$A923,0),1),-1))</f>
        <v/>
      </c>
      <c r="AS500" s="87" t="str">
        <f t="shared" si="7"/>
        <v/>
      </c>
      <c r="AT500" s="87" t="str">
        <f t="shared" si="8"/>
        <v/>
      </c>
      <c r="AU500" s="87" t="str">
        <f t="shared" si="9"/>
        <v/>
      </c>
      <c r="AV500" s="89" t="str">
        <f t="array" ref="AV500">IF(OR($A500="",$AB500="", $AC500=""),"",MAXA(IF($A500=$A$4:$A923,$AC$4:$AC923)))</f>
        <v/>
      </c>
    </row>
    <row r="501" ht="22.5" customHeight="1">
      <c r="A501" s="76"/>
      <c r="B501" s="68" t="str">
        <f t="shared" si="1"/>
        <v/>
      </c>
      <c r="C501" s="110"/>
      <c r="D501" s="70" t="str">
        <f t="shared" si="2"/>
        <v/>
      </c>
      <c r="E501" s="76"/>
      <c r="F501" s="68" t="str">
        <f t="array" ref="F501">IF($A501="","",IFERROR(INDEX(MA_INDIVIDUALES!C$2:C923, MATCH($A501,MA_INDIVIDUALES!$B$2:$B923,0),1),"CÓDIGO DE EXPEDIENTE INVÁLIDO"))</f>
        <v/>
      </c>
      <c r="G501" s="68" t="str">
        <f t="array" ref="G501">IF($A501="","",IFERROR(INDEX(MA_INDIVIDUALES!K$2:K923, MATCH($A501,MA_INDIVIDUALES!$B$2:$B923,0),1),"CÓDIGO DE EXPEDIENTE INVÁLIDO"))</f>
        <v/>
      </c>
      <c r="H501" s="68" t="str">
        <f t="array" ref="H501">IF($A501="","",IFERROR(INDEX(MA_INDIVIDUALES!L$2:L923, MATCH($A501,MA_INDIVIDUALES!$B$2:$B923,0),1),"CÓDIGO DE EXPEDIENTE INVÁLIDO"))</f>
        <v/>
      </c>
      <c r="I501" s="76"/>
      <c r="J501" s="76"/>
      <c r="K501" s="75"/>
      <c r="L501" s="74" t="str">
        <f>IF(A501="","",IF(K501="","",_xlfn.WORKDAY.INTL(K501,5,1,FERIADOS)))</f>
        <v/>
      </c>
      <c r="M501" s="76"/>
      <c r="N501" s="75"/>
      <c r="O501" s="76"/>
      <c r="P501" s="77" t="str">
        <f t="shared" si="3"/>
        <v/>
      </c>
      <c r="Q501" s="75"/>
      <c r="R501" s="76"/>
      <c r="S501" s="75"/>
      <c r="T501" s="75"/>
      <c r="U501" s="76"/>
      <c r="V501" s="76"/>
      <c r="W501" s="75"/>
      <c r="X501" s="76"/>
      <c r="Y501" s="29" t="str">
        <f t="shared" si="4"/>
        <v/>
      </c>
      <c r="Z501" s="29" t="str">
        <f t="shared" si="5"/>
        <v/>
      </c>
      <c r="AA501" s="76"/>
      <c r="AB501" s="76"/>
      <c r="AC501" s="75"/>
      <c r="AD501" s="75"/>
      <c r="AE501" s="78" t="str">
        <f>IF(U501="","",IF(AD501="","",_xlfn.WORKDAY.INTL(AD501,7,1,FERIADOS)))</f>
        <v/>
      </c>
      <c r="AF501" s="104"/>
      <c r="AG501" s="80" t="str">
        <f t="array" ref="AG501">IF(A501="","",IF(AF501="","",AF501*INDEX(PARAMETROS!F$2:F1564,MATCH(YEAR(AC501),PARAMETROS!E$2:E1564,0),1)))</f>
        <v/>
      </c>
      <c r="AH501" s="81"/>
      <c r="AI501" s="82"/>
      <c r="AJ501" s="81"/>
      <c r="AK501" s="81"/>
      <c r="AL501" s="76"/>
      <c r="AM501" s="75"/>
      <c r="AN501" s="76"/>
      <c r="AO501" s="95"/>
      <c r="AP501" s="96"/>
      <c r="AQ501" s="85" t="str">
        <f t="shared" si="6"/>
        <v/>
      </c>
      <c r="AR501" s="86" t="str">
        <f t="array" ref="AR501">IF(A501="","",IFERROR(INDEX('2) Etapas'!L$3:L923,MATCH(B501,'2) Etapas'!$A$4:$A923,0),1),-1))</f>
        <v/>
      </c>
      <c r="AS501" s="87" t="str">
        <f t="shared" si="7"/>
        <v/>
      </c>
      <c r="AT501" s="87" t="str">
        <f t="shared" si="8"/>
        <v/>
      </c>
      <c r="AU501" s="87" t="str">
        <f t="shared" si="9"/>
        <v/>
      </c>
      <c r="AV501" s="89" t="str">
        <f t="array" ref="AV501">IF(OR($A501="",$AB501="", $AC501=""),"",MAXA(IF($A501=$A$4:$A923,$AC$4:$AC923)))</f>
        <v/>
      </c>
    </row>
    <row r="502" ht="22.5" customHeight="1">
      <c r="A502" s="76"/>
      <c r="B502" s="68" t="str">
        <f t="shared" si="1"/>
        <v/>
      </c>
      <c r="C502" s="110"/>
      <c r="D502" s="70" t="str">
        <f t="shared" si="2"/>
        <v/>
      </c>
      <c r="E502" s="76"/>
      <c r="F502" s="68" t="str">
        <f t="array" ref="F502">IF($A502="","",IFERROR(INDEX(MA_INDIVIDUALES!C$2:C923, MATCH($A502,MA_INDIVIDUALES!$B$2:$B923,0),1),"CÓDIGO DE EXPEDIENTE INVÁLIDO"))</f>
        <v/>
      </c>
      <c r="G502" s="68" t="str">
        <f t="array" ref="G502">IF($A502="","",IFERROR(INDEX(MA_INDIVIDUALES!K$2:K923, MATCH($A502,MA_INDIVIDUALES!$B$2:$B923,0),1),"CÓDIGO DE EXPEDIENTE INVÁLIDO"))</f>
        <v/>
      </c>
      <c r="H502" s="68" t="str">
        <f t="array" ref="H502">IF($A502="","",IFERROR(INDEX(MA_INDIVIDUALES!L$2:L923, MATCH($A502,MA_INDIVIDUALES!$B$2:$B923,0),1),"CÓDIGO DE EXPEDIENTE INVÁLIDO"))</f>
        <v/>
      </c>
      <c r="I502" s="76"/>
      <c r="J502" s="76"/>
      <c r="K502" s="75"/>
      <c r="L502" s="74" t="str">
        <f>IF(A502="","",IF(K502="","",_xlfn.WORKDAY.INTL(K502,5,1,FERIADOS)))</f>
        <v/>
      </c>
      <c r="M502" s="76"/>
      <c r="N502" s="75"/>
      <c r="O502" s="76"/>
      <c r="P502" s="77" t="str">
        <f t="shared" si="3"/>
        <v/>
      </c>
      <c r="Q502" s="75"/>
      <c r="R502" s="76"/>
      <c r="S502" s="75"/>
      <c r="T502" s="75"/>
      <c r="U502" s="76"/>
      <c r="V502" s="76"/>
      <c r="W502" s="75"/>
      <c r="X502" s="76"/>
      <c r="Y502" s="29" t="str">
        <f t="shared" si="4"/>
        <v/>
      </c>
      <c r="Z502" s="29" t="str">
        <f t="shared" si="5"/>
        <v/>
      </c>
      <c r="AA502" s="76"/>
      <c r="AB502" s="76"/>
      <c r="AC502" s="75"/>
      <c r="AD502" s="75"/>
      <c r="AE502" s="78" t="str">
        <f>IF(U502="","",IF(AD502="","",_xlfn.WORKDAY.INTL(AD502,7,1,FERIADOS)))</f>
        <v/>
      </c>
      <c r="AF502" s="104"/>
      <c r="AG502" s="80" t="str">
        <f t="array" ref="AG502">IF(A502="","",IF(AF502="","",AF502*INDEX(PARAMETROS!F$2:F1565,MATCH(YEAR(AC502),PARAMETROS!E$2:E1565,0),1)))</f>
        <v/>
      </c>
      <c r="AH502" s="81"/>
      <c r="AI502" s="82"/>
      <c r="AJ502" s="81"/>
      <c r="AK502" s="81"/>
      <c r="AL502" s="76"/>
      <c r="AM502" s="75"/>
      <c r="AN502" s="76"/>
      <c r="AO502" s="95"/>
      <c r="AP502" s="96"/>
      <c r="AQ502" s="85" t="str">
        <f t="shared" si="6"/>
        <v/>
      </c>
      <c r="AR502" s="86" t="str">
        <f t="array" ref="AR502">IF(A502="","",IFERROR(INDEX('2) Etapas'!L$3:L923,MATCH(B502,'2) Etapas'!$A$4:$A923,0),1),-1))</f>
        <v/>
      </c>
      <c r="AS502" s="87" t="str">
        <f t="shared" si="7"/>
        <v/>
      </c>
      <c r="AT502" s="87" t="str">
        <f t="shared" si="8"/>
        <v/>
      </c>
      <c r="AU502" s="87" t="str">
        <f t="shared" si="9"/>
        <v/>
      </c>
      <c r="AV502" s="89" t="str">
        <f t="array" ref="AV502">IF(OR($A502="",$AB502="", $AC502=""),"",MAXA(IF($A502=$A$4:$A923,$AC$4:$AC923)))</f>
        <v/>
      </c>
    </row>
    <row r="503" ht="22.5" customHeight="1">
      <c r="A503" s="76"/>
      <c r="B503" s="68" t="str">
        <f t="shared" si="1"/>
        <v/>
      </c>
      <c r="C503" s="110"/>
      <c r="D503" s="70" t="str">
        <f t="shared" si="2"/>
        <v/>
      </c>
      <c r="E503" s="76"/>
      <c r="F503" s="68" t="str">
        <f t="array" ref="F503">IF($A503="","",IFERROR(INDEX(MA_INDIVIDUALES!C$2:C923, MATCH($A503,MA_INDIVIDUALES!$B$2:$B923,0),1),"CÓDIGO DE EXPEDIENTE INVÁLIDO"))</f>
        <v/>
      </c>
      <c r="G503" s="68" t="str">
        <f t="array" ref="G503">IF($A503="","",IFERROR(INDEX(MA_INDIVIDUALES!K$2:K923, MATCH($A503,MA_INDIVIDUALES!$B$2:$B923,0),1),"CÓDIGO DE EXPEDIENTE INVÁLIDO"))</f>
        <v/>
      </c>
      <c r="H503" s="68" t="str">
        <f t="array" ref="H503">IF($A503="","",IFERROR(INDEX(MA_INDIVIDUALES!L$2:L923, MATCH($A503,MA_INDIVIDUALES!$B$2:$B923,0),1),"CÓDIGO DE EXPEDIENTE INVÁLIDO"))</f>
        <v/>
      </c>
      <c r="I503" s="76"/>
      <c r="J503" s="76"/>
      <c r="K503" s="75"/>
      <c r="L503" s="74" t="str">
        <f>IF(A503="","",IF(K503="","",_xlfn.WORKDAY.INTL(K503,5,1,FERIADOS)))</f>
        <v/>
      </c>
      <c r="M503" s="76"/>
      <c r="N503" s="75"/>
      <c r="O503" s="76"/>
      <c r="P503" s="77" t="str">
        <f t="shared" si="3"/>
        <v/>
      </c>
      <c r="Q503" s="75"/>
      <c r="R503" s="76"/>
      <c r="S503" s="75"/>
      <c r="T503" s="75"/>
      <c r="U503" s="76"/>
      <c r="V503" s="76"/>
      <c r="W503" s="75"/>
      <c r="X503" s="76"/>
      <c r="Y503" s="29" t="str">
        <f t="shared" si="4"/>
        <v/>
      </c>
      <c r="Z503" s="29" t="str">
        <f t="shared" si="5"/>
        <v/>
      </c>
      <c r="AA503" s="76"/>
      <c r="AB503" s="76"/>
      <c r="AC503" s="75"/>
      <c r="AD503" s="75"/>
      <c r="AE503" s="78" t="str">
        <f>IF(U503="","",IF(AD503="","",_xlfn.WORKDAY.INTL(AD503,7,1,FERIADOS)))</f>
        <v/>
      </c>
      <c r="AF503" s="104"/>
      <c r="AG503" s="80" t="str">
        <f t="array" ref="AG503">IF(A503="","",IF(AF503="","",AF503*INDEX(PARAMETROS!F$2:F1566,MATCH(YEAR(AC503),PARAMETROS!E$2:E1566,0),1)))</f>
        <v/>
      </c>
      <c r="AH503" s="81"/>
      <c r="AI503" s="82"/>
      <c r="AJ503" s="81"/>
      <c r="AK503" s="81"/>
      <c r="AL503" s="76"/>
      <c r="AM503" s="75"/>
      <c r="AN503" s="76"/>
      <c r="AO503" s="95"/>
      <c r="AP503" s="96"/>
      <c r="AQ503" s="85" t="str">
        <f t="shared" si="6"/>
        <v/>
      </c>
      <c r="AR503" s="86" t="str">
        <f t="array" ref="AR503">IF(A503="","",IFERROR(INDEX('2) Etapas'!L$3:L923,MATCH(B503,'2) Etapas'!$A$4:$A923,0),1),-1))</f>
        <v/>
      </c>
      <c r="AS503" s="87" t="str">
        <f t="shared" si="7"/>
        <v/>
      </c>
      <c r="AT503" s="87" t="str">
        <f t="shared" si="8"/>
        <v/>
      </c>
      <c r="AU503" s="87" t="str">
        <f t="shared" si="9"/>
        <v/>
      </c>
      <c r="AV503" s="89" t="str">
        <f t="array" ref="AV503">IF(OR($A503="",$AB503="", $AC503=""),"",MAXA(IF($A503=$A$4:$A923,$AC$4:$AC923)))</f>
        <v/>
      </c>
    </row>
    <row r="504" ht="22.5" customHeight="1">
      <c r="A504" s="76"/>
      <c r="B504" s="68" t="str">
        <f t="shared" si="1"/>
        <v/>
      </c>
      <c r="C504" s="110"/>
      <c r="D504" s="70" t="str">
        <f t="shared" si="2"/>
        <v/>
      </c>
      <c r="E504" s="76"/>
      <c r="F504" s="68" t="str">
        <f t="array" ref="F504">IF($A504="","",IFERROR(INDEX(MA_INDIVIDUALES!C$2:C923, MATCH($A504,MA_INDIVIDUALES!$B$2:$B923,0),1),"CÓDIGO DE EXPEDIENTE INVÁLIDO"))</f>
        <v/>
      </c>
      <c r="G504" s="68" t="str">
        <f t="array" ref="G504">IF($A504="","",IFERROR(INDEX(MA_INDIVIDUALES!K$2:K923, MATCH($A504,MA_INDIVIDUALES!$B$2:$B923,0),1),"CÓDIGO DE EXPEDIENTE INVÁLIDO"))</f>
        <v/>
      </c>
      <c r="H504" s="68" t="str">
        <f t="array" ref="H504">IF($A504="","",IFERROR(INDEX(MA_INDIVIDUALES!L$2:L923, MATCH($A504,MA_INDIVIDUALES!$B$2:$B923,0),1),"CÓDIGO DE EXPEDIENTE INVÁLIDO"))</f>
        <v/>
      </c>
      <c r="I504" s="76"/>
      <c r="J504" s="76"/>
      <c r="K504" s="75"/>
      <c r="L504" s="74" t="str">
        <f>IF(A504="","",IF(K504="","",_xlfn.WORKDAY.INTL(K504,5,1,FERIADOS)))</f>
        <v/>
      </c>
      <c r="M504" s="76"/>
      <c r="N504" s="75"/>
      <c r="O504" s="76"/>
      <c r="P504" s="77" t="str">
        <f t="shared" si="3"/>
        <v/>
      </c>
      <c r="Q504" s="75"/>
      <c r="R504" s="76"/>
      <c r="S504" s="75"/>
      <c r="T504" s="75"/>
      <c r="U504" s="76"/>
      <c r="V504" s="76"/>
      <c r="W504" s="75"/>
      <c r="X504" s="76"/>
      <c r="Y504" s="29" t="str">
        <f t="shared" si="4"/>
        <v/>
      </c>
      <c r="Z504" s="29" t="str">
        <f t="shared" si="5"/>
        <v/>
      </c>
      <c r="AA504" s="76"/>
      <c r="AB504" s="76"/>
      <c r="AC504" s="75"/>
      <c r="AD504" s="75"/>
      <c r="AE504" s="78" t="str">
        <f>IF(U504="","",IF(AD504="","",_xlfn.WORKDAY.INTL(AD504,7,1,FERIADOS)))</f>
        <v/>
      </c>
      <c r="AF504" s="104"/>
      <c r="AG504" s="80" t="str">
        <f t="array" ref="AG504">IF(A504="","",IF(AF504="","",AF504*INDEX(PARAMETROS!F$2:F1567,MATCH(YEAR(AC504),PARAMETROS!E$2:E1567,0),1)))</f>
        <v/>
      </c>
      <c r="AH504" s="81"/>
      <c r="AI504" s="82"/>
      <c r="AJ504" s="81"/>
      <c r="AK504" s="81"/>
      <c r="AL504" s="76"/>
      <c r="AM504" s="75"/>
      <c r="AN504" s="76"/>
      <c r="AO504" s="95"/>
      <c r="AP504" s="96"/>
      <c r="AQ504" s="85" t="str">
        <f t="shared" si="6"/>
        <v/>
      </c>
      <c r="AR504" s="86" t="str">
        <f t="array" ref="AR504">IF(A504="","",IFERROR(INDEX('2) Etapas'!L$3:L923,MATCH(B504,'2) Etapas'!$A$4:$A923,0),1),-1))</f>
        <v/>
      </c>
      <c r="AS504" s="87" t="str">
        <f t="shared" si="7"/>
        <v/>
      </c>
      <c r="AT504" s="87" t="str">
        <f t="shared" si="8"/>
        <v/>
      </c>
      <c r="AU504" s="87" t="str">
        <f t="shared" si="9"/>
        <v/>
      </c>
      <c r="AV504" s="89" t="str">
        <f t="array" ref="AV504">IF(OR($A504="",$AB504="", $AC504=""),"",MAXA(IF($A504=$A$4:$A923,$AC$4:$AC923)))</f>
        <v/>
      </c>
    </row>
    <row r="505" ht="22.5" customHeight="1">
      <c r="A505" s="76"/>
      <c r="B505" s="68" t="str">
        <f t="shared" si="1"/>
        <v/>
      </c>
      <c r="C505" s="110"/>
      <c r="D505" s="70" t="str">
        <f t="shared" si="2"/>
        <v/>
      </c>
      <c r="E505" s="76"/>
      <c r="F505" s="68" t="str">
        <f t="array" ref="F505">IF($A505="","",IFERROR(INDEX(MA_INDIVIDUALES!C$2:C923, MATCH($A505,MA_INDIVIDUALES!$B$2:$B923,0),1),"CÓDIGO DE EXPEDIENTE INVÁLIDO"))</f>
        <v/>
      </c>
      <c r="G505" s="68" t="str">
        <f t="array" ref="G505">IF($A505="","",IFERROR(INDEX(MA_INDIVIDUALES!K$2:K923, MATCH($A505,MA_INDIVIDUALES!$B$2:$B923,0),1),"CÓDIGO DE EXPEDIENTE INVÁLIDO"))</f>
        <v/>
      </c>
      <c r="H505" s="68" t="str">
        <f t="array" ref="H505">IF($A505="","",IFERROR(INDEX(MA_INDIVIDUALES!L$2:L923, MATCH($A505,MA_INDIVIDUALES!$B$2:$B923,0),1),"CÓDIGO DE EXPEDIENTE INVÁLIDO"))</f>
        <v/>
      </c>
      <c r="I505" s="76"/>
      <c r="J505" s="76"/>
      <c r="K505" s="75"/>
      <c r="L505" s="74" t="str">
        <f>IF(A505="","",IF(K505="","",_xlfn.WORKDAY.INTL(K505,5,1,FERIADOS)))</f>
        <v/>
      </c>
      <c r="M505" s="76"/>
      <c r="N505" s="75"/>
      <c r="O505" s="76"/>
      <c r="P505" s="77" t="str">
        <f t="shared" si="3"/>
        <v/>
      </c>
      <c r="Q505" s="75"/>
      <c r="R505" s="76"/>
      <c r="S505" s="75"/>
      <c r="T505" s="75"/>
      <c r="U505" s="76"/>
      <c r="V505" s="76"/>
      <c r="W505" s="75"/>
      <c r="X505" s="76"/>
      <c r="Y505" s="29" t="str">
        <f t="shared" si="4"/>
        <v/>
      </c>
      <c r="Z505" s="29" t="str">
        <f t="shared" si="5"/>
        <v/>
      </c>
      <c r="AA505" s="76"/>
      <c r="AB505" s="76"/>
      <c r="AC505" s="75"/>
      <c r="AD505" s="75"/>
      <c r="AE505" s="78" t="str">
        <f>IF(U505="","",IF(AD505="","",_xlfn.WORKDAY.INTL(AD505,7,1,FERIADOS)))</f>
        <v/>
      </c>
      <c r="AF505" s="104"/>
      <c r="AG505" s="80" t="str">
        <f t="array" ref="AG505">IF(A505="","",IF(AF505="","",AF505*INDEX(PARAMETROS!F$2:F1568,MATCH(YEAR(AC505),PARAMETROS!E$2:E1568,0),1)))</f>
        <v/>
      </c>
      <c r="AH505" s="81"/>
      <c r="AI505" s="82"/>
      <c r="AJ505" s="81"/>
      <c r="AK505" s="81"/>
      <c r="AL505" s="76"/>
      <c r="AM505" s="75"/>
      <c r="AN505" s="76"/>
      <c r="AO505" s="95"/>
      <c r="AP505" s="96"/>
      <c r="AQ505" s="85" t="str">
        <f t="shared" si="6"/>
        <v/>
      </c>
      <c r="AR505" s="86" t="str">
        <f t="array" ref="AR505">IF(A505="","",IFERROR(INDEX('2) Etapas'!L$3:L923,MATCH(B505,'2) Etapas'!$A$4:$A923,0),1),-1))</f>
        <v/>
      </c>
      <c r="AS505" s="87" t="str">
        <f t="shared" si="7"/>
        <v/>
      </c>
      <c r="AT505" s="87" t="str">
        <f t="shared" si="8"/>
        <v/>
      </c>
      <c r="AU505" s="87" t="str">
        <f t="shared" si="9"/>
        <v/>
      </c>
      <c r="AV505" s="89" t="str">
        <f t="array" ref="AV505">IF(OR($A505="",$AB505="", $AC505=""),"",MAXA(IF($A505=$A$4:$A923,$AC$4:$AC923)))</f>
        <v/>
      </c>
    </row>
    <row r="506" ht="22.5" customHeight="1">
      <c r="A506" s="76"/>
      <c r="B506" s="68" t="str">
        <f t="shared" si="1"/>
        <v/>
      </c>
      <c r="C506" s="110"/>
      <c r="D506" s="70" t="str">
        <f t="shared" si="2"/>
        <v/>
      </c>
      <c r="E506" s="76"/>
      <c r="F506" s="68" t="str">
        <f t="array" ref="F506">IF($A506="","",IFERROR(INDEX(MA_INDIVIDUALES!C$2:C923, MATCH($A506,MA_INDIVIDUALES!$B$2:$B923,0),1),"CÓDIGO DE EXPEDIENTE INVÁLIDO"))</f>
        <v/>
      </c>
      <c r="G506" s="68" t="str">
        <f t="array" ref="G506">IF($A506="","",IFERROR(INDEX(MA_INDIVIDUALES!K$2:K923, MATCH($A506,MA_INDIVIDUALES!$B$2:$B923,0),1),"CÓDIGO DE EXPEDIENTE INVÁLIDO"))</f>
        <v/>
      </c>
      <c r="H506" s="68" t="str">
        <f t="array" ref="H506">IF($A506="","",IFERROR(INDEX(MA_INDIVIDUALES!L$2:L923, MATCH($A506,MA_INDIVIDUALES!$B$2:$B923,0),1),"CÓDIGO DE EXPEDIENTE INVÁLIDO"))</f>
        <v/>
      </c>
      <c r="I506" s="76"/>
      <c r="J506" s="76"/>
      <c r="K506" s="75"/>
      <c r="L506" s="74" t="str">
        <f>IF(A506="","",IF(K506="","",_xlfn.WORKDAY.INTL(K506,5,1,FERIADOS)))</f>
        <v/>
      </c>
      <c r="M506" s="76"/>
      <c r="N506" s="75"/>
      <c r="O506" s="76"/>
      <c r="P506" s="77" t="str">
        <f t="shared" si="3"/>
        <v/>
      </c>
      <c r="Q506" s="75"/>
      <c r="R506" s="76"/>
      <c r="S506" s="75"/>
      <c r="T506" s="75"/>
      <c r="U506" s="76"/>
      <c r="V506" s="76"/>
      <c r="W506" s="75"/>
      <c r="X506" s="76"/>
      <c r="Y506" s="29" t="str">
        <f t="shared" si="4"/>
        <v/>
      </c>
      <c r="Z506" s="29" t="str">
        <f t="shared" si="5"/>
        <v/>
      </c>
      <c r="AA506" s="76"/>
      <c r="AB506" s="76"/>
      <c r="AC506" s="75"/>
      <c r="AD506" s="75"/>
      <c r="AE506" s="78" t="str">
        <f>IF(U506="","",IF(AD506="","",_xlfn.WORKDAY.INTL(AD506,7,1,FERIADOS)))</f>
        <v/>
      </c>
      <c r="AF506" s="104"/>
      <c r="AG506" s="80" t="str">
        <f t="array" ref="AG506">IF(A506="","",IF(AF506="","",AF506*INDEX(PARAMETROS!F$2:F1569,MATCH(YEAR(AC506),PARAMETROS!E$2:E1569,0),1)))</f>
        <v/>
      </c>
      <c r="AH506" s="81"/>
      <c r="AI506" s="82"/>
      <c r="AJ506" s="81"/>
      <c r="AK506" s="81"/>
      <c r="AL506" s="76"/>
      <c r="AM506" s="75"/>
      <c r="AN506" s="76"/>
      <c r="AO506" s="95"/>
      <c r="AP506" s="96"/>
      <c r="AQ506" s="85" t="str">
        <f t="shared" si="6"/>
        <v/>
      </c>
      <c r="AR506" s="86" t="str">
        <f t="array" ref="AR506">IF(A506="","",IFERROR(INDEX('2) Etapas'!L$3:L923,MATCH(B506,'2) Etapas'!$A$4:$A923,0),1),-1))</f>
        <v/>
      </c>
      <c r="AS506" s="87" t="str">
        <f t="shared" si="7"/>
        <v/>
      </c>
      <c r="AT506" s="87" t="str">
        <f t="shared" si="8"/>
        <v/>
      </c>
      <c r="AU506" s="87" t="str">
        <f t="shared" si="9"/>
        <v/>
      </c>
      <c r="AV506" s="89" t="str">
        <f t="array" ref="AV506">IF(OR($A506="",$AB506="", $AC506=""),"",MAXA(IF($A506=$A$4:$A923,$AC$4:$AC923)))</f>
        <v/>
      </c>
    </row>
    <row r="507" ht="22.5" customHeight="1">
      <c r="A507" s="76"/>
      <c r="B507" s="68" t="str">
        <f t="shared" si="1"/>
        <v/>
      </c>
      <c r="C507" s="110"/>
      <c r="D507" s="70" t="str">
        <f t="shared" si="2"/>
        <v/>
      </c>
      <c r="E507" s="76"/>
      <c r="F507" s="68" t="str">
        <f t="array" ref="F507">IF($A507="","",IFERROR(INDEX(MA_INDIVIDUALES!C$2:C923, MATCH($A507,MA_INDIVIDUALES!$B$2:$B923,0),1),"CÓDIGO DE EXPEDIENTE INVÁLIDO"))</f>
        <v/>
      </c>
      <c r="G507" s="68" t="str">
        <f t="array" ref="G507">IF($A507="","",IFERROR(INDEX(MA_INDIVIDUALES!K$2:K923, MATCH($A507,MA_INDIVIDUALES!$B$2:$B923,0),1),"CÓDIGO DE EXPEDIENTE INVÁLIDO"))</f>
        <v/>
      </c>
      <c r="H507" s="68" t="str">
        <f t="array" ref="H507">IF($A507="","",IFERROR(INDEX(MA_INDIVIDUALES!L$2:L923, MATCH($A507,MA_INDIVIDUALES!$B$2:$B923,0),1),"CÓDIGO DE EXPEDIENTE INVÁLIDO"))</f>
        <v/>
      </c>
      <c r="I507" s="76"/>
      <c r="J507" s="76"/>
      <c r="K507" s="75"/>
      <c r="L507" s="74" t="str">
        <f>IF(A507="","",IF(K507="","",_xlfn.WORKDAY.INTL(K507,5,1,FERIADOS)))</f>
        <v/>
      </c>
      <c r="M507" s="76"/>
      <c r="N507" s="75"/>
      <c r="O507" s="76"/>
      <c r="P507" s="77" t="str">
        <f t="shared" si="3"/>
        <v/>
      </c>
      <c r="Q507" s="75"/>
      <c r="R507" s="76"/>
      <c r="S507" s="75"/>
      <c r="T507" s="75"/>
      <c r="U507" s="76"/>
      <c r="V507" s="76"/>
      <c r="W507" s="75"/>
      <c r="X507" s="76"/>
      <c r="Y507" s="29" t="str">
        <f t="shared" si="4"/>
        <v/>
      </c>
      <c r="Z507" s="29" t="str">
        <f t="shared" si="5"/>
        <v/>
      </c>
      <c r="AA507" s="76"/>
      <c r="AB507" s="76"/>
      <c r="AC507" s="75"/>
      <c r="AD507" s="75"/>
      <c r="AE507" s="78" t="str">
        <f>IF(U507="","",IF(AD507="","",_xlfn.WORKDAY.INTL(AD507,7,1,FERIADOS)))</f>
        <v/>
      </c>
      <c r="AF507" s="104"/>
      <c r="AG507" s="80" t="str">
        <f t="array" ref="AG507">IF(A507="","",IF(AF507="","",AF507*INDEX(PARAMETROS!F$2:F1570,MATCH(YEAR(AC507),PARAMETROS!E$2:E1570,0),1)))</f>
        <v/>
      </c>
      <c r="AH507" s="81"/>
      <c r="AI507" s="82"/>
      <c r="AJ507" s="81"/>
      <c r="AK507" s="81"/>
      <c r="AL507" s="76"/>
      <c r="AM507" s="75"/>
      <c r="AN507" s="76"/>
      <c r="AO507" s="95"/>
      <c r="AP507" s="96"/>
      <c r="AQ507" s="85" t="str">
        <f t="shared" si="6"/>
        <v/>
      </c>
      <c r="AR507" s="86" t="str">
        <f t="array" ref="AR507">IF(A507="","",IFERROR(INDEX('2) Etapas'!L$3:L923,MATCH(B507,'2) Etapas'!$A$4:$A923,0),1),-1))</f>
        <v/>
      </c>
      <c r="AS507" s="87" t="str">
        <f t="shared" si="7"/>
        <v/>
      </c>
      <c r="AT507" s="87" t="str">
        <f t="shared" si="8"/>
        <v/>
      </c>
      <c r="AU507" s="87" t="str">
        <f t="shared" si="9"/>
        <v/>
      </c>
      <c r="AV507" s="89" t="str">
        <f t="array" ref="AV507">IF(OR($A507="",$AB507="", $AC507=""),"",MAXA(IF($A507=$A$4:$A923,$AC$4:$AC923)))</f>
        <v/>
      </c>
    </row>
    <row r="508" ht="22.5" customHeight="1">
      <c r="A508" s="76"/>
      <c r="B508" s="68" t="str">
        <f t="shared" si="1"/>
        <v/>
      </c>
      <c r="C508" s="110"/>
      <c r="D508" s="70" t="str">
        <f t="shared" si="2"/>
        <v/>
      </c>
      <c r="E508" s="76"/>
      <c r="F508" s="68" t="str">
        <f t="array" ref="F508">IF($A508="","",IFERROR(INDEX(MA_INDIVIDUALES!C$2:C923, MATCH($A508,MA_INDIVIDUALES!$B$2:$B923,0),1),"CÓDIGO DE EXPEDIENTE INVÁLIDO"))</f>
        <v/>
      </c>
      <c r="G508" s="68" t="str">
        <f t="array" ref="G508">IF($A508="","",IFERROR(INDEX(MA_INDIVIDUALES!K$2:K923, MATCH($A508,MA_INDIVIDUALES!$B$2:$B923,0),1),"CÓDIGO DE EXPEDIENTE INVÁLIDO"))</f>
        <v/>
      </c>
      <c r="H508" s="68" t="str">
        <f t="array" ref="H508">IF($A508="","",IFERROR(INDEX(MA_INDIVIDUALES!L$2:L923, MATCH($A508,MA_INDIVIDUALES!$B$2:$B923,0),1),"CÓDIGO DE EXPEDIENTE INVÁLIDO"))</f>
        <v/>
      </c>
      <c r="I508" s="76"/>
      <c r="J508" s="76"/>
      <c r="K508" s="75"/>
      <c r="L508" s="74" t="str">
        <f>IF(A508="","",IF(K508="","",_xlfn.WORKDAY.INTL(K508,5,1,FERIADOS)))</f>
        <v/>
      </c>
      <c r="M508" s="76"/>
      <c r="N508" s="75"/>
      <c r="O508" s="76"/>
      <c r="P508" s="77" t="str">
        <f t="shared" si="3"/>
        <v/>
      </c>
      <c r="Q508" s="75"/>
      <c r="R508" s="76"/>
      <c r="S508" s="75"/>
      <c r="T508" s="75"/>
      <c r="U508" s="76"/>
      <c r="V508" s="76"/>
      <c r="W508" s="75"/>
      <c r="X508" s="76"/>
      <c r="Y508" s="29" t="str">
        <f t="shared" si="4"/>
        <v/>
      </c>
      <c r="Z508" s="29" t="str">
        <f t="shared" si="5"/>
        <v/>
      </c>
      <c r="AA508" s="76"/>
      <c r="AB508" s="76"/>
      <c r="AC508" s="75"/>
      <c r="AD508" s="75"/>
      <c r="AE508" s="78" t="str">
        <f>IF(U508="","",IF(AD508="","",_xlfn.WORKDAY.INTL(AD508,7,1,FERIADOS)))</f>
        <v/>
      </c>
      <c r="AF508" s="104"/>
      <c r="AG508" s="80" t="str">
        <f t="array" ref="AG508">IF(A508="","",IF(AF508="","",AF508*INDEX(PARAMETROS!F$2:F1571,MATCH(YEAR(AC508),PARAMETROS!E$2:E1571,0),1)))</f>
        <v/>
      </c>
      <c r="AH508" s="81"/>
      <c r="AI508" s="82"/>
      <c r="AJ508" s="81"/>
      <c r="AK508" s="81"/>
      <c r="AL508" s="76"/>
      <c r="AM508" s="75"/>
      <c r="AN508" s="76"/>
      <c r="AO508" s="95"/>
      <c r="AP508" s="96"/>
      <c r="AQ508" s="85" t="str">
        <f t="shared" si="6"/>
        <v/>
      </c>
      <c r="AR508" s="86" t="str">
        <f t="array" ref="AR508">IF(A508="","",IFERROR(INDEX('2) Etapas'!L$3:L923,MATCH(B508,'2) Etapas'!$A$4:$A923,0),1),-1))</f>
        <v/>
      </c>
      <c r="AS508" s="87" t="str">
        <f t="shared" si="7"/>
        <v/>
      </c>
      <c r="AT508" s="87" t="str">
        <f t="shared" si="8"/>
        <v/>
      </c>
      <c r="AU508" s="87" t="str">
        <f t="shared" si="9"/>
        <v/>
      </c>
      <c r="AV508" s="89" t="str">
        <f t="array" ref="AV508">IF(OR($A508="",$AB508="", $AC508=""),"",MAXA(IF($A508=$A$4:$A923,$AC$4:$AC923)))</f>
        <v/>
      </c>
    </row>
    <row r="509" ht="22.5" customHeight="1">
      <c r="A509" s="76"/>
      <c r="B509" s="68" t="str">
        <f t="shared" si="1"/>
        <v/>
      </c>
      <c r="C509" s="110"/>
      <c r="D509" s="70" t="str">
        <f t="shared" si="2"/>
        <v/>
      </c>
      <c r="E509" s="76"/>
      <c r="F509" s="68" t="str">
        <f t="array" ref="F509">IF($A509="","",IFERROR(INDEX(MA_INDIVIDUALES!C$2:C923, MATCH($A509,MA_INDIVIDUALES!$B$2:$B923,0),1),"CÓDIGO DE EXPEDIENTE INVÁLIDO"))</f>
        <v/>
      </c>
      <c r="G509" s="68" t="str">
        <f t="array" ref="G509">IF($A509="","",IFERROR(INDEX(MA_INDIVIDUALES!K$2:K923, MATCH($A509,MA_INDIVIDUALES!$B$2:$B923,0),1),"CÓDIGO DE EXPEDIENTE INVÁLIDO"))</f>
        <v/>
      </c>
      <c r="H509" s="68" t="str">
        <f t="array" ref="H509">IF($A509="","",IFERROR(INDEX(MA_INDIVIDUALES!L$2:L923, MATCH($A509,MA_INDIVIDUALES!$B$2:$B923,0),1),"CÓDIGO DE EXPEDIENTE INVÁLIDO"))</f>
        <v/>
      </c>
      <c r="I509" s="76"/>
      <c r="J509" s="76"/>
      <c r="K509" s="75"/>
      <c r="L509" s="74" t="str">
        <f>IF(A509="","",IF(K509="","",_xlfn.WORKDAY.INTL(K509,5,1,FERIADOS)))</f>
        <v/>
      </c>
      <c r="M509" s="76"/>
      <c r="N509" s="75"/>
      <c r="O509" s="76"/>
      <c r="P509" s="77" t="str">
        <f t="shared" si="3"/>
        <v/>
      </c>
      <c r="Q509" s="75"/>
      <c r="R509" s="76"/>
      <c r="S509" s="75"/>
      <c r="T509" s="75"/>
      <c r="U509" s="76"/>
      <c r="V509" s="76"/>
      <c r="W509" s="75"/>
      <c r="X509" s="76"/>
      <c r="Y509" s="29" t="str">
        <f t="shared" si="4"/>
        <v/>
      </c>
      <c r="Z509" s="29" t="str">
        <f t="shared" si="5"/>
        <v/>
      </c>
      <c r="AA509" s="76"/>
      <c r="AB509" s="76"/>
      <c r="AC509" s="75"/>
      <c r="AD509" s="75"/>
      <c r="AE509" s="78" t="str">
        <f>IF(U509="","",IF(AD509="","",_xlfn.WORKDAY.INTL(AD509,7,1,FERIADOS)))</f>
        <v/>
      </c>
      <c r="AF509" s="104"/>
      <c r="AG509" s="80" t="str">
        <f t="array" ref="AG509">IF(A509="","",IF(AF509="","",AF509*INDEX(PARAMETROS!F$2:F1572,MATCH(YEAR(AC509),PARAMETROS!E$2:E1572,0),1)))</f>
        <v/>
      </c>
      <c r="AH509" s="81"/>
      <c r="AI509" s="82"/>
      <c r="AJ509" s="81"/>
      <c r="AK509" s="81"/>
      <c r="AL509" s="76"/>
      <c r="AM509" s="75"/>
      <c r="AN509" s="76"/>
      <c r="AO509" s="95"/>
      <c r="AP509" s="96"/>
      <c r="AQ509" s="85" t="str">
        <f t="shared" si="6"/>
        <v/>
      </c>
      <c r="AR509" s="86" t="str">
        <f t="array" ref="AR509">IF(A509="","",IFERROR(INDEX('2) Etapas'!L$3:L923,MATCH(B509,'2) Etapas'!$A$4:$A923,0),1),-1))</f>
        <v/>
      </c>
      <c r="AS509" s="87" t="str">
        <f t="shared" si="7"/>
        <v/>
      </c>
      <c r="AT509" s="87" t="str">
        <f t="shared" si="8"/>
        <v/>
      </c>
      <c r="AU509" s="87" t="str">
        <f t="shared" si="9"/>
        <v/>
      </c>
      <c r="AV509" s="89" t="str">
        <f t="array" ref="AV509">IF(OR($A509="",$AB509="", $AC509=""),"",MAXA(IF($A509=$A$4:$A923,$AC$4:$AC923)))</f>
        <v/>
      </c>
    </row>
    <row r="510" ht="22.5" customHeight="1">
      <c r="A510" s="76"/>
      <c r="B510" s="68" t="str">
        <f t="shared" si="1"/>
        <v/>
      </c>
      <c r="C510" s="110"/>
      <c r="D510" s="70" t="str">
        <f t="shared" si="2"/>
        <v/>
      </c>
      <c r="E510" s="76"/>
      <c r="F510" s="68" t="str">
        <f t="array" ref="F510">IF($A510="","",IFERROR(INDEX(MA_INDIVIDUALES!C$2:C923, MATCH($A510,MA_INDIVIDUALES!$B$2:$B923,0),1),"CÓDIGO DE EXPEDIENTE INVÁLIDO"))</f>
        <v/>
      </c>
      <c r="G510" s="68" t="str">
        <f t="array" ref="G510">IF($A510="","",IFERROR(INDEX(MA_INDIVIDUALES!K$2:K923, MATCH($A510,MA_INDIVIDUALES!$B$2:$B923,0),1),"CÓDIGO DE EXPEDIENTE INVÁLIDO"))</f>
        <v/>
      </c>
      <c r="H510" s="68" t="str">
        <f t="array" ref="H510">IF($A510="","",IFERROR(INDEX(MA_INDIVIDUALES!L$2:L923, MATCH($A510,MA_INDIVIDUALES!$B$2:$B923,0),1),"CÓDIGO DE EXPEDIENTE INVÁLIDO"))</f>
        <v/>
      </c>
      <c r="I510" s="76"/>
      <c r="J510" s="76"/>
      <c r="K510" s="75"/>
      <c r="L510" s="74" t="str">
        <f>IF(A510="","",IF(K510="","",_xlfn.WORKDAY.INTL(K510,5,1,FERIADOS)))</f>
        <v/>
      </c>
      <c r="M510" s="76"/>
      <c r="N510" s="75"/>
      <c r="O510" s="76"/>
      <c r="P510" s="77" t="str">
        <f t="shared" si="3"/>
        <v/>
      </c>
      <c r="Q510" s="75"/>
      <c r="R510" s="76"/>
      <c r="S510" s="75"/>
      <c r="T510" s="75"/>
      <c r="U510" s="76"/>
      <c r="V510" s="76"/>
      <c r="W510" s="75"/>
      <c r="X510" s="76"/>
      <c r="Y510" s="29" t="str">
        <f t="shared" si="4"/>
        <v/>
      </c>
      <c r="Z510" s="29" t="str">
        <f t="shared" si="5"/>
        <v/>
      </c>
      <c r="AA510" s="76"/>
      <c r="AB510" s="76"/>
      <c r="AC510" s="75"/>
      <c r="AD510" s="75"/>
      <c r="AE510" s="78" t="str">
        <f>IF(U510="","",IF(AD510="","",_xlfn.WORKDAY.INTL(AD510,7,1,FERIADOS)))</f>
        <v/>
      </c>
      <c r="AF510" s="104"/>
      <c r="AG510" s="80" t="str">
        <f t="array" ref="AG510">IF(A510="","",IF(AF510="","",AF510*INDEX(PARAMETROS!F$2:F1573,MATCH(YEAR(AC510),PARAMETROS!E$2:E1573,0),1)))</f>
        <v/>
      </c>
      <c r="AH510" s="81"/>
      <c r="AI510" s="82"/>
      <c r="AJ510" s="81"/>
      <c r="AK510" s="81"/>
      <c r="AL510" s="76"/>
      <c r="AM510" s="75"/>
      <c r="AN510" s="76"/>
      <c r="AO510" s="95"/>
      <c r="AP510" s="96"/>
      <c r="AQ510" s="85" t="str">
        <f t="shared" si="6"/>
        <v/>
      </c>
      <c r="AR510" s="86" t="str">
        <f t="array" ref="AR510">IF(A510="","",IFERROR(INDEX('2) Etapas'!L$3:L923,MATCH(B510,'2) Etapas'!$A$4:$A923,0),1),-1))</f>
        <v/>
      </c>
      <c r="AS510" s="87" t="str">
        <f t="shared" si="7"/>
        <v/>
      </c>
      <c r="AT510" s="87" t="str">
        <f t="shared" si="8"/>
        <v/>
      </c>
      <c r="AU510" s="87" t="str">
        <f t="shared" si="9"/>
        <v/>
      </c>
      <c r="AV510" s="89" t="str">
        <f t="array" ref="AV510">IF(OR($A510="",$AB510="", $AC510=""),"",MAXA(IF($A510=$A$4:$A923,$AC$4:$AC923)))</f>
        <v/>
      </c>
    </row>
    <row r="511" ht="22.5" customHeight="1">
      <c r="A511" s="76"/>
      <c r="B511" s="68" t="str">
        <f t="shared" si="1"/>
        <v/>
      </c>
      <c r="C511" s="110"/>
      <c r="D511" s="70" t="str">
        <f t="shared" si="2"/>
        <v/>
      </c>
      <c r="E511" s="76"/>
      <c r="F511" s="68" t="str">
        <f t="array" ref="F511">IF($A511="","",IFERROR(INDEX(MA_INDIVIDUALES!C$2:C923, MATCH($A511,MA_INDIVIDUALES!$B$2:$B923,0),1),"CÓDIGO DE EXPEDIENTE INVÁLIDO"))</f>
        <v/>
      </c>
      <c r="G511" s="68" t="str">
        <f t="array" ref="G511">IF($A511="","",IFERROR(INDEX(MA_INDIVIDUALES!K$2:K923, MATCH($A511,MA_INDIVIDUALES!$B$2:$B923,0),1),"CÓDIGO DE EXPEDIENTE INVÁLIDO"))</f>
        <v/>
      </c>
      <c r="H511" s="68" t="str">
        <f t="array" ref="H511">IF($A511="","",IFERROR(INDEX(MA_INDIVIDUALES!L$2:L923, MATCH($A511,MA_INDIVIDUALES!$B$2:$B923,0),1),"CÓDIGO DE EXPEDIENTE INVÁLIDO"))</f>
        <v/>
      </c>
      <c r="I511" s="76"/>
      <c r="J511" s="76"/>
      <c r="K511" s="75"/>
      <c r="L511" s="74" t="str">
        <f>IF(A511="","",IF(K511="","",_xlfn.WORKDAY.INTL(K511,5,1,FERIADOS)))</f>
        <v/>
      </c>
      <c r="M511" s="76"/>
      <c r="N511" s="75"/>
      <c r="O511" s="76"/>
      <c r="P511" s="77" t="str">
        <f t="shared" si="3"/>
        <v/>
      </c>
      <c r="Q511" s="75"/>
      <c r="R511" s="76"/>
      <c r="S511" s="75"/>
      <c r="T511" s="75"/>
      <c r="U511" s="76"/>
      <c r="V511" s="76"/>
      <c r="W511" s="75"/>
      <c r="X511" s="76"/>
      <c r="Y511" s="29" t="str">
        <f t="shared" si="4"/>
        <v/>
      </c>
      <c r="Z511" s="29" t="str">
        <f t="shared" si="5"/>
        <v/>
      </c>
      <c r="AA511" s="76"/>
      <c r="AB511" s="76"/>
      <c r="AC511" s="75"/>
      <c r="AD511" s="75"/>
      <c r="AE511" s="78" t="str">
        <f>IF(U511="","",IF(AD511="","",_xlfn.WORKDAY.INTL(AD511,7,1,FERIADOS)))</f>
        <v/>
      </c>
      <c r="AF511" s="104"/>
      <c r="AG511" s="80" t="str">
        <f t="array" ref="AG511">IF(A511="","",IF(AF511="","",AF511*INDEX(PARAMETROS!F$2:F1574,MATCH(YEAR(AC511),PARAMETROS!E$2:E1574,0),1)))</f>
        <v/>
      </c>
      <c r="AH511" s="81"/>
      <c r="AI511" s="82"/>
      <c r="AJ511" s="81"/>
      <c r="AK511" s="81"/>
      <c r="AL511" s="76"/>
      <c r="AM511" s="75"/>
      <c r="AN511" s="76"/>
      <c r="AO511" s="95"/>
      <c r="AP511" s="96"/>
      <c r="AQ511" s="85" t="str">
        <f t="shared" si="6"/>
        <v/>
      </c>
      <c r="AR511" s="86" t="str">
        <f t="array" ref="AR511">IF(A511="","",IFERROR(INDEX('2) Etapas'!L$3:L923,MATCH(B511,'2) Etapas'!$A$4:$A923,0),1),-1))</f>
        <v/>
      </c>
      <c r="AS511" s="87" t="str">
        <f t="shared" si="7"/>
        <v/>
      </c>
      <c r="AT511" s="87" t="str">
        <f t="shared" si="8"/>
        <v/>
      </c>
      <c r="AU511" s="87" t="str">
        <f t="shared" si="9"/>
        <v/>
      </c>
      <c r="AV511" s="89" t="str">
        <f t="array" ref="AV511">IF(OR($A511="",$AB511="", $AC511=""),"",MAXA(IF($A511=$A$4:$A923,$AC$4:$AC923)))</f>
        <v/>
      </c>
    </row>
    <row r="512" ht="22.5" customHeight="1">
      <c r="A512" s="76"/>
      <c r="B512" s="68" t="str">
        <f t="shared" si="1"/>
        <v/>
      </c>
      <c r="C512" s="110"/>
      <c r="D512" s="70" t="str">
        <f t="shared" si="2"/>
        <v/>
      </c>
      <c r="E512" s="76"/>
      <c r="F512" s="68" t="str">
        <f t="array" ref="F512">IF($A512="","",IFERROR(INDEX(MA_INDIVIDUALES!C$2:C923, MATCH($A512,MA_INDIVIDUALES!$B$2:$B923,0),1),"CÓDIGO DE EXPEDIENTE INVÁLIDO"))</f>
        <v/>
      </c>
      <c r="G512" s="68" t="str">
        <f t="array" ref="G512">IF($A512="","",IFERROR(INDEX(MA_INDIVIDUALES!K$2:K923, MATCH($A512,MA_INDIVIDUALES!$B$2:$B923,0),1),"CÓDIGO DE EXPEDIENTE INVÁLIDO"))</f>
        <v/>
      </c>
      <c r="H512" s="68" t="str">
        <f t="array" ref="H512">IF($A512="","",IFERROR(INDEX(MA_INDIVIDUALES!L$2:L923, MATCH($A512,MA_INDIVIDUALES!$B$2:$B923,0),1),"CÓDIGO DE EXPEDIENTE INVÁLIDO"))</f>
        <v/>
      </c>
      <c r="I512" s="76"/>
      <c r="J512" s="76"/>
      <c r="K512" s="75"/>
      <c r="L512" s="74" t="str">
        <f>IF(A512="","",IF(K512="","",_xlfn.WORKDAY.INTL(K512,5,1,FERIADOS)))</f>
        <v/>
      </c>
      <c r="M512" s="76"/>
      <c r="N512" s="75"/>
      <c r="O512" s="76"/>
      <c r="P512" s="77" t="str">
        <f t="shared" si="3"/>
        <v/>
      </c>
      <c r="Q512" s="75"/>
      <c r="R512" s="76"/>
      <c r="S512" s="75"/>
      <c r="T512" s="75"/>
      <c r="U512" s="76"/>
      <c r="V512" s="76"/>
      <c r="W512" s="75"/>
      <c r="X512" s="76"/>
      <c r="Y512" s="29" t="str">
        <f t="shared" si="4"/>
        <v/>
      </c>
      <c r="Z512" s="29" t="str">
        <f t="shared" si="5"/>
        <v/>
      </c>
      <c r="AA512" s="76"/>
      <c r="AB512" s="76"/>
      <c r="AC512" s="75"/>
      <c r="AD512" s="75"/>
      <c r="AE512" s="78" t="str">
        <f>IF(U512="","",IF(AD512="","",_xlfn.WORKDAY.INTL(AD512,7,1,FERIADOS)))</f>
        <v/>
      </c>
      <c r="AF512" s="104"/>
      <c r="AG512" s="80" t="str">
        <f t="array" ref="AG512">IF(A512="","",IF(AF512="","",AF512*INDEX(PARAMETROS!F$2:F1575,MATCH(YEAR(AC512),PARAMETROS!E$2:E1575,0),1)))</f>
        <v/>
      </c>
      <c r="AH512" s="81"/>
      <c r="AI512" s="82"/>
      <c r="AJ512" s="81"/>
      <c r="AK512" s="81"/>
      <c r="AL512" s="76"/>
      <c r="AM512" s="75"/>
      <c r="AN512" s="76"/>
      <c r="AO512" s="95"/>
      <c r="AP512" s="96"/>
      <c r="AQ512" s="85" t="str">
        <f t="shared" si="6"/>
        <v/>
      </c>
      <c r="AR512" s="86" t="str">
        <f t="array" ref="AR512">IF(A512="","",IFERROR(INDEX('2) Etapas'!L$3:L923,MATCH(B512,'2) Etapas'!$A$4:$A923,0),1),-1))</f>
        <v/>
      </c>
      <c r="AS512" s="87" t="str">
        <f t="shared" si="7"/>
        <v/>
      </c>
      <c r="AT512" s="87" t="str">
        <f t="shared" si="8"/>
        <v/>
      </c>
      <c r="AU512" s="87" t="str">
        <f t="shared" si="9"/>
        <v/>
      </c>
      <c r="AV512" s="89" t="str">
        <f t="array" ref="AV512">IF(OR($A512="",$AB512="", $AC512=""),"",MAXA(IF($A512=$A$4:$A923,$AC$4:$AC923)))</f>
        <v/>
      </c>
    </row>
    <row r="513" ht="22.5" customHeight="1">
      <c r="A513" s="76"/>
      <c r="B513" s="68" t="str">
        <f t="shared" si="1"/>
        <v/>
      </c>
      <c r="C513" s="110"/>
      <c r="D513" s="70" t="str">
        <f t="shared" si="2"/>
        <v/>
      </c>
      <c r="E513" s="76"/>
      <c r="F513" s="68" t="str">
        <f t="array" ref="F513">IF($A513="","",IFERROR(INDEX(MA_INDIVIDUALES!C$2:C923, MATCH($A513,MA_INDIVIDUALES!$B$2:$B923,0),1),"CÓDIGO DE EXPEDIENTE INVÁLIDO"))</f>
        <v/>
      </c>
      <c r="G513" s="68" t="str">
        <f t="array" ref="G513">IF($A513="","",IFERROR(INDEX(MA_INDIVIDUALES!K$2:K923, MATCH($A513,MA_INDIVIDUALES!$B$2:$B923,0),1),"CÓDIGO DE EXPEDIENTE INVÁLIDO"))</f>
        <v/>
      </c>
      <c r="H513" s="68" t="str">
        <f t="array" ref="H513">IF($A513="","",IFERROR(INDEX(MA_INDIVIDUALES!L$2:L923, MATCH($A513,MA_INDIVIDUALES!$B$2:$B923,0),1),"CÓDIGO DE EXPEDIENTE INVÁLIDO"))</f>
        <v/>
      </c>
      <c r="I513" s="76"/>
      <c r="J513" s="76"/>
      <c r="K513" s="75"/>
      <c r="L513" s="74" t="str">
        <f>IF(A513="","",IF(K513="","",_xlfn.WORKDAY.INTL(K513,5,1,FERIADOS)))</f>
        <v/>
      </c>
      <c r="M513" s="76"/>
      <c r="N513" s="75"/>
      <c r="O513" s="76"/>
      <c r="P513" s="77" t="str">
        <f t="shared" si="3"/>
        <v/>
      </c>
      <c r="Q513" s="75"/>
      <c r="R513" s="76"/>
      <c r="S513" s="75"/>
      <c r="T513" s="75"/>
      <c r="U513" s="76"/>
      <c r="V513" s="76"/>
      <c r="W513" s="75"/>
      <c r="X513" s="76"/>
      <c r="Y513" s="29" t="str">
        <f t="shared" si="4"/>
        <v/>
      </c>
      <c r="Z513" s="29" t="str">
        <f t="shared" si="5"/>
        <v/>
      </c>
      <c r="AA513" s="76"/>
      <c r="AB513" s="76"/>
      <c r="AC513" s="75"/>
      <c r="AD513" s="75"/>
      <c r="AE513" s="78" t="str">
        <f>IF(U513="","",IF(AD513="","",_xlfn.WORKDAY.INTL(AD513,7,1,FERIADOS)))</f>
        <v/>
      </c>
      <c r="AF513" s="104"/>
      <c r="AG513" s="80" t="str">
        <f t="array" ref="AG513">IF(A513="","",IF(AF513="","",AF513*INDEX(PARAMETROS!F$2:F1576,MATCH(YEAR(AC513),PARAMETROS!E$2:E1576,0),1)))</f>
        <v/>
      </c>
      <c r="AH513" s="81"/>
      <c r="AI513" s="82"/>
      <c r="AJ513" s="81"/>
      <c r="AK513" s="81"/>
      <c r="AL513" s="76"/>
      <c r="AM513" s="75"/>
      <c r="AN513" s="76"/>
      <c r="AO513" s="95"/>
      <c r="AP513" s="96"/>
      <c r="AQ513" s="85" t="str">
        <f t="shared" si="6"/>
        <v/>
      </c>
      <c r="AR513" s="86" t="str">
        <f t="array" ref="AR513">IF(A513="","",IFERROR(INDEX('2) Etapas'!L$3:L923,MATCH(B513,'2) Etapas'!$A$4:$A923,0),1),-1))</f>
        <v/>
      </c>
      <c r="AS513" s="87" t="str">
        <f t="shared" si="7"/>
        <v/>
      </c>
      <c r="AT513" s="87" t="str">
        <f t="shared" si="8"/>
        <v/>
      </c>
      <c r="AU513" s="87" t="str">
        <f t="shared" si="9"/>
        <v/>
      </c>
      <c r="AV513" s="89" t="str">
        <f t="array" ref="AV513">IF(OR($A513="",$AB513="", $AC513=""),"",MAXA(IF($A513=$A$4:$A923,$AC$4:$AC923)))</f>
        <v/>
      </c>
    </row>
    <row r="514" ht="22.5" customHeight="1">
      <c r="A514" s="76"/>
      <c r="B514" s="68" t="str">
        <f t="shared" si="1"/>
        <v/>
      </c>
      <c r="C514" s="110"/>
      <c r="D514" s="70" t="str">
        <f t="shared" si="2"/>
        <v/>
      </c>
      <c r="E514" s="76"/>
      <c r="F514" s="68" t="str">
        <f t="array" ref="F514">IF($A514="","",IFERROR(INDEX(MA_INDIVIDUALES!C$2:C923, MATCH($A514,MA_INDIVIDUALES!$B$2:$B923,0),1),"CÓDIGO DE EXPEDIENTE INVÁLIDO"))</f>
        <v/>
      </c>
      <c r="G514" s="68" t="str">
        <f t="array" ref="G514">IF($A514="","",IFERROR(INDEX(MA_INDIVIDUALES!K$2:K923, MATCH($A514,MA_INDIVIDUALES!$B$2:$B923,0),1),"CÓDIGO DE EXPEDIENTE INVÁLIDO"))</f>
        <v/>
      </c>
      <c r="H514" s="68" t="str">
        <f t="array" ref="H514">IF($A514="","",IFERROR(INDEX(MA_INDIVIDUALES!L$2:L923, MATCH($A514,MA_INDIVIDUALES!$B$2:$B923,0),1),"CÓDIGO DE EXPEDIENTE INVÁLIDO"))</f>
        <v/>
      </c>
      <c r="I514" s="76"/>
      <c r="J514" s="76"/>
      <c r="K514" s="75"/>
      <c r="L514" s="74" t="str">
        <f>IF(A514="","",IF(K514="","",_xlfn.WORKDAY.INTL(K514,5,1,FERIADOS)))</f>
        <v/>
      </c>
      <c r="M514" s="76"/>
      <c r="N514" s="75"/>
      <c r="O514" s="76"/>
      <c r="P514" s="77" t="str">
        <f t="shared" si="3"/>
        <v/>
      </c>
      <c r="Q514" s="75"/>
      <c r="R514" s="76"/>
      <c r="S514" s="75"/>
      <c r="T514" s="75"/>
      <c r="U514" s="76"/>
      <c r="V514" s="76"/>
      <c r="W514" s="75"/>
      <c r="X514" s="76"/>
      <c r="Y514" s="29" t="str">
        <f t="shared" si="4"/>
        <v/>
      </c>
      <c r="Z514" s="29" t="str">
        <f t="shared" si="5"/>
        <v/>
      </c>
      <c r="AA514" s="76"/>
      <c r="AB514" s="76"/>
      <c r="AC514" s="75"/>
      <c r="AD514" s="75"/>
      <c r="AE514" s="78" t="str">
        <f>IF(U514="","",IF(AD514="","",_xlfn.WORKDAY.INTL(AD514,7,1,FERIADOS)))</f>
        <v/>
      </c>
      <c r="AF514" s="104"/>
      <c r="AG514" s="80" t="str">
        <f t="array" ref="AG514">IF(A514="","",IF(AF514="","",AF514*INDEX(PARAMETROS!F$2:F1577,MATCH(YEAR(AC514),PARAMETROS!E$2:E1577,0),1)))</f>
        <v/>
      </c>
      <c r="AH514" s="81"/>
      <c r="AI514" s="82"/>
      <c r="AJ514" s="81"/>
      <c r="AK514" s="81"/>
      <c r="AL514" s="76"/>
      <c r="AM514" s="75"/>
      <c r="AN514" s="76"/>
      <c r="AO514" s="95"/>
      <c r="AP514" s="96"/>
      <c r="AQ514" s="85" t="str">
        <f t="shared" si="6"/>
        <v/>
      </c>
      <c r="AR514" s="86" t="str">
        <f t="array" ref="AR514">IF(A514="","",IFERROR(INDEX('2) Etapas'!L$3:L923,MATCH(B514,'2) Etapas'!$A$4:$A923,0),1),-1))</f>
        <v/>
      </c>
      <c r="AS514" s="87" t="str">
        <f t="shared" si="7"/>
        <v/>
      </c>
      <c r="AT514" s="87" t="str">
        <f t="shared" si="8"/>
        <v/>
      </c>
      <c r="AU514" s="87" t="str">
        <f t="shared" si="9"/>
        <v/>
      </c>
      <c r="AV514" s="89" t="str">
        <f t="array" ref="AV514">IF(OR($A514="",$AB514="", $AC514=""),"",MAXA(IF($A514=$A$4:$A923,$AC$4:$AC923)))</f>
        <v/>
      </c>
    </row>
    <row r="515" ht="22.5" customHeight="1">
      <c r="A515" s="76"/>
      <c r="B515" s="68" t="str">
        <f t="shared" si="1"/>
        <v/>
      </c>
      <c r="C515" s="110"/>
      <c r="D515" s="70" t="str">
        <f t="shared" si="2"/>
        <v/>
      </c>
      <c r="E515" s="76"/>
      <c r="F515" s="68" t="str">
        <f t="array" ref="F515">IF($A515="","",IFERROR(INDEX(MA_INDIVIDUALES!C$2:C923, MATCH($A515,MA_INDIVIDUALES!$B$2:$B923,0),1),"CÓDIGO DE EXPEDIENTE INVÁLIDO"))</f>
        <v/>
      </c>
      <c r="G515" s="68" t="str">
        <f t="array" ref="G515">IF($A515="","",IFERROR(INDEX(MA_INDIVIDUALES!K$2:K923, MATCH($A515,MA_INDIVIDUALES!$B$2:$B923,0),1),"CÓDIGO DE EXPEDIENTE INVÁLIDO"))</f>
        <v/>
      </c>
      <c r="H515" s="68" t="str">
        <f t="array" ref="H515">IF($A515="","",IFERROR(INDEX(MA_INDIVIDUALES!L$2:L923, MATCH($A515,MA_INDIVIDUALES!$B$2:$B923,0),1),"CÓDIGO DE EXPEDIENTE INVÁLIDO"))</f>
        <v/>
      </c>
      <c r="I515" s="76"/>
      <c r="J515" s="76"/>
      <c r="K515" s="75"/>
      <c r="L515" s="74" t="str">
        <f>IF(A515="","",IF(K515="","",_xlfn.WORKDAY.INTL(K515,5,1,FERIADOS)))</f>
        <v/>
      </c>
      <c r="M515" s="76"/>
      <c r="N515" s="75"/>
      <c r="O515" s="76"/>
      <c r="P515" s="77" t="str">
        <f t="shared" si="3"/>
        <v/>
      </c>
      <c r="Q515" s="75"/>
      <c r="R515" s="76"/>
      <c r="S515" s="75"/>
      <c r="T515" s="75"/>
      <c r="U515" s="76"/>
      <c r="V515" s="76"/>
      <c r="W515" s="75"/>
      <c r="X515" s="76"/>
      <c r="Y515" s="29" t="str">
        <f t="shared" si="4"/>
        <v/>
      </c>
      <c r="Z515" s="29" t="str">
        <f t="shared" si="5"/>
        <v/>
      </c>
      <c r="AA515" s="76"/>
      <c r="AB515" s="76"/>
      <c r="AC515" s="75"/>
      <c r="AD515" s="75"/>
      <c r="AE515" s="78" t="str">
        <f>IF(U515="","",IF(AD515="","",_xlfn.WORKDAY.INTL(AD515,7,1,FERIADOS)))</f>
        <v/>
      </c>
      <c r="AF515" s="104"/>
      <c r="AG515" s="80" t="str">
        <f t="array" ref="AG515">IF(A515="","",IF(AF515="","",AF515*INDEX(PARAMETROS!F$2:F1578,MATCH(YEAR(AC515),PARAMETROS!E$2:E1578,0),1)))</f>
        <v/>
      </c>
      <c r="AH515" s="81"/>
      <c r="AI515" s="82"/>
      <c r="AJ515" s="81"/>
      <c r="AK515" s="81"/>
      <c r="AL515" s="76"/>
      <c r="AM515" s="75"/>
      <c r="AN515" s="76"/>
      <c r="AO515" s="95"/>
      <c r="AP515" s="96"/>
      <c r="AQ515" s="85" t="str">
        <f t="shared" si="6"/>
        <v/>
      </c>
      <c r="AR515" s="86" t="str">
        <f t="array" ref="AR515">IF(A515="","",IFERROR(INDEX('2) Etapas'!L$3:L923,MATCH(B515,'2) Etapas'!$A$4:$A923,0),1),-1))</f>
        <v/>
      </c>
      <c r="AS515" s="87" t="str">
        <f t="shared" si="7"/>
        <v/>
      </c>
      <c r="AT515" s="87" t="str">
        <f t="shared" si="8"/>
        <v/>
      </c>
      <c r="AU515" s="87" t="str">
        <f t="shared" si="9"/>
        <v/>
      </c>
      <c r="AV515" s="89" t="str">
        <f t="array" ref="AV515">IF(OR($A515="",$AB515="", $AC515=""),"",MAXA(IF($A515=$A$4:$A923,$AC$4:$AC923)))</f>
        <v/>
      </c>
    </row>
    <row r="516" ht="22.5" customHeight="1">
      <c r="A516" s="76"/>
      <c r="B516" s="68" t="str">
        <f t="shared" si="1"/>
        <v/>
      </c>
      <c r="C516" s="110"/>
      <c r="D516" s="70" t="str">
        <f t="shared" si="2"/>
        <v/>
      </c>
      <c r="E516" s="76"/>
      <c r="F516" s="68" t="str">
        <f t="array" ref="F516">IF($A516="","",IFERROR(INDEX(MA_INDIVIDUALES!C$2:C923, MATCH($A516,MA_INDIVIDUALES!$B$2:$B923,0),1),"CÓDIGO DE EXPEDIENTE INVÁLIDO"))</f>
        <v/>
      </c>
      <c r="G516" s="68" t="str">
        <f t="array" ref="G516">IF($A516="","",IFERROR(INDEX(MA_INDIVIDUALES!K$2:K923, MATCH($A516,MA_INDIVIDUALES!$B$2:$B923,0),1),"CÓDIGO DE EXPEDIENTE INVÁLIDO"))</f>
        <v/>
      </c>
      <c r="H516" s="68" t="str">
        <f t="array" ref="H516">IF($A516="","",IFERROR(INDEX(MA_INDIVIDUALES!L$2:L923, MATCH($A516,MA_INDIVIDUALES!$B$2:$B923,0),1),"CÓDIGO DE EXPEDIENTE INVÁLIDO"))</f>
        <v/>
      </c>
      <c r="I516" s="76"/>
      <c r="J516" s="76"/>
      <c r="K516" s="75"/>
      <c r="L516" s="74" t="str">
        <f>IF(A516="","",IF(K516="","",_xlfn.WORKDAY.INTL(K516,5,1,FERIADOS)))</f>
        <v/>
      </c>
      <c r="M516" s="76"/>
      <c r="N516" s="75"/>
      <c r="O516" s="76"/>
      <c r="P516" s="77" t="str">
        <f t="shared" si="3"/>
        <v/>
      </c>
      <c r="Q516" s="75"/>
      <c r="R516" s="76"/>
      <c r="S516" s="75"/>
      <c r="T516" s="75"/>
      <c r="U516" s="76"/>
      <c r="V516" s="76"/>
      <c r="W516" s="75"/>
      <c r="X516" s="76"/>
      <c r="Y516" s="29" t="str">
        <f t="shared" si="4"/>
        <v/>
      </c>
      <c r="Z516" s="29" t="str">
        <f t="shared" si="5"/>
        <v/>
      </c>
      <c r="AA516" s="76"/>
      <c r="AB516" s="76"/>
      <c r="AC516" s="75"/>
      <c r="AD516" s="75"/>
      <c r="AE516" s="78" t="str">
        <f>IF(U516="","",IF(AD516="","",_xlfn.WORKDAY.INTL(AD516,7,1,FERIADOS)))</f>
        <v/>
      </c>
      <c r="AF516" s="104"/>
      <c r="AG516" s="80" t="str">
        <f t="array" ref="AG516">IF(A516="","",IF(AF516="","",AF516*INDEX(PARAMETROS!F$2:F1579,MATCH(YEAR(AC516),PARAMETROS!E$2:E1579,0),1)))</f>
        <v/>
      </c>
      <c r="AH516" s="81"/>
      <c r="AI516" s="82"/>
      <c r="AJ516" s="81"/>
      <c r="AK516" s="81"/>
      <c r="AL516" s="76"/>
      <c r="AM516" s="75"/>
      <c r="AN516" s="76"/>
      <c r="AO516" s="95"/>
      <c r="AP516" s="96"/>
      <c r="AQ516" s="85" t="str">
        <f t="shared" si="6"/>
        <v/>
      </c>
      <c r="AR516" s="86" t="str">
        <f t="array" ref="AR516">IF(A516="","",IFERROR(INDEX('2) Etapas'!L$3:L923,MATCH(B516,'2) Etapas'!$A$4:$A923,0),1),-1))</f>
        <v/>
      </c>
      <c r="AS516" s="87" t="str">
        <f t="shared" si="7"/>
        <v/>
      </c>
      <c r="AT516" s="87" t="str">
        <f t="shared" si="8"/>
        <v/>
      </c>
      <c r="AU516" s="87" t="str">
        <f t="shared" si="9"/>
        <v/>
      </c>
      <c r="AV516" s="89" t="str">
        <f t="array" ref="AV516">IF(OR($A516="",$AB516="", $AC516=""),"",MAXA(IF($A516=$A$4:$A923,$AC$4:$AC923)))</f>
        <v/>
      </c>
    </row>
    <row r="517" ht="22.5" customHeight="1">
      <c r="A517" s="76"/>
      <c r="B517" s="68" t="str">
        <f t="shared" si="1"/>
        <v/>
      </c>
      <c r="C517" s="110"/>
      <c r="D517" s="70" t="str">
        <f t="shared" si="2"/>
        <v/>
      </c>
      <c r="E517" s="76"/>
      <c r="F517" s="68" t="str">
        <f t="array" ref="F517">IF($A517="","",IFERROR(INDEX(MA_INDIVIDUALES!C$2:C923, MATCH($A517,MA_INDIVIDUALES!$B$2:$B923,0),1),"CÓDIGO DE EXPEDIENTE INVÁLIDO"))</f>
        <v/>
      </c>
      <c r="G517" s="68" t="str">
        <f t="array" ref="G517">IF($A517="","",IFERROR(INDEX(MA_INDIVIDUALES!K$2:K923, MATCH($A517,MA_INDIVIDUALES!$B$2:$B923,0),1),"CÓDIGO DE EXPEDIENTE INVÁLIDO"))</f>
        <v/>
      </c>
      <c r="H517" s="68" t="str">
        <f t="array" ref="H517">IF($A517="","",IFERROR(INDEX(MA_INDIVIDUALES!L$2:L923, MATCH($A517,MA_INDIVIDUALES!$B$2:$B923,0),1),"CÓDIGO DE EXPEDIENTE INVÁLIDO"))</f>
        <v/>
      </c>
      <c r="I517" s="76"/>
      <c r="J517" s="76"/>
      <c r="K517" s="75"/>
      <c r="L517" s="74" t="str">
        <f>IF(A517="","",IF(K517="","",_xlfn.WORKDAY.INTL(K517,5,1,FERIADOS)))</f>
        <v/>
      </c>
      <c r="M517" s="76"/>
      <c r="N517" s="75"/>
      <c r="O517" s="76"/>
      <c r="P517" s="77" t="str">
        <f t="shared" si="3"/>
        <v/>
      </c>
      <c r="Q517" s="75"/>
      <c r="R517" s="76"/>
      <c r="S517" s="75"/>
      <c r="T517" s="75"/>
      <c r="U517" s="76"/>
      <c r="V517" s="76"/>
      <c r="W517" s="75"/>
      <c r="X517" s="76"/>
      <c r="Y517" s="29" t="str">
        <f t="shared" si="4"/>
        <v/>
      </c>
      <c r="Z517" s="29" t="str">
        <f t="shared" si="5"/>
        <v/>
      </c>
      <c r="AA517" s="76"/>
      <c r="AB517" s="76"/>
      <c r="AC517" s="75"/>
      <c r="AD517" s="75"/>
      <c r="AE517" s="78" t="str">
        <f>IF(U517="","",IF(AD517="","",_xlfn.WORKDAY.INTL(AD517,7,1,FERIADOS)))</f>
        <v/>
      </c>
      <c r="AF517" s="104"/>
      <c r="AG517" s="80" t="str">
        <f t="array" ref="AG517">IF(A517="","",IF(AF517="","",AF517*INDEX(PARAMETROS!F$2:F1580,MATCH(YEAR(AC517),PARAMETROS!E$2:E1580,0),1)))</f>
        <v/>
      </c>
      <c r="AH517" s="81"/>
      <c r="AI517" s="82"/>
      <c r="AJ517" s="81"/>
      <c r="AK517" s="81"/>
      <c r="AL517" s="76"/>
      <c r="AM517" s="75"/>
      <c r="AN517" s="76"/>
      <c r="AO517" s="95"/>
      <c r="AP517" s="96"/>
      <c r="AQ517" s="85" t="str">
        <f t="shared" si="6"/>
        <v/>
      </c>
      <c r="AR517" s="86" t="str">
        <f t="array" ref="AR517">IF(A517="","",IFERROR(INDEX('2) Etapas'!L$3:L923,MATCH(B517,'2) Etapas'!$A$4:$A923,0),1),-1))</f>
        <v/>
      </c>
      <c r="AS517" s="87" t="str">
        <f t="shared" si="7"/>
        <v/>
      </c>
      <c r="AT517" s="87" t="str">
        <f t="shared" si="8"/>
        <v/>
      </c>
      <c r="AU517" s="87" t="str">
        <f t="shared" si="9"/>
        <v/>
      </c>
      <c r="AV517" s="89" t="str">
        <f t="array" ref="AV517">IF(OR($A517="",$AB517="", $AC517=""),"",MAXA(IF($A517=$A$4:$A923,$AC$4:$AC923)))</f>
        <v/>
      </c>
    </row>
    <row r="518" ht="22.5" customHeight="1">
      <c r="A518" s="76"/>
      <c r="B518" s="68" t="str">
        <f t="shared" si="1"/>
        <v/>
      </c>
      <c r="C518" s="110"/>
      <c r="D518" s="70" t="str">
        <f t="shared" si="2"/>
        <v/>
      </c>
      <c r="E518" s="76"/>
      <c r="F518" s="68" t="str">
        <f t="array" ref="F518">IF($A518="","",IFERROR(INDEX(MA_INDIVIDUALES!C$2:C923, MATCH($A518,MA_INDIVIDUALES!$B$2:$B923,0),1),"CÓDIGO DE EXPEDIENTE INVÁLIDO"))</f>
        <v/>
      </c>
      <c r="G518" s="68" t="str">
        <f t="array" ref="G518">IF($A518="","",IFERROR(INDEX(MA_INDIVIDUALES!K$2:K923, MATCH($A518,MA_INDIVIDUALES!$B$2:$B923,0),1),"CÓDIGO DE EXPEDIENTE INVÁLIDO"))</f>
        <v/>
      </c>
      <c r="H518" s="68" t="str">
        <f t="array" ref="H518">IF($A518="","",IFERROR(INDEX(MA_INDIVIDUALES!L$2:L923, MATCH($A518,MA_INDIVIDUALES!$B$2:$B923,0),1),"CÓDIGO DE EXPEDIENTE INVÁLIDO"))</f>
        <v/>
      </c>
      <c r="I518" s="76"/>
      <c r="J518" s="76"/>
      <c r="K518" s="75"/>
      <c r="L518" s="74" t="str">
        <f>IF(A518="","",IF(K518="","",_xlfn.WORKDAY.INTL(K518,5,1,FERIADOS)))</f>
        <v/>
      </c>
      <c r="M518" s="76"/>
      <c r="N518" s="75"/>
      <c r="O518" s="76"/>
      <c r="P518" s="77" t="str">
        <f t="shared" si="3"/>
        <v/>
      </c>
      <c r="Q518" s="75"/>
      <c r="R518" s="76"/>
      <c r="S518" s="75"/>
      <c r="T518" s="75"/>
      <c r="U518" s="76"/>
      <c r="V518" s="76"/>
      <c r="W518" s="75"/>
      <c r="X518" s="76"/>
      <c r="Y518" s="29" t="str">
        <f t="shared" si="4"/>
        <v/>
      </c>
      <c r="Z518" s="29" t="str">
        <f t="shared" si="5"/>
        <v/>
      </c>
      <c r="AA518" s="76"/>
      <c r="AB518" s="76"/>
      <c r="AC518" s="75"/>
      <c r="AD518" s="75"/>
      <c r="AE518" s="78" t="str">
        <f>IF(U518="","",IF(AD518="","",_xlfn.WORKDAY.INTL(AD518,7,1,FERIADOS)))</f>
        <v/>
      </c>
      <c r="AF518" s="104"/>
      <c r="AG518" s="80" t="str">
        <f t="array" ref="AG518">IF(A518="","",IF(AF518="","",AF518*INDEX(PARAMETROS!F$2:F1581,MATCH(YEAR(AC518),PARAMETROS!E$2:E1581,0),1)))</f>
        <v/>
      </c>
      <c r="AH518" s="81"/>
      <c r="AI518" s="82"/>
      <c r="AJ518" s="81"/>
      <c r="AK518" s="81"/>
      <c r="AL518" s="76"/>
      <c r="AM518" s="75"/>
      <c r="AN518" s="76"/>
      <c r="AO518" s="95"/>
      <c r="AP518" s="96"/>
      <c r="AQ518" s="85" t="str">
        <f t="shared" si="6"/>
        <v/>
      </c>
      <c r="AR518" s="86" t="str">
        <f t="array" ref="AR518">IF(A518="","",IFERROR(INDEX('2) Etapas'!L$3:L923,MATCH(B518,'2) Etapas'!$A$4:$A923,0),1),-1))</f>
        <v/>
      </c>
      <c r="AS518" s="87" t="str">
        <f t="shared" si="7"/>
        <v/>
      </c>
      <c r="AT518" s="87" t="str">
        <f t="shared" si="8"/>
        <v/>
      </c>
      <c r="AU518" s="87" t="str">
        <f t="shared" si="9"/>
        <v/>
      </c>
      <c r="AV518" s="89" t="str">
        <f t="array" ref="AV518">IF(OR($A518="",$AB518="", $AC518=""),"",MAXA(IF($A518=$A$4:$A923,$AC$4:$AC923)))</f>
        <v/>
      </c>
    </row>
    <row r="519" ht="22.5" customHeight="1">
      <c r="A519" s="76"/>
      <c r="B519" s="68" t="str">
        <f t="shared" si="1"/>
        <v/>
      </c>
      <c r="C519" s="110"/>
      <c r="D519" s="70" t="str">
        <f t="shared" si="2"/>
        <v/>
      </c>
      <c r="E519" s="76"/>
      <c r="F519" s="68" t="str">
        <f t="array" ref="F519">IF($A519="","",IFERROR(INDEX(MA_INDIVIDUALES!C$2:C923, MATCH($A519,MA_INDIVIDUALES!$B$2:$B923,0),1),"CÓDIGO DE EXPEDIENTE INVÁLIDO"))</f>
        <v/>
      </c>
      <c r="G519" s="68" t="str">
        <f t="array" ref="G519">IF($A519="","",IFERROR(INDEX(MA_INDIVIDUALES!K$2:K923, MATCH($A519,MA_INDIVIDUALES!$B$2:$B923,0),1),"CÓDIGO DE EXPEDIENTE INVÁLIDO"))</f>
        <v/>
      </c>
      <c r="H519" s="68" t="str">
        <f t="array" ref="H519">IF($A519="","",IFERROR(INDEX(MA_INDIVIDUALES!L$2:L923, MATCH($A519,MA_INDIVIDUALES!$B$2:$B923,0),1),"CÓDIGO DE EXPEDIENTE INVÁLIDO"))</f>
        <v/>
      </c>
      <c r="I519" s="76"/>
      <c r="J519" s="76"/>
      <c r="K519" s="75"/>
      <c r="L519" s="74" t="str">
        <f>IF(A519="","",IF(K519="","",_xlfn.WORKDAY.INTL(K519,5,1,FERIADOS)))</f>
        <v/>
      </c>
      <c r="M519" s="76"/>
      <c r="N519" s="75"/>
      <c r="O519" s="76"/>
      <c r="P519" s="77" t="str">
        <f t="shared" si="3"/>
        <v/>
      </c>
      <c r="Q519" s="75"/>
      <c r="R519" s="76"/>
      <c r="S519" s="75"/>
      <c r="T519" s="75"/>
      <c r="U519" s="76"/>
      <c r="V519" s="76"/>
      <c r="W519" s="75"/>
      <c r="X519" s="76"/>
      <c r="Y519" s="29" t="str">
        <f t="shared" si="4"/>
        <v/>
      </c>
      <c r="Z519" s="29" t="str">
        <f t="shared" si="5"/>
        <v/>
      </c>
      <c r="AA519" s="76"/>
      <c r="AB519" s="76"/>
      <c r="AC519" s="75"/>
      <c r="AD519" s="75"/>
      <c r="AE519" s="78" t="str">
        <f>IF(U519="","",IF(AD519="","",_xlfn.WORKDAY.INTL(AD519,7,1,FERIADOS)))</f>
        <v/>
      </c>
      <c r="AF519" s="104"/>
      <c r="AG519" s="80" t="str">
        <f t="array" ref="AG519">IF(A519="","",IF(AF519="","",AF519*INDEX(PARAMETROS!F$2:F1582,MATCH(YEAR(AC519),PARAMETROS!E$2:E1582,0),1)))</f>
        <v/>
      </c>
      <c r="AH519" s="81"/>
      <c r="AI519" s="82"/>
      <c r="AJ519" s="81"/>
      <c r="AK519" s="81"/>
      <c r="AL519" s="76"/>
      <c r="AM519" s="75"/>
      <c r="AN519" s="76"/>
      <c r="AO519" s="95"/>
      <c r="AP519" s="96"/>
      <c r="AQ519" s="85" t="str">
        <f t="shared" si="6"/>
        <v/>
      </c>
      <c r="AR519" s="86" t="str">
        <f t="array" ref="AR519">IF(A519="","",IFERROR(INDEX('2) Etapas'!L$3:L923,MATCH(B519,'2) Etapas'!$A$4:$A923,0),1),-1))</f>
        <v/>
      </c>
      <c r="AS519" s="87" t="str">
        <f t="shared" si="7"/>
        <v/>
      </c>
      <c r="AT519" s="87" t="str">
        <f t="shared" si="8"/>
        <v/>
      </c>
      <c r="AU519" s="87" t="str">
        <f t="shared" si="9"/>
        <v/>
      </c>
      <c r="AV519" s="89" t="str">
        <f t="array" ref="AV519">IF(OR($A519="",$AB519="", $AC519=""),"",MAXA(IF($A519=$A$4:$A923,$AC$4:$AC923)))</f>
        <v/>
      </c>
    </row>
    <row r="520" ht="22.5" customHeight="1">
      <c r="A520" s="76"/>
      <c r="B520" s="68" t="str">
        <f t="shared" si="1"/>
        <v/>
      </c>
      <c r="C520" s="110"/>
      <c r="D520" s="70" t="str">
        <f t="shared" si="2"/>
        <v/>
      </c>
      <c r="E520" s="76"/>
      <c r="F520" s="68" t="str">
        <f t="array" ref="F520">IF($A520="","",IFERROR(INDEX(MA_INDIVIDUALES!C$2:C923, MATCH($A520,MA_INDIVIDUALES!$B$2:$B923,0),1),"CÓDIGO DE EXPEDIENTE INVÁLIDO"))</f>
        <v/>
      </c>
      <c r="G520" s="68" t="str">
        <f t="array" ref="G520">IF($A520="","",IFERROR(INDEX(MA_INDIVIDUALES!K$2:K923, MATCH($A520,MA_INDIVIDUALES!$B$2:$B923,0),1),"CÓDIGO DE EXPEDIENTE INVÁLIDO"))</f>
        <v/>
      </c>
      <c r="H520" s="68" t="str">
        <f t="array" ref="H520">IF($A520="","",IFERROR(INDEX(MA_INDIVIDUALES!L$2:L923, MATCH($A520,MA_INDIVIDUALES!$B$2:$B923,0),1),"CÓDIGO DE EXPEDIENTE INVÁLIDO"))</f>
        <v/>
      </c>
      <c r="I520" s="76"/>
      <c r="J520" s="76"/>
      <c r="K520" s="75"/>
      <c r="L520" s="74" t="str">
        <f>IF(A520="","",IF(K520="","",_xlfn.WORKDAY.INTL(K520,5,1,FERIADOS)))</f>
        <v/>
      </c>
      <c r="M520" s="76"/>
      <c r="N520" s="75"/>
      <c r="O520" s="76"/>
      <c r="P520" s="77" t="str">
        <f t="shared" si="3"/>
        <v/>
      </c>
      <c r="Q520" s="75"/>
      <c r="R520" s="76"/>
      <c r="S520" s="75"/>
      <c r="T520" s="75"/>
      <c r="U520" s="76"/>
      <c r="V520" s="76"/>
      <c r="W520" s="75"/>
      <c r="X520" s="76"/>
      <c r="Y520" s="29" t="str">
        <f t="shared" si="4"/>
        <v/>
      </c>
      <c r="Z520" s="29" t="str">
        <f t="shared" si="5"/>
        <v/>
      </c>
      <c r="AA520" s="76"/>
      <c r="AB520" s="76"/>
      <c r="AC520" s="75"/>
      <c r="AD520" s="75"/>
      <c r="AE520" s="78" t="str">
        <f>IF(U520="","",IF(AD520="","",_xlfn.WORKDAY.INTL(AD520,7,1,FERIADOS)))</f>
        <v/>
      </c>
      <c r="AF520" s="104"/>
      <c r="AG520" s="80" t="str">
        <f t="array" ref="AG520">IF(A520="","",IF(AF520="","",AF520*INDEX(PARAMETROS!F$2:F1583,MATCH(YEAR(AC520),PARAMETROS!E$2:E1583,0),1)))</f>
        <v/>
      </c>
      <c r="AH520" s="81"/>
      <c r="AI520" s="82"/>
      <c r="AJ520" s="81"/>
      <c r="AK520" s="81"/>
      <c r="AL520" s="76"/>
      <c r="AM520" s="75"/>
      <c r="AN520" s="76"/>
      <c r="AO520" s="95"/>
      <c r="AP520" s="96"/>
      <c r="AQ520" s="85" t="str">
        <f t="shared" si="6"/>
        <v/>
      </c>
      <c r="AR520" s="86" t="str">
        <f t="array" ref="AR520">IF(A520="","",IFERROR(INDEX('2) Etapas'!L$3:L923,MATCH(B520,'2) Etapas'!$A$4:$A923,0),1),-1))</f>
        <v/>
      </c>
      <c r="AS520" s="87" t="str">
        <f t="shared" si="7"/>
        <v/>
      </c>
      <c r="AT520" s="87" t="str">
        <f t="shared" si="8"/>
        <v/>
      </c>
      <c r="AU520" s="87" t="str">
        <f t="shared" si="9"/>
        <v/>
      </c>
      <c r="AV520" s="89" t="str">
        <f t="array" ref="AV520">IF(OR($A520="",$AB520="", $AC520=""),"",MAXA(IF($A520=$A$4:$A923,$AC$4:$AC923)))</f>
        <v/>
      </c>
    </row>
    <row r="521" ht="22.5" customHeight="1">
      <c r="A521" s="76"/>
      <c r="B521" s="68" t="str">
        <f t="shared" si="1"/>
        <v/>
      </c>
      <c r="C521" s="110"/>
      <c r="D521" s="70" t="str">
        <f t="shared" si="2"/>
        <v/>
      </c>
      <c r="E521" s="76"/>
      <c r="F521" s="68" t="str">
        <f t="array" ref="F521">IF($A521="","",IFERROR(INDEX(MA_INDIVIDUALES!C$2:C923, MATCH($A521,MA_INDIVIDUALES!$B$2:$B923,0),1),"CÓDIGO DE EXPEDIENTE INVÁLIDO"))</f>
        <v/>
      </c>
      <c r="G521" s="68" t="str">
        <f t="array" ref="G521">IF($A521="","",IFERROR(INDEX(MA_INDIVIDUALES!K$2:K923, MATCH($A521,MA_INDIVIDUALES!$B$2:$B923,0),1),"CÓDIGO DE EXPEDIENTE INVÁLIDO"))</f>
        <v/>
      </c>
      <c r="H521" s="68" t="str">
        <f t="array" ref="H521">IF($A521="","",IFERROR(INDEX(MA_INDIVIDUALES!L$2:L923, MATCH($A521,MA_INDIVIDUALES!$B$2:$B923,0),1),"CÓDIGO DE EXPEDIENTE INVÁLIDO"))</f>
        <v/>
      </c>
      <c r="I521" s="76"/>
      <c r="J521" s="76"/>
      <c r="K521" s="75"/>
      <c r="L521" s="74" t="str">
        <f>IF(A521="","",IF(K521="","",_xlfn.WORKDAY.INTL(K521,5,1,FERIADOS)))</f>
        <v/>
      </c>
      <c r="M521" s="76"/>
      <c r="N521" s="75"/>
      <c r="O521" s="76"/>
      <c r="P521" s="77" t="str">
        <f t="shared" si="3"/>
        <v/>
      </c>
      <c r="Q521" s="75"/>
      <c r="R521" s="76"/>
      <c r="S521" s="75"/>
      <c r="T521" s="75"/>
      <c r="U521" s="76"/>
      <c r="V521" s="76"/>
      <c r="W521" s="75"/>
      <c r="X521" s="76"/>
      <c r="Y521" s="29" t="str">
        <f t="shared" si="4"/>
        <v/>
      </c>
      <c r="Z521" s="29" t="str">
        <f t="shared" si="5"/>
        <v/>
      </c>
      <c r="AA521" s="76"/>
      <c r="AB521" s="76"/>
      <c r="AC521" s="75"/>
      <c r="AD521" s="75"/>
      <c r="AE521" s="78" t="str">
        <f>IF(U521="","",IF(AD521="","",_xlfn.WORKDAY.INTL(AD521,7,1,FERIADOS)))</f>
        <v/>
      </c>
      <c r="AF521" s="104"/>
      <c r="AG521" s="80" t="str">
        <f t="array" ref="AG521">IF(A521="","",IF(AF521="","",AF521*INDEX(PARAMETROS!F$2:F1584,MATCH(YEAR(AC521),PARAMETROS!E$2:E1584,0),1)))</f>
        <v/>
      </c>
      <c r="AH521" s="81"/>
      <c r="AI521" s="82"/>
      <c r="AJ521" s="81"/>
      <c r="AK521" s="81"/>
      <c r="AL521" s="76"/>
      <c r="AM521" s="75"/>
      <c r="AN521" s="76"/>
      <c r="AO521" s="95"/>
      <c r="AP521" s="96"/>
      <c r="AQ521" s="85" t="str">
        <f t="shared" si="6"/>
        <v/>
      </c>
      <c r="AR521" s="86" t="str">
        <f t="array" ref="AR521">IF(A521="","",IFERROR(INDEX('2) Etapas'!L$3:L923,MATCH(B521,'2) Etapas'!$A$4:$A923,0),1),-1))</f>
        <v/>
      </c>
      <c r="AS521" s="87" t="str">
        <f t="shared" si="7"/>
        <v/>
      </c>
      <c r="AT521" s="87" t="str">
        <f t="shared" si="8"/>
        <v/>
      </c>
      <c r="AU521" s="87" t="str">
        <f t="shared" si="9"/>
        <v/>
      </c>
      <c r="AV521" s="89" t="str">
        <f t="array" ref="AV521">IF(OR($A521="",$AB521="", $AC521=""),"",MAXA(IF($A521=$A$4:$A923,$AC$4:$AC923)))</f>
        <v/>
      </c>
    </row>
    <row r="522" ht="22.5" customHeight="1">
      <c r="A522" s="76"/>
      <c r="B522" s="68" t="str">
        <f t="shared" si="1"/>
        <v/>
      </c>
      <c r="C522" s="110"/>
      <c r="D522" s="70" t="str">
        <f t="shared" si="2"/>
        <v/>
      </c>
      <c r="E522" s="76"/>
      <c r="F522" s="68" t="str">
        <f t="array" ref="F522">IF($A522="","",IFERROR(INDEX(MA_INDIVIDUALES!C$2:C923, MATCH($A522,MA_INDIVIDUALES!$B$2:$B923,0),1),"CÓDIGO DE EXPEDIENTE INVÁLIDO"))</f>
        <v/>
      </c>
      <c r="G522" s="68" t="str">
        <f t="array" ref="G522">IF($A522="","",IFERROR(INDEX(MA_INDIVIDUALES!K$2:K923, MATCH($A522,MA_INDIVIDUALES!$B$2:$B923,0),1),"CÓDIGO DE EXPEDIENTE INVÁLIDO"))</f>
        <v/>
      </c>
      <c r="H522" s="68" t="str">
        <f t="array" ref="H522">IF($A522="","",IFERROR(INDEX(MA_INDIVIDUALES!L$2:L923, MATCH($A522,MA_INDIVIDUALES!$B$2:$B923,0),1),"CÓDIGO DE EXPEDIENTE INVÁLIDO"))</f>
        <v/>
      </c>
      <c r="I522" s="76"/>
      <c r="J522" s="76"/>
      <c r="K522" s="75"/>
      <c r="L522" s="74" t="str">
        <f>IF(A522="","",IF(K522="","",_xlfn.WORKDAY.INTL(K522,5,1,FERIADOS)))</f>
        <v/>
      </c>
      <c r="M522" s="76"/>
      <c r="N522" s="75"/>
      <c r="O522" s="76"/>
      <c r="P522" s="77" t="str">
        <f t="shared" si="3"/>
        <v/>
      </c>
      <c r="Q522" s="75"/>
      <c r="R522" s="76"/>
      <c r="S522" s="75"/>
      <c r="T522" s="75"/>
      <c r="U522" s="76"/>
      <c r="V522" s="76"/>
      <c r="W522" s="75"/>
      <c r="X522" s="76"/>
      <c r="Y522" s="29" t="str">
        <f t="shared" si="4"/>
        <v/>
      </c>
      <c r="Z522" s="29" t="str">
        <f t="shared" si="5"/>
        <v/>
      </c>
      <c r="AA522" s="76"/>
      <c r="AB522" s="76"/>
      <c r="AC522" s="75"/>
      <c r="AD522" s="75"/>
      <c r="AE522" s="78" t="str">
        <f>IF(U522="","",IF(AD522="","",_xlfn.WORKDAY.INTL(AD522,7,1,FERIADOS)))</f>
        <v/>
      </c>
      <c r="AF522" s="104"/>
      <c r="AG522" s="80" t="str">
        <f t="array" ref="AG522">IF(A522="","",IF(AF522="","",AF522*INDEX(PARAMETROS!F$2:F1585,MATCH(YEAR(AC522),PARAMETROS!E$2:E1585,0),1)))</f>
        <v/>
      </c>
      <c r="AH522" s="81"/>
      <c r="AI522" s="82"/>
      <c r="AJ522" s="81"/>
      <c r="AK522" s="81"/>
      <c r="AL522" s="76"/>
      <c r="AM522" s="75"/>
      <c r="AN522" s="76"/>
      <c r="AO522" s="95"/>
      <c r="AP522" s="96"/>
      <c r="AQ522" s="85" t="str">
        <f t="shared" si="6"/>
        <v/>
      </c>
      <c r="AR522" s="86" t="str">
        <f t="array" ref="AR522">IF(A522="","",IFERROR(INDEX('2) Etapas'!L$3:L923,MATCH(B522,'2) Etapas'!$A$4:$A923,0),1),-1))</f>
        <v/>
      </c>
      <c r="AS522" s="87" t="str">
        <f t="shared" si="7"/>
        <v/>
      </c>
      <c r="AT522" s="87" t="str">
        <f t="shared" si="8"/>
        <v/>
      </c>
      <c r="AU522" s="87" t="str">
        <f t="shared" si="9"/>
        <v/>
      </c>
      <c r="AV522" s="89" t="str">
        <f t="array" ref="AV522">IF(OR($A522="",$AB522="", $AC522=""),"",MAXA(IF($A522=$A$4:$A923,$AC$4:$AC923)))</f>
        <v/>
      </c>
    </row>
    <row r="523" ht="22.5" customHeight="1">
      <c r="A523" s="76"/>
      <c r="B523" s="68" t="str">
        <f t="shared" si="1"/>
        <v/>
      </c>
      <c r="C523" s="110"/>
      <c r="D523" s="70" t="str">
        <f t="shared" si="2"/>
        <v/>
      </c>
      <c r="E523" s="76"/>
      <c r="F523" s="68" t="str">
        <f t="array" ref="F523">IF($A523="","",IFERROR(INDEX(MA_INDIVIDUALES!C$2:C923, MATCH($A523,MA_INDIVIDUALES!$B$2:$B923,0),1),"CÓDIGO DE EXPEDIENTE INVÁLIDO"))</f>
        <v/>
      </c>
      <c r="G523" s="68" t="str">
        <f t="array" ref="G523">IF($A523="","",IFERROR(INDEX(MA_INDIVIDUALES!K$2:K923, MATCH($A523,MA_INDIVIDUALES!$B$2:$B923,0),1),"CÓDIGO DE EXPEDIENTE INVÁLIDO"))</f>
        <v/>
      </c>
      <c r="H523" s="68" t="str">
        <f t="array" ref="H523">IF($A523="","",IFERROR(INDEX(MA_INDIVIDUALES!L$2:L923, MATCH($A523,MA_INDIVIDUALES!$B$2:$B923,0),1),"CÓDIGO DE EXPEDIENTE INVÁLIDO"))</f>
        <v/>
      </c>
      <c r="I523" s="76"/>
      <c r="J523" s="76"/>
      <c r="K523" s="75"/>
      <c r="L523" s="74" t="str">
        <f>IF(A523="","",IF(K523="","",_xlfn.WORKDAY.INTL(K523,5,1,FERIADOS)))</f>
        <v/>
      </c>
      <c r="M523" s="76"/>
      <c r="N523" s="75"/>
      <c r="O523" s="76"/>
      <c r="P523" s="77" t="str">
        <f t="shared" si="3"/>
        <v/>
      </c>
      <c r="Q523" s="75"/>
      <c r="R523" s="76"/>
      <c r="S523" s="75"/>
      <c r="T523" s="75"/>
      <c r="U523" s="76"/>
      <c r="V523" s="76"/>
      <c r="W523" s="75"/>
      <c r="X523" s="76"/>
      <c r="Y523" s="29" t="str">
        <f t="shared" si="4"/>
        <v/>
      </c>
      <c r="Z523" s="29" t="str">
        <f t="shared" si="5"/>
        <v/>
      </c>
      <c r="AA523" s="76"/>
      <c r="AB523" s="76"/>
      <c r="AC523" s="75"/>
      <c r="AD523" s="75"/>
      <c r="AE523" s="78" t="str">
        <f>IF(U523="","",IF(AD523="","",_xlfn.WORKDAY.INTL(AD523,7,1,FERIADOS)))</f>
        <v/>
      </c>
      <c r="AF523" s="104"/>
      <c r="AG523" s="80" t="str">
        <f t="array" ref="AG523">IF(A523="","",IF(AF523="","",AF523*INDEX(PARAMETROS!F$2:F1586,MATCH(YEAR(AC523),PARAMETROS!E$2:E1586,0),1)))</f>
        <v/>
      </c>
      <c r="AH523" s="81"/>
      <c r="AI523" s="82"/>
      <c r="AJ523" s="81"/>
      <c r="AK523" s="81"/>
      <c r="AL523" s="76"/>
      <c r="AM523" s="75"/>
      <c r="AN523" s="76"/>
      <c r="AO523" s="95"/>
      <c r="AP523" s="96"/>
      <c r="AQ523" s="85" t="str">
        <f t="shared" si="6"/>
        <v/>
      </c>
      <c r="AR523" s="86" t="str">
        <f t="array" ref="AR523">IF(A523="","",IFERROR(INDEX('2) Etapas'!L$3:L923,MATCH(B523,'2) Etapas'!$A$4:$A923,0),1),-1))</f>
        <v/>
      </c>
      <c r="AS523" s="87" t="str">
        <f t="shared" si="7"/>
        <v/>
      </c>
      <c r="AT523" s="87" t="str">
        <f t="shared" si="8"/>
        <v/>
      </c>
      <c r="AU523" s="87" t="str">
        <f t="shared" si="9"/>
        <v/>
      </c>
      <c r="AV523" s="89" t="str">
        <f t="array" ref="AV523">IF(OR($A523="",$AB523="", $AC523=""),"",MAXA(IF($A523=$A$4:$A923,$AC$4:$AC923)))</f>
        <v/>
      </c>
    </row>
    <row r="524" ht="22.5" customHeight="1">
      <c r="A524" s="76"/>
      <c r="B524" s="68" t="str">
        <f t="shared" si="1"/>
        <v/>
      </c>
      <c r="C524" s="110"/>
      <c r="D524" s="70" t="str">
        <f t="shared" si="2"/>
        <v/>
      </c>
      <c r="E524" s="76"/>
      <c r="F524" s="68" t="str">
        <f t="array" ref="F524">IF($A524="","",IFERROR(INDEX(MA_INDIVIDUALES!C$2:C923, MATCH($A524,MA_INDIVIDUALES!$B$2:$B923,0),1),"CÓDIGO DE EXPEDIENTE INVÁLIDO"))</f>
        <v/>
      </c>
      <c r="G524" s="68" t="str">
        <f t="array" ref="G524">IF($A524="","",IFERROR(INDEX(MA_INDIVIDUALES!K$2:K923, MATCH($A524,MA_INDIVIDUALES!$B$2:$B923,0),1),"CÓDIGO DE EXPEDIENTE INVÁLIDO"))</f>
        <v/>
      </c>
      <c r="H524" s="68" t="str">
        <f t="array" ref="H524">IF($A524="","",IFERROR(INDEX(MA_INDIVIDUALES!L$2:L923, MATCH($A524,MA_INDIVIDUALES!$B$2:$B923,0),1),"CÓDIGO DE EXPEDIENTE INVÁLIDO"))</f>
        <v/>
      </c>
      <c r="I524" s="76"/>
      <c r="J524" s="76"/>
      <c r="K524" s="75"/>
      <c r="L524" s="74" t="str">
        <f>IF(A524="","",IF(K524="","",_xlfn.WORKDAY.INTL(K524,5,1,FERIADOS)))</f>
        <v/>
      </c>
      <c r="M524" s="76"/>
      <c r="N524" s="75"/>
      <c r="O524" s="76"/>
      <c r="P524" s="77" t="str">
        <f t="shared" si="3"/>
        <v/>
      </c>
      <c r="Q524" s="75"/>
      <c r="R524" s="76"/>
      <c r="S524" s="75"/>
      <c r="T524" s="75"/>
      <c r="U524" s="76"/>
      <c r="V524" s="76"/>
      <c r="W524" s="75"/>
      <c r="X524" s="76"/>
      <c r="Y524" s="29" t="str">
        <f t="shared" si="4"/>
        <v/>
      </c>
      <c r="Z524" s="29" t="str">
        <f t="shared" si="5"/>
        <v/>
      </c>
      <c r="AA524" s="76"/>
      <c r="AB524" s="76"/>
      <c r="AC524" s="75"/>
      <c r="AD524" s="75"/>
      <c r="AE524" s="78" t="str">
        <f>IF(U524="","",IF(AD524="","",_xlfn.WORKDAY.INTL(AD524,7,1,FERIADOS)))</f>
        <v/>
      </c>
      <c r="AF524" s="104"/>
      <c r="AG524" s="80" t="str">
        <f t="array" ref="AG524">IF(A524="","",IF(AF524="","",AF524*INDEX(PARAMETROS!F$2:F1587,MATCH(YEAR(AC524),PARAMETROS!E$2:E1587,0),1)))</f>
        <v/>
      </c>
      <c r="AH524" s="81"/>
      <c r="AI524" s="82"/>
      <c r="AJ524" s="81"/>
      <c r="AK524" s="81"/>
      <c r="AL524" s="76"/>
      <c r="AM524" s="75"/>
      <c r="AN524" s="76"/>
      <c r="AO524" s="95"/>
      <c r="AP524" s="96"/>
      <c r="AQ524" s="85" t="str">
        <f t="shared" si="6"/>
        <v/>
      </c>
      <c r="AR524" s="86" t="str">
        <f t="array" ref="AR524">IF(A524="","",IFERROR(INDEX('2) Etapas'!L$3:L923,MATCH(B524,'2) Etapas'!$A$4:$A923,0),1),-1))</f>
        <v/>
      </c>
      <c r="AS524" s="87" t="str">
        <f t="shared" si="7"/>
        <v/>
      </c>
      <c r="AT524" s="87" t="str">
        <f t="shared" si="8"/>
        <v/>
      </c>
      <c r="AU524" s="87" t="str">
        <f t="shared" si="9"/>
        <v/>
      </c>
      <c r="AV524" s="89" t="str">
        <f t="array" ref="AV524">IF(OR($A524="",$AB524="", $AC524=""),"",MAXA(IF($A524=$A$4:$A923,$AC$4:$AC923)))</f>
        <v/>
      </c>
    </row>
    <row r="525" ht="22.5" customHeight="1">
      <c r="A525" s="76"/>
      <c r="B525" s="68" t="str">
        <f t="shared" si="1"/>
        <v/>
      </c>
      <c r="C525" s="110"/>
      <c r="D525" s="70" t="str">
        <f t="shared" si="2"/>
        <v/>
      </c>
      <c r="E525" s="76"/>
      <c r="F525" s="68" t="str">
        <f t="array" ref="F525">IF($A525="","",IFERROR(INDEX(MA_INDIVIDUALES!C$2:C923, MATCH($A525,MA_INDIVIDUALES!$B$2:$B923,0),1),"CÓDIGO DE EXPEDIENTE INVÁLIDO"))</f>
        <v/>
      </c>
      <c r="G525" s="68" t="str">
        <f t="array" ref="G525">IF($A525="","",IFERROR(INDEX(MA_INDIVIDUALES!K$2:K923, MATCH($A525,MA_INDIVIDUALES!$B$2:$B923,0),1),"CÓDIGO DE EXPEDIENTE INVÁLIDO"))</f>
        <v/>
      </c>
      <c r="H525" s="68" t="str">
        <f t="array" ref="H525">IF($A525="","",IFERROR(INDEX(MA_INDIVIDUALES!L$2:L923, MATCH($A525,MA_INDIVIDUALES!$B$2:$B923,0),1),"CÓDIGO DE EXPEDIENTE INVÁLIDO"))</f>
        <v/>
      </c>
      <c r="I525" s="76"/>
      <c r="J525" s="76"/>
      <c r="K525" s="75"/>
      <c r="L525" s="74" t="str">
        <f>IF(A525="","",IF(K525="","",_xlfn.WORKDAY.INTL(K525,5,1,FERIADOS)))</f>
        <v/>
      </c>
      <c r="M525" s="76"/>
      <c r="N525" s="75"/>
      <c r="O525" s="76"/>
      <c r="P525" s="77" t="str">
        <f t="shared" si="3"/>
        <v/>
      </c>
      <c r="Q525" s="75"/>
      <c r="R525" s="76"/>
      <c r="S525" s="75"/>
      <c r="T525" s="75"/>
      <c r="U525" s="76"/>
      <c r="V525" s="76"/>
      <c r="W525" s="75"/>
      <c r="X525" s="76"/>
      <c r="Y525" s="29" t="str">
        <f t="shared" si="4"/>
        <v/>
      </c>
      <c r="Z525" s="29" t="str">
        <f t="shared" si="5"/>
        <v/>
      </c>
      <c r="AA525" s="76"/>
      <c r="AB525" s="76"/>
      <c r="AC525" s="75"/>
      <c r="AD525" s="75"/>
      <c r="AE525" s="78" t="str">
        <f>IF(U525="","",IF(AD525="","",_xlfn.WORKDAY.INTL(AD525,7,1,FERIADOS)))</f>
        <v/>
      </c>
      <c r="AF525" s="104"/>
      <c r="AG525" s="80" t="str">
        <f t="array" ref="AG525">IF(A525="","",IF(AF525="","",AF525*INDEX(PARAMETROS!F$2:F1588,MATCH(YEAR(AC525),PARAMETROS!E$2:E1588,0),1)))</f>
        <v/>
      </c>
      <c r="AH525" s="81"/>
      <c r="AI525" s="82"/>
      <c r="AJ525" s="81"/>
      <c r="AK525" s="81"/>
      <c r="AL525" s="76"/>
      <c r="AM525" s="75"/>
      <c r="AN525" s="76"/>
      <c r="AO525" s="95"/>
      <c r="AP525" s="96"/>
      <c r="AQ525" s="85" t="str">
        <f t="shared" si="6"/>
        <v/>
      </c>
      <c r="AR525" s="86" t="str">
        <f t="array" ref="AR525">IF(A525="","",IFERROR(INDEX('2) Etapas'!L$3:L923,MATCH(B525,'2) Etapas'!$A$4:$A923,0),1),-1))</f>
        <v/>
      </c>
      <c r="AS525" s="87" t="str">
        <f t="shared" si="7"/>
        <v/>
      </c>
      <c r="AT525" s="87" t="str">
        <f t="shared" si="8"/>
        <v/>
      </c>
      <c r="AU525" s="87" t="str">
        <f t="shared" si="9"/>
        <v/>
      </c>
      <c r="AV525" s="89" t="str">
        <f t="array" ref="AV525">IF(OR($A525="",$AB525="", $AC525=""),"",MAXA(IF($A525=$A$4:$A923,$AC$4:$AC923)))</f>
        <v/>
      </c>
    </row>
    <row r="526" ht="22.5" customHeight="1">
      <c r="A526" s="76"/>
      <c r="B526" s="68" t="str">
        <f t="shared" si="1"/>
        <v/>
      </c>
      <c r="C526" s="110"/>
      <c r="D526" s="70" t="str">
        <f t="shared" si="2"/>
        <v/>
      </c>
      <c r="E526" s="76"/>
      <c r="F526" s="68" t="str">
        <f t="array" ref="F526">IF($A526="","",IFERROR(INDEX(MA_INDIVIDUALES!C$2:C923, MATCH($A526,MA_INDIVIDUALES!$B$2:$B923,0),1),"CÓDIGO DE EXPEDIENTE INVÁLIDO"))</f>
        <v/>
      </c>
      <c r="G526" s="68" t="str">
        <f t="array" ref="G526">IF($A526="","",IFERROR(INDEX(MA_INDIVIDUALES!K$2:K923, MATCH($A526,MA_INDIVIDUALES!$B$2:$B923,0),1),"CÓDIGO DE EXPEDIENTE INVÁLIDO"))</f>
        <v/>
      </c>
      <c r="H526" s="68" t="str">
        <f t="array" ref="H526">IF($A526="","",IFERROR(INDEX(MA_INDIVIDUALES!L$2:L923, MATCH($A526,MA_INDIVIDUALES!$B$2:$B923,0),1),"CÓDIGO DE EXPEDIENTE INVÁLIDO"))</f>
        <v/>
      </c>
      <c r="I526" s="76"/>
      <c r="J526" s="76"/>
      <c r="K526" s="75"/>
      <c r="L526" s="74" t="str">
        <f>IF(A526="","",IF(K526="","",_xlfn.WORKDAY.INTL(K526,5,1,FERIADOS)))</f>
        <v/>
      </c>
      <c r="M526" s="76"/>
      <c r="N526" s="75"/>
      <c r="O526" s="76"/>
      <c r="P526" s="77" t="str">
        <f t="shared" si="3"/>
        <v/>
      </c>
      <c r="Q526" s="75"/>
      <c r="R526" s="76"/>
      <c r="S526" s="75"/>
      <c r="T526" s="75"/>
      <c r="U526" s="76"/>
      <c r="V526" s="76"/>
      <c r="W526" s="75"/>
      <c r="X526" s="76"/>
      <c r="Y526" s="29" t="str">
        <f t="shared" si="4"/>
        <v/>
      </c>
      <c r="Z526" s="29" t="str">
        <f t="shared" si="5"/>
        <v/>
      </c>
      <c r="AA526" s="76"/>
      <c r="AB526" s="76"/>
      <c r="AC526" s="75"/>
      <c r="AD526" s="75"/>
      <c r="AE526" s="78" t="str">
        <f>IF(U526="","",IF(AD526="","",_xlfn.WORKDAY.INTL(AD526,7,1,FERIADOS)))</f>
        <v/>
      </c>
      <c r="AF526" s="104"/>
      <c r="AG526" s="80" t="str">
        <f t="array" ref="AG526">IF(A526="","",IF(AF526="","",AF526*INDEX(PARAMETROS!F$2:F1589,MATCH(YEAR(AC526),PARAMETROS!E$2:E1589,0),1)))</f>
        <v/>
      </c>
      <c r="AH526" s="81"/>
      <c r="AI526" s="82"/>
      <c r="AJ526" s="81"/>
      <c r="AK526" s="81"/>
      <c r="AL526" s="76"/>
      <c r="AM526" s="75"/>
      <c r="AN526" s="76"/>
      <c r="AO526" s="95"/>
      <c r="AP526" s="96"/>
      <c r="AQ526" s="85" t="str">
        <f t="shared" si="6"/>
        <v/>
      </c>
      <c r="AR526" s="86" t="str">
        <f t="array" ref="AR526">IF(A526="","",IFERROR(INDEX('2) Etapas'!L$3:L923,MATCH(B526,'2) Etapas'!$A$4:$A923,0),1),-1))</f>
        <v/>
      </c>
      <c r="AS526" s="87" t="str">
        <f t="shared" si="7"/>
        <v/>
      </c>
      <c r="AT526" s="87" t="str">
        <f t="shared" si="8"/>
        <v/>
      </c>
      <c r="AU526" s="87" t="str">
        <f t="shared" si="9"/>
        <v/>
      </c>
      <c r="AV526" s="89" t="str">
        <f t="array" ref="AV526">IF(OR($A526="",$AB526="", $AC526=""),"",MAXA(IF($A526=$A$4:$A923,$AC$4:$AC923)))</f>
        <v/>
      </c>
    </row>
    <row r="527" ht="22.5" customHeight="1">
      <c r="A527" s="76"/>
      <c r="B527" s="68" t="str">
        <f t="shared" si="1"/>
        <v/>
      </c>
      <c r="C527" s="110"/>
      <c r="D527" s="70" t="str">
        <f t="shared" si="2"/>
        <v/>
      </c>
      <c r="E527" s="76"/>
      <c r="F527" s="68" t="str">
        <f t="array" ref="F527">IF($A527="","",IFERROR(INDEX(MA_INDIVIDUALES!C$2:C923, MATCH($A527,MA_INDIVIDUALES!$B$2:$B923,0),1),"CÓDIGO DE EXPEDIENTE INVÁLIDO"))</f>
        <v/>
      </c>
      <c r="G527" s="68" t="str">
        <f t="array" ref="G527">IF($A527="","",IFERROR(INDEX(MA_INDIVIDUALES!K$2:K923, MATCH($A527,MA_INDIVIDUALES!$B$2:$B923,0),1),"CÓDIGO DE EXPEDIENTE INVÁLIDO"))</f>
        <v/>
      </c>
      <c r="H527" s="68" t="str">
        <f t="array" ref="H527">IF($A527="","",IFERROR(INDEX(MA_INDIVIDUALES!L$2:L923, MATCH($A527,MA_INDIVIDUALES!$B$2:$B923,0),1),"CÓDIGO DE EXPEDIENTE INVÁLIDO"))</f>
        <v/>
      </c>
      <c r="I527" s="76"/>
      <c r="J527" s="76"/>
      <c r="K527" s="75"/>
      <c r="L527" s="74" t="str">
        <f>IF(A527="","",IF(K527="","",_xlfn.WORKDAY.INTL(K527,5,1,FERIADOS)))</f>
        <v/>
      </c>
      <c r="M527" s="76"/>
      <c r="N527" s="75"/>
      <c r="O527" s="76"/>
      <c r="P527" s="77" t="str">
        <f t="shared" si="3"/>
        <v/>
      </c>
      <c r="Q527" s="75"/>
      <c r="R527" s="76"/>
      <c r="S527" s="75"/>
      <c r="T527" s="75"/>
      <c r="U527" s="76"/>
      <c r="V527" s="76"/>
      <c r="W527" s="75"/>
      <c r="X527" s="76"/>
      <c r="Y527" s="29" t="str">
        <f t="shared" si="4"/>
        <v/>
      </c>
      <c r="Z527" s="29" t="str">
        <f t="shared" si="5"/>
        <v/>
      </c>
      <c r="AA527" s="76"/>
      <c r="AB527" s="76"/>
      <c r="AC527" s="75"/>
      <c r="AD527" s="75"/>
      <c r="AE527" s="78" t="str">
        <f>IF(U527="","",IF(AD527="","",_xlfn.WORKDAY.INTL(AD527,7,1,FERIADOS)))</f>
        <v/>
      </c>
      <c r="AF527" s="104"/>
      <c r="AG527" s="80" t="str">
        <f t="array" ref="AG527">IF(A527="","",IF(AF527="","",AF527*INDEX(PARAMETROS!F$2:F1590,MATCH(YEAR(AC527),PARAMETROS!E$2:E1590,0),1)))</f>
        <v/>
      </c>
      <c r="AH527" s="81"/>
      <c r="AI527" s="82"/>
      <c r="AJ527" s="81"/>
      <c r="AK527" s="81"/>
      <c r="AL527" s="76"/>
      <c r="AM527" s="75"/>
      <c r="AN527" s="76"/>
      <c r="AO527" s="95"/>
      <c r="AP527" s="96"/>
      <c r="AQ527" s="85" t="str">
        <f t="shared" si="6"/>
        <v/>
      </c>
      <c r="AR527" s="86" t="str">
        <f t="array" ref="AR527">IF(A527="","",IFERROR(INDEX('2) Etapas'!L$3:L923,MATCH(B527,'2) Etapas'!$A$4:$A923,0),1),-1))</f>
        <v/>
      </c>
      <c r="AS527" s="87" t="str">
        <f t="shared" si="7"/>
        <v/>
      </c>
      <c r="AT527" s="87" t="str">
        <f t="shared" si="8"/>
        <v/>
      </c>
      <c r="AU527" s="87" t="str">
        <f t="shared" si="9"/>
        <v/>
      </c>
      <c r="AV527" s="89" t="str">
        <f t="array" ref="AV527">IF(OR($A527="",$AB527="", $AC527=""),"",MAXA(IF($A527=$A$4:$A923,$AC$4:$AC923)))</f>
        <v/>
      </c>
    </row>
    <row r="528" ht="22.5" customHeight="1">
      <c r="A528" s="76"/>
      <c r="B528" s="68" t="str">
        <f t="shared" si="1"/>
        <v/>
      </c>
      <c r="C528" s="110"/>
      <c r="D528" s="70" t="str">
        <f t="shared" si="2"/>
        <v/>
      </c>
      <c r="E528" s="76"/>
      <c r="F528" s="68" t="str">
        <f t="array" ref="F528">IF($A528="","",IFERROR(INDEX(MA_INDIVIDUALES!C$2:C923, MATCH($A528,MA_INDIVIDUALES!$B$2:$B923,0),1),"CÓDIGO DE EXPEDIENTE INVÁLIDO"))</f>
        <v/>
      </c>
      <c r="G528" s="68" t="str">
        <f t="array" ref="G528">IF($A528="","",IFERROR(INDEX(MA_INDIVIDUALES!K$2:K923, MATCH($A528,MA_INDIVIDUALES!$B$2:$B923,0),1),"CÓDIGO DE EXPEDIENTE INVÁLIDO"))</f>
        <v/>
      </c>
      <c r="H528" s="68" t="str">
        <f t="array" ref="H528">IF($A528="","",IFERROR(INDEX(MA_INDIVIDUALES!L$2:L923, MATCH($A528,MA_INDIVIDUALES!$B$2:$B923,0),1),"CÓDIGO DE EXPEDIENTE INVÁLIDO"))</f>
        <v/>
      </c>
      <c r="I528" s="76"/>
      <c r="J528" s="76"/>
      <c r="K528" s="75"/>
      <c r="L528" s="74" t="str">
        <f>IF(A528="","",IF(K528="","",_xlfn.WORKDAY.INTL(K528,5,1,FERIADOS)))</f>
        <v/>
      </c>
      <c r="M528" s="76"/>
      <c r="N528" s="75"/>
      <c r="O528" s="76"/>
      <c r="P528" s="77" t="str">
        <f t="shared" si="3"/>
        <v/>
      </c>
      <c r="Q528" s="75"/>
      <c r="R528" s="76"/>
      <c r="S528" s="75"/>
      <c r="T528" s="75"/>
      <c r="U528" s="76"/>
      <c r="V528" s="76"/>
      <c r="W528" s="75"/>
      <c r="X528" s="76"/>
      <c r="Y528" s="29" t="str">
        <f t="shared" si="4"/>
        <v/>
      </c>
      <c r="Z528" s="29" t="str">
        <f t="shared" si="5"/>
        <v/>
      </c>
      <c r="AA528" s="76"/>
      <c r="AB528" s="76"/>
      <c r="AC528" s="75"/>
      <c r="AD528" s="75"/>
      <c r="AE528" s="78" t="str">
        <f>IF(U528="","",IF(AD528="","",_xlfn.WORKDAY.INTL(AD528,7,1,FERIADOS)))</f>
        <v/>
      </c>
      <c r="AF528" s="104"/>
      <c r="AG528" s="80" t="str">
        <f t="array" ref="AG528">IF(A528="","",IF(AF528="","",AF528*INDEX(PARAMETROS!F$2:F1591,MATCH(YEAR(AC528),PARAMETROS!E$2:E1591,0),1)))</f>
        <v/>
      </c>
      <c r="AH528" s="81"/>
      <c r="AI528" s="82"/>
      <c r="AJ528" s="81"/>
      <c r="AK528" s="81"/>
      <c r="AL528" s="76"/>
      <c r="AM528" s="75"/>
      <c r="AN528" s="76"/>
      <c r="AO528" s="95"/>
      <c r="AP528" s="96"/>
      <c r="AQ528" s="85" t="str">
        <f t="shared" si="6"/>
        <v/>
      </c>
      <c r="AR528" s="86" t="str">
        <f t="array" ref="AR528">IF(A528="","",IFERROR(INDEX('2) Etapas'!L$3:L923,MATCH(B528,'2) Etapas'!$A$4:$A923,0),1),-1))</f>
        <v/>
      </c>
      <c r="AS528" s="87" t="str">
        <f t="shared" si="7"/>
        <v/>
      </c>
      <c r="AT528" s="87" t="str">
        <f t="shared" si="8"/>
        <v/>
      </c>
      <c r="AU528" s="87" t="str">
        <f t="shared" si="9"/>
        <v/>
      </c>
      <c r="AV528" s="89" t="str">
        <f t="array" ref="AV528">IF(OR($A528="",$AB528="", $AC528=""),"",MAXA(IF($A528=$A$4:$A923,$AC$4:$AC923)))</f>
        <v/>
      </c>
    </row>
    <row r="529" ht="22.5" customHeight="1">
      <c r="A529" s="76"/>
      <c r="B529" s="68" t="str">
        <f t="shared" si="1"/>
        <v/>
      </c>
      <c r="C529" s="110"/>
      <c r="D529" s="70" t="str">
        <f t="shared" si="2"/>
        <v/>
      </c>
      <c r="E529" s="76"/>
      <c r="F529" s="68" t="str">
        <f t="array" ref="F529">IF($A529="","",IFERROR(INDEX(MA_INDIVIDUALES!C$2:C923, MATCH($A529,MA_INDIVIDUALES!$B$2:$B923,0),1),"CÓDIGO DE EXPEDIENTE INVÁLIDO"))</f>
        <v/>
      </c>
      <c r="G529" s="68" t="str">
        <f t="array" ref="G529">IF($A529="","",IFERROR(INDEX(MA_INDIVIDUALES!K$2:K923, MATCH($A529,MA_INDIVIDUALES!$B$2:$B923,0),1),"CÓDIGO DE EXPEDIENTE INVÁLIDO"))</f>
        <v/>
      </c>
      <c r="H529" s="68" t="str">
        <f t="array" ref="H529">IF($A529="","",IFERROR(INDEX(MA_INDIVIDUALES!L$2:L923, MATCH($A529,MA_INDIVIDUALES!$B$2:$B923,0),1),"CÓDIGO DE EXPEDIENTE INVÁLIDO"))</f>
        <v/>
      </c>
      <c r="I529" s="76"/>
      <c r="J529" s="76"/>
      <c r="K529" s="75"/>
      <c r="L529" s="74" t="str">
        <f>IF(A529="","",IF(K529="","",_xlfn.WORKDAY.INTL(K529,5,1,FERIADOS)))</f>
        <v/>
      </c>
      <c r="M529" s="76"/>
      <c r="N529" s="75"/>
      <c r="O529" s="76"/>
      <c r="P529" s="77" t="str">
        <f t="shared" si="3"/>
        <v/>
      </c>
      <c r="Q529" s="75"/>
      <c r="R529" s="76"/>
      <c r="S529" s="75"/>
      <c r="T529" s="75"/>
      <c r="U529" s="76"/>
      <c r="V529" s="76"/>
      <c r="W529" s="75"/>
      <c r="X529" s="76"/>
      <c r="Y529" s="29" t="str">
        <f t="shared" si="4"/>
        <v/>
      </c>
      <c r="Z529" s="29" t="str">
        <f t="shared" si="5"/>
        <v/>
      </c>
      <c r="AA529" s="76"/>
      <c r="AB529" s="76"/>
      <c r="AC529" s="75"/>
      <c r="AD529" s="75"/>
      <c r="AE529" s="78" t="str">
        <f>IF(U529="","",IF(AD529="","",_xlfn.WORKDAY.INTL(AD529,7,1,FERIADOS)))</f>
        <v/>
      </c>
      <c r="AF529" s="104"/>
      <c r="AG529" s="80" t="str">
        <f t="array" ref="AG529">IF(A529="","",IF(AF529="","",AF529*INDEX(PARAMETROS!F$2:F1592,MATCH(YEAR(AC529),PARAMETROS!E$2:E1592,0),1)))</f>
        <v/>
      </c>
      <c r="AH529" s="81"/>
      <c r="AI529" s="82"/>
      <c r="AJ529" s="81"/>
      <c r="AK529" s="81"/>
      <c r="AL529" s="76"/>
      <c r="AM529" s="75"/>
      <c r="AN529" s="76"/>
      <c r="AO529" s="95"/>
      <c r="AP529" s="96"/>
      <c r="AQ529" s="85" t="str">
        <f t="shared" si="6"/>
        <v/>
      </c>
      <c r="AR529" s="86" t="str">
        <f t="array" ref="AR529">IF(A529="","",IFERROR(INDEX('2) Etapas'!L$3:L923,MATCH(B529,'2) Etapas'!$A$4:$A923,0),1),-1))</f>
        <v/>
      </c>
      <c r="AS529" s="87" t="str">
        <f t="shared" si="7"/>
        <v/>
      </c>
      <c r="AT529" s="87" t="str">
        <f t="shared" si="8"/>
        <v/>
      </c>
      <c r="AU529" s="87" t="str">
        <f t="shared" si="9"/>
        <v/>
      </c>
      <c r="AV529" s="89" t="str">
        <f t="array" ref="AV529">IF(OR($A529="",$AB529="", $AC529=""),"",MAXA(IF($A529=$A$4:$A923,$AC$4:$AC923)))</f>
        <v/>
      </c>
    </row>
    <row r="530" ht="22.5" customHeight="1">
      <c r="A530" s="76"/>
      <c r="B530" s="68" t="str">
        <f t="shared" si="1"/>
        <v/>
      </c>
      <c r="C530" s="110"/>
      <c r="D530" s="70" t="str">
        <f t="shared" si="2"/>
        <v/>
      </c>
      <c r="E530" s="76"/>
      <c r="F530" s="68" t="str">
        <f t="array" ref="F530">IF($A530="","",IFERROR(INDEX(MA_INDIVIDUALES!C$2:C923, MATCH($A530,MA_INDIVIDUALES!$B$2:$B923,0),1),"CÓDIGO DE EXPEDIENTE INVÁLIDO"))</f>
        <v/>
      </c>
      <c r="G530" s="68" t="str">
        <f t="array" ref="G530">IF($A530="","",IFERROR(INDEX(MA_INDIVIDUALES!K$2:K923, MATCH($A530,MA_INDIVIDUALES!$B$2:$B923,0),1),"CÓDIGO DE EXPEDIENTE INVÁLIDO"))</f>
        <v/>
      </c>
      <c r="H530" s="68" t="str">
        <f t="array" ref="H530">IF($A530="","",IFERROR(INDEX(MA_INDIVIDUALES!L$2:L923, MATCH($A530,MA_INDIVIDUALES!$B$2:$B923,0),1),"CÓDIGO DE EXPEDIENTE INVÁLIDO"))</f>
        <v/>
      </c>
      <c r="I530" s="76"/>
      <c r="J530" s="76"/>
      <c r="K530" s="75"/>
      <c r="L530" s="74" t="str">
        <f>IF(A530="","",IF(K530="","",_xlfn.WORKDAY.INTL(K530,5,1,FERIADOS)))</f>
        <v/>
      </c>
      <c r="M530" s="76"/>
      <c r="N530" s="75"/>
      <c r="O530" s="76"/>
      <c r="P530" s="77" t="str">
        <f t="shared" si="3"/>
        <v/>
      </c>
      <c r="Q530" s="75"/>
      <c r="R530" s="76"/>
      <c r="S530" s="75"/>
      <c r="T530" s="75"/>
      <c r="U530" s="76"/>
      <c r="V530" s="76"/>
      <c r="W530" s="75"/>
      <c r="X530" s="76"/>
      <c r="Y530" s="29" t="str">
        <f t="shared" si="4"/>
        <v/>
      </c>
      <c r="Z530" s="29" t="str">
        <f t="shared" si="5"/>
        <v/>
      </c>
      <c r="AA530" s="76"/>
      <c r="AB530" s="76"/>
      <c r="AC530" s="75"/>
      <c r="AD530" s="75"/>
      <c r="AE530" s="78" t="str">
        <f>IF(U530="","",IF(AD530="","",_xlfn.WORKDAY.INTL(AD530,7,1,FERIADOS)))</f>
        <v/>
      </c>
      <c r="AF530" s="104"/>
      <c r="AG530" s="80" t="str">
        <f t="array" ref="AG530">IF(A530="","",IF(AF530="","",AF530*INDEX(PARAMETROS!F$2:F1593,MATCH(YEAR(AC530),PARAMETROS!E$2:E1593,0),1)))</f>
        <v/>
      </c>
      <c r="AH530" s="81"/>
      <c r="AI530" s="82"/>
      <c r="AJ530" s="81"/>
      <c r="AK530" s="81"/>
      <c r="AL530" s="76"/>
      <c r="AM530" s="75"/>
      <c r="AN530" s="76"/>
      <c r="AO530" s="95"/>
      <c r="AP530" s="96"/>
      <c r="AQ530" s="85" t="str">
        <f t="shared" si="6"/>
        <v/>
      </c>
      <c r="AR530" s="86" t="str">
        <f t="array" ref="AR530">IF(A530="","",IFERROR(INDEX('2) Etapas'!L$3:L923,MATCH(B530,'2) Etapas'!$A$4:$A923,0),1),-1))</f>
        <v/>
      </c>
      <c r="AS530" s="87" t="str">
        <f t="shared" si="7"/>
        <v/>
      </c>
      <c r="AT530" s="87" t="str">
        <f t="shared" si="8"/>
        <v/>
      </c>
      <c r="AU530" s="87" t="str">
        <f t="shared" si="9"/>
        <v/>
      </c>
      <c r="AV530" s="89" t="str">
        <f t="array" ref="AV530">IF(OR($A530="",$AB530="", $AC530=""),"",MAXA(IF($A530=$A$4:$A923,$AC$4:$AC923)))</f>
        <v/>
      </c>
    </row>
    <row r="531" ht="22.5" customHeight="1">
      <c r="A531" s="76"/>
      <c r="B531" s="68" t="str">
        <f t="shared" si="1"/>
        <v/>
      </c>
      <c r="C531" s="110"/>
      <c r="D531" s="70" t="str">
        <f t="shared" si="2"/>
        <v/>
      </c>
      <c r="E531" s="76"/>
      <c r="F531" s="68" t="str">
        <f t="array" ref="F531">IF($A531="","",IFERROR(INDEX(MA_INDIVIDUALES!C$2:C923, MATCH($A531,MA_INDIVIDUALES!$B$2:$B923,0),1),"CÓDIGO DE EXPEDIENTE INVÁLIDO"))</f>
        <v/>
      </c>
      <c r="G531" s="68" t="str">
        <f t="array" ref="G531">IF($A531="","",IFERROR(INDEX(MA_INDIVIDUALES!K$2:K923, MATCH($A531,MA_INDIVIDUALES!$B$2:$B923,0),1),"CÓDIGO DE EXPEDIENTE INVÁLIDO"))</f>
        <v/>
      </c>
      <c r="H531" s="68" t="str">
        <f t="array" ref="H531">IF($A531="","",IFERROR(INDEX(MA_INDIVIDUALES!L$2:L923, MATCH($A531,MA_INDIVIDUALES!$B$2:$B923,0),1),"CÓDIGO DE EXPEDIENTE INVÁLIDO"))</f>
        <v/>
      </c>
      <c r="I531" s="76"/>
      <c r="J531" s="76"/>
      <c r="K531" s="75"/>
      <c r="L531" s="74" t="str">
        <f>IF(A531="","",IF(K531="","",_xlfn.WORKDAY.INTL(K531,5,1,FERIADOS)))</f>
        <v/>
      </c>
      <c r="M531" s="76"/>
      <c r="N531" s="75"/>
      <c r="O531" s="76"/>
      <c r="P531" s="77" t="str">
        <f t="shared" si="3"/>
        <v/>
      </c>
      <c r="Q531" s="75"/>
      <c r="R531" s="76"/>
      <c r="S531" s="75"/>
      <c r="T531" s="75"/>
      <c r="U531" s="76"/>
      <c r="V531" s="76"/>
      <c r="W531" s="75"/>
      <c r="X531" s="76"/>
      <c r="Y531" s="29" t="str">
        <f t="shared" si="4"/>
        <v/>
      </c>
      <c r="Z531" s="29" t="str">
        <f t="shared" si="5"/>
        <v/>
      </c>
      <c r="AA531" s="76"/>
      <c r="AB531" s="76"/>
      <c r="AC531" s="75"/>
      <c r="AD531" s="75"/>
      <c r="AE531" s="78" t="str">
        <f>IF(U531="","",IF(AD531="","",_xlfn.WORKDAY.INTL(AD531,7,1,FERIADOS)))</f>
        <v/>
      </c>
      <c r="AF531" s="104"/>
      <c r="AG531" s="80" t="str">
        <f t="array" ref="AG531">IF(A531="","",IF(AF531="","",AF531*INDEX(PARAMETROS!F$2:F1594,MATCH(YEAR(AC531),PARAMETROS!E$2:E1594,0),1)))</f>
        <v/>
      </c>
      <c r="AH531" s="81"/>
      <c r="AI531" s="82"/>
      <c r="AJ531" s="81"/>
      <c r="AK531" s="81"/>
      <c r="AL531" s="76"/>
      <c r="AM531" s="75"/>
      <c r="AN531" s="76"/>
      <c r="AO531" s="95"/>
      <c r="AP531" s="96"/>
      <c r="AQ531" s="85" t="str">
        <f t="shared" si="6"/>
        <v/>
      </c>
      <c r="AR531" s="86" t="str">
        <f t="array" ref="AR531">IF(A531="","",IFERROR(INDEX('2) Etapas'!L$3:L923,MATCH(B531,'2) Etapas'!$A$4:$A923,0),1),-1))</f>
        <v/>
      </c>
      <c r="AS531" s="87" t="str">
        <f t="shared" si="7"/>
        <v/>
      </c>
      <c r="AT531" s="87" t="str">
        <f t="shared" si="8"/>
        <v/>
      </c>
      <c r="AU531" s="87" t="str">
        <f t="shared" si="9"/>
        <v/>
      </c>
      <c r="AV531" s="89" t="str">
        <f t="array" ref="AV531">IF(OR($A531="",$AB531="", $AC531=""),"",MAXA(IF($A531=$A$4:$A923,$AC$4:$AC923)))</f>
        <v/>
      </c>
    </row>
    <row r="532" ht="22.5" customHeight="1">
      <c r="A532" s="76"/>
      <c r="B532" s="68" t="str">
        <f t="shared" si="1"/>
        <v/>
      </c>
      <c r="C532" s="110"/>
      <c r="D532" s="70" t="str">
        <f t="shared" si="2"/>
        <v/>
      </c>
      <c r="E532" s="76"/>
      <c r="F532" s="68" t="str">
        <f t="array" ref="F532">IF($A532="","",IFERROR(INDEX(MA_INDIVIDUALES!C$2:C923, MATCH($A532,MA_INDIVIDUALES!$B$2:$B923,0),1),"CÓDIGO DE EXPEDIENTE INVÁLIDO"))</f>
        <v/>
      </c>
      <c r="G532" s="68" t="str">
        <f t="array" ref="G532">IF($A532="","",IFERROR(INDEX(MA_INDIVIDUALES!K$2:K923, MATCH($A532,MA_INDIVIDUALES!$B$2:$B923,0),1),"CÓDIGO DE EXPEDIENTE INVÁLIDO"))</f>
        <v/>
      </c>
      <c r="H532" s="68" t="str">
        <f t="array" ref="H532">IF($A532="","",IFERROR(INDEX(MA_INDIVIDUALES!L$2:L923, MATCH($A532,MA_INDIVIDUALES!$B$2:$B923,0),1),"CÓDIGO DE EXPEDIENTE INVÁLIDO"))</f>
        <v/>
      </c>
      <c r="I532" s="76"/>
      <c r="J532" s="76"/>
      <c r="K532" s="75"/>
      <c r="L532" s="74" t="str">
        <f>IF(A532="","",IF(K532="","",_xlfn.WORKDAY.INTL(K532,5,1,FERIADOS)))</f>
        <v/>
      </c>
      <c r="M532" s="76"/>
      <c r="N532" s="75"/>
      <c r="O532" s="76"/>
      <c r="P532" s="77" t="str">
        <f t="shared" si="3"/>
        <v/>
      </c>
      <c r="Q532" s="75"/>
      <c r="R532" s="76"/>
      <c r="S532" s="75"/>
      <c r="T532" s="75"/>
      <c r="U532" s="76"/>
      <c r="V532" s="76"/>
      <c r="W532" s="75"/>
      <c r="X532" s="76"/>
      <c r="Y532" s="29" t="str">
        <f t="shared" si="4"/>
        <v/>
      </c>
      <c r="Z532" s="29" t="str">
        <f t="shared" si="5"/>
        <v/>
      </c>
      <c r="AA532" s="76"/>
      <c r="AB532" s="76"/>
      <c r="AC532" s="75"/>
      <c r="AD532" s="75"/>
      <c r="AE532" s="78" t="str">
        <f>IF(U532="","",IF(AD532="","",_xlfn.WORKDAY.INTL(AD532,7,1,FERIADOS)))</f>
        <v/>
      </c>
      <c r="AF532" s="104"/>
      <c r="AG532" s="80" t="str">
        <f t="array" ref="AG532">IF(A532="","",IF(AF532="","",AF532*INDEX(PARAMETROS!F$2:F1595,MATCH(YEAR(AC532),PARAMETROS!E$2:E1595,0),1)))</f>
        <v/>
      </c>
      <c r="AH532" s="81"/>
      <c r="AI532" s="82"/>
      <c r="AJ532" s="81"/>
      <c r="AK532" s="81"/>
      <c r="AL532" s="76"/>
      <c r="AM532" s="75"/>
      <c r="AN532" s="76"/>
      <c r="AO532" s="95"/>
      <c r="AP532" s="96"/>
      <c r="AQ532" s="85" t="str">
        <f t="shared" si="6"/>
        <v/>
      </c>
      <c r="AR532" s="86" t="str">
        <f t="array" ref="AR532">IF(A532="","",IFERROR(INDEX('2) Etapas'!L$3:L923,MATCH(B532,'2) Etapas'!$A$4:$A923,0),1),-1))</f>
        <v/>
      </c>
      <c r="AS532" s="87" t="str">
        <f t="shared" si="7"/>
        <v/>
      </c>
      <c r="AT532" s="87" t="str">
        <f t="shared" si="8"/>
        <v/>
      </c>
      <c r="AU532" s="87" t="str">
        <f t="shared" si="9"/>
        <v/>
      </c>
      <c r="AV532" s="89" t="str">
        <f t="array" ref="AV532">IF(OR($A532="",$AB532="", $AC532=""),"",MAXA(IF($A532=$A$4:$A923,$AC$4:$AC923)))</f>
        <v/>
      </c>
    </row>
    <row r="533" ht="22.5" customHeight="1">
      <c r="A533" s="76"/>
      <c r="B533" s="68" t="str">
        <f t="shared" si="1"/>
        <v/>
      </c>
      <c r="C533" s="110"/>
      <c r="D533" s="70" t="str">
        <f t="shared" si="2"/>
        <v/>
      </c>
      <c r="E533" s="76"/>
      <c r="F533" s="68" t="str">
        <f t="array" ref="F533">IF($A533="","",IFERROR(INDEX(MA_INDIVIDUALES!C$2:C923, MATCH($A533,MA_INDIVIDUALES!$B$2:$B923,0),1),"CÓDIGO DE EXPEDIENTE INVÁLIDO"))</f>
        <v/>
      </c>
      <c r="G533" s="68" t="str">
        <f t="array" ref="G533">IF($A533="","",IFERROR(INDEX(MA_INDIVIDUALES!K$2:K923, MATCH($A533,MA_INDIVIDUALES!$B$2:$B923,0),1),"CÓDIGO DE EXPEDIENTE INVÁLIDO"))</f>
        <v/>
      </c>
      <c r="H533" s="68" t="str">
        <f t="array" ref="H533">IF($A533="","",IFERROR(INDEX(MA_INDIVIDUALES!L$2:L923, MATCH($A533,MA_INDIVIDUALES!$B$2:$B923,0),1),"CÓDIGO DE EXPEDIENTE INVÁLIDO"))</f>
        <v/>
      </c>
      <c r="I533" s="76"/>
      <c r="J533" s="76"/>
      <c r="K533" s="75"/>
      <c r="L533" s="74" t="str">
        <f>IF(A533="","",IF(K533="","",_xlfn.WORKDAY.INTL(K533,5,1,FERIADOS)))</f>
        <v/>
      </c>
      <c r="M533" s="76"/>
      <c r="N533" s="75"/>
      <c r="O533" s="76"/>
      <c r="P533" s="77" t="str">
        <f t="shared" si="3"/>
        <v/>
      </c>
      <c r="Q533" s="75"/>
      <c r="R533" s="76"/>
      <c r="S533" s="75"/>
      <c r="T533" s="75"/>
      <c r="U533" s="76"/>
      <c r="V533" s="76"/>
      <c r="W533" s="75"/>
      <c r="X533" s="76"/>
      <c r="Y533" s="29" t="str">
        <f t="shared" si="4"/>
        <v/>
      </c>
      <c r="Z533" s="29" t="str">
        <f t="shared" si="5"/>
        <v/>
      </c>
      <c r="AA533" s="76"/>
      <c r="AB533" s="76"/>
      <c r="AC533" s="75"/>
      <c r="AD533" s="75"/>
      <c r="AE533" s="78" t="str">
        <f>IF(U533="","",IF(AD533="","",_xlfn.WORKDAY.INTL(AD533,7,1,FERIADOS)))</f>
        <v/>
      </c>
      <c r="AF533" s="104"/>
      <c r="AG533" s="80" t="str">
        <f t="array" ref="AG533">IF(A533="","",IF(AF533="","",AF533*INDEX(PARAMETROS!F$2:F1596,MATCH(YEAR(AC533),PARAMETROS!E$2:E1596,0),1)))</f>
        <v/>
      </c>
      <c r="AH533" s="81"/>
      <c r="AI533" s="82"/>
      <c r="AJ533" s="81"/>
      <c r="AK533" s="81"/>
      <c r="AL533" s="76"/>
      <c r="AM533" s="75"/>
      <c r="AN533" s="76"/>
      <c r="AO533" s="95"/>
      <c r="AP533" s="96"/>
      <c r="AQ533" s="85" t="str">
        <f t="shared" si="6"/>
        <v/>
      </c>
      <c r="AR533" s="86" t="str">
        <f t="array" ref="AR533">IF(A533="","",IFERROR(INDEX('2) Etapas'!L$3:L923,MATCH(B533,'2) Etapas'!$A$4:$A923,0),1),-1))</f>
        <v/>
      </c>
      <c r="AS533" s="87" t="str">
        <f t="shared" si="7"/>
        <v/>
      </c>
      <c r="AT533" s="87" t="str">
        <f t="shared" si="8"/>
        <v/>
      </c>
      <c r="AU533" s="87" t="str">
        <f t="shared" si="9"/>
        <v/>
      </c>
      <c r="AV533" s="89" t="str">
        <f t="array" ref="AV533">IF(OR($A533="",$AB533="", $AC533=""),"",MAXA(IF($A533=$A$4:$A923,$AC$4:$AC923)))</f>
        <v/>
      </c>
    </row>
    <row r="534" ht="22.5" customHeight="1">
      <c r="A534" s="76"/>
      <c r="B534" s="68" t="str">
        <f t="shared" si="1"/>
        <v/>
      </c>
      <c r="C534" s="110"/>
      <c r="D534" s="70" t="str">
        <f t="shared" si="2"/>
        <v/>
      </c>
      <c r="E534" s="76"/>
      <c r="F534" s="68" t="str">
        <f t="array" ref="F534">IF($A534="","",IFERROR(INDEX(MA_INDIVIDUALES!C$2:C923, MATCH($A534,MA_INDIVIDUALES!$B$2:$B923,0),1),"CÓDIGO DE EXPEDIENTE INVÁLIDO"))</f>
        <v/>
      </c>
      <c r="G534" s="68" t="str">
        <f t="array" ref="G534">IF($A534="","",IFERROR(INDEX(MA_INDIVIDUALES!K$2:K923, MATCH($A534,MA_INDIVIDUALES!$B$2:$B923,0),1),"CÓDIGO DE EXPEDIENTE INVÁLIDO"))</f>
        <v/>
      </c>
      <c r="H534" s="68" t="str">
        <f t="array" ref="H534">IF($A534="","",IFERROR(INDEX(MA_INDIVIDUALES!L$2:L923, MATCH($A534,MA_INDIVIDUALES!$B$2:$B923,0),1),"CÓDIGO DE EXPEDIENTE INVÁLIDO"))</f>
        <v/>
      </c>
      <c r="I534" s="76"/>
      <c r="J534" s="76"/>
      <c r="K534" s="75"/>
      <c r="L534" s="74" t="str">
        <f>IF(A534="","",IF(K534="","",_xlfn.WORKDAY.INTL(K534,5,1,FERIADOS)))</f>
        <v/>
      </c>
      <c r="M534" s="76"/>
      <c r="N534" s="75"/>
      <c r="O534" s="76"/>
      <c r="P534" s="77" t="str">
        <f t="shared" si="3"/>
        <v/>
      </c>
      <c r="Q534" s="75"/>
      <c r="R534" s="76"/>
      <c r="S534" s="75"/>
      <c r="T534" s="75"/>
      <c r="U534" s="76"/>
      <c r="V534" s="76"/>
      <c r="W534" s="75"/>
      <c r="X534" s="76"/>
      <c r="Y534" s="29" t="str">
        <f t="shared" si="4"/>
        <v/>
      </c>
      <c r="Z534" s="29" t="str">
        <f t="shared" si="5"/>
        <v/>
      </c>
      <c r="AA534" s="76"/>
      <c r="AB534" s="76"/>
      <c r="AC534" s="75"/>
      <c r="AD534" s="75"/>
      <c r="AE534" s="78" t="str">
        <f>IF(U534="","",IF(AD534="","",_xlfn.WORKDAY.INTL(AD534,7,1,FERIADOS)))</f>
        <v/>
      </c>
      <c r="AF534" s="104"/>
      <c r="AG534" s="80" t="str">
        <f t="array" ref="AG534">IF(A534="","",IF(AF534="","",AF534*INDEX(PARAMETROS!F$2:F1597,MATCH(YEAR(AC534),PARAMETROS!E$2:E1597,0),1)))</f>
        <v/>
      </c>
      <c r="AH534" s="81"/>
      <c r="AI534" s="82"/>
      <c r="AJ534" s="81"/>
      <c r="AK534" s="81"/>
      <c r="AL534" s="76"/>
      <c r="AM534" s="75"/>
      <c r="AN534" s="76"/>
      <c r="AO534" s="95"/>
      <c r="AP534" s="96"/>
      <c r="AQ534" s="85" t="str">
        <f t="shared" si="6"/>
        <v/>
      </c>
      <c r="AR534" s="86" t="str">
        <f t="array" ref="AR534">IF(A534="","",IFERROR(INDEX('2) Etapas'!L$3:L923,MATCH(B534,'2) Etapas'!$A$4:$A923,0),1),-1))</f>
        <v/>
      </c>
      <c r="AS534" s="87" t="str">
        <f t="shared" si="7"/>
        <v/>
      </c>
      <c r="AT534" s="87" t="str">
        <f t="shared" si="8"/>
        <v/>
      </c>
      <c r="AU534" s="87" t="str">
        <f t="shared" si="9"/>
        <v/>
      </c>
      <c r="AV534" s="89" t="str">
        <f t="array" ref="AV534">IF(OR($A534="",$AB534="", $AC534=""),"",MAXA(IF($A534=$A$4:$A923,$AC$4:$AC923)))</f>
        <v/>
      </c>
    </row>
    <row r="535" ht="22.5" customHeight="1">
      <c r="A535" s="76"/>
      <c r="B535" s="68" t="str">
        <f t="shared" si="1"/>
        <v/>
      </c>
      <c r="C535" s="110"/>
      <c r="D535" s="70" t="str">
        <f t="shared" si="2"/>
        <v/>
      </c>
      <c r="E535" s="76"/>
      <c r="F535" s="68" t="str">
        <f t="array" ref="F535">IF($A535="","",IFERROR(INDEX(MA_INDIVIDUALES!C$2:C923, MATCH($A535,MA_INDIVIDUALES!$B$2:$B923,0),1),"CÓDIGO DE EXPEDIENTE INVÁLIDO"))</f>
        <v/>
      </c>
      <c r="G535" s="68" t="str">
        <f t="array" ref="G535">IF($A535="","",IFERROR(INDEX(MA_INDIVIDUALES!K$2:K923, MATCH($A535,MA_INDIVIDUALES!$B$2:$B923,0),1),"CÓDIGO DE EXPEDIENTE INVÁLIDO"))</f>
        <v/>
      </c>
      <c r="H535" s="68" t="str">
        <f t="array" ref="H535">IF($A535="","",IFERROR(INDEX(MA_INDIVIDUALES!L$2:L923, MATCH($A535,MA_INDIVIDUALES!$B$2:$B923,0),1),"CÓDIGO DE EXPEDIENTE INVÁLIDO"))</f>
        <v/>
      </c>
      <c r="I535" s="76"/>
      <c r="J535" s="76"/>
      <c r="K535" s="75"/>
      <c r="L535" s="74" t="str">
        <f>IF(A535="","",IF(K535="","",_xlfn.WORKDAY.INTL(K535,5,1,FERIADOS)))</f>
        <v/>
      </c>
      <c r="M535" s="76"/>
      <c r="N535" s="75"/>
      <c r="O535" s="76"/>
      <c r="P535" s="77" t="str">
        <f t="shared" si="3"/>
        <v/>
      </c>
      <c r="Q535" s="75"/>
      <c r="R535" s="76"/>
      <c r="S535" s="75"/>
      <c r="T535" s="75"/>
      <c r="U535" s="76"/>
      <c r="V535" s="76"/>
      <c r="W535" s="75"/>
      <c r="X535" s="76"/>
      <c r="Y535" s="29" t="str">
        <f t="shared" si="4"/>
        <v/>
      </c>
      <c r="Z535" s="29" t="str">
        <f t="shared" si="5"/>
        <v/>
      </c>
      <c r="AA535" s="76"/>
      <c r="AB535" s="76"/>
      <c r="AC535" s="75"/>
      <c r="AD535" s="75"/>
      <c r="AE535" s="78" t="str">
        <f>IF(U535="","",IF(AD535="","",_xlfn.WORKDAY.INTL(AD535,7,1,FERIADOS)))</f>
        <v/>
      </c>
      <c r="AF535" s="104"/>
      <c r="AG535" s="80" t="str">
        <f t="array" ref="AG535">IF(A535="","",IF(AF535="","",AF535*INDEX(PARAMETROS!F$2:F1598,MATCH(YEAR(AC535),PARAMETROS!E$2:E1598,0),1)))</f>
        <v/>
      </c>
      <c r="AH535" s="81"/>
      <c r="AI535" s="82"/>
      <c r="AJ535" s="81"/>
      <c r="AK535" s="81"/>
      <c r="AL535" s="76"/>
      <c r="AM535" s="75"/>
      <c r="AN535" s="76"/>
      <c r="AO535" s="95"/>
      <c r="AP535" s="96"/>
      <c r="AQ535" s="85" t="str">
        <f t="shared" si="6"/>
        <v/>
      </c>
      <c r="AR535" s="86" t="str">
        <f t="array" ref="AR535">IF(A535="","",IFERROR(INDEX('2) Etapas'!L$3:L923,MATCH(B535,'2) Etapas'!$A$4:$A923,0),1),-1))</f>
        <v/>
      </c>
      <c r="AS535" s="87" t="str">
        <f t="shared" si="7"/>
        <v/>
      </c>
      <c r="AT535" s="87" t="str">
        <f t="shared" si="8"/>
        <v/>
      </c>
      <c r="AU535" s="87" t="str">
        <f t="shared" si="9"/>
        <v/>
      </c>
      <c r="AV535" s="89" t="str">
        <f t="array" ref="AV535">IF(OR($A535="",$AB535="", $AC535=""),"",MAXA(IF($A535=$A$4:$A923,$AC$4:$AC923)))</f>
        <v/>
      </c>
    </row>
    <row r="536" ht="22.5" customHeight="1">
      <c r="A536" s="76"/>
      <c r="B536" s="68" t="str">
        <f t="shared" si="1"/>
        <v/>
      </c>
      <c r="C536" s="110"/>
      <c r="D536" s="70" t="str">
        <f t="shared" si="2"/>
        <v/>
      </c>
      <c r="E536" s="76"/>
      <c r="F536" s="68" t="str">
        <f t="array" ref="F536">IF($A536="","",IFERROR(INDEX(MA_INDIVIDUALES!C$2:C923, MATCH($A536,MA_INDIVIDUALES!$B$2:$B923,0),1),"CÓDIGO DE EXPEDIENTE INVÁLIDO"))</f>
        <v/>
      </c>
      <c r="G536" s="68" t="str">
        <f t="array" ref="G536">IF($A536="","",IFERROR(INDEX(MA_INDIVIDUALES!K$2:K923, MATCH($A536,MA_INDIVIDUALES!$B$2:$B923,0),1),"CÓDIGO DE EXPEDIENTE INVÁLIDO"))</f>
        <v/>
      </c>
      <c r="H536" s="68" t="str">
        <f t="array" ref="H536">IF($A536="","",IFERROR(INDEX(MA_INDIVIDUALES!L$2:L923, MATCH($A536,MA_INDIVIDUALES!$B$2:$B923,0),1),"CÓDIGO DE EXPEDIENTE INVÁLIDO"))</f>
        <v/>
      </c>
      <c r="I536" s="76"/>
      <c r="J536" s="76"/>
      <c r="K536" s="75"/>
      <c r="L536" s="74" t="str">
        <f>IF(A536="","",IF(K536="","",_xlfn.WORKDAY.INTL(K536,5,1,FERIADOS)))</f>
        <v/>
      </c>
      <c r="M536" s="76"/>
      <c r="N536" s="75"/>
      <c r="O536" s="76"/>
      <c r="P536" s="77" t="str">
        <f t="shared" si="3"/>
        <v/>
      </c>
      <c r="Q536" s="75"/>
      <c r="R536" s="76"/>
      <c r="S536" s="75"/>
      <c r="T536" s="75"/>
      <c r="U536" s="76"/>
      <c r="V536" s="76"/>
      <c r="W536" s="75"/>
      <c r="X536" s="76"/>
      <c r="Y536" s="29" t="str">
        <f t="shared" si="4"/>
        <v/>
      </c>
      <c r="Z536" s="29" t="str">
        <f t="shared" si="5"/>
        <v/>
      </c>
      <c r="AA536" s="76"/>
      <c r="AB536" s="76"/>
      <c r="AC536" s="75"/>
      <c r="AD536" s="75"/>
      <c r="AE536" s="78" t="str">
        <f>IF(U536="","",IF(AD536="","",_xlfn.WORKDAY.INTL(AD536,7,1,FERIADOS)))</f>
        <v/>
      </c>
      <c r="AF536" s="104"/>
      <c r="AG536" s="80" t="str">
        <f t="array" ref="AG536">IF(A536="","",IF(AF536="","",AF536*INDEX(PARAMETROS!F$2:F1599,MATCH(YEAR(AC536),PARAMETROS!E$2:E1599,0),1)))</f>
        <v/>
      </c>
      <c r="AH536" s="81"/>
      <c r="AI536" s="82"/>
      <c r="AJ536" s="81"/>
      <c r="AK536" s="81"/>
      <c r="AL536" s="76"/>
      <c r="AM536" s="75"/>
      <c r="AN536" s="76"/>
      <c r="AO536" s="95"/>
      <c r="AP536" s="96"/>
      <c r="AQ536" s="85" t="str">
        <f t="shared" si="6"/>
        <v/>
      </c>
      <c r="AR536" s="86" t="str">
        <f t="array" ref="AR536">IF(A536="","",IFERROR(INDEX('2) Etapas'!L$3:L923,MATCH(B536,'2) Etapas'!$A$4:$A923,0),1),-1))</f>
        <v/>
      </c>
      <c r="AS536" s="87" t="str">
        <f t="shared" si="7"/>
        <v/>
      </c>
      <c r="AT536" s="87" t="str">
        <f t="shared" si="8"/>
        <v/>
      </c>
      <c r="AU536" s="87" t="str">
        <f t="shared" si="9"/>
        <v/>
      </c>
      <c r="AV536" s="89" t="str">
        <f t="array" ref="AV536">IF(OR($A536="",$AB536="", $AC536=""),"",MAXA(IF($A536=$A$4:$A923,$AC$4:$AC923)))</f>
        <v/>
      </c>
    </row>
    <row r="537" ht="22.5" customHeight="1">
      <c r="A537" s="76"/>
      <c r="B537" s="68" t="str">
        <f t="shared" si="1"/>
        <v/>
      </c>
      <c r="C537" s="110"/>
      <c r="D537" s="70" t="str">
        <f t="shared" si="2"/>
        <v/>
      </c>
      <c r="E537" s="76"/>
      <c r="F537" s="68" t="str">
        <f t="array" ref="F537">IF($A537="","",IFERROR(INDEX(MA_INDIVIDUALES!C$2:C923, MATCH($A537,MA_INDIVIDUALES!$B$2:$B923,0),1),"CÓDIGO DE EXPEDIENTE INVÁLIDO"))</f>
        <v/>
      </c>
      <c r="G537" s="68" t="str">
        <f t="array" ref="G537">IF($A537="","",IFERROR(INDEX(MA_INDIVIDUALES!K$2:K923, MATCH($A537,MA_INDIVIDUALES!$B$2:$B923,0),1),"CÓDIGO DE EXPEDIENTE INVÁLIDO"))</f>
        <v/>
      </c>
      <c r="H537" s="68" t="str">
        <f t="array" ref="H537">IF($A537="","",IFERROR(INDEX(MA_INDIVIDUALES!L$2:L923, MATCH($A537,MA_INDIVIDUALES!$B$2:$B923,0),1),"CÓDIGO DE EXPEDIENTE INVÁLIDO"))</f>
        <v/>
      </c>
      <c r="I537" s="76"/>
      <c r="J537" s="76"/>
      <c r="K537" s="75"/>
      <c r="L537" s="74" t="str">
        <f>IF(A537="","",IF(K537="","",_xlfn.WORKDAY.INTL(K537,5,1,FERIADOS)))</f>
        <v/>
      </c>
      <c r="M537" s="76"/>
      <c r="N537" s="75"/>
      <c r="O537" s="76"/>
      <c r="P537" s="77" t="str">
        <f t="shared" si="3"/>
        <v/>
      </c>
      <c r="Q537" s="75"/>
      <c r="R537" s="76"/>
      <c r="S537" s="75"/>
      <c r="T537" s="75"/>
      <c r="U537" s="76"/>
      <c r="V537" s="76"/>
      <c r="W537" s="75"/>
      <c r="X537" s="76"/>
      <c r="Y537" s="29" t="str">
        <f t="shared" si="4"/>
        <v/>
      </c>
      <c r="Z537" s="29" t="str">
        <f t="shared" si="5"/>
        <v/>
      </c>
      <c r="AA537" s="76"/>
      <c r="AB537" s="76"/>
      <c r="AC537" s="75"/>
      <c r="AD537" s="75"/>
      <c r="AE537" s="78" t="str">
        <f>IF(U537="","",IF(AD537="","",_xlfn.WORKDAY.INTL(AD537,7,1,FERIADOS)))</f>
        <v/>
      </c>
      <c r="AF537" s="104"/>
      <c r="AG537" s="80" t="str">
        <f t="array" ref="AG537">IF(A537="","",IF(AF537="","",AF537*INDEX(PARAMETROS!F$2:F1600,MATCH(YEAR(AC537),PARAMETROS!E$2:E1600,0),1)))</f>
        <v/>
      </c>
      <c r="AH537" s="81"/>
      <c r="AI537" s="82"/>
      <c r="AJ537" s="81"/>
      <c r="AK537" s="81"/>
      <c r="AL537" s="76"/>
      <c r="AM537" s="75"/>
      <c r="AN537" s="76"/>
      <c r="AO537" s="95"/>
      <c r="AP537" s="96"/>
      <c r="AQ537" s="85" t="str">
        <f t="shared" si="6"/>
        <v/>
      </c>
      <c r="AR537" s="86" t="str">
        <f t="array" ref="AR537">IF(A537="","",IFERROR(INDEX('2) Etapas'!L$3:L923,MATCH(B537,'2) Etapas'!$A$4:$A923,0),1),-1))</f>
        <v/>
      </c>
      <c r="AS537" s="87" t="str">
        <f t="shared" si="7"/>
        <v/>
      </c>
      <c r="AT537" s="87" t="str">
        <f t="shared" si="8"/>
        <v/>
      </c>
      <c r="AU537" s="87" t="str">
        <f t="shared" si="9"/>
        <v/>
      </c>
      <c r="AV537" s="89" t="str">
        <f t="array" ref="AV537">IF(OR($A537="",$AB537="", $AC537=""),"",MAXA(IF($A537=$A$4:$A923,$AC$4:$AC923)))</f>
        <v/>
      </c>
    </row>
    <row r="538" ht="22.5" customHeight="1">
      <c r="A538" s="76"/>
      <c r="B538" s="68" t="str">
        <f t="shared" si="1"/>
        <v/>
      </c>
      <c r="C538" s="110"/>
      <c r="D538" s="70" t="str">
        <f t="shared" si="2"/>
        <v/>
      </c>
      <c r="E538" s="76"/>
      <c r="F538" s="68" t="str">
        <f t="array" ref="F538">IF($A538="","",IFERROR(INDEX(MA_INDIVIDUALES!C$2:C923, MATCH($A538,MA_INDIVIDUALES!$B$2:$B923,0),1),"CÓDIGO DE EXPEDIENTE INVÁLIDO"))</f>
        <v/>
      </c>
      <c r="G538" s="68" t="str">
        <f t="array" ref="G538">IF($A538="","",IFERROR(INDEX(MA_INDIVIDUALES!K$2:K923, MATCH($A538,MA_INDIVIDUALES!$B$2:$B923,0),1),"CÓDIGO DE EXPEDIENTE INVÁLIDO"))</f>
        <v/>
      </c>
      <c r="H538" s="68" t="str">
        <f t="array" ref="H538">IF($A538="","",IFERROR(INDEX(MA_INDIVIDUALES!L$2:L923, MATCH($A538,MA_INDIVIDUALES!$B$2:$B923,0),1),"CÓDIGO DE EXPEDIENTE INVÁLIDO"))</f>
        <v/>
      </c>
      <c r="I538" s="76"/>
      <c r="J538" s="76"/>
      <c r="K538" s="75"/>
      <c r="L538" s="74" t="str">
        <f>IF(A538="","",IF(K538="","",_xlfn.WORKDAY.INTL(K538,5,1,FERIADOS)))</f>
        <v/>
      </c>
      <c r="M538" s="76"/>
      <c r="N538" s="75"/>
      <c r="O538" s="76"/>
      <c r="P538" s="77" t="str">
        <f t="shared" si="3"/>
        <v/>
      </c>
      <c r="Q538" s="75"/>
      <c r="R538" s="76"/>
      <c r="S538" s="75"/>
      <c r="T538" s="75"/>
      <c r="U538" s="76"/>
      <c r="V538" s="76"/>
      <c r="W538" s="75"/>
      <c r="X538" s="76"/>
      <c r="Y538" s="29" t="str">
        <f t="shared" si="4"/>
        <v/>
      </c>
      <c r="Z538" s="29" t="str">
        <f t="shared" si="5"/>
        <v/>
      </c>
      <c r="AA538" s="76"/>
      <c r="AB538" s="76"/>
      <c r="AC538" s="75"/>
      <c r="AD538" s="75"/>
      <c r="AE538" s="78" t="str">
        <f>IF(U538="","",IF(AD538="","",_xlfn.WORKDAY.INTL(AD538,7,1,FERIADOS)))</f>
        <v/>
      </c>
      <c r="AF538" s="104"/>
      <c r="AG538" s="80" t="str">
        <f t="array" ref="AG538">IF(A538="","",IF(AF538="","",AF538*INDEX(PARAMETROS!F$2:F1601,MATCH(YEAR(AC538),PARAMETROS!E$2:E1601,0),1)))</f>
        <v/>
      </c>
      <c r="AH538" s="81"/>
      <c r="AI538" s="82"/>
      <c r="AJ538" s="81"/>
      <c r="AK538" s="81"/>
      <c r="AL538" s="76"/>
      <c r="AM538" s="75"/>
      <c r="AN538" s="76"/>
      <c r="AO538" s="95"/>
      <c r="AP538" s="96"/>
      <c r="AQ538" s="85" t="str">
        <f t="shared" si="6"/>
        <v/>
      </c>
      <c r="AR538" s="86" t="str">
        <f t="array" ref="AR538">IF(A538="","",IFERROR(INDEX('2) Etapas'!L$3:L923,MATCH(B538,'2) Etapas'!$A$4:$A923,0),1),-1))</f>
        <v/>
      </c>
      <c r="AS538" s="87" t="str">
        <f t="shared" si="7"/>
        <v/>
      </c>
      <c r="AT538" s="87" t="str">
        <f t="shared" si="8"/>
        <v/>
      </c>
      <c r="AU538" s="87" t="str">
        <f t="shared" si="9"/>
        <v/>
      </c>
      <c r="AV538" s="89" t="str">
        <f t="array" ref="AV538">IF(OR($A538="",$AB538="", $AC538=""),"",MAXA(IF($A538=$A$4:$A923,$AC$4:$AC923)))</f>
        <v/>
      </c>
    </row>
    <row r="539" ht="22.5" customHeight="1">
      <c r="A539" s="76"/>
      <c r="B539" s="68" t="str">
        <f t="shared" si="1"/>
        <v/>
      </c>
      <c r="C539" s="110"/>
      <c r="D539" s="70" t="str">
        <f t="shared" si="2"/>
        <v/>
      </c>
      <c r="E539" s="76"/>
      <c r="F539" s="68" t="str">
        <f t="array" ref="F539">IF($A539="","",IFERROR(INDEX(MA_INDIVIDUALES!C$2:C923, MATCH($A539,MA_INDIVIDUALES!$B$2:$B923,0),1),"CÓDIGO DE EXPEDIENTE INVÁLIDO"))</f>
        <v/>
      </c>
      <c r="G539" s="68" t="str">
        <f t="array" ref="G539">IF($A539="","",IFERROR(INDEX(MA_INDIVIDUALES!K$2:K923, MATCH($A539,MA_INDIVIDUALES!$B$2:$B923,0),1),"CÓDIGO DE EXPEDIENTE INVÁLIDO"))</f>
        <v/>
      </c>
      <c r="H539" s="68" t="str">
        <f t="array" ref="H539">IF($A539="","",IFERROR(INDEX(MA_INDIVIDUALES!L$2:L923, MATCH($A539,MA_INDIVIDUALES!$B$2:$B923,0),1),"CÓDIGO DE EXPEDIENTE INVÁLIDO"))</f>
        <v/>
      </c>
      <c r="I539" s="76"/>
      <c r="J539" s="76"/>
      <c r="K539" s="75"/>
      <c r="L539" s="74" t="str">
        <f>IF(A539="","",IF(K539="","",_xlfn.WORKDAY.INTL(K539,5,1,FERIADOS)))</f>
        <v/>
      </c>
      <c r="M539" s="76"/>
      <c r="N539" s="75"/>
      <c r="O539" s="76"/>
      <c r="P539" s="77" t="str">
        <f t="shared" si="3"/>
        <v/>
      </c>
      <c r="Q539" s="75"/>
      <c r="R539" s="76"/>
      <c r="S539" s="75"/>
      <c r="T539" s="75"/>
      <c r="U539" s="76"/>
      <c r="V539" s="76"/>
      <c r="W539" s="75"/>
      <c r="X539" s="76"/>
      <c r="Y539" s="29" t="str">
        <f t="shared" si="4"/>
        <v/>
      </c>
      <c r="Z539" s="29" t="str">
        <f t="shared" si="5"/>
        <v/>
      </c>
      <c r="AA539" s="76"/>
      <c r="AB539" s="76"/>
      <c r="AC539" s="75"/>
      <c r="AD539" s="75"/>
      <c r="AE539" s="78" t="str">
        <f>IF(U539="","",IF(AD539="","",_xlfn.WORKDAY.INTL(AD539,7,1,FERIADOS)))</f>
        <v/>
      </c>
      <c r="AF539" s="104"/>
      <c r="AG539" s="80" t="str">
        <f t="array" ref="AG539">IF(A539="","",IF(AF539="","",AF539*INDEX(PARAMETROS!F$2:F1602,MATCH(YEAR(AC539),PARAMETROS!E$2:E1602,0),1)))</f>
        <v/>
      </c>
      <c r="AH539" s="81"/>
      <c r="AI539" s="82"/>
      <c r="AJ539" s="81"/>
      <c r="AK539" s="81"/>
      <c r="AL539" s="76"/>
      <c r="AM539" s="75"/>
      <c r="AN539" s="76"/>
      <c r="AO539" s="95"/>
      <c r="AP539" s="96"/>
      <c r="AQ539" s="85" t="str">
        <f t="shared" si="6"/>
        <v/>
      </c>
      <c r="AR539" s="86" t="str">
        <f t="array" ref="AR539">IF(A539="","",IFERROR(INDEX('2) Etapas'!L$3:L923,MATCH(B539,'2) Etapas'!$A$4:$A923,0),1),-1))</f>
        <v/>
      </c>
      <c r="AS539" s="87" t="str">
        <f t="shared" si="7"/>
        <v/>
      </c>
      <c r="AT539" s="87" t="str">
        <f t="shared" si="8"/>
        <v/>
      </c>
      <c r="AU539" s="87" t="str">
        <f t="shared" si="9"/>
        <v/>
      </c>
      <c r="AV539" s="89" t="str">
        <f t="array" ref="AV539">IF(OR($A539="",$AB539="", $AC539=""),"",MAXA(IF($A539=$A$4:$A923,$AC$4:$AC923)))</f>
        <v/>
      </c>
    </row>
    <row r="540" ht="22.5" customHeight="1">
      <c r="A540" s="76"/>
      <c r="B540" s="68" t="str">
        <f t="shared" si="1"/>
        <v/>
      </c>
      <c r="C540" s="110"/>
      <c r="D540" s="70" t="str">
        <f t="shared" si="2"/>
        <v/>
      </c>
      <c r="E540" s="76"/>
      <c r="F540" s="68" t="str">
        <f t="array" ref="F540">IF($A540="","",IFERROR(INDEX(MA_INDIVIDUALES!C$2:C923, MATCH($A540,MA_INDIVIDUALES!$B$2:$B923,0),1),"CÓDIGO DE EXPEDIENTE INVÁLIDO"))</f>
        <v/>
      </c>
      <c r="G540" s="68" t="str">
        <f t="array" ref="G540">IF($A540="","",IFERROR(INDEX(MA_INDIVIDUALES!K$2:K923, MATCH($A540,MA_INDIVIDUALES!$B$2:$B923,0),1),"CÓDIGO DE EXPEDIENTE INVÁLIDO"))</f>
        <v/>
      </c>
      <c r="H540" s="68" t="str">
        <f t="array" ref="H540">IF($A540="","",IFERROR(INDEX(MA_INDIVIDUALES!L$2:L923, MATCH($A540,MA_INDIVIDUALES!$B$2:$B923,0),1),"CÓDIGO DE EXPEDIENTE INVÁLIDO"))</f>
        <v/>
      </c>
      <c r="I540" s="76"/>
      <c r="J540" s="76"/>
      <c r="K540" s="75"/>
      <c r="L540" s="74" t="str">
        <f>IF(A540="","",IF(K540="","",_xlfn.WORKDAY.INTL(K540,5,1,FERIADOS)))</f>
        <v/>
      </c>
      <c r="M540" s="76"/>
      <c r="N540" s="75"/>
      <c r="O540" s="76"/>
      <c r="P540" s="77" t="str">
        <f t="shared" si="3"/>
        <v/>
      </c>
      <c r="Q540" s="75"/>
      <c r="R540" s="76"/>
      <c r="S540" s="75"/>
      <c r="T540" s="75"/>
      <c r="U540" s="76"/>
      <c r="V540" s="76"/>
      <c r="W540" s="75"/>
      <c r="X540" s="76"/>
      <c r="Y540" s="29" t="str">
        <f t="shared" si="4"/>
        <v/>
      </c>
      <c r="Z540" s="29" t="str">
        <f t="shared" si="5"/>
        <v/>
      </c>
      <c r="AA540" s="76"/>
      <c r="AB540" s="76"/>
      <c r="AC540" s="75"/>
      <c r="AD540" s="75"/>
      <c r="AE540" s="78" t="str">
        <f>IF(U540="","",IF(AD540="","",_xlfn.WORKDAY.INTL(AD540,7,1,FERIADOS)))</f>
        <v/>
      </c>
      <c r="AF540" s="104"/>
      <c r="AG540" s="80" t="str">
        <f t="array" ref="AG540">IF(A540="","",IF(AF540="","",AF540*INDEX(PARAMETROS!F$2:F1603,MATCH(YEAR(AC540),PARAMETROS!E$2:E1603,0),1)))</f>
        <v/>
      </c>
      <c r="AH540" s="81"/>
      <c r="AI540" s="82"/>
      <c r="AJ540" s="81"/>
      <c r="AK540" s="81"/>
      <c r="AL540" s="76"/>
      <c r="AM540" s="75"/>
      <c r="AN540" s="76"/>
      <c r="AO540" s="95"/>
      <c r="AP540" s="96"/>
      <c r="AQ540" s="85" t="str">
        <f t="shared" si="6"/>
        <v/>
      </c>
      <c r="AR540" s="86" t="str">
        <f t="array" ref="AR540">IF(A540="","",IFERROR(INDEX('2) Etapas'!L$3:L923,MATCH(B540,'2) Etapas'!$A$4:$A923,0),1),-1))</f>
        <v/>
      </c>
      <c r="AS540" s="87" t="str">
        <f t="shared" si="7"/>
        <v/>
      </c>
      <c r="AT540" s="87" t="str">
        <f t="shared" si="8"/>
        <v/>
      </c>
      <c r="AU540" s="87" t="str">
        <f t="shared" si="9"/>
        <v/>
      </c>
      <c r="AV540" s="89" t="str">
        <f t="array" ref="AV540">IF(OR($A540="",$AB540="", $AC540=""),"",MAXA(IF($A540=$A$4:$A923,$AC$4:$AC923)))</f>
        <v/>
      </c>
    </row>
    <row r="541" ht="22.5" customHeight="1">
      <c r="A541" s="76"/>
      <c r="B541" s="68" t="str">
        <f t="shared" si="1"/>
        <v/>
      </c>
      <c r="C541" s="110"/>
      <c r="D541" s="70" t="str">
        <f t="shared" si="2"/>
        <v/>
      </c>
      <c r="E541" s="76"/>
      <c r="F541" s="68" t="str">
        <f t="array" ref="F541">IF($A541="","",IFERROR(INDEX(MA_INDIVIDUALES!C$2:C923, MATCH($A541,MA_INDIVIDUALES!$B$2:$B923,0),1),"CÓDIGO DE EXPEDIENTE INVÁLIDO"))</f>
        <v/>
      </c>
      <c r="G541" s="68" t="str">
        <f t="array" ref="G541">IF($A541="","",IFERROR(INDEX(MA_INDIVIDUALES!K$2:K923, MATCH($A541,MA_INDIVIDUALES!$B$2:$B923,0),1),"CÓDIGO DE EXPEDIENTE INVÁLIDO"))</f>
        <v/>
      </c>
      <c r="H541" s="68" t="str">
        <f t="array" ref="H541">IF($A541="","",IFERROR(INDEX(MA_INDIVIDUALES!L$2:L923, MATCH($A541,MA_INDIVIDUALES!$B$2:$B923,0),1),"CÓDIGO DE EXPEDIENTE INVÁLIDO"))</f>
        <v/>
      </c>
      <c r="I541" s="76"/>
      <c r="J541" s="76"/>
      <c r="K541" s="75"/>
      <c r="L541" s="74" t="str">
        <f>IF(A541="","",IF(K541="","",_xlfn.WORKDAY.INTL(K541,5,1,FERIADOS)))</f>
        <v/>
      </c>
      <c r="M541" s="76"/>
      <c r="N541" s="75"/>
      <c r="O541" s="76"/>
      <c r="P541" s="77" t="str">
        <f t="shared" si="3"/>
        <v/>
      </c>
      <c r="Q541" s="75"/>
      <c r="R541" s="76"/>
      <c r="S541" s="75"/>
      <c r="T541" s="75"/>
      <c r="U541" s="76"/>
      <c r="V541" s="76"/>
      <c r="W541" s="75"/>
      <c r="X541" s="76"/>
      <c r="Y541" s="29" t="str">
        <f t="shared" si="4"/>
        <v/>
      </c>
      <c r="Z541" s="29" t="str">
        <f t="shared" si="5"/>
        <v/>
      </c>
      <c r="AA541" s="76"/>
      <c r="AB541" s="76"/>
      <c r="AC541" s="75"/>
      <c r="AD541" s="75"/>
      <c r="AE541" s="78" t="str">
        <f>IF(U541="","",IF(AD541="","",_xlfn.WORKDAY.INTL(AD541,7,1,FERIADOS)))</f>
        <v/>
      </c>
      <c r="AF541" s="104"/>
      <c r="AG541" s="80" t="str">
        <f t="array" ref="AG541">IF(A541="","",IF(AF541="","",AF541*INDEX(PARAMETROS!F$2:F1604,MATCH(YEAR(AC541),PARAMETROS!E$2:E1604,0),1)))</f>
        <v/>
      </c>
      <c r="AH541" s="81"/>
      <c r="AI541" s="82"/>
      <c r="AJ541" s="81"/>
      <c r="AK541" s="81"/>
      <c r="AL541" s="76"/>
      <c r="AM541" s="75"/>
      <c r="AN541" s="76"/>
      <c r="AO541" s="95"/>
      <c r="AP541" s="96"/>
      <c r="AQ541" s="85" t="str">
        <f t="shared" si="6"/>
        <v/>
      </c>
      <c r="AR541" s="86" t="str">
        <f t="array" ref="AR541">IF(A541="","",IFERROR(INDEX('2) Etapas'!L$3:L923,MATCH(B541,'2) Etapas'!$A$4:$A923,0),1),-1))</f>
        <v/>
      </c>
      <c r="AS541" s="87" t="str">
        <f t="shared" si="7"/>
        <v/>
      </c>
      <c r="AT541" s="87" t="str">
        <f t="shared" si="8"/>
        <v/>
      </c>
      <c r="AU541" s="87" t="str">
        <f t="shared" si="9"/>
        <v/>
      </c>
      <c r="AV541" s="89" t="str">
        <f t="array" ref="AV541">IF(OR($A541="",$AB541="", $AC541=""),"",MAXA(IF($A541=$A$4:$A923,$AC$4:$AC923)))</f>
        <v/>
      </c>
    </row>
    <row r="542" ht="22.5" customHeight="1">
      <c r="A542" s="76"/>
      <c r="B542" s="68" t="str">
        <f t="shared" si="1"/>
        <v/>
      </c>
      <c r="C542" s="110"/>
      <c r="D542" s="70" t="str">
        <f t="shared" si="2"/>
        <v/>
      </c>
      <c r="E542" s="76"/>
      <c r="F542" s="68" t="str">
        <f t="array" ref="F542">IF($A542="","",IFERROR(INDEX(MA_INDIVIDUALES!C$2:C923, MATCH($A542,MA_INDIVIDUALES!$B$2:$B923,0),1),"CÓDIGO DE EXPEDIENTE INVÁLIDO"))</f>
        <v/>
      </c>
      <c r="G542" s="68" t="str">
        <f t="array" ref="G542">IF($A542="","",IFERROR(INDEX(MA_INDIVIDUALES!K$2:K923, MATCH($A542,MA_INDIVIDUALES!$B$2:$B923,0),1),"CÓDIGO DE EXPEDIENTE INVÁLIDO"))</f>
        <v/>
      </c>
      <c r="H542" s="68" t="str">
        <f t="array" ref="H542">IF($A542="","",IFERROR(INDEX(MA_INDIVIDUALES!L$2:L923, MATCH($A542,MA_INDIVIDUALES!$B$2:$B923,0),1),"CÓDIGO DE EXPEDIENTE INVÁLIDO"))</f>
        <v/>
      </c>
      <c r="I542" s="76"/>
      <c r="J542" s="76"/>
      <c r="K542" s="75"/>
      <c r="L542" s="74" t="str">
        <f>IF(A542="","",IF(K542="","",_xlfn.WORKDAY.INTL(K542,5,1,FERIADOS)))</f>
        <v/>
      </c>
      <c r="M542" s="76"/>
      <c r="N542" s="75"/>
      <c r="O542" s="76"/>
      <c r="P542" s="77" t="str">
        <f t="shared" si="3"/>
        <v/>
      </c>
      <c r="Q542" s="75"/>
      <c r="R542" s="76"/>
      <c r="S542" s="75"/>
      <c r="T542" s="75"/>
      <c r="U542" s="76"/>
      <c r="V542" s="76"/>
      <c r="W542" s="75"/>
      <c r="X542" s="76"/>
      <c r="Y542" s="29" t="str">
        <f t="shared" si="4"/>
        <v/>
      </c>
      <c r="Z542" s="29" t="str">
        <f t="shared" si="5"/>
        <v/>
      </c>
      <c r="AA542" s="76"/>
      <c r="AB542" s="76"/>
      <c r="AC542" s="75"/>
      <c r="AD542" s="75"/>
      <c r="AE542" s="78" t="str">
        <f>IF(U542="","",IF(AD542="","",_xlfn.WORKDAY.INTL(AD542,7,1,FERIADOS)))</f>
        <v/>
      </c>
      <c r="AF542" s="104"/>
      <c r="AG542" s="80" t="str">
        <f t="array" ref="AG542">IF(A542="","",IF(AF542="","",AF542*INDEX(PARAMETROS!F$2:F1605,MATCH(YEAR(AC542),PARAMETROS!E$2:E1605,0),1)))</f>
        <v/>
      </c>
      <c r="AH542" s="81"/>
      <c r="AI542" s="82"/>
      <c r="AJ542" s="81"/>
      <c r="AK542" s="81"/>
      <c r="AL542" s="76"/>
      <c r="AM542" s="75"/>
      <c r="AN542" s="76"/>
      <c r="AO542" s="95"/>
      <c r="AP542" s="96"/>
      <c r="AQ542" s="85" t="str">
        <f t="shared" si="6"/>
        <v/>
      </c>
      <c r="AR542" s="86" t="str">
        <f t="array" ref="AR542">IF(A542="","",IFERROR(INDEX('2) Etapas'!L$3:L923,MATCH(B542,'2) Etapas'!$A$4:$A923,0),1),-1))</f>
        <v/>
      </c>
      <c r="AS542" s="87" t="str">
        <f t="shared" si="7"/>
        <v/>
      </c>
      <c r="AT542" s="87" t="str">
        <f t="shared" si="8"/>
        <v/>
      </c>
      <c r="AU542" s="87" t="str">
        <f t="shared" si="9"/>
        <v/>
      </c>
      <c r="AV542" s="89" t="str">
        <f t="array" ref="AV542">IF(OR($A542="",$AB542="", $AC542=""),"",MAXA(IF($A542=$A$4:$A923,$AC$4:$AC923)))</f>
        <v/>
      </c>
    </row>
    <row r="543" ht="22.5" customHeight="1">
      <c r="A543" s="76"/>
      <c r="B543" s="68" t="str">
        <f t="shared" si="1"/>
        <v/>
      </c>
      <c r="C543" s="110"/>
      <c r="D543" s="70" t="str">
        <f t="shared" si="2"/>
        <v/>
      </c>
      <c r="E543" s="76"/>
      <c r="F543" s="68" t="str">
        <f t="array" ref="F543">IF($A543="","",IFERROR(INDEX(MA_INDIVIDUALES!C$2:C923, MATCH($A543,MA_INDIVIDUALES!$B$2:$B923,0),1),"CÓDIGO DE EXPEDIENTE INVÁLIDO"))</f>
        <v/>
      </c>
      <c r="G543" s="68" t="str">
        <f t="array" ref="G543">IF($A543="","",IFERROR(INDEX(MA_INDIVIDUALES!K$2:K923, MATCH($A543,MA_INDIVIDUALES!$B$2:$B923,0),1),"CÓDIGO DE EXPEDIENTE INVÁLIDO"))</f>
        <v/>
      </c>
      <c r="H543" s="68" t="str">
        <f t="array" ref="H543">IF($A543="","",IFERROR(INDEX(MA_INDIVIDUALES!L$2:L923, MATCH($A543,MA_INDIVIDUALES!$B$2:$B923,0),1),"CÓDIGO DE EXPEDIENTE INVÁLIDO"))</f>
        <v/>
      </c>
      <c r="I543" s="76"/>
      <c r="J543" s="76"/>
      <c r="K543" s="75"/>
      <c r="L543" s="74" t="str">
        <f>IF(A543="","",IF(K543="","",_xlfn.WORKDAY.INTL(K543,5,1,FERIADOS)))</f>
        <v/>
      </c>
      <c r="M543" s="76"/>
      <c r="N543" s="75"/>
      <c r="O543" s="76"/>
      <c r="P543" s="77" t="str">
        <f t="shared" si="3"/>
        <v/>
      </c>
      <c r="Q543" s="75"/>
      <c r="R543" s="76"/>
      <c r="S543" s="75"/>
      <c r="T543" s="75"/>
      <c r="U543" s="76"/>
      <c r="V543" s="76"/>
      <c r="W543" s="75"/>
      <c r="X543" s="76"/>
      <c r="Y543" s="29" t="str">
        <f t="shared" si="4"/>
        <v/>
      </c>
      <c r="Z543" s="29" t="str">
        <f t="shared" si="5"/>
        <v/>
      </c>
      <c r="AA543" s="76"/>
      <c r="AB543" s="76"/>
      <c r="AC543" s="75"/>
      <c r="AD543" s="75"/>
      <c r="AE543" s="78" t="str">
        <f>IF(U543="","",IF(AD543="","",_xlfn.WORKDAY.INTL(AD543,7,1,FERIADOS)))</f>
        <v/>
      </c>
      <c r="AF543" s="104"/>
      <c r="AG543" s="80" t="str">
        <f t="array" ref="AG543">IF(A543="","",IF(AF543="","",AF543*INDEX(PARAMETROS!F$2:F1606,MATCH(YEAR(AC543),PARAMETROS!E$2:E1606,0),1)))</f>
        <v/>
      </c>
      <c r="AH543" s="81"/>
      <c r="AI543" s="82"/>
      <c r="AJ543" s="81"/>
      <c r="AK543" s="81"/>
      <c r="AL543" s="76"/>
      <c r="AM543" s="75"/>
      <c r="AN543" s="76"/>
      <c r="AO543" s="95"/>
      <c r="AP543" s="96"/>
      <c r="AQ543" s="85" t="str">
        <f t="shared" si="6"/>
        <v/>
      </c>
      <c r="AR543" s="86" t="str">
        <f t="array" ref="AR543">IF(A543="","",IFERROR(INDEX('2) Etapas'!L$3:L923,MATCH(B543,'2) Etapas'!$A$4:$A923,0),1),-1))</f>
        <v/>
      </c>
      <c r="AS543" s="87" t="str">
        <f t="shared" si="7"/>
        <v/>
      </c>
      <c r="AT543" s="87" t="str">
        <f t="shared" si="8"/>
        <v/>
      </c>
      <c r="AU543" s="87" t="str">
        <f t="shared" si="9"/>
        <v/>
      </c>
      <c r="AV543" s="89" t="str">
        <f t="array" ref="AV543">IF(OR($A543="",$AB543="", $AC543=""),"",MAXA(IF($A543=$A$4:$A923,$AC$4:$AC923)))</f>
        <v/>
      </c>
    </row>
    <row r="544" ht="22.5" customHeight="1">
      <c r="A544" s="76"/>
      <c r="B544" s="68" t="str">
        <f t="shared" si="1"/>
        <v/>
      </c>
      <c r="C544" s="110"/>
      <c r="D544" s="70" t="str">
        <f t="shared" si="2"/>
        <v/>
      </c>
      <c r="E544" s="76"/>
      <c r="F544" s="68" t="str">
        <f t="array" ref="F544">IF($A544="","",IFERROR(INDEX(MA_INDIVIDUALES!C$2:C923, MATCH($A544,MA_INDIVIDUALES!$B$2:$B923,0),1),"CÓDIGO DE EXPEDIENTE INVÁLIDO"))</f>
        <v/>
      </c>
      <c r="G544" s="68" t="str">
        <f t="array" ref="G544">IF($A544="","",IFERROR(INDEX(MA_INDIVIDUALES!K$2:K923, MATCH($A544,MA_INDIVIDUALES!$B$2:$B923,0),1),"CÓDIGO DE EXPEDIENTE INVÁLIDO"))</f>
        <v/>
      </c>
      <c r="H544" s="68" t="str">
        <f t="array" ref="H544">IF($A544="","",IFERROR(INDEX(MA_INDIVIDUALES!L$2:L923, MATCH($A544,MA_INDIVIDUALES!$B$2:$B923,0),1),"CÓDIGO DE EXPEDIENTE INVÁLIDO"))</f>
        <v/>
      </c>
      <c r="I544" s="76"/>
      <c r="J544" s="76"/>
      <c r="K544" s="75"/>
      <c r="L544" s="74" t="str">
        <f>IF(A544="","",IF(K544="","",_xlfn.WORKDAY.INTL(K544,5,1,FERIADOS)))</f>
        <v/>
      </c>
      <c r="M544" s="76"/>
      <c r="N544" s="75"/>
      <c r="O544" s="76"/>
      <c r="P544" s="77" t="str">
        <f t="shared" si="3"/>
        <v/>
      </c>
      <c r="Q544" s="75"/>
      <c r="R544" s="76"/>
      <c r="S544" s="75"/>
      <c r="T544" s="75"/>
      <c r="U544" s="76"/>
      <c r="V544" s="76"/>
      <c r="W544" s="75"/>
      <c r="X544" s="76"/>
      <c r="Y544" s="29" t="str">
        <f t="shared" si="4"/>
        <v/>
      </c>
      <c r="Z544" s="29" t="str">
        <f t="shared" si="5"/>
        <v/>
      </c>
      <c r="AA544" s="76"/>
      <c r="AB544" s="76"/>
      <c r="AC544" s="75"/>
      <c r="AD544" s="75"/>
      <c r="AE544" s="78" t="str">
        <f>IF(U544="","",IF(AD544="","",_xlfn.WORKDAY.INTL(AD544,7,1,FERIADOS)))</f>
        <v/>
      </c>
      <c r="AF544" s="104"/>
      <c r="AG544" s="80" t="str">
        <f t="array" ref="AG544">IF(A544="","",IF(AF544="","",AF544*INDEX(PARAMETROS!F$2:F1607,MATCH(YEAR(AC544),PARAMETROS!E$2:E1607,0),1)))</f>
        <v/>
      </c>
      <c r="AH544" s="81"/>
      <c r="AI544" s="82"/>
      <c r="AJ544" s="81"/>
      <c r="AK544" s="81"/>
      <c r="AL544" s="76"/>
      <c r="AM544" s="75"/>
      <c r="AN544" s="76"/>
      <c r="AO544" s="95"/>
      <c r="AP544" s="96"/>
      <c r="AQ544" s="85" t="str">
        <f t="shared" si="6"/>
        <v/>
      </c>
      <c r="AR544" s="86" t="str">
        <f t="array" ref="AR544">IF(A544="","",IFERROR(INDEX('2) Etapas'!L$3:L923,MATCH(B544,'2) Etapas'!$A$4:$A923,0),1),-1))</f>
        <v/>
      </c>
      <c r="AS544" s="87" t="str">
        <f t="shared" si="7"/>
        <v/>
      </c>
      <c r="AT544" s="87" t="str">
        <f t="shared" si="8"/>
        <v/>
      </c>
      <c r="AU544" s="87" t="str">
        <f t="shared" si="9"/>
        <v/>
      </c>
      <c r="AV544" s="89" t="str">
        <f t="array" ref="AV544">IF(OR($A544="",$AB544="", $AC544=""),"",MAXA(IF($A544=$A$4:$A923,$AC$4:$AC923)))</f>
        <v/>
      </c>
    </row>
    <row r="545" ht="22.5" customHeight="1">
      <c r="A545" s="76"/>
      <c r="B545" s="68" t="str">
        <f t="shared" si="1"/>
        <v/>
      </c>
      <c r="C545" s="110"/>
      <c r="D545" s="70" t="str">
        <f t="shared" si="2"/>
        <v/>
      </c>
      <c r="E545" s="76"/>
      <c r="F545" s="68" t="str">
        <f t="array" ref="F545">IF($A545="","",IFERROR(INDEX(MA_INDIVIDUALES!C$2:C923, MATCH($A545,MA_INDIVIDUALES!$B$2:$B923,0),1),"CÓDIGO DE EXPEDIENTE INVÁLIDO"))</f>
        <v/>
      </c>
      <c r="G545" s="68" t="str">
        <f t="array" ref="G545">IF($A545="","",IFERROR(INDEX(MA_INDIVIDUALES!K$2:K923, MATCH($A545,MA_INDIVIDUALES!$B$2:$B923,0),1),"CÓDIGO DE EXPEDIENTE INVÁLIDO"))</f>
        <v/>
      </c>
      <c r="H545" s="68" t="str">
        <f t="array" ref="H545">IF($A545="","",IFERROR(INDEX(MA_INDIVIDUALES!L$2:L923, MATCH($A545,MA_INDIVIDUALES!$B$2:$B923,0),1),"CÓDIGO DE EXPEDIENTE INVÁLIDO"))</f>
        <v/>
      </c>
      <c r="I545" s="76"/>
      <c r="J545" s="76"/>
      <c r="K545" s="75"/>
      <c r="L545" s="74" t="str">
        <f>IF(A545="","",IF(K545="","",_xlfn.WORKDAY.INTL(K545,5,1,FERIADOS)))</f>
        <v/>
      </c>
      <c r="M545" s="76"/>
      <c r="N545" s="75"/>
      <c r="O545" s="76"/>
      <c r="P545" s="77" t="str">
        <f t="shared" si="3"/>
        <v/>
      </c>
      <c r="Q545" s="75"/>
      <c r="R545" s="76"/>
      <c r="S545" s="75"/>
      <c r="T545" s="75"/>
      <c r="U545" s="76"/>
      <c r="V545" s="76"/>
      <c r="W545" s="75"/>
      <c r="X545" s="76"/>
      <c r="Y545" s="29" t="str">
        <f t="shared" si="4"/>
        <v/>
      </c>
      <c r="Z545" s="29" t="str">
        <f t="shared" si="5"/>
        <v/>
      </c>
      <c r="AA545" s="76"/>
      <c r="AB545" s="76"/>
      <c r="AC545" s="75"/>
      <c r="AD545" s="75"/>
      <c r="AE545" s="78" t="str">
        <f>IF(U545="","",IF(AD545="","",_xlfn.WORKDAY.INTL(AD545,7,1,FERIADOS)))</f>
        <v/>
      </c>
      <c r="AF545" s="104"/>
      <c r="AG545" s="80" t="str">
        <f t="array" ref="AG545">IF(A545="","",IF(AF545="","",AF545*INDEX(PARAMETROS!F$2:F1608,MATCH(YEAR(AC545),PARAMETROS!E$2:E1608,0),1)))</f>
        <v/>
      </c>
      <c r="AH545" s="81"/>
      <c r="AI545" s="82"/>
      <c r="AJ545" s="81"/>
      <c r="AK545" s="81"/>
      <c r="AL545" s="76"/>
      <c r="AM545" s="75"/>
      <c r="AN545" s="76"/>
      <c r="AO545" s="95"/>
      <c r="AP545" s="96"/>
      <c r="AQ545" s="85" t="str">
        <f t="shared" si="6"/>
        <v/>
      </c>
      <c r="AR545" s="86" t="str">
        <f t="array" ref="AR545">IF(A545="","",IFERROR(INDEX('2) Etapas'!L$3:L923,MATCH(B545,'2) Etapas'!$A$4:$A923,0),1),-1))</f>
        <v/>
      </c>
      <c r="AS545" s="87" t="str">
        <f t="shared" si="7"/>
        <v/>
      </c>
      <c r="AT545" s="87" t="str">
        <f t="shared" si="8"/>
        <v/>
      </c>
      <c r="AU545" s="87" t="str">
        <f t="shared" si="9"/>
        <v/>
      </c>
      <c r="AV545" s="89" t="str">
        <f t="array" ref="AV545">IF(OR($A545="",$AB545="", $AC545=""),"",MAXA(IF($A545=$A$4:$A923,$AC$4:$AC923)))</f>
        <v/>
      </c>
    </row>
    <row r="546" ht="22.5" customHeight="1">
      <c r="A546" s="76"/>
      <c r="B546" s="68" t="str">
        <f t="shared" si="1"/>
        <v/>
      </c>
      <c r="C546" s="110"/>
      <c r="D546" s="70" t="str">
        <f t="shared" si="2"/>
        <v/>
      </c>
      <c r="E546" s="76"/>
      <c r="F546" s="68" t="str">
        <f t="array" ref="F546">IF($A546="","",IFERROR(INDEX(MA_INDIVIDUALES!C$2:C923, MATCH($A546,MA_INDIVIDUALES!$B$2:$B923,0),1),"CÓDIGO DE EXPEDIENTE INVÁLIDO"))</f>
        <v/>
      </c>
      <c r="G546" s="68" t="str">
        <f t="array" ref="G546">IF($A546="","",IFERROR(INDEX(MA_INDIVIDUALES!K$2:K923, MATCH($A546,MA_INDIVIDUALES!$B$2:$B923,0),1),"CÓDIGO DE EXPEDIENTE INVÁLIDO"))</f>
        <v/>
      </c>
      <c r="H546" s="68" t="str">
        <f t="array" ref="H546">IF($A546="","",IFERROR(INDEX(MA_INDIVIDUALES!L$2:L923, MATCH($A546,MA_INDIVIDUALES!$B$2:$B923,0),1),"CÓDIGO DE EXPEDIENTE INVÁLIDO"))</f>
        <v/>
      </c>
      <c r="I546" s="76"/>
      <c r="J546" s="76"/>
      <c r="K546" s="75"/>
      <c r="L546" s="74" t="str">
        <f>IF(A546="","",IF(K546="","",_xlfn.WORKDAY.INTL(K546,5,1,FERIADOS)))</f>
        <v/>
      </c>
      <c r="M546" s="76"/>
      <c r="N546" s="75"/>
      <c r="O546" s="76"/>
      <c r="P546" s="77" t="str">
        <f t="shared" si="3"/>
        <v/>
      </c>
      <c r="Q546" s="75"/>
      <c r="R546" s="76"/>
      <c r="S546" s="75"/>
      <c r="T546" s="75"/>
      <c r="U546" s="76"/>
      <c r="V546" s="76"/>
      <c r="W546" s="75"/>
      <c r="X546" s="76"/>
      <c r="Y546" s="29" t="str">
        <f t="shared" si="4"/>
        <v/>
      </c>
      <c r="Z546" s="29" t="str">
        <f t="shared" si="5"/>
        <v/>
      </c>
      <c r="AA546" s="76"/>
      <c r="AB546" s="76"/>
      <c r="AC546" s="75"/>
      <c r="AD546" s="75"/>
      <c r="AE546" s="78" t="str">
        <f>IF(U546="","",IF(AD546="","",_xlfn.WORKDAY.INTL(AD546,7,1,FERIADOS)))</f>
        <v/>
      </c>
      <c r="AF546" s="104"/>
      <c r="AG546" s="80" t="str">
        <f t="array" ref="AG546">IF(A546="","",IF(AF546="","",AF546*INDEX(PARAMETROS!F$2:F1609,MATCH(YEAR(AC546),PARAMETROS!E$2:E1609,0),1)))</f>
        <v/>
      </c>
      <c r="AH546" s="81"/>
      <c r="AI546" s="82"/>
      <c r="AJ546" s="81"/>
      <c r="AK546" s="81"/>
      <c r="AL546" s="76"/>
      <c r="AM546" s="75"/>
      <c r="AN546" s="76"/>
      <c r="AO546" s="95"/>
      <c r="AP546" s="96"/>
      <c r="AQ546" s="85" t="str">
        <f t="shared" si="6"/>
        <v/>
      </c>
      <c r="AR546" s="86" t="str">
        <f t="array" ref="AR546">IF(A546="","",IFERROR(INDEX('2) Etapas'!L$3:L923,MATCH(B546,'2) Etapas'!$A$4:$A923,0),1),-1))</f>
        <v/>
      </c>
      <c r="AS546" s="87" t="str">
        <f t="shared" si="7"/>
        <v/>
      </c>
      <c r="AT546" s="87" t="str">
        <f t="shared" si="8"/>
        <v/>
      </c>
      <c r="AU546" s="87" t="str">
        <f t="shared" si="9"/>
        <v/>
      </c>
      <c r="AV546" s="89" t="str">
        <f t="array" ref="AV546">IF(OR($A546="",$AB546="", $AC546=""),"",MAXA(IF($A546=$A$4:$A923,$AC$4:$AC923)))</f>
        <v/>
      </c>
    </row>
    <row r="547" ht="22.5" customHeight="1">
      <c r="A547" s="76"/>
      <c r="B547" s="68" t="str">
        <f t="shared" si="1"/>
        <v/>
      </c>
      <c r="C547" s="110"/>
      <c r="D547" s="70" t="str">
        <f t="shared" si="2"/>
        <v/>
      </c>
      <c r="E547" s="76"/>
      <c r="F547" s="68" t="str">
        <f t="array" ref="F547">IF($A547="","",IFERROR(INDEX(MA_INDIVIDUALES!C$2:C923, MATCH($A547,MA_INDIVIDUALES!$B$2:$B923,0),1),"CÓDIGO DE EXPEDIENTE INVÁLIDO"))</f>
        <v/>
      </c>
      <c r="G547" s="68" t="str">
        <f t="array" ref="G547">IF($A547="","",IFERROR(INDEX(MA_INDIVIDUALES!K$2:K923, MATCH($A547,MA_INDIVIDUALES!$B$2:$B923,0),1),"CÓDIGO DE EXPEDIENTE INVÁLIDO"))</f>
        <v/>
      </c>
      <c r="H547" s="68" t="str">
        <f t="array" ref="H547">IF($A547="","",IFERROR(INDEX(MA_INDIVIDUALES!L$2:L923, MATCH($A547,MA_INDIVIDUALES!$B$2:$B923,0),1),"CÓDIGO DE EXPEDIENTE INVÁLIDO"))</f>
        <v/>
      </c>
      <c r="I547" s="76"/>
      <c r="J547" s="76"/>
      <c r="K547" s="75"/>
      <c r="L547" s="74" t="str">
        <f>IF(A547="","",IF(K547="","",_xlfn.WORKDAY.INTL(K547,5,1,FERIADOS)))</f>
        <v/>
      </c>
      <c r="M547" s="76"/>
      <c r="N547" s="75"/>
      <c r="O547" s="76"/>
      <c r="P547" s="77" t="str">
        <f t="shared" si="3"/>
        <v/>
      </c>
      <c r="Q547" s="75"/>
      <c r="R547" s="76"/>
      <c r="S547" s="75"/>
      <c r="T547" s="75"/>
      <c r="U547" s="76"/>
      <c r="V547" s="76"/>
      <c r="W547" s="75"/>
      <c r="X547" s="76"/>
      <c r="Y547" s="29" t="str">
        <f t="shared" si="4"/>
        <v/>
      </c>
      <c r="Z547" s="29" t="str">
        <f t="shared" si="5"/>
        <v/>
      </c>
      <c r="AA547" s="76"/>
      <c r="AB547" s="76"/>
      <c r="AC547" s="75"/>
      <c r="AD547" s="75"/>
      <c r="AE547" s="78" t="str">
        <f>IF(U547="","",IF(AD547="","",_xlfn.WORKDAY.INTL(AD547,7,1,FERIADOS)))</f>
        <v/>
      </c>
      <c r="AF547" s="104"/>
      <c r="AG547" s="80" t="str">
        <f t="array" ref="AG547">IF(A547="","",IF(AF547="","",AF547*INDEX(PARAMETROS!F$2:F1610,MATCH(YEAR(AC547),PARAMETROS!E$2:E1610,0),1)))</f>
        <v/>
      </c>
      <c r="AH547" s="81"/>
      <c r="AI547" s="82"/>
      <c r="AJ547" s="81"/>
      <c r="AK547" s="81"/>
      <c r="AL547" s="76"/>
      <c r="AM547" s="75"/>
      <c r="AN547" s="76"/>
      <c r="AO547" s="95"/>
      <c r="AP547" s="96"/>
      <c r="AQ547" s="85" t="str">
        <f t="shared" si="6"/>
        <v/>
      </c>
      <c r="AR547" s="86" t="str">
        <f t="array" ref="AR547">IF(A547="","",IFERROR(INDEX('2) Etapas'!L$3:L923,MATCH(B547,'2) Etapas'!$A$4:$A923,0),1),-1))</f>
        <v/>
      </c>
      <c r="AS547" s="87" t="str">
        <f t="shared" si="7"/>
        <v/>
      </c>
      <c r="AT547" s="87" t="str">
        <f t="shared" si="8"/>
        <v/>
      </c>
      <c r="AU547" s="87" t="str">
        <f t="shared" si="9"/>
        <v/>
      </c>
      <c r="AV547" s="89" t="str">
        <f t="array" ref="AV547">IF(OR($A547="",$AB547="", $AC547=""),"",MAXA(IF($A547=$A$4:$A923,$AC$4:$AC923)))</f>
        <v/>
      </c>
    </row>
    <row r="548" ht="22.5" customHeight="1">
      <c r="A548" s="76"/>
      <c r="B548" s="68" t="str">
        <f t="shared" si="1"/>
        <v/>
      </c>
      <c r="C548" s="110"/>
      <c r="D548" s="70" t="str">
        <f t="shared" si="2"/>
        <v/>
      </c>
      <c r="E548" s="76"/>
      <c r="F548" s="68" t="str">
        <f t="array" ref="F548">IF($A548="","",IFERROR(INDEX(MA_INDIVIDUALES!C$2:C923, MATCH($A548,MA_INDIVIDUALES!$B$2:$B923,0),1),"CÓDIGO DE EXPEDIENTE INVÁLIDO"))</f>
        <v/>
      </c>
      <c r="G548" s="68" t="str">
        <f t="array" ref="G548">IF($A548="","",IFERROR(INDEX(MA_INDIVIDUALES!K$2:K923, MATCH($A548,MA_INDIVIDUALES!$B$2:$B923,0),1),"CÓDIGO DE EXPEDIENTE INVÁLIDO"))</f>
        <v/>
      </c>
      <c r="H548" s="68" t="str">
        <f t="array" ref="H548">IF($A548="","",IFERROR(INDEX(MA_INDIVIDUALES!L$2:L923, MATCH($A548,MA_INDIVIDUALES!$B$2:$B923,0),1),"CÓDIGO DE EXPEDIENTE INVÁLIDO"))</f>
        <v/>
      </c>
      <c r="I548" s="76"/>
      <c r="J548" s="76"/>
      <c r="K548" s="75"/>
      <c r="L548" s="74" t="str">
        <f>IF(A548="","",IF(K548="","",_xlfn.WORKDAY.INTL(K548,5,1,FERIADOS)))</f>
        <v/>
      </c>
      <c r="M548" s="76"/>
      <c r="N548" s="75"/>
      <c r="O548" s="76"/>
      <c r="P548" s="77" t="str">
        <f t="shared" si="3"/>
        <v/>
      </c>
      <c r="Q548" s="75"/>
      <c r="R548" s="76"/>
      <c r="S548" s="75"/>
      <c r="T548" s="75"/>
      <c r="U548" s="76"/>
      <c r="V548" s="76"/>
      <c r="W548" s="75"/>
      <c r="X548" s="76"/>
      <c r="Y548" s="29" t="str">
        <f t="shared" si="4"/>
        <v/>
      </c>
      <c r="Z548" s="29" t="str">
        <f t="shared" si="5"/>
        <v/>
      </c>
      <c r="AA548" s="76"/>
      <c r="AB548" s="76"/>
      <c r="AC548" s="75"/>
      <c r="AD548" s="75"/>
      <c r="AE548" s="78" t="str">
        <f>IF(U548="","",IF(AD548="","",_xlfn.WORKDAY.INTL(AD548,7,1,FERIADOS)))</f>
        <v/>
      </c>
      <c r="AF548" s="104"/>
      <c r="AG548" s="80" t="str">
        <f t="array" ref="AG548">IF(A548="","",IF(AF548="","",AF548*INDEX(PARAMETROS!F$2:F1611,MATCH(YEAR(AC548),PARAMETROS!E$2:E1611,0),1)))</f>
        <v/>
      </c>
      <c r="AH548" s="81"/>
      <c r="AI548" s="82"/>
      <c r="AJ548" s="81"/>
      <c r="AK548" s="81"/>
      <c r="AL548" s="76"/>
      <c r="AM548" s="75"/>
      <c r="AN548" s="76"/>
      <c r="AO548" s="95"/>
      <c r="AP548" s="96"/>
      <c r="AQ548" s="85" t="str">
        <f t="shared" si="6"/>
        <v/>
      </c>
      <c r="AR548" s="86" t="str">
        <f t="array" ref="AR548">IF(A548="","",IFERROR(INDEX('2) Etapas'!L$3:L923,MATCH(B548,'2) Etapas'!$A$4:$A923,0),1),-1))</f>
        <v/>
      </c>
      <c r="AS548" s="87" t="str">
        <f t="shared" si="7"/>
        <v/>
      </c>
      <c r="AT548" s="87" t="str">
        <f t="shared" si="8"/>
        <v/>
      </c>
      <c r="AU548" s="87" t="str">
        <f t="shared" si="9"/>
        <v/>
      </c>
      <c r="AV548" s="89" t="str">
        <f t="array" ref="AV548">IF(OR($A548="",$AB548="", $AC548=""),"",MAXA(IF($A548=$A$4:$A923,$AC$4:$AC923)))</f>
        <v/>
      </c>
    </row>
    <row r="549" ht="22.5" customHeight="1">
      <c r="A549" s="76"/>
      <c r="B549" s="68" t="str">
        <f t="shared" si="1"/>
        <v/>
      </c>
      <c r="C549" s="110"/>
      <c r="D549" s="70" t="str">
        <f t="shared" si="2"/>
        <v/>
      </c>
      <c r="E549" s="76"/>
      <c r="F549" s="68" t="str">
        <f t="array" ref="F549">IF($A549="","",IFERROR(INDEX(MA_INDIVIDUALES!C$2:C923, MATCH($A549,MA_INDIVIDUALES!$B$2:$B923,0),1),"CÓDIGO DE EXPEDIENTE INVÁLIDO"))</f>
        <v/>
      </c>
      <c r="G549" s="68" t="str">
        <f t="array" ref="G549">IF($A549="","",IFERROR(INDEX(MA_INDIVIDUALES!K$2:K923, MATCH($A549,MA_INDIVIDUALES!$B$2:$B923,0),1),"CÓDIGO DE EXPEDIENTE INVÁLIDO"))</f>
        <v/>
      </c>
      <c r="H549" s="68" t="str">
        <f t="array" ref="H549">IF($A549="","",IFERROR(INDEX(MA_INDIVIDUALES!L$2:L923, MATCH($A549,MA_INDIVIDUALES!$B$2:$B923,0),1),"CÓDIGO DE EXPEDIENTE INVÁLIDO"))</f>
        <v/>
      </c>
      <c r="I549" s="76"/>
      <c r="J549" s="76"/>
      <c r="K549" s="75"/>
      <c r="L549" s="74" t="str">
        <f>IF(A549="","",IF(K549="","",_xlfn.WORKDAY.INTL(K549,5,1,FERIADOS)))</f>
        <v/>
      </c>
      <c r="M549" s="76"/>
      <c r="N549" s="75"/>
      <c r="O549" s="76"/>
      <c r="P549" s="77" t="str">
        <f t="shared" si="3"/>
        <v/>
      </c>
      <c r="Q549" s="75"/>
      <c r="R549" s="76"/>
      <c r="S549" s="75"/>
      <c r="T549" s="75"/>
      <c r="U549" s="76"/>
      <c r="V549" s="76"/>
      <c r="W549" s="75"/>
      <c r="X549" s="76"/>
      <c r="Y549" s="29" t="str">
        <f t="shared" si="4"/>
        <v/>
      </c>
      <c r="Z549" s="29" t="str">
        <f t="shared" si="5"/>
        <v/>
      </c>
      <c r="AA549" s="76"/>
      <c r="AB549" s="76"/>
      <c r="AC549" s="75"/>
      <c r="AD549" s="75"/>
      <c r="AE549" s="78" t="str">
        <f>IF(U549="","",IF(AD549="","",_xlfn.WORKDAY.INTL(AD549,7,1,FERIADOS)))</f>
        <v/>
      </c>
      <c r="AF549" s="104"/>
      <c r="AG549" s="80" t="str">
        <f t="array" ref="AG549">IF(A549="","",IF(AF549="","",AF549*INDEX(PARAMETROS!F$2:F1612,MATCH(YEAR(AC549),PARAMETROS!E$2:E1612,0),1)))</f>
        <v/>
      </c>
      <c r="AH549" s="81"/>
      <c r="AI549" s="82"/>
      <c r="AJ549" s="81"/>
      <c r="AK549" s="81"/>
      <c r="AL549" s="76"/>
      <c r="AM549" s="75"/>
      <c r="AN549" s="76"/>
      <c r="AO549" s="95"/>
      <c r="AP549" s="96"/>
      <c r="AQ549" s="85" t="str">
        <f t="shared" si="6"/>
        <v/>
      </c>
      <c r="AR549" s="86" t="str">
        <f t="array" ref="AR549">IF(A549="","",IFERROR(INDEX('2) Etapas'!L$3:L923,MATCH(B549,'2) Etapas'!$A$4:$A923,0),1),-1))</f>
        <v/>
      </c>
      <c r="AS549" s="87" t="str">
        <f t="shared" si="7"/>
        <v/>
      </c>
      <c r="AT549" s="87" t="str">
        <f t="shared" si="8"/>
        <v/>
      </c>
      <c r="AU549" s="87" t="str">
        <f t="shared" si="9"/>
        <v/>
      </c>
      <c r="AV549" s="89" t="str">
        <f t="array" ref="AV549">IF(OR($A549="",$AB549="", $AC549=""),"",MAXA(IF($A549=$A$4:$A923,$AC$4:$AC923)))</f>
        <v/>
      </c>
    </row>
    <row r="550" ht="22.5" customHeight="1">
      <c r="A550" s="76"/>
      <c r="B550" s="68" t="str">
        <f t="shared" si="1"/>
        <v/>
      </c>
      <c r="C550" s="110"/>
      <c r="D550" s="70" t="str">
        <f t="shared" si="2"/>
        <v/>
      </c>
      <c r="E550" s="76"/>
      <c r="F550" s="68" t="str">
        <f t="array" ref="F550">IF($A550="","",IFERROR(INDEX(MA_INDIVIDUALES!C$2:C923, MATCH($A550,MA_INDIVIDUALES!$B$2:$B923,0),1),"CÓDIGO DE EXPEDIENTE INVÁLIDO"))</f>
        <v/>
      </c>
      <c r="G550" s="68" t="str">
        <f t="array" ref="G550">IF($A550="","",IFERROR(INDEX(MA_INDIVIDUALES!K$2:K923, MATCH($A550,MA_INDIVIDUALES!$B$2:$B923,0),1),"CÓDIGO DE EXPEDIENTE INVÁLIDO"))</f>
        <v/>
      </c>
      <c r="H550" s="68" t="str">
        <f t="array" ref="H550">IF($A550="","",IFERROR(INDEX(MA_INDIVIDUALES!L$2:L923, MATCH($A550,MA_INDIVIDUALES!$B$2:$B923,0),1),"CÓDIGO DE EXPEDIENTE INVÁLIDO"))</f>
        <v/>
      </c>
      <c r="I550" s="76"/>
      <c r="J550" s="76"/>
      <c r="K550" s="75"/>
      <c r="L550" s="74" t="str">
        <f>IF(A550="","",IF(K550="","",_xlfn.WORKDAY.INTL(K550,5,1,FERIADOS)))</f>
        <v/>
      </c>
      <c r="M550" s="76"/>
      <c r="N550" s="75"/>
      <c r="O550" s="76"/>
      <c r="P550" s="77" t="str">
        <f t="shared" si="3"/>
        <v/>
      </c>
      <c r="Q550" s="75"/>
      <c r="R550" s="76"/>
      <c r="S550" s="75"/>
      <c r="T550" s="75"/>
      <c r="U550" s="76"/>
      <c r="V550" s="76"/>
      <c r="W550" s="75"/>
      <c r="X550" s="76"/>
      <c r="Y550" s="29" t="str">
        <f t="shared" si="4"/>
        <v/>
      </c>
      <c r="Z550" s="29" t="str">
        <f t="shared" si="5"/>
        <v/>
      </c>
      <c r="AA550" s="76"/>
      <c r="AB550" s="76"/>
      <c r="AC550" s="75"/>
      <c r="AD550" s="75"/>
      <c r="AE550" s="78" t="str">
        <f>IF(U550="","",IF(AD550="","",_xlfn.WORKDAY.INTL(AD550,7,1,FERIADOS)))</f>
        <v/>
      </c>
      <c r="AF550" s="104"/>
      <c r="AG550" s="80" t="str">
        <f t="array" ref="AG550">IF(A550="","",IF(AF550="","",AF550*INDEX(PARAMETROS!F$2:F1613,MATCH(YEAR(AC550),PARAMETROS!E$2:E1613,0),1)))</f>
        <v/>
      </c>
      <c r="AH550" s="81"/>
      <c r="AI550" s="82"/>
      <c r="AJ550" s="81"/>
      <c r="AK550" s="81"/>
      <c r="AL550" s="76"/>
      <c r="AM550" s="75"/>
      <c r="AN550" s="76"/>
      <c r="AO550" s="95"/>
      <c r="AP550" s="96"/>
      <c r="AQ550" s="85" t="str">
        <f t="shared" si="6"/>
        <v/>
      </c>
      <c r="AR550" s="86" t="str">
        <f t="array" ref="AR550">IF(A550="","",IFERROR(INDEX('2) Etapas'!L$3:L923,MATCH(B550,'2) Etapas'!$A$4:$A923,0),1),-1))</f>
        <v/>
      </c>
      <c r="AS550" s="87" t="str">
        <f t="shared" si="7"/>
        <v/>
      </c>
      <c r="AT550" s="87" t="str">
        <f t="shared" si="8"/>
        <v/>
      </c>
      <c r="AU550" s="87" t="str">
        <f t="shared" si="9"/>
        <v/>
      </c>
      <c r="AV550" s="89" t="str">
        <f t="array" ref="AV550">IF(OR($A550="",$AB550="", $AC550=""),"",MAXA(IF($A550=$A$4:$A923,$AC$4:$AC923)))</f>
        <v/>
      </c>
    </row>
    <row r="551" ht="22.5" customHeight="1">
      <c r="A551" s="76"/>
      <c r="B551" s="68" t="str">
        <f t="shared" si="1"/>
        <v/>
      </c>
      <c r="C551" s="110"/>
      <c r="D551" s="70" t="str">
        <f t="shared" si="2"/>
        <v/>
      </c>
      <c r="E551" s="76"/>
      <c r="F551" s="68" t="str">
        <f t="array" ref="F551">IF($A551="","",IFERROR(INDEX(MA_INDIVIDUALES!C$2:C923, MATCH($A551,MA_INDIVIDUALES!$B$2:$B923,0),1),"CÓDIGO DE EXPEDIENTE INVÁLIDO"))</f>
        <v/>
      </c>
      <c r="G551" s="68" t="str">
        <f t="array" ref="G551">IF($A551="","",IFERROR(INDEX(MA_INDIVIDUALES!K$2:K923, MATCH($A551,MA_INDIVIDUALES!$B$2:$B923,0),1),"CÓDIGO DE EXPEDIENTE INVÁLIDO"))</f>
        <v/>
      </c>
      <c r="H551" s="68" t="str">
        <f t="array" ref="H551">IF($A551="","",IFERROR(INDEX(MA_INDIVIDUALES!L$2:L923, MATCH($A551,MA_INDIVIDUALES!$B$2:$B923,0),1),"CÓDIGO DE EXPEDIENTE INVÁLIDO"))</f>
        <v/>
      </c>
      <c r="I551" s="76"/>
      <c r="J551" s="76"/>
      <c r="K551" s="75"/>
      <c r="L551" s="74" t="str">
        <f>IF(A551="","",IF(K551="","",_xlfn.WORKDAY.INTL(K551,5,1,FERIADOS)))</f>
        <v/>
      </c>
      <c r="M551" s="76"/>
      <c r="N551" s="75"/>
      <c r="O551" s="76"/>
      <c r="P551" s="77" t="str">
        <f t="shared" si="3"/>
        <v/>
      </c>
      <c r="Q551" s="75"/>
      <c r="R551" s="76"/>
      <c r="S551" s="75"/>
      <c r="T551" s="75"/>
      <c r="U551" s="76"/>
      <c r="V551" s="76"/>
      <c r="W551" s="75"/>
      <c r="X551" s="76"/>
      <c r="Y551" s="29" t="str">
        <f t="shared" si="4"/>
        <v/>
      </c>
      <c r="Z551" s="29" t="str">
        <f t="shared" si="5"/>
        <v/>
      </c>
      <c r="AA551" s="76"/>
      <c r="AB551" s="76"/>
      <c r="AC551" s="75"/>
      <c r="AD551" s="75"/>
      <c r="AE551" s="78" t="str">
        <f>IF(U551="","",IF(AD551="","",_xlfn.WORKDAY.INTL(AD551,7,1,FERIADOS)))</f>
        <v/>
      </c>
      <c r="AF551" s="104"/>
      <c r="AG551" s="80" t="str">
        <f t="array" ref="AG551">IF(A551="","",IF(AF551="","",AF551*INDEX(PARAMETROS!F$2:F1614,MATCH(YEAR(AC551),PARAMETROS!E$2:E1614,0),1)))</f>
        <v/>
      </c>
      <c r="AH551" s="81"/>
      <c r="AI551" s="82"/>
      <c r="AJ551" s="81"/>
      <c r="AK551" s="81"/>
      <c r="AL551" s="76"/>
      <c r="AM551" s="75"/>
      <c r="AN551" s="76"/>
      <c r="AO551" s="95"/>
      <c r="AP551" s="96"/>
      <c r="AQ551" s="85" t="str">
        <f t="shared" si="6"/>
        <v/>
      </c>
      <c r="AR551" s="86" t="str">
        <f t="array" ref="AR551">IF(A551="","",IFERROR(INDEX('2) Etapas'!L$3:L923,MATCH(B551,'2) Etapas'!$A$4:$A923,0),1),-1))</f>
        <v/>
      </c>
      <c r="AS551" s="87" t="str">
        <f t="shared" si="7"/>
        <v/>
      </c>
      <c r="AT551" s="87" t="str">
        <f t="shared" si="8"/>
        <v/>
      </c>
      <c r="AU551" s="87" t="str">
        <f t="shared" si="9"/>
        <v/>
      </c>
      <c r="AV551" s="89" t="str">
        <f t="array" ref="AV551">IF(OR($A551="",$AB551="", $AC551=""),"",MAXA(IF($A551=$A$4:$A923,$AC$4:$AC923)))</f>
        <v/>
      </c>
    </row>
    <row r="552" ht="22.5" customHeight="1">
      <c r="A552" s="76"/>
      <c r="B552" s="68" t="str">
        <f t="shared" si="1"/>
        <v/>
      </c>
      <c r="C552" s="110"/>
      <c r="D552" s="70" t="str">
        <f t="shared" si="2"/>
        <v/>
      </c>
      <c r="E552" s="76"/>
      <c r="F552" s="68" t="str">
        <f t="array" ref="F552">IF($A552="","",IFERROR(INDEX(MA_INDIVIDUALES!C$2:C923, MATCH($A552,MA_INDIVIDUALES!$B$2:$B923,0),1),"CÓDIGO DE EXPEDIENTE INVÁLIDO"))</f>
        <v/>
      </c>
      <c r="G552" s="68" t="str">
        <f t="array" ref="G552">IF($A552="","",IFERROR(INDEX(MA_INDIVIDUALES!K$2:K923, MATCH($A552,MA_INDIVIDUALES!$B$2:$B923,0),1),"CÓDIGO DE EXPEDIENTE INVÁLIDO"))</f>
        <v/>
      </c>
      <c r="H552" s="68" t="str">
        <f t="array" ref="H552">IF($A552="","",IFERROR(INDEX(MA_INDIVIDUALES!L$2:L923, MATCH($A552,MA_INDIVIDUALES!$B$2:$B923,0),1),"CÓDIGO DE EXPEDIENTE INVÁLIDO"))</f>
        <v/>
      </c>
      <c r="I552" s="76"/>
      <c r="J552" s="76"/>
      <c r="K552" s="75"/>
      <c r="L552" s="74" t="str">
        <f>IF(A552="","",IF(K552="","",_xlfn.WORKDAY.INTL(K552,5,1,FERIADOS)))</f>
        <v/>
      </c>
      <c r="M552" s="76"/>
      <c r="N552" s="75"/>
      <c r="O552" s="76"/>
      <c r="P552" s="77" t="str">
        <f t="shared" si="3"/>
        <v/>
      </c>
      <c r="Q552" s="75"/>
      <c r="R552" s="76"/>
      <c r="S552" s="75"/>
      <c r="T552" s="75"/>
      <c r="U552" s="76"/>
      <c r="V552" s="76"/>
      <c r="W552" s="75"/>
      <c r="X552" s="76"/>
      <c r="Y552" s="29" t="str">
        <f t="shared" si="4"/>
        <v/>
      </c>
      <c r="Z552" s="29" t="str">
        <f t="shared" si="5"/>
        <v/>
      </c>
      <c r="AA552" s="76"/>
      <c r="AB552" s="76"/>
      <c r="AC552" s="75"/>
      <c r="AD552" s="75"/>
      <c r="AE552" s="78" t="str">
        <f>IF(U552="","",IF(AD552="","",_xlfn.WORKDAY.INTL(AD552,7,1,FERIADOS)))</f>
        <v/>
      </c>
      <c r="AF552" s="104"/>
      <c r="AG552" s="80" t="str">
        <f t="array" ref="AG552">IF(A552="","",IF(AF552="","",AF552*INDEX(PARAMETROS!F$2:F1615,MATCH(YEAR(AC552),PARAMETROS!E$2:E1615,0),1)))</f>
        <v/>
      </c>
      <c r="AH552" s="81"/>
      <c r="AI552" s="82"/>
      <c r="AJ552" s="81"/>
      <c r="AK552" s="81"/>
      <c r="AL552" s="76"/>
      <c r="AM552" s="75"/>
      <c r="AN552" s="76"/>
      <c r="AO552" s="95"/>
      <c r="AP552" s="96"/>
      <c r="AQ552" s="85" t="str">
        <f t="shared" si="6"/>
        <v/>
      </c>
      <c r="AR552" s="86" t="str">
        <f t="array" ref="AR552">IF(A552="","",IFERROR(INDEX('2) Etapas'!L$3:L923,MATCH(B552,'2) Etapas'!$A$4:$A923,0),1),-1))</f>
        <v/>
      </c>
      <c r="AS552" s="87" t="str">
        <f t="shared" si="7"/>
        <v/>
      </c>
      <c r="AT552" s="87" t="str">
        <f t="shared" si="8"/>
        <v/>
      </c>
      <c r="AU552" s="87" t="str">
        <f t="shared" si="9"/>
        <v/>
      </c>
      <c r="AV552" s="89" t="str">
        <f t="array" ref="AV552">IF(OR($A552="",$AB552="", $AC552=""),"",MAXA(IF($A552=$A$4:$A923,$AC$4:$AC923)))</f>
        <v/>
      </c>
    </row>
    <row r="553" ht="22.5" customHeight="1">
      <c r="A553" s="76"/>
      <c r="B553" s="68" t="str">
        <f t="shared" si="1"/>
        <v/>
      </c>
      <c r="C553" s="110"/>
      <c r="D553" s="70" t="str">
        <f t="shared" si="2"/>
        <v/>
      </c>
      <c r="E553" s="76"/>
      <c r="F553" s="68" t="str">
        <f t="array" ref="F553">IF($A553="","",IFERROR(INDEX(MA_INDIVIDUALES!C$2:C923, MATCH($A553,MA_INDIVIDUALES!$B$2:$B923,0),1),"CÓDIGO DE EXPEDIENTE INVÁLIDO"))</f>
        <v/>
      </c>
      <c r="G553" s="68" t="str">
        <f t="array" ref="G553">IF($A553="","",IFERROR(INDEX(MA_INDIVIDUALES!K$2:K923, MATCH($A553,MA_INDIVIDUALES!$B$2:$B923,0),1),"CÓDIGO DE EXPEDIENTE INVÁLIDO"))</f>
        <v/>
      </c>
      <c r="H553" s="68" t="str">
        <f t="array" ref="H553">IF($A553="","",IFERROR(INDEX(MA_INDIVIDUALES!L$2:L923, MATCH($A553,MA_INDIVIDUALES!$B$2:$B923,0),1),"CÓDIGO DE EXPEDIENTE INVÁLIDO"))</f>
        <v/>
      </c>
      <c r="I553" s="76"/>
      <c r="J553" s="76"/>
      <c r="K553" s="75"/>
      <c r="L553" s="74" t="str">
        <f>IF(A553="","",IF(K553="","",_xlfn.WORKDAY.INTL(K553,5,1,FERIADOS)))</f>
        <v/>
      </c>
      <c r="M553" s="76"/>
      <c r="N553" s="75"/>
      <c r="O553" s="76"/>
      <c r="P553" s="77" t="str">
        <f t="shared" si="3"/>
        <v/>
      </c>
      <c r="Q553" s="75"/>
      <c r="R553" s="76"/>
      <c r="S553" s="75"/>
      <c r="T553" s="75"/>
      <c r="U553" s="76"/>
      <c r="V553" s="76"/>
      <c r="W553" s="75"/>
      <c r="X553" s="76"/>
      <c r="Y553" s="29" t="str">
        <f t="shared" si="4"/>
        <v/>
      </c>
      <c r="Z553" s="29" t="str">
        <f t="shared" si="5"/>
        <v/>
      </c>
      <c r="AA553" s="76"/>
      <c r="AB553" s="76"/>
      <c r="AC553" s="75"/>
      <c r="AD553" s="75"/>
      <c r="AE553" s="78" t="str">
        <f>IF(U553="","",IF(AD553="","",_xlfn.WORKDAY.INTL(AD553,7,1,FERIADOS)))</f>
        <v/>
      </c>
      <c r="AF553" s="104"/>
      <c r="AG553" s="80" t="str">
        <f t="array" ref="AG553">IF(A553="","",IF(AF553="","",AF553*INDEX(PARAMETROS!F$2:F1616,MATCH(YEAR(AC553),PARAMETROS!E$2:E1616,0),1)))</f>
        <v/>
      </c>
      <c r="AH553" s="81"/>
      <c r="AI553" s="82"/>
      <c r="AJ553" s="81"/>
      <c r="AK553" s="81"/>
      <c r="AL553" s="76"/>
      <c r="AM553" s="75"/>
      <c r="AN553" s="76"/>
      <c r="AO553" s="95"/>
      <c r="AP553" s="96"/>
      <c r="AQ553" s="85" t="str">
        <f t="shared" si="6"/>
        <v/>
      </c>
      <c r="AR553" s="86" t="str">
        <f t="array" ref="AR553">IF(A553="","",IFERROR(INDEX('2) Etapas'!L$3:L923,MATCH(B553,'2) Etapas'!$A$4:$A923,0),1),-1))</f>
        <v/>
      </c>
      <c r="AS553" s="87" t="str">
        <f t="shared" si="7"/>
        <v/>
      </c>
      <c r="AT553" s="87" t="str">
        <f t="shared" si="8"/>
        <v/>
      </c>
      <c r="AU553" s="87" t="str">
        <f t="shared" si="9"/>
        <v/>
      </c>
      <c r="AV553" s="89" t="str">
        <f t="array" ref="AV553">IF(OR($A553="",$AB553="", $AC553=""),"",MAXA(IF($A553=$A$4:$A923,$AC$4:$AC923)))</f>
        <v/>
      </c>
    </row>
    <row r="554" ht="22.5" customHeight="1">
      <c r="A554" s="76"/>
      <c r="B554" s="68" t="str">
        <f t="shared" si="1"/>
        <v/>
      </c>
      <c r="C554" s="110"/>
      <c r="D554" s="70" t="str">
        <f t="shared" si="2"/>
        <v/>
      </c>
      <c r="E554" s="76"/>
      <c r="F554" s="68" t="str">
        <f t="array" ref="F554">IF($A554="","",IFERROR(INDEX(MA_INDIVIDUALES!C$2:C923, MATCH($A554,MA_INDIVIDUALES!$B$2:$B923,0),1),"CÓDIGO DE EXPEDIENTE INVÁLIDO"))</f>
        <v/>
      </c>
      <c r="G554" s="68" t="str">
        <f t="array" ref="G554">IF($A554="","",IFERROR(INDEX(MA_INDIVIDUALES!K$2:K923, MATCH($A554,MA_INDIVIDUALES!$B$2:$B923,0),1),"CÓDIGO DE EXPEDIENTE INVÁLIDO"))</f>
        <v/>
      </c>
      <c r="H554" s="68" t="str">
        <f t="array" ref="H554">IF($A554="","",IFERROR(INDEX(MA_INDIVIDUALES!L$2:L923, MATCH($A554,MA_INDIVIDUALES!$B$2:$B923,0),1),"CÓDIGO DE EXPEDIENTE INVÁLIDO"))</f>
        <v/>
      </c>
      <c r="I554" s="76"/>
      <c r="J554" s="76"/>
      <c r="K554" s="75"/>
      <c r="L554" s="74" t="str">
        <f>IF(A554="","",IF(K554="","",_xlfn.WORKDAY.INTL(K554,5,1,FERIADOS)))</f>
        <v/>
      </c>
      <c r="M554" s="76"/>
      <c r="N554" s="75"/>
      <c r="O554" s="76"/>
      <c r="P554" s="77" t="str">
        <f t="shared" si="3"/>
        <v/>
      </c>
      <c r="Q554" s="75"/>
      <c r="R554" s="76"/>
      <c r="S554" s="75"/>
      <c r="T554" s="75"/>
      <c r="U554" s="76"/>
      <c r="V554" s="76"/>
      <c r="W554" s="75"/>
      <c r="X554" s="76"/>
      <c r="Y554" s="29" t="str">
        <f t="shared" si="4"/>
        <v/>
      </c>
      <c r="Z554" s="29" t="str">
        <f t="shared" si="5"/>
        <v/>
      </c>
      <c r="AA554" s="76"/>
      <c r="AB554" s="76"/>
      <c r="AC554" s="75"/>
      <c r="AD554" s="75"/>
      <c r="AE554" s="78" t="str">
        <f>IF(U554="","",IF(AD554="","",_xlfn.WORKDAY.INTL(AD554,7,1,FERIADOS)))</f>
        <v/>
      </c>
      <c r="AF554" s="104"/>
      <c r="AG554" s="80" t="str">
        <f t="array" ref="AG554">IF(A554="","",IF(AF554="","",AF554*INDEX(PARAMETROS!F$2:F1617,MATCH(YEAR(AC554),PARAMETROS!E$2:E1617,0),1)))</f>
        <v/>
      </c>
      <c r="AH554" s="81"/>
      <c r="AI554" s="82"/>
      <c r="AJ554" s="81"/>
      <c r="AK554" s="81"/>
      <c r="AL554" s="76"/>
      <c r="AM554" s="75"/>
      <c r="AN554" s="76"/>
      <c r="AO554" s="95"/>
      <c r="AP554" s="96"/>
      <c r="AQ554" s="85" t="str">
        <f t="shared" si="6"/>
        <v/>
      </c>
      <c r="AR554" s="86" t="str">
        <f t="array" ref="AR554">IF(A554="","",IFERROR(INDEX('2) Etapas'!L$3:L923,MATCH(B554,'2) Etapas'!$A$4:$A923,0),1),-1))</f>
        <v/>
      </c>
      <c r="AS554" s="87" t="str">
        <f t="shared" si="7"/>
        <v/>
      </c>
      <c r="AT554" s="87" t="str">
        <f t="shared" si="8"/>
        <v/>
      </c>
      <c r="AU554" s="87" t="str">
        <f t="shared" si="9"/>
        <v/>
      </c>
      <c r="AV554" s="89" t="str">
        <f t="array" ref="AV554">IF(OR($A554="",$AB554="", $AC554=""),"",MAXA(IF($A554=$A$4:$A923,$AC$4:$AC923)))</f>
        <v/>
      </c>
    </row>
    <row r="555" ht="22.5" customHeight="1">
      <c r="A555" s="76"/>
      <c r="B555" s="68" t="str">
        <f t="shared" si="1"/>
        <v/>
      </c>
      <c r="C555" s="110"/>
      <c r="D555" s="70" t="str">
        <f t="shared" si="2"/>
        <v/>
      </c>
      <c r="E555" s="76"/>
      <c r="F555" s="68" t="str">
        <f t="array" ref="F555">IF($A555="","",IFERROR(INDEX(MA_INDIVIDUALES!C$2:C923, MATCH($A555,MA_INDIVIDUALES!$B$2:$B923,0),1),"CÓDIGO DE EXPEDIENTE INVÁLIDO"))</f>
        <v/>
      </c>
      <c r="G555" s="68" t="str">
        <f t="array" ref="G555">IF($A555="","",IFERROR(INDEX(MA_INDIVIDUALES!K$2:K923, MATCH($A555,MA_INDIVIDUALES!$B$2:$B923,0),1),"CÓDIGO DE EXPEDIENTE INVÁLIDO"))</f>
        <v/>
      </c>
      <c r="H555" s="68" t="str">
        <f t="array" ref="H555">IF($A555="","",IFERROR(INDEX(MA_INDIVIDUALES!L$2:L923, MATCH($A555,MA_INDIVIDUALES!$B$2:$B923,0),1),"CÓDIGO DE EXPEDIENTE INVÁLIDO"))</f>
        <v/>
      </c>
      <c r="I555" s="76"/>
      <c r="J555" s="76"/>
      <c r="K555" s="75"/>
      <c r="L555" s="74" t="str">
        <f>IF(A555="","",IF(K555="","",_xlfn.WORKDAY.INTL(K555,5,1,FERIADOS)))</f>
        <v/>
      </c>
      <c r="M555" s="76"/>
      <c r="N555" s="75"/>
      <c r="O555" s="76"/>
      <c r="P555" s="77" t="str">
        <f t="shared" si="3"/>
        <v/>
      </c>
      <c r="Q555" s="75"/>
      <c r="R555" s="76"/>
      <c r="S555" s="75"/>
      <c r="T555" s="75"/>
      <c r="U555" s="76"/>
      <c r="V555" s="76"/>
      <c r="W555" s="75"/>
      <c r="X555" s="76"/>
      <c r="Y555" s="29" t="str">
        <f t="shared" si="4"/>
        <v/>
      </c>
      <c r="Z555" s="29" t="str">
        <f t="shared" si="5"/>
        <v/>
      </c>
      <c r="AA555" s="76"/>
      <c r="AB555" s="76"/>
      <c r="AC555" s="75"/>
      <c r="AD555" s="75"/>
      <c r="AE555" s="78" t="str">
        <f>IF(U555="","",IF(AD555="","",_xlfn.WORKDAY.INTL(AD555,7,1,FERIADOS)))</f>
        <v/>
      </c>
      <c r="AF555" s="104"/>
      <c r="AG555" s="80" t="str">
        <f t="array" ref="AG555">IF(A555="","",IF(AF555="","",AF555*INDEX(PARAMETROS!F$2:F1618,MATCH(YEAR(AC555),PARAMETROS!E$2:E1618,0),1)))</f>
        <v/>
      </c>
      <c r="AH555" s="81"/>
      <c r="AI555" s="82"/>
      <c r="AJ555" s="81"/>
      <c r="AK555" s="81"/>
      <c r="AL555" s="76"/>
      <c r="AM555" s="75"/>
      <c r="AN555" s="76"/>
      <c r="AO555" s="95"/>
      <c r="AP555" s="96"/>
      <c r="AQ555" s="85" t="str">
        <f t="shared" si="6"/>
        <v/>
      </c>
      <c r="AR555" s="86" t="str">
        <f t="array" ref="AR555">IF(A555="","",IFERROR(INDEX('2) Etapas'!L$3:L923,MATCH(B555,'2) Etapas'!$A$4:$A923,0),1),-1))</f>
        <v/>
      </c>
      <c r="AS555" s="87" t="str">
        <f t="shared" si="7"/>
        <v/>
      </c>
      <c r="AT555" s="87" t="str">
        <f t="shared" si="8"/>
        <v/>
      </c>
      <c r="AU555" s="87" t="str">
        <f t="shared" si="9"/>
        <v/>
      </c>
      <c r="AV555" s="89" t="str">
        <f t="array" ref="AV555">IF(OR($A555="",$AB555="", $AC555=""),"",MAXA(IF($A555=$A$4:$A923,$AC$4:$AC923)))</f>
        <v/>
      </c>
    </row>
    <row r="556" ht="22.5" customHeight="1">
      <c r="A556" s="76"/>
      <c r="B556" s="68" t="str">
        <f t="shared" si="1"/>
        <v/>
      </c>
      <c r="C556" s="110"/>
      <c r="D556" s="70" t="str">
        <f t="shared" si="2"/>
        <v/>
      </c>
      <c r="E556" s="76"/>
      <c r="F556" s="68" t="str">
        <f t="array" ref="F556">IF($A556="","",IFERROR(INDEX(MA_INDIVIDUALES!C$2:C923, MATCH($A556,MA_INDIVIDUALES!$B$2:$B923,0),1),"CÓDIGO DE EXPEDIENTE INVÁLIDO"))</f>
        <v/>
      </c>
      <c r="G556" s="68" t="str">
        <f t="array" ref="G556">IF($A556="","",IFERROR(INDEX(MA_INDIVIDUALES!K$2:K923, MATCH($A556,MA_INDIVIDUALES!$B$2:$B923,0),1),"CÓDIGO DE EXPEDIENTE INVÁLIDO"))</f>
        <v/>
      </c>
      <c r="H556" s="68" t="str">
        <f t="array" ref="H556">IF($A556="","",IFERROR(INDEX(MA_INDIVIDUALES!L$2:L923, MATCH($A556,MA_INDIVIDUALES!$B$2:$B923,0),1),"CÓDIGO DE EXPEDIENTE INVÁLIDO"))</f>
        <v/>
      </c>
      <c r="I556" s="76"/>
      <c r="J556" s="76"/>
      <c r="K556" s="75"/>
      <c r="L556" s="74" t="str">
        <f>IF(A556="","",IF(K556="","",_xlfn.WORKDAY.INTL(K556,5,1,FERIADOS)))</f>
        <v/>
      </c>
      <c r="M556" s="76"/>
      <c r="N556" s="75"/>
      <c r="O556" s="76"/>
      <c r="P556" s="77" t="str">
        <f t="shared" si="3"/>
        <v/>
      </c>
      <c r="Q556" s="75"/>
      <c r="R556" s="76"/>
      <c r="S556" s="75"/>
      <c r="T556" s="75"/>
      <c r="U556" s="76"/>
      <c r="V556" s="76"/>
      <c r="W556" s="75"/>
      <c r="X556" s="76"/>
      <c r="Y556" s="29" t="str">
        <f t="shared" si="4"/>
        <v/>
      </c>
      <c r="Z556" s="29" t="str">
        <f t="shared" si="5"/>
        <v/>
      </c>
      <c r="AA556" s="76"/>
      <c r="AB556" s="76"/>
      <c r="AC556" s="75"/>
      <c r="AD556" s="75"/>
      <c r="AE556" s="78" t="str">
        <f>IF(U556="","",IF(AD556="","",_xlfn.WORKDAY.INTL(AD556,7,1,FERIADOS)))</f>
        <v/>
      </c>
      <c r="AF556" s="104"/>
      <c r="AG556" s="80" t="str">
        <f t="array" ref="AG556">IF(A556="","",IF(AF556="","",AF556*INDEX(PARAMETROS!F$2:F1619,MATCH(YEAR(AC556),PARAMETROS!E$2:E1619,0),1)))</f>
        <v/>
      </c>
      <c r="AH556" s="81"/>
      <c r="AI556" s="82"/>
      <c r="AJ556" s="81"/>
      <c r="AK556" s="81"/>
      <c r="AL556" s="76"/>
      <c r="AM556" s="75"/>
      <c r="AN556" s="76"/>
      <c r="AO556" s="95"/>
      <c r="AP556" s="96"/>
      <c r="AQ556" s="85" t="str">
        <f t="shared" si="6"/>
        <v/>
      </c>
      <c r="AR556" s="86" t="str">
        <f t="array" ref="AR556">IF(A556="","",IFERROR(INDEX('2) Etapas'!L$3:L923,MATCH(B556,'2) Etapas'!$A$4:$A923,0),1),-1))</f>
        <v/>
      </c>
      <c r="AS556" s="87" t="str">
        <f t="shared" si="7"/>
        <v/>
      </c>
      <c r="AT556" s="87" t="str">
        <f t="shared" si="8"/>
        <v/>
      </c>
      <c r="AU556" s="87" t="str">
        <f t="shared" si="9"/>
        <v/>
      </c>
      <c r="AV556" s="89" t="str">
        <f t="array" ref="AV556">IF(OR($A556="",$AB556="", $AC556=""),"",MAXA(IF($A556=$A$4:$A923,$AC$4:$AC923)))</f>
        <v/>
      </c>
    </row>
    <row r="557" ht="22.5" customHeight="1">
      <c r="A557" s="76"/>
      <c r="B557" s="68" t="str">
        <f t="shared" si="1"/>
        <v/>
      </c>
      <c r="C557" s="110"/>
      <c r="D557" s="70" t="str">
        <f t="shared" si="2"/>
        <v/>
      </c>
      <c r="E557" s="76"/>
      <c r="F557" s="68" t="str">
        <f t="array" ref="F557">IF($A557="","",IFERROR(INDEX(MA_INDIVIDUALES!C$2:C923, MATCH($A557,MA_INDIVIDUALES!$B$2:$B923,0),1),"CÓDIGO DE EXPEDIENTE INVÁLIDO"))</f>
        <v/>
      </c>
      <c r="G557" s="68" t="str">
        <f t="array" ref="G557">IF($A557="","",IFERROR(INDEX(MA_INDIVIDUALES!K$2:K923, MATCH($A557,MA_INDIVIDUALES!$B$2:$B923,0),1),"CÓDIGO DE EXPEDIENTE INVÁLIDO"))</f>
        <v/>
      </c>
      <c r="H557" s="68" t="str">
        <f t="array" ref="H557">IF($A557="","",IFERROR(INDEX(MA_INDIVIDUALES!L$2:L923, MATCH($A557,MA_INDIVIDUALES!$B$2:$B923,0),1),"CÓDIGO DE EXPEDIENTE INVÁLIDO"))</f>
        <v/>
      </c>
      <c r="I557" s="76"/>
      <c r="J557" s="76"/>
      <c r="K557" s="75"/>
      <c r="L557" s="74" t="str">
        <f>IF(A557="","",IF(K557="","",_xlfn.WORKDAY.INTL(K557,5,1,FERIADOS)))</f>
        <v/>
      </c>
      <c r="M557" s="76"/>
      <c r="N557" s="75"/>
      <c r="O557" s="76"/>
      <c r="P557" s="77" t="str">
        <f t="shared" si="3"/>
        <v/>
      </c>
      <c r="Q557" s="75"/>
      <c r="R557" s="76"/>
      <c r="S557" s="75"/>
      <c r="T557" s="75"/>
      <c r="U557" s="76"/>
      <c r="V557" s="76"/>
      <c r="W557" s="75"/>
      <c r="X557" s="76"/>
      <c r="Y557" s="29" t="str">
        <f t="shared" si="4"/>
        <v/>
      </c>
      <c r="Z557" s="29" t="str">
        <f t="shared" si="5"/>
        <v/>
      </c>
      <c r="AA557" s="76"/>
      <c r="AB557" s="76"/>
      <c r="AC557" s="75"/>
      <c r="AD557" s="75"/>
      <c r="AE557" s="78" t="str">
        <f>IF(U557="","",IF(AD557="","",_xlfn.WORKDAY.INTL(AD557,7,1,FERIADOS)))</f>
        <v/>
      </c>
      <c r="AF557" s="104"/>
      <c r="AG557" s="80" t="str">
        <f t="array" ref="AG557">IF(A557="","",IF(AF557="","",AF557*INDEX(PARAMETROS!F$2:F1620,MATCH(YEAR(AC557),PARAMETROS!E$2:E1620,0),1)))</f>
        <v/>
      </c>
      <c r="AH557" s="81"/>
      <c r="AI557" s="82"/>
      <c r="AJ557" s="81"/>
      <c r="AK557" s="81"/>
      <c r="AL557" s="76"/>
      <c r="AM557" s="75"/>
      <c r="AN557" s="76"/>
      <c r="AO557" s="95"/>
      <c r="AP557" s="96"/>
      <c r="AQ557" s="85" t="str">
        <f t="shared" si="6"/>
        <v/>
      </c>
      <c r="AR557" s="86" t="str">
        <f t="array" ref="AR557">IF(A557="","",IFERROR(INDEX('2) Etapas'!L$3:L923,MATCH(B557,'2) Etapas'!$A$4:$A923,0),1),-1))</f>
        <v/>
      </c>
      <c r="AS557" s="87" t="str">
        <f t="shared" si="7"/>
        <v/>
      </c>
      <c r="AT557" s="87" t="str">
        <f t="shared" si="8"/>
        <v/>
      </c>
      <c r="AU557" s="87" t="str">
        <f t="shared" si="9"/>
        <v/>
      </c>
      <c r="AV557" s="89" t="str">
        <f t="array" ref="AV557">IF(OR($A557="",$AB557="", $AC557=""),"",MAXA(IF($A557=$A$4:$A923,$AC$4:$AC923)))</f>
        <v/>
      </c>
    </row>
    <row r="558" ht="22.5" customHeight="1">
      <c r="A558" s="76"/>
      <c r="B558" s="68" t="str">
        <f t="shared" si="1"/>
        <v/>
      </c>
      <c r="C558" s="110"/>
      <c r="D558" s="70" t="str">
        <f t="shared" si="2"/>
        <v/>
      </c>
      <c r="E558" s="76"/>
      <c r="F558" s="68" t="str">
        <f t="array" ref="F558">IF($A558="","",IFERROR(INDEX(MA_INDIVIDUALES!C$2:C923, MATCH($A558,MA_INDIVIDUALES!$B$2:$B923,0),1),"CÓDIGO DE EXPEDIENTE INVÁLIDO"))</f>
        <v/>
      </c>
      <c r="G558" s="68" t="str">
        <f t="array" ref="G558">IF($A558="","",IFERROR(INDEX(MA_INDIVIDUALES!K$2:K923, MATCH($A558,MA_INDIVIDUALES!$B$2:$B923,0),1),"CÓDIGO DE EXPEDIENTE INVÁLIDO"))</f>
        <v/>
      </c>
      <c r="H558" s="68" t="str">
        <f t="array" ref="H558">IF($A558="","",IFERROR(INDEX(MA_INDIVIDUALES!L$2:L923, MATCH($A558,MA_INDIVIDUALES!$B$2:$B923,0),1),"CÓDIGO DE EXPEDIENTE INVÁLIDO"))</f>
        <v/>
      </c>
      <c r="I558" s="76"/>
      <c r="J558" s="76"/>
      <c r="K558" s="75"/>
      <c r="L558" s="74" t="str">
        <f>IF(A558="","",IF(K558="","",_xlfn.WORKDAY.INTL(K558,5,1,FERIADOS)))</f>
        <v/>
      </c>
      <c r="M558" s="76"/>
      <c r="N558" s="75"/>
      <c r="O558" s="76"/>
      <c r="P558" s="77" t="str">
        <f t="shared" si="3"/>
        <v/>
      </c>
      <c r="Q558" s="75"/>
      <c r="R558" s="76"/>
      <c r="S558" s="75"/>
      <c r="T558" s="75"/>
      <c r="U558" s="76"/>
      <c r="V558" s="76"/>
      <c r="W558" s="75"/>
      <c r="X558" s="76"/>
      <c r="Y558" s="29" t="str">
        <f t="shared" si="4"/>
        <v/>
      </c>
      <c r="Z558" s="29" t="str">
        <f t="shared" si="5"/>
        <v/>
      </c>
      <c r="AA558" s="76"/>
      <c r="AB558" s="76"/>
      <c r="AC558" s="75"/>
      <c r="AD558" s="75"/>
      <c r="AE558" s="78" t="str">
        <f>IF(U558="","",IF(AD558="","",_xlfn.WORKDAY.INTL(AD558,7,1,FERIADOS)))</f>
        <v/>
      </c>
      <c r="AF558" s="104"/>
      <c r="AG558" s="80" t="str">
        <f t="array" ref="AG558">IF(A558="","",IF(AF558="","",AF558*INDEX(PARAMETROS!F$2:F1621,MATCH(YEAR(AC558),PARAMETROS!E$2:E1621,0),1)))</f>
        <v/>
      </c>
      <c r="AH558" s="81"/>
      <c r="AI558" s="82"/>
      <c r="AJ558" s="81"/>
      <c r="AK558" s="81"/>
      <c r="AL558" s="76"/>
      <c r="AM558" s="75"/>
      <c r="AN558" s="76"/>
      <c r="AO558" s="95"/>
      <c r="AP558" s="96"/>
      <c r="AQ558" s="85" t="str">
        <f t="shared" si="6"/>
        <v/>
      </c>
      <c r="AR558" s="86" t="str">
        <f t="array" ref="AR558">IF(A558="","",IFERROR(INDEX('2) Etapas'!L$3:L923,MATCH(B558,'2) Etapas'!$A$4:$A923,0),1),-1))</f>
        <v/>
      </c>
      <c r="AS558" s="87" t="str">
        <f t="shared" si="7"/>
        <v/>
      </c>
      <c r="AT558" s="87" t="str">
        <f t="shared" si="8"/>
        <v/>
      </c>
      <c r="AU558" s="87" t="str">
        <f t="shared" si="9"/>
        <v/>
      </c>
      <c r="AV558" s="89" t="str">
        <f t="array" ref="AV558">IF(OR($A558="",$AB558="", $AC558=""),"",MAXA(IF($A558=$A$4:$A923,$AC$4:$AC923)))</f>
        <v/>
      </c>
    </row>
    <row r="559" ht="22.5" customHeight="1">
      <c r="A559" s="76"/>
      <c r="B559" s="68" t="str">
        <f t="shared" si="1"/>
        <v/>
      </c>
      <c r="C559" s="110"/>
      <c r="D559" s="70" t="str">
        <f t="shared" si="2"/>
        <v/>
      </c>
      <c r="E559" s="76"/>
      <c r="F559" s="68" t="str">
        <f t="array" ref="F559">IF($A559="","",IFERROR(INDEX(MA_INDIVIDUALES!C$2:C923, MATCH($A559,MA_INDIVIDUALES!$B$2:$B923,0),1),"CÓDIGO DE EXPEDIENTE INVÁLIDO"))</f>
        <v/>
      </c>
      <c r="G559" s="68" t="str">
        <f t="array" ref="G559">IF($A559="","",IFERROR(INDEX(MA_INDIVIDUALES!K$2:K923, MATCH($A559,MA_INDIVIDUALES!$B$2:$B923,0),1),"CÓDIGO DE EXPEDIENTE INVÁLIDO"))</f>
        <v/>
      </c>
      <c r="H559" s="68" t="str">
        <f t="array" ref="H559">IF($A559="","",IFERROR(INDEX(MA_INDIVIDUALES!L$2:L923, MATCH($A559,MA_INDIVIDUALES!$B$2:$B923,0),1),"CÓDIGO DE EXPEDIENTE INVÁLIDO"))</f>
        <v/>
      </c>
      <c r="I559" s="76"/>
      <c r="J559" s="76"/>
      <c r="K559" s="75"/>
      <c r="L559" s="74" t="str">
        <f>IF(A559="","",IF(K559="","",_xlfn.WORKDAY.INTL(K559,5,1,FERIADOS)))</f>
        <v/>
      </c>
      <c r="M559" s="76"/>
      <c r="N559" s="75"/>
      <c r="O559" s="76"/>
      <c r="P559" s="77" t="str">
        <f t="shared" si="3"/>
        <v/>
      </c>
      <c r="Q559" s="75"/>
      <c r="R559" s="76"/>
      <c r="S559" s="75"/>
      <c r="T559" s="75"/>
      <c r="U559" s="76"/>
      <c r="V559" s="76"/>
      <c r="W559" s="75"/>
      <c r="X559" s="76"/>
      <c r="Y559" s="29" t="str">
        <f t="shared" si="4"/>
        <v/>
      </c>
      <c r="Z559" s="29" t="str">
        <f t="shared" si="5"/>
        <v/>
      </c>
      <c r="AA559" s="76"/>
      <c r="AB559" s="76"/>
      <c r="AC559" s="75"/>
      <c r="AD559" s="75"/>
      <c r="AE559" s="78" t="str">
        <f>IF(U559="","",IF(AD559="","",_xlfn.WORKDAY.INTL(AD559,7,1,FERIADOS)))</f>
        <v/>
      </c>
      <c r="AF559" s="104"/>
      <c r="AG559" s="80" t="str">
        <f t="array" ref="AG559">IF(A559="","",IF(AF559="","",AF559*INDEX(PARAMETROS!F$2:F1622,MATCH(YEAR(AC559),PARAMETROS!E$2:E1622,0),1)))</f>
        <v/>
      </c>
      <c r="AH559" s="81"/>
      <c r="AI559" s="82"/>
      <c r="AJ559" s="81"/>
      <c r="AK559" s="81"/>
      <c r="AL559" s="76"/>
      <c r="AM559" s="75"/>
      <c r="AN559" s="76"/>
      <c r="AO559" s="95"/>
      <c r="AP559" s="96"/>
      <c r="AQ559" s="85" t="str">
        <f t="shared" si="6"/>
        <v/>
      </c>
      <c r="AR559" s="86" t="str">
        <f t="array" ref="AR559">IF(A559="","",IFERROR(INDEX('2) Etapas'!L$3:L923,MATCH(B559,'2) Etapas'!$A$4:$A923,0),1),-1))</f>
        <v/>
      </c>
      <c r="AS559" s="87" t="str">
        <f t="shared" si="7"/>
        <v/>
      </c>
      <c r="AT559" s="87" t="str">
        <f t="shared" si="8"/>
        <v/>
      </c>
      <c r="AU559" s="87" t="str">
        <f t="shared" si="9"/>
        <v/>
      </c>
      <c r="AV559" s="89" t="str">
        <f t="array" ref="AV559">IF(OR($A559="",$AB559="", $AC559=""),"",MAXA(IF($A559=$A$4:$A923,$AC$4:$AC923)))</f>
        <v/>
      </c>
    </row>
    <row r="560" ht="22.5" customHeight="1">
      <c r="A560" s="76"/>
      <c r="B560" s="68" t="str">
        <f t="shared" si="1"/>
        <v/>
      </c>
      <c r="C560" s="110"/>
      <c r="D560" s="70" t="str">
        <f t="shared" si="2"/>
        <v/>
      </c>
      <c r="E560" s="76"/>
      <c r="F560" s="68" t="str">
        <f t="array" ref="F560">IF($A560="","",IFERROR(INDEX(MA_INDIVIDUALES!C$2:C923, MATCH($A560,MA_INDIVIDUALES!$B$2:$B923,0),1),"CÓDIGO DE EXPEDIENTE INVÁLIDO"))</f>
        <v/>
      </c>
      <c r="G560" s="68" t="str">
        <f t="array" ref="G560">IF($A560="","",IFERROR(INDEX(MA_INDIVIDUALES!K$2:K923, MATCH($A560,MA_INDIVIDUALES!$B$2:$B923,0),1),"CÓDIGO DE EXPEDIENTE INVÁLIDO"))</f>
        <v/>
      </c>
      <c r="H560" s="68" t="str">
        <f t="array" ref="H560">IF($A560="","",IFERROR(INDEX(MA_INDIVIDUALES!L$2:L923, MATCH($A560,MA_INDIVIDUALES!$B$2:$B923,0),1),"CÓDIGO DE EXPEDIENTE INVÁLIDO"))</f>
        <v/>
      </c>
      <c r="I560" s="76"/>
      <c r="J560" s="76"/>
      <c r="K560" s="75"/>
      <c r="L560" s="74" t="str">
        <f>IF(A560="","",IF(K560="","",_xlfn.WORKDAY.INTL(K560,5,1,FERIADOS)))</f>
        <v/>
      </c>
      <c r="M560" s="76"/>
      <c r="N560" s="75"/>
      <c r="O560" s="76"/>
      <c r="P560" s="77" t="str">
        <f t="shared" si="3"/>
        <v/>
      </c>
      <c r="Q560" s="75"/>
      <c r="R560" s="76"/>
      <c r="S560" s="75"/>
      <c r="T560" s="75"/>
      <c r="U560" s="76"/>
      <c r="V560" s="76"/>
      <c r="W560" s="75"/>
      <c r="X560" s="76"/>
      <c r="Y560" s="29" t="str">
        <f t="shared" si="4"/>
        <v/>
      </c>
      <c r="Z560" s="29" t="str">
        <f t="shared" si="5"/>
        <v/>
      </c>
      <c r="AA560" s="76"/>
      <c r="AB560" s="76"/>
      <c r="AC560" s="75"/>
      <c r="AD560" s="75"/>
      <c r="AE560" s="78" t="str">
        <f>IF(U560="","",IF(AD560="","",_xlfn.WORKDAY.INTL(AD560,7,1,FERIADOS)))</f>
        <v/>
      </c>
      <c r="AF560" s="104"/>
      <c r="AG560" s="80" t="str">
        <f t="array" ref="AG560">IF(A560="","",IF(AF560="","",AF560*INDEX(PARAMETROS!F$2:F1623,MATCH(YEAR(AC560),PARAMETROS!E$2:E1623,0),1)))</f>
        <v/>
      </c>
      <c r="AH560" s="81"/>
      <c r="AI560" s="82"/>
      <c r="AJ560" s="81"/>
      <c r="AK560" s="81"/>
      <c r="AL560" s="76"/>
      <c r="AM560" s="75"/>
      <c r="AN560" s="76"/>
      <c r="AO560" s="95"/>
      <c r="AP560" s="96"/>
      <c r="AQ560" s="85" t="str">
        <f t="shared" si="6"/>
        <v/>
      </c>
      <c r="AR560" s="86" t="str">
        <f t="array" ref="AR560">IF(A560="","",IFERROR(INDEX('2) Etapas'!L$3:L923,MATCH(B560,'2) Etapas'!$A$4:$A923,0),1),-1))</f>
        <v/>
      </c>
      <c r="AS560" s="87" t="str">
        <f t="shared" si="7"/>
        <v/>
      </c>
      <c r="AT560" s="87" t="str">
        <f t="shared" si="8"/>
        <v/>
      </c>
      <c r="AU560" s="87" t="str">
        <f t="shared" si="9"/>
        <v/>
      </c>
      <c r="AV560" s="89" t="str">
        <f t="array" ref="AV560">IF(OR($A560="",$AB560="", $AC560=""),"",MAXA(IF($A560=$A$4:$A923,$AC$4:$AC923)))</f>
        <v/>
      </c>
    </row>
    <row r="561" ht="22.5" customHeight="1">
      <c r="A561" s="76"/>
      <c r="B561" s="68" t="str">
        <f t="shared" si="1"/>
        <v/>
      </c>
      <c r="C561" s="110"/>
      <c r="D561" s="70" t="str">
        <f t="shared" si="2"/>
        <v/>
      </c>
      <c r="E561" s="76"/>
      <c r="F561" s="68" t="str">
        <f t="array" ref="F561">IF($A561="","",IFERROR(INDEX(MA_INDIVIDUALES!C$2:C923, MATCH($A561,MA_INDIVIDUALES!$B$2:$B923,0),1),"CÓDIGO DE EXPEDIENTE INVÁLIDO"))</f>
        <v/>
      </c>
      <c r="G561" s="68" t="str">
        <f t="array" ref="G561">IF($A561="","",IFERROR(INDEX(MA_INDIVIDUALES!K$2:K923, MATCH($A561,MA_INDIVIDUALES!$B$2:$B923,0),1),"CÓDIGO DE EXPEDIENTE INVÁLIDO"))</f>
        <v/>
      </c>
      <c r="H561" s="68" t="str">
        <f t="array" ref="H561">IF($A561="","",IFERROR(INDEX(MA_INDIVIDUALES!L$2:L923, MATCH($A561,MA_INDIVIDUALES!$B$2:$B923,0),1),"CÓDIGO DE EXPEDIENTE INVÁLIDO"))</f>
        <v/>
      </c>
      <c r="I561" s="76"/>
      <c r="J561" s="76"/>
      <c r="K561" s="75"/>
      <c r="L561" s="74" t="str">
        <f>IF(A561="","",IF(K561="","",_xlfn.WORKDAY.INTL(K561,5,1,FERIADOS)))</f>
        <v/>
      </c>
      <c r="M561" s="76"/>
      <c r="N561" s="75"/>
      <c r="O561" s="76"/>
      <c r="P561" s="77" t="str">
        <f t="shared" si="3"/>
        <v/>
      </c>
      <c r="Q561" s="75"/>
      <c r="R561" s="76"/>
      <c r="S561" s="75"/>
      <c r="T561" s="75"/>
      <c r="U561" s="76"/>
      <c r="V561" s="76"/>
      <c r="W561" s="75"/>
      <c r="X561" s="76"/>
      <c r="Y561" s="29" t="str">
        <f t="shared" si="4"/>
        <v/>
      </c>
      <c r="Z561" s="29" t="str">
        <f t="shared" si="5"/>
        <v/>
      </c>
      <c r="AA561" s="76"/>
      <c r="AB561" s="76"/>
      <c r="AC561" s="75"/>
      <c r="AD561" s="75"/>
      <c r="AE561" s="78" t="str">
        <f>IF(U561="","",IF(AD561="","",_xlfn.WORKDAY.INTL(AD561,7,1,FERIADOS)))</f>
        <v/>
      </c>
      <c r="AF561" s="104"/>
      <c r="AG561" s="80" t="str">
        <f t="array" ref="AG561">IF(A561="","",IF(AF561="","",AF561*INDEX(PARAMETROS!F$2:F1624,MATCH(YEAR(AC561),PARAMETROS!E$2:E1624,0),1)))</f>
        <v/>
      </c>
      <c r="AH561" s="81"/>
      <c r="AI561" s="82"/>
      <c r="AJ561" s="81"/>
      <c r="AK561" s="81"/>
      <c r="AL561" s="76"/>
      <c r="AM561" s="75"/>
      <c r="AN561" s="76"/>
      <c r="AO561" s="95"/>
      <c r="AP561" s="96"/>
      <c r="AQ561" s="85" t="str">
        <f t="shared" si="6"/>
        <v/>
      </c>
      <c r="AR561" s="86" t="str">
        <f t="array" ref="AR561">IF(A561="","",IFERROR(INDEX('2) Etapas'!L$3:L923,MATCH(B561,'2) Etapas'!$A$4:$A923,0),1),-1))</f>
        <v/>
      </c>
      <c r="AS561" s="87" t="str">
        <f t="shared" si="7"/>
        <v/>
      </c>
      <c r="AT561" s="87" t="str">
        <f t="shared" si="8"/>
        <v/>
      </c>
      <c r="AU561" s="87" t="str">
        <f t="shared" si="9"/>
        <v/>
      </c>
      <c r="AV561" s="89" t="str">
        <f t="array" ref="AV561">IF(OR($A561="",$AB561="", $AC561=""),"",MAXA(IF($A561=$A$4:$A923,$AC$4:$AC923)))</f>
        <v/>
      </c>
    </row>
    <row r="562" ht="22.5" customHeight="1">
      <c r="A562" s="76"/>
      <c r="B562" s="68" t="str">
        <f t="shared" si="1"/>
        <v/>
      </c>
      <c r="C562" s="110"/>
      <c r="D562" s="70" t="str">
        <f t="shared" si="2"/>
        <v/>
      </c>
      <c r="E562" s="76"/>
      <c r="F562" s="68" t="str">
        <f t="array" ref="F562">IF($A562="","",IFERROR(INDEX(MA_INDIVIDUALES!C$2:C923, MATCH($A562,MA_INDIVIDUALES!$B$2:$B923,0),1),"CÓDIGO DE EXPEDIENTE INVÁLIDO"))</f>
        <v/>
      </c>
      <c r="G562" s="68" t="str">
        <f t="array" ref="G562">IF($A562="","",IFERROR(INDEX(MA_INDIVIDUALES!K$2:K923, MATCH($A562,MA_INDIVIDUALES!$B$2:$B923,0),1),"CÓDIGO DE EXPEDIENTE INVÁLIDO"))</f>
        <v/>
      </c>
      <c r="H562" s="68" t="str">
        <f t="array" ref="H562">IF($A562="","",IFERROR(INDEX(MA_INDIVIDUALES!L$2:L923, MATCH($A562,MA_INDIVIDUALES!$B$2:$B923,0),1),"CÓDIGO DE EXPEDIENTE INVÁLIDO"))</f>
        <v/>
      </c>
      <c r="I562" s="76"/>
      <c r="J562" s="76"/>
      <c r="K562" s="75"/>
      <c r="L562" s="74" t="str">
        <f>IF(A562="","",IF(K562="","",_xlfn.WORKDAY.INTL(K562,5,1,FERIADOS)))</f>
        <v/>
      </c>
      <c r="M562" s="76"/>
      <c r="N562" s="75"/>
      <c r="O562" s="76"/>
      <c r="P562" s="77" t="str">
        <f t="shared" si="3"/>
        <v/>
      </c>
      <c r="Q562" s="75"/>
      <c r="R562" s="76"/>
      <c r="S562" s="75"/>
      <c r="T562" s="75"/>
      <c r="U562" s="76"/>
      <c r="V562" s="76"/>
      <c r="W562" s="75"/>
      <c r="X562" s="76"/>
      <c r="Y562" s="29" t="str">
        <f t="shared" si="4"/>
        <v/>
      </c>
      <c r="Z562" s="29" t="str">
        <f t="shared" si="5"/>
        <v/>
      </c>
      <c r="AA562" s="76"/>
      <c r="AB562" s="76"/>
      <c r="AC562" s="75"/>
      <c r="AD562" s="75"/>
      <c r="AE562" s="78" t="str">
        <f>IF(U562="","",IF(AD562="","",_xlfn.WORKDAY.INTL(AD562,7,1,FERIADOS)))</f>
        <v/>
      </c>
      <c r="AF562" s="104"/>
      <c r="AG562" s="80" t="str">
        <f t="array" ref="AG562">IF(A562="","",IF(AF562="","",AF562*INDEX(PARAMETROS!F$2:F1625,MATCH(YEAR(AC562),PARAMETROS!E$2:E1625,0),1)))</f>
        <v/>
      </c>
      <c r="AH562" s="81"/>
      <c r="AI562" s="82"/>
      <c r="AJ562" s="81"/>
      <c r="AK562" s="81"/>
      <c r="AL562" s="76"/>
      <c r="AM562" s="75"/>
      <c r="AN562" s="76"/>
      <c r="AO562" s="95"/>
      <c r="AP562" s="96"/>
      <c r="AQ562" s="85" t="str">
        <f t="shared" si="6"/>
        <v/>
      </c>
      <c r="AR562" s="86" t="str">
        <f t="array" ref="AR562">IF(A562="","",IFERROR(INDEX('2) Etapas'!L$3:L923,MATCH(B562,'2) Etapas'!$A$4:$A923,0),1),-1))</f>
        <v/>
      </c>
      <c r="AS562" s="87" t="str">
        <f t="shared" si="7"/>
        <v/>
      </c>
      <c r="AT562" s="87" t="str">
        <f t="shared" si="8"/>
        <v/>
      </c>
      <c r="AU562" s="87" t="str">
        <f t="shared" si="9"/>
        <v/>
      </c>
      <c r="AV562" s="89" t="str">
        <f t="array" ref="AV562">IF(OR($A562="",$AB562="", $AC562=""),"",MAXA(IF($A562=$A$4:$A923,$AC$4:$AC923)))</f>
        <v/>
      </c>
    </row>
    <row r="563" ht="22.5" customHeight="1">
      <c r="A563" s="76"/>
      <c r="B563" s="68" t="str">
        <f t="shared" si="1"/>
        <v/>
      </c>
      <c r="C563" s="110"/>
      <c r="D563" s="70" t="str">
        <f t="shared" si="2"/>
        <v/>
      </c>
      <c r="E563" s="76"/>
      <c r="F563" s="68" t="str">
        <f t="array" ref="F563">IF($A563="","",IFERROR(INDEX(MA_INDIVIDUALES!C$2:C923, MATCH($A563,MA_INDIVIDUALES!$B$2:$B923,0),1),"CÓDIGO DE EXPEDIENTE INVÁLIDO"))</f>
        <v/>
      </c>
      <c r="G563" s="68" t="str">
        <f t="array" ref="G563">IF($A563="","",IFERROR(INDEX(MA_INDIVIDUALES!K$2:K923, MATCH($A563,MA_INDIVIDUALES!$B$2:$B923,0),1),"CÓDIGO DE EXPEDIENTE INVÁLIDO"))</f>
        <v/>
      </c>
      <c r="H563" s="68" t="str">
        <f t="array" ref="H563">IF($A563="","",IFERROR(INDEX(MA_INDIVIDUALES!L$2:L923, MATCH($A563,MA_INDIVIDUALES!$B$2:$B923,0),1),"CÓDIGO DE EXPEDIENTE INVÁLIDO"))</f>
        <v/>
      </c>
      <c r="I563" s="76"/>
      <c r="J563" s="76"/>
      <c r="K563" s="75"/>
      <c r="L563" s="74" t="str">
        <f>IF(A563="","",IF(K563="","",_xlfn.WORKDAY.INTL(K563,5,1,FERIADOS)))</f>
        <v/>
      </c>
      <c r="M563" s="76"/>
      <c r="N563" s="75"/>
      <c r="O563" s="76"/>
      <c r="P563" s="77" t="str">
        <f t="shared" si="3"/>
        <v/>
      </c>
      <c r="Q563" s="75"/>
      <c r="R563" s="76"/>
      <c r="S563" s="75"/>
      <c r="T563" s="75"/>
      <c r="U563" s="76"/>
      <c r="V563" s="76"/>
      <c r="W563" s="75"/>
      <c r="X563" s="76"/>
      <c r="Y563" s="29" t="str">
        <f t="shared" si="4"/>
        <v/>
      </c>
      <c r="Z563" s="29" t="str">
        <f t="shared" si="5"/>
        <v/>
      </c>
      <c r="AA563" s="76"/>
      <c r="AB563" s="76"/>
      <c r="AC563" s="75"/>
      <c r="AD563" s="75"/>
      <c r="AE563" s="78" t="str">
        <f>IF(U563="","",IF(AD563="","",_xlfn.WORKDAY.INTL(AD563,7,1,FERIADOS)))</f>
        <v/>
      </c>
      <c r="AF563" s="104"/>
      <c r="AG563" s="80" t="str">
        <f t="array" ref="AG563">IF(A563="","",IF(AF563="","",AF563*INDEX(PARAMETROS!F$2:F1626,MATCH(YEAR(AC563),PARAMETROS!E$2:E1626,0),1)))</f>
        <v/>
      </c>
      <c r="AH563" s="81"/>
      <c r="AI563" s="82"/>
      <c r="AJ563" s="81"/>
      <c r="AK563" s="81"/>
      <c r="AL563" s="76"/>
      <c r="AM563" s="75"/>
      <c r="AN563" s="76"/>
      <c r="AO563" s="95"/>
      <c r="AP563" s="96"/>
      <c r="AQ563" s="85" t="str">
        <f t="shared" si="6"/>
        <v/>
      </c>
      <c r="AR563" s="86" t="str">
        <f t="array" ref="AR563">IF(A563="","",IFERROR(INDEX('2) Etapas'!L$3:L923,MATCH(B563,'2) Etapas'!$A$4:$A923,0),1),-1))</f>
        <v/>
      </c>
      <c r="AS563" s="87" t="str">
        <f t="shared" si="7"/>
        <v/>
      </c>
      <c r="AT563" s="87" t="str">
        <f t="shared" si="8"/>
        <v/>
      </c>
      <c r="AU563" s="87" t="str">
        <f t="shared" si="9"/>
        <v/>
      </c>
      <c r="AV563" s="89" t="str">
        <f t="array" ref="AV563">IF(OR($A563="",$AB563="", $AC563=""),"",MAXA(IF($A563=$A$4:$A923,$AC$4:$AC923)))</f>
        <v/>
      </c>
    </row>
    <row r="564" ht="22.5" customHeight="1">
      <c r="A564" s="76"/>
      <c r="B564" s="68" t="str">
        <f t="shared" si="1"/>
        <v/>
      </c>
      <c r="C564" s="110"/>
      <c r="D564" s="70" t="str">
        <f t="shared" si="2"/>
        <v/>
      </c>
      <c r="E564" s="76"/>
      <c r="F564" s="68" t="str">
        <f t="array" ref="F564">IF($A564="","",IFERROR(INDEX(MA_INDIVIDUALES!C$2:C923, MATCH($A564,MA_INDIVIDUALES!$B$2:$B923,0),1),"CÓDIGO DE EXPEDIENTE INVÁLIDO"))</f>
        <v/>
      </c>
      <c r="G564" s="68" t="str">
        <f t="array" ref="G564">IF($A564="","",IFERROR(INDEX(MA_INDIVIDUALES!K$2:K923, MATCH($A564,MA_INDIVIDUALES!$B$2:$B923,0),1),"CÓDIGO DE EXPEDIENTE INVÁLIDO"))</f>
        <v/>
      </c>
      <c r="H564" s="68" t="str">
        <f t="array" ref="H564">IF($A564="","",IFERROR(INDEX(MA_INDIVIDUALES!L$2:L923, MATCH($A564,MA_INDIVIDUALES!$B$2:$B923,0),1),"CÓDIGO DE EXPEDIENTE INVÁLIDO"))</f>
        <v/>
      </c>
      <c r="I564" s="76"/>
      <c r="J564" s="76"/>
      <c r="K564" s="75"/>
      <c r="L564" s="74" t="str">
        <f>IF(A564="","",IF(K564="","",_xlfn.WORKDAY.INTL(K564,5,1,FERIADOS)))</f>
        <v/>
      </c>
      <c r="M564" s="76"/>
      <c r="N564" s="75"/>
      <c r="O564" s="76"/>
      <c r="P564" s="77" t="str">
        <f t="shared" si="3"/>
        <v/>
      </c>
      <c r="Q564" s="75"/>
      <c r="R564" s="76"/>
      <c r="S564" s="75"/>
      <c r="T564" s="75"/>
      <c r="U564" s="76"/>
      <c r="V564" s="76"/>
      <c r="W564" s="75"/>
      <c r="X564" s="76"/>
      <c r="Y564" s="29" t="str">
        <f t="shared" si="4"/>
        <v/>
      </c>
      <c r="Z564" s="29" t="str">
        <f t="shared" si="5"/>
        <v/>
      </c>
      <c r="AA564" s="76"/>
      <c r="AB564" s="76"/>
      <c r="AC564" s="75"/>
      <c r="AD564" s="75"/>
      <c r="AE564" s="78" t="str">
        <f>IF(U564="","",IF(AD564="","",_xlfn.WORKDAY.INTL(AD564,7,1,FERIADOS)))</f>
        <v/>
      </c>
      <c r="AF564" s="104"/>
      <c r="AG564" s="80" t="str">
        <f t="array" ref="AG564">IF(A564="","",IF(AF564="","",AF564*INDEX(PARAMETROS!F$2:F1627,MATCH(YEAR(AC564),PARAMETROS!E$2:E1627,0),1)))</f>
        <v/>
      </c>
      <c r="AH564" s="81"/>
      <c r="AI564" s="82"/>
      <c r="AJ564" s="81"/>
      <c r="AK564" s="81"/>
      <c r="AL564" s="76"/>
      <c r="AM564" s="75"/>
      <c r="AN564" s="76"/>
      <c r="AO564" s="95"/>
      <c r="AP564" s="96"/>
      <c r="AQ564" s="85" t="str">
        <f t="shared" si="6"/>
        <v/>
      </c>
      <c r="AR564" s="86" t="str">
        <f t="array" ref="AR564">IF(A564="","",IFERROR(INDEX('2) Etapas'!L$3:L923,MATCH(B564,'2) Etapas'!$A$4:$A923,0),1),-1))</f>
        <v/>
      </c>
      <c r="AS564" s="87" t="str">
        <f t="shared" si="7"/>
        <v/>
      </c>
      <c r="AT564" s="87" t="str">
        <f t="shared" si="8"/>
        <v/>
      </c>
      <c r="AU564" s="87" t="str">
        <f t="shared" si="9"/>
        <v/>
      </c>
      <c r="AV564" s="89" t="str">
        <f t="array" ref="AV564">IF(OR($A564="",$AB564="", $AC564=""),"",MAXA(IF($A564=$A$4:$A923,$AC$4:$AC923)))</f>
        <v/>
      </c>
    </row>
    <row r="565" ht="22.5" customHeight="1">
      <c r="A565" s="76"/>
      <c r="B565" s="68" t="str">
        <f t="shared" si="1"/>
        <v/>
      </c>
      <c r="C565" s="110"/>
      <c r="D565" s="70" t="str">
        <f t="shared" si="2"/>
        <v/>
      </c>
      <c r="E565" s="76"/>
      <c r="F565" s="68" t="str">
        <f t="array" ref="F565">IF($A565="","",IFERROR(INDEX(MA_INDIVIDUALES!C$2:C923, MATCH($A565,MA_INDIVIDUALES!$B$2:$B923,0),1),"CÓDIGO DE EXPEDIENTE INVÁLIDO"))</f>
        <v/>
      </c>
      <c r="G565" s="68" t="str">
        <f t="array" ref="G565">IF($A565="","",IFERROR(INDEX(MA_INDIVIDUALES!K$2:K923, MATCH($A565,MA_INDIVIDUALES!$B$2:$B923,0),1),"CÓDIGO DE EXPEDIENTE INVÁLIDO"))</f>
        <v/>
      </c>
      <c r="H565" s="68" t="str">
        <f t="array" ref="H565">IF($A565="","",IFERROR(INDEX(MA_INDIVIDUALES!L$2:L923, MATCH($A565,MA_INDIVIDUALES!$B$2:$B923,0),1),"CÓDIGO DE EXPEDIENTE INVÁLIDO"))</f>
        <v/>
      </c>
      <c r="I565" s="76"/>
      <c r="J565" s="76"/>
      <c r="K565" s="75"/>
      <c r="L565" s="74" t="str">
        <f>IF(A565="","",IF(K565="","",_xlfn.WORKDAY.INTL(K565,5,1,FERIADOS)))</f>
        <v/>
      </c>
      <c r="M565" s="76"/>
      <c r="N565" s="75"/>
      <c r="O565" s="76"/>
      <c r="P565" s="77" t="str">
        <f t="shared" si="3"/>
        <v/>
      </c>
      <c r="Q565" s="75"/>
      <c r="R565" s="76"/>
      <c r="S565" s="75"/>
      <c r="T565" s="75"/>
      <c r="U565" s="76"/>
      <c r="V565" s="76"/>
      <c r="W565" s="75"/>
      <c r="X565" s="76"/>
      <c r="Y565" s="29" t="str">
        <f t="shared" si="4"/>
        <v/>
      </c>
      <c r="Z565" s="29" t="str">
        <f t="shared" si="5"/>
        <v/>
      </c>
      <c r="AA565" s="76"/>
      <c r="AB565" s="76"/>
      <c r="AC565" s="75"/>
      <c r="AD565" s="75"/>
      <c r="AE565" s="78" t="str">
        <f>IF(U565="","",IF(AD565="","",_xlfn.WORKDAY.INTL(AD565,7,1,FERIADOS)))</f>
        <v/>
      </c>
      <c r="AF565" s="104"/>
      <c r="AG565" s="80" t="str">
        <f t="array" ref="AG565">IF(A565="","",IF(AF565="","",AF565*INDEX(PARAMETROS!F$2:F1628,MATCH(YEAR(AC565),PARAMETROS!E$2:E1628,0),1)))</f>
        <v/>
      </c>
      <c r="AH565" s="81"/>
      <c r="AI565" s="82"/>
      <c r="AJ565" s="81"/>
      <c r="AK565" s="81"/>
      <c r="AL565" s="76"/>
      <c r="AM565" s="75"/>
      <c r="AN565" s="76"/>
      <c r="AO565" s="95"/>
      <c r="AP565" s="96"/>
      <c r="AQ565" s="85" t="str">
        <f t="shared" si="6"/>
        <v/>
      </c>
      <c r="AR565" s="86" t="str">
        <f t="array" ref="AR565">IF(A565="","",IFERROR(INDEX('2) Etapas'!L$3:L923,MATCH(B565,'2) Etapas'!$A$4:$A923,0),1),-1))</f>
        <v/>
      </c>
      <c r="AS565" s="87" t="str">
        <f t="shared" si="7"/>
        <v/>
      </c>
      <c r="AT565" s="87" t="str">
        <f t="shared" si="8"/>
        <v/>
      </c>
      <c r="AU565" s="87" t="str">
        <f t="shared" si="9"/>
        <v/>
      </c>
      <c r="AV565" s="89" t="str">
        <f t="array" ref="AV565">IF(OR($A565="",$AB565="", $AC565=""),"",MAXA(IF($A565=$A$4:$A923,$AC$4:$AC923)))</f>
        <v/>
      </c>
    </row>
    <row r="566" ht="22.5" customHeight="1">
      <c r="A566" s="76"/>
      <c r="B566" s="68" t="str">
        <f t="shared" si="1"/>
        <v/>
      </c>
      <c r="C566" s="110"/>
      <c r="D566" s="70" t="str">
        <f t="shared" si="2"/>
        <v/>
      </c>
      <c r="E566" s="76"/>
      <c r="F566" s="68" t="str">
        <f t="array" ref="F566">IF($A566="","",IFERROR(INDEX(MA_INDIVIDUALES!C$2:C923, MATCH($A566,MA_INDIVIDUALES!$B$2:$B923,0),1),"CÓDIGO DE EXPEDIENTE INVÁLIDO"))</f>
        <v/>
      </c>
      <c r="G566" s="68" t="str">
        <f t="array" ref="G566">IF($A566="","",IFERROR(INDEX(MA_INDIVIDUALES!K$2:K923, MATCH($A566,MA_INDIVIDUALES!$B$2:$B923,0),1),"CÓDIGO DE EXPEDIENTE INVÁLIDO"))</f>
        <v/>
      </c>
      <c r="H566" s="68" t="str">
        <f t="array" ref="H566">IF($A566="","",IFERROR(INDEX(MA_INDIVIDUALES!L$2:L923, MATCH($A566,MA_INDIVIDUALES!$B$2:$B923,0),1),"CÓDIGO DE EXPEDIENTE INVÁLIDO"))</f>
        <v/>
      </c>
      <c r="I566" s="76"/>
      <c r="J566" s="76"/>
      <c r="K566" s="75"/>
      <c r="L566" s="74" t="str">
        <f>IF(A566="","",IF(K566="","",_xlfn.WORKDAY.INTL(K566,5,1,FERIADOS)))</f>
        <v/>
      </c>
      <c r="M566" s="76"/>
      <c r="N566" s="75"/>
      <c r="O566" s="76"/>
      <c r="P566" s="77" t="str">
        <f t="shared" si="3"/>
        <v/>
      </c>
      <c r="Q566" s="75"/>
      <c r="R566" s="76"/>
      <c r="S566" s="75"/>
      <c r="T566" s="75"/>
      <c r="U566" s="76"/>
      <c r="V566" s="76"/>
      <c r="W566" s="75"/>
      <c r="X566" s="76"/>
      <c r="Y566" s="29" t="str">
        <f t="shared" si="4"/>
        <v/>
      </c>
      <c r="Z566" s="29" t="str">
        <f t="shared" si="5"/>
        <v/>
      </c>
      <c r="AA566" s="76"/>
      <c r="AB566" s="76"/>
      <c r="AC566" s="75"/>
      <c r="AD566" s="75"/>
      <c r="AE566" s="78" t="str">
        <f>IF(U566="","",IF(AD566="","",_xlfn.WORKDAY.INTL(AD566,7,1,FERIADOS)))</f>
        <v/>
      </c>
      <c r="AF566" s="104"/>
      <c r="AG566" s="80" t="str">
        <f t="array" ref="AG566">IF(A566="","",IF(AF566="","",AF566*INDEX(PARAMETROS!F$2:F1629,MATCH(YEAR(AC566),PARAMETROS!E$2:E1629,0),1)))</f>
        <v/>
      </c>
      <c r="AH566" s="81"/>
      <c r="AI566" s="82"/>
      <c r="AJ566" s="81"/>
      <c r="AK566" s="81"/>
      <c r="AL566" s="76"/>
      <c r="AM566" s="75"/>
      <c r="AN566" s="76"/>
      <c r="AO566" s="95"/>
      <c r="AP566" s="96"/>
      <c r="AQ566" s="85" t="str">
        <f t="shared" si="6"/>
        <v/>
      </c>
      <c r="AR566" s="86" t="str">
        <f t="array" ref="AR566">IF(A566="","",IFERROR(INDEX('2) Etapas'!L$3:L923,MATCH(B566,'2) Etapas'!$A$4:$A923,0),1),-1))</f>
        <v/>
      </c>
      <c r="AS566" s="87" t="str">
        <f t="shared" si="7"/>
        <v/>
      </c>
      <c r="AT566" s="87" t="str">
        <f t="shared" si="8"/>
        <v/>
      </c>
      <c r="AU566" s="87" t="str">
        <f t="shared" si="9"/>
        <v/>
      </c>
      <c r="AV566" s="89" t="str">
        <f t="array" ref="AV566">IF(OR($A566="",$AB566="", $AC566=""),"",MAXA(IF($A566=$A$4:$A923,$AC$4:$AC923)))</f>
        <v/>
      </c>
    </row>
    <row r="567" ht="22.5" customHeight="1">
      <c r="A567" s="76"/>
      <c r="B567" s="68" t="str">
        <f t="shared" si="1"/>
        <v/>
      </c>
      <c r="C567" s="110"/>
      <c r="D567" s="70" t="str">
        <f t="shared" si="2"/>
        <v/>
      </c>
      <c r="E567" s="76"/>
      <c r="F567" s="68" t="str">
        <f t="array" ref="F567">IF($A567="","",IFERROR(INDEX(MA_INDIVIDUALES!C$2:C923, MATCH($A567,MA_INDIVIDUALES!$B$2:$B923,0),1),"CÓDIGO DE EXPEDIENTE INVÁLIDO"))</f>
        <v/>
      </c>
      <c r="G567" s="68" t="str">
        <f t="array" ref="G567">IF($A567="","",IFERROR(INDEX(MA_INDIVIDUALES!K$2:K923, MATCH($A567,MA_INDIVIDUALES!$B$2:$B923,0),1),"CÓDIGO DE EXPEDIENTE INVÁLIDO"))</f>
        <v/>
      </c>
      <c r="H567" s="68" t="str">
        <f t="array" ref="H567">IF($A567="","",IFERROR(INDEX(MA_INDIVIDUALES!L$2:L923, MATCH($A567,MA_INDIVIDUALES!$B$2:$B923,0),1),"CÓDIGO DE EXPEDIENTE INVÁLIDO"))</f>
        <v/>
      </c>
      <c r="I567" s="76"/>
      <c r="J567" s="76"/>
      <c r="K567" s="75"/>
      <c r="L567" s="74" t="str">
        <f>IF(A567="","",IF(K567="","",_xlfn.WORKDAY.INTL(K567,5,1,FERIADOS)))</f>
        <v/>
      </c>
      <c r="M567" s="76"/>
      <c r="N567" s="75"/>
      <c r="O567" s="76"/>
      <c r="P567" s="77" t="str">
        <f t="shared" si="3"/>
        <v/>
      </c>
      <c r="Q567" s="75"/>
      <c r="R567" s="76"/>
      <c r="S567" s="75"/>
      <c r="T567" s="75"/>
      <c r="U567" s="76"/>
      <c r="V567" s="76"/>
      <c r="W567" s="75"/>
      <c r="X567" s="76"/>
      <c r="Y567" s="29" t="str">
        <f t="shared" si="4"/>
        <v/>
      </c>
      <c r="Z567" s="29" t="str">
        <f t="shared" si="5"/>
        <v/>
      </c>
      <c r="AA567" s="76"/>
      <c r="AB567" s="76"/>
      <c r="AC567" s="75"/>
      <c r="AD567" s="75"/>
      <c r="AE567" s="78" t="str">
        <f>IF(U567="","",IF(AD567="","",_xlfn.WORKDAY.INTL(AD567,7,1,FERIADOS)))</f>
        <v/>
      </c>
      <c r="AF567" s="104"/>
      <c r="AG567" s="80" t="str">
        <f t="array" ref="AG567">IF(A567="","",IF(AF567="","",AF567*INDEX(PARAMETROS!F$2:F1630,MATCH(YEAR(AC567),PARAMETROS!E$2:E1630,0),1)))</f>
        <v/>
      </c>
      <c r="AH567" s="81"/>
      <c r="AI567" s="82"/>
      <c r="AJ567" s="81"/>
      <c r="AK567" s="81"/>
      <c r="AL567" s="76"/>
      <c r="AM567" s="75"/>
      <c r="AN567" s="76"/>
      <c r="AO567" s="95"/>
      <c r="AP567" s="96"/>
      <c r="AQ567" s="85" t="str">
        <f t="shared" si="6"/>
        <v/>
      </c>
      <c r="AR567" s="86" t="str">
        <f t="array" ref="AR567">IF(A567="","",IFERROR(INDEX('2) Etapas'!L$3:L923,MATCH(B567,'2) Etapas'!$A$4:$A923,0),1),-1))</f>
        <v/>
      </c>
      <c r="AS567" s="87" t="str">
        <f t="shared" si="7"/>
        <v/>
      </c>
      <c r="AT567" s="87" t="str">
        <f t="shared" si="8"/>
        <v/>
      </c>
      <c r="AU567" s="87" t="str">
        <f t="shared" si="9"/>
        <v/>
      </c>
      <c r="AV567" s="89" t="str">
        <f t="array" ref="AV567">IF(OR($A567="",$AB567="", $AC567=""),"",MAXA(IF($A567=$A$4:$A923,$AC$4:$AC923)))</f>
        <v/>
      </c>
    </row>
    <row r="568" ht="22.5" customHeight="1">
      <c r="A568" s="76"/>
      <c r="B568" s="68" t="str">
        <f t="shared" si="1"/>
        <v/>
      </c>
      <c r="C568" s="110"/>
      <c r="D568" s="70" t="str">
        <f t="shared" si="2"/>
        <v/>
      </c>
      <c r="E568" s="76"/>
      <c r="F568" s="68" t="str">
        <f t="array" ref="F568">IF($A568="","",IFERROR(INDEX(MA_INDIVIDUALES!C$2:C923, MATCH($A568,MA_INDIVIDUALES!$B$2:$B923,0),1),"CÓDIGO DE EXPEDIENTE INVÁLIDO"))</f>
        <v/>
      </c>
      <c r="G568" s="68" t="str">
        <f t="array" ref="G568">IF($A568="","",IFERROR(INDEX(MA_INDIVIDUALES!K$2:K923, MATCH($A568,MA_INDIVIDUALES!$B$2:$B923,0),1),"CÓDIGO DE EXPEDIENTE INVÁLIDO"))</f>
        <v/>
      </c>
      <c r="H568" s="68" t="str">
        <f t="array" ref="H568">IF($A568="","",IFERROR(INDEX(MA_INDIVIDUALES!L$2:L923, MATCH($A568,MA_INDIVIDUALES!$B$2:$B923,0),1),"CÓDIGO DE EXPEDIENTE INVÁLIDO"))</f>
        <v/>
      </c>
      <c r="I568" s="76"/>
      <c r="J568" s="76"/>
      <c r="K568" s="75"/>
      <c r="L568" s="74" t="str">
        <f>IF(A568="","",IF(K568="","",_xlfn.WORKDAY.INTL(K568,5,1,FERIADOS)))</f>
        <v/>
      </c>
      <c r="M568" s="76"/>
      <c r="N568" s="75"/>
      <c r="O568" s="76"/>
      <c r="P568" s="77" t="str">
        <f t="shared" si="3"/>
        <v/>
      </c>
      <c r="Q568" s="75"/>
      <c r="R568" s="76"/>
      <c r="S568" s="75"/>
      <c r="T568" s="75"/>
      <c r="U568" s="76"/>
      <c r="V568" s="76"/>
      <c r="W568" s="75"/>
      <c r="X568" s="76"/>
      <c r="Y568" s="29" t="str">
        <f t="shared" si="4"/>
        <v/>
      </c>
      <c r="Z568" s="29" t="str">
        <f t="shared" si="5"/>
        <v/>
      </c>
      <c r="AA568" s="76"/>
      <c r="AB568" s="76"/>
      <c r="AC568" s="75"/>
      <c r="AD568" s="75"/>
      <c r="AE568" s="78" t="str">
        <f>IF(U568="","",IF(AD568="","",_xlfn.WORKDAY.INTL(AD568,7,1,FERIADOS)))</f>
        <v/>
      </c>
      <c r="AF568" s="104"/>
      <c r="AG568" s="80" t="str">
        <f t="array" ref="AG568">IF(A568="","",IF(AF568="","",AF568*INDEX(PARAMETROS!F$2:F1631,MATCH(YEAR(AC568),PARAMETROS!E$2:E1631,0),1)))</f>
        <v/>
      </c>
      <c r="AH568" s="81"/>
      <c r="AI568" s="82"/>
      <c r="AJ568" s="81"/>
      <c r="AK568" s="81"/>
      <c r="AL568" s="76"/>
      <c r="AM568" s="75"/>
      <c r="AN568" s="76"/>
      <c r="AO568" s="95"/>
      <c r="AP568" s="96"/>
      <c r="AQ568" s="85" t="str">
        <f t="shared" si="6"/>
        <v/>
      </c>
      <c r="AR568" s="86" t="str">
        <f t="array" ref="AR568">IF(A568="","",IFERROR(INDEX('2) Etapas'!L$3:L923,MATCH(B568,'2) Etapas'!$A$4:$A923,0),1),-1))</f>
        <v/>
      </c>
      <c r="AS568" s="87" t="str">
        <f t="shared" si="7"/>
        <v/>
      </c>
      <c r="AT568" s="87" t="str">
        <f t="shared" si="8"/>
        <v/>
      </c>
      <c r="AU568" s="87" t="str">
        <f t="shared" si="9"/>
        <v/>
      </c>
      <c r="AV568" s="89" t="str">
        <f t="array" ref="AV568">IF(OR($A568="",$AB568="", $AC568=""),"",MAXA(IF($A568=$A$4:$A923,$AC$4:$AC923)))</f>
        <v/>
      </c>
    </row>
    <row r="569" ht="22.5" customHeight="1">
      <c r="A569" s="76"/>
      <c r="B569" s="68" t="str">
        <f t="shared" si="1"/>
        <v/>
      </c>
      <c r="C569" s="110"/>
      <c r="D569" s="70" t="str">
        <f t="shared" si="2"/>
        <v/>
      </c>
      <c r="E569" s="76"/>
      <c r="F569" s="68" t="str">
        <f t="array" ref="F569">IF($A569="","",IFERROR(INDEX(MA_INDIVIDUALES!C$2:C923, MATCH($A569,MA_INDIVIDUALES!$B$2:$B923,0),1),"CÓDIGO DE EXPEDIENTE INVÁLIDO"))</f>
        <v/>
      </c>
      <c r="G569" s="68" t="str">
        <f t="array" ref="G569">IF($A569="","",IFERROR(INDEX(MA_INDIVIDUALES!K$2:K923, MATCH($A569,MA_INDIVIDUALES!$B$2:$B923,0),1),"CÓDIGO DE EXPEDIENTE INVÁLIDO"))</f>
        <v/>
      </c>
      <c r="H569" s="68" t="str">
        <f t="array" ref="H569">IF($A569="","",IFERROR(INDEX(MA_INDIVIDUALES!L$2:L923, MATCH($A569,MA_INDIVIDUALES!$B$2:$B923,0),1),"CÓDIGO DE EXPEDIENTE INVÁLIDO"))</f>
        <v/>
      </c>
      <c r="I569" s="76"/>
      <c r="J569" s="76"/>
      <c r="K569" s="75"/>
      <c r="L569" s="74" t="str">
        <f>IF(A569="","",IF(K569="","",_xlfn.WORKDAY.INTL(K569,5,1,FERIADOS)))</f>
        <v/>
      </c>
      <c r="M569" s="76"/>
      <c r="N569" s="75"/>
      <c r="O569" s="76"/>
      <c r="P569" s="77" t="str">
        <f t="shared" si="3"/>
        <v/>
      </c>
      <c r="Q569" s="75"/>
      <c r="R569" s="76"/>
      <c r="S569" s="75"/>
      <c r="T569" s="75"/>
      <c r="U569" s="76"/>
      <c r="V569" s="76"/>
      <c r="W569" s="75"/>
      <c r="X569" s="76"/>
      <c r="Y569" s="29" t="str">
        <f t="shared" si="4"/>
        <v/>
      </c>
      <c r="Z569" s="29" t="str">
        <f t="shared" si="5"/>
        <v/>
      </c>
      <c r="AA569" s="76"/>
      <c r="AB569" s="76"/>
      <c r="AC569" s="75"/>
      <c r="AD569" s="75"/>
      <c r="AE569" s="78" t="str">
        <f>IF(U569="","",IF(AD569="","",_xlfn.WORKDAY.INTL(AD569,7,1,FERIADOS)))</f>
        <v/>
      </c>
      <c r="AF569" s="104"/>
      <c r="AG569" s="80" t="str">
        <f t="array" ref="AG569">IF(A569="","",IF(AF569="","",AF569*INDEX(PARAMETROS!F$2:F1632,MATCH(YEAR(AC569),PARAMETROS!E$2:E1632,0),1)))</f>
        <v/>
      </c>
      <c r="AH569" s="81"/>
      <c r="AI569" s="82"/>
      <c r="AJ569" s="81"/>
      <c r="AK569" s="81"/>
      <c r="AL569" s="76"/>
      <c r="AM569" s="75"/>
      <c r="AN569" s="76"/>
      <c r="AO569" s="95"/>
      <c r="AP569" s="96"/>
      <c r="AQ569" s="85" t="str">
        <f t="shared" si="6"/>
        <v/>
      </c>
      <c r="AR569" s="86" t="str">
        <f t="array" ref="AR569">IF(A569="","",IFERROR(INDEX('2) Etapas'!L$3:L923,MATCH(B569,'2) Etapas'!$A$4:$A923,0),1),-1))</f>
        <v/>
      </c>
      <c r="AS569" s="87" t="str">
        <f t="shared" si="7"/>
        <v/>
      </c>
      <c r="AT569" s="87" t="str">
        <f t="shared" si="8"/>
        <v/>
      </c>
      <c r="AU569" s="87" t="str">
        <f t="shared" si="9"/>
        <v/>
      </c>
      <c r="AV569" s="89" t="str">
        <f t="array" ref="AV569">IF(OR($A569="",$AB569="", $AC569=""),"",MAXA(IF($A569=$A$4:$A923,$AC$4:$AC923)))</f>
        <v/>
      </c>
    </row>
    <row r="570" ht="22.5" customHeight="1">
      <c r="A570" s="76"/>
      <c r="B570" s="68" t="str">
        <f t="shared" si="1"/>
        <v/>
      </c>
      <c r="C570" s="110"/>
      <c r="D570" s="70" t="str">
        <f t="shared" si="2"/>
        <v/>
      </c>
      <c r="E570" s="76"/>
      <c r="F570" s="68" t="str">
        <f t="array" ref="F570">IF($A570="","",IFERROR(INDEX(MA_INDIVIDUALES!C$2:C923, MATCH($A570,MA_INDIVIDUALES!$B$2:$B923,0),1),"CÓDIGO DE EXPEDIENTE INVÁLIDO"))</f>
        <v/>
      </c>
      <c r="G570" s="68" t="str">
        <f t="array" ref="G570">IF($A570="","",IFERROR(INDEX(MA_INDIVIDUALES!K$2:K923, MATCH($A570,MA_INDIVIDUALES!$B$2:$B923,0),1),"CÓDIGO DE EXPEDIENTE INVÁLIDO"))</f>
        <v/>
      </c>
      <c r="H570" s="68" t="str">
        <f t="array" ref="H570">IF($A570="","",IFERROR(INDEX(MA_INDIVIDUALES!L$2:L923, MATCH($A570,MA_INDIVIDUALES!$B$2:$B923,0),1),"CÓDIGO DE EXPEDIENTE INVÁLIDO"))</f>
        <v/>
      </c>
      <c r="I570" s="76"/>
      <c r="J570" s="76"/>
      <c r="K570" s="75"/>
      <c r="L570" s="74" t="str">
        <f>IF(A570="","",IF(K570="","",_xlfn.WORKDAY.INTL(K570,5,1,FERIADOS)))</f>
        <v/>
      </c>
      <c r="M570" s="76"/>
      <c r="N570" s="75"/>
      <c r="O570" s="76"/>
      <c r="P570" s="77" t="str">
        <f t="shared" si="3"/>
        <v/>
      </c>
      <c r="Q570" s="75"/>
      <c r="R570" s="76"/>
      <c r="S570" s="75"/>
      <c r="T570" s="75"/>
      <c r="U570" s="76"/>
      <c r="V570" s="76"/>
      <c r="W570" s="75"/>
      <c r="X570" s="76"/>
      <c r="Y570" s="29" t="str">
        <f t="shared" si="4"/>
        <v/>
      </c>
      <c r="Z570" s="29" t="str">
        <f t="shared" si="5"/>
        <v/>
      </c>
      <c r="AA570" s="76"/>
      <c r="AB570" s="76"/>
      <c r="AC570" s="75"/>
      <c r="AD570" s="75"/>
      <c r="AE570" s="78" t="str">
        <f>IF(U570="","",IF(AD570="","",_xlfn.WORKDAY.INTL(AD570,7,1,FERIADOS)))</f>
        <v/>
      </c>
      <c r="AF570" s="104"/>
      <c r="AG570" s="80" t="str">
        <f t="array" ref="AG570">IF(A570="","",IF(AF570="","",AF570*INDEX(PARAMETROS!F$2:F1633,MATCH(YEAR(AC570),PARAMETROS!E$2:E1633,0),1)))</f>
        <v/>
      </c>
      <c r="AH570" s="81"/>
      <c r="AI570" s="82"/>
      <c r="AJ570" s="81"/>
      <c r="AK570" s="81"/>
      <c r="AL570" s="76"/>
      <c r="AM570" s="75"/>
      <c r="AN570" s="76"/>
      <c r="AO570" s="95"/>
      <c r="AP570" s="96"/>
      <c r="AQ570" s="85" t="str">
        <f t="shared" si="6"/>
        <v/>
      </c>
      <c r="AR570" s="86" t="str">
        <f t="array" ref="AR570">IF(A570="","",IFERROR(INDEX('2) Etapas'!L$3:L923,MATCH(B570,'2) Etapas'!$A$4:$A923,0),1),-1))</f>
        <v/>
      </c>
      <c r="AS570" s="87" t="str">
        <f t="shared" si="7"/>
        <v/>
      </c>
      <c r="AT570" s="87" t="str">
        <f t="shared" si="8"/>
        <v/>
      </c>
      <c r="AU570" s="87" t="str">
        <f t="shared" si="9"/>
        <v/>
      </c>
      <c r="AV570" s="89" t="str">
        <f t="array" ref="AV570">IF(OR($A570="",$AB570="", $AC570=""),"",MAXA(IF($A570=$A$4:$A923,$AC$4:$AC923)))</f>
        <v/>
      </c>
    </row>
    <row r="571" ht="22.5" customHeight="1">
      <c r="A571" s="76"/>
      <c r="B571" s="68" t="str">
        <f t="shared" si="1"/>
        <v/>
      </c>
      <c r="C571" s="110"/>
      <c r="D571" s="70" t="str">
        <f t="shared" si="2"/>
        <v/>
      </c>
      <c r="E571" s="76"/>
      <c r="F571" s="68" t="str">
        <f t="array" ref="F571">IF($A571="","",IFERROR(INDEX(MA_INDIVIDUALES!C$2:C923, MATCH($A571,MA_INDIVIDUALES!$B$2:$B923,0),1),"CÓDIGO DE EXPEDIENTE INVÁLIDO"))</f>
        <v/>
      </c>
      <c r="G571" s="68" t="str">
        <f t="array" ref="G571">IF($A571="","",IFERROR(INDEX(MA_INDIVIDUALES!K$2:K923, MATCH($A571,MA_INDIVIDUALES!$B$2:$B923,0),1),"CÓDIGO DE EXPEDIENTE INVÁLIDO"))</f>
        <v/>
      </c>
      <c r="H571" s="68" t="str">
        <f t="array" ref="H571">IF($A571="","",IFERROR(INDEX(MA_INDIVIDUALES!L$2:L923, MATCH($A571,MA_INDIVIDUALES!$B$2:$B923,0),1),"CÓDIGO DE EXPEDIENTE INVÁLIDO"))</f>
        <v/>
      </c>
      <c r="I571" s="76"/>
      <c r="J571" s="76"/>
      <c r="K571" s="75"/>
      <c r="L571" s="74" t="str">
        <f>IF(A571="","",IF(K571="","",_xlfn.WORKDAY.INTL(K571,5,1,FERIADOS)))</f>
        <v/>
      </c>
      <c r="M571" s="76"/>
      <c r="N571" s="75"/>
      <c r="O571" s="76"/>
      <c r="P571" s="77" t="str">
        <f t="shared" si="3"/>
        <v/>
      </c>
      <c r="Q571" s="75"/>
      <c r="R571" s="76"/>
      <c r="S571" s="75"/>
      <c r="T571" s="75"/>
      <c r="U571" s="76"/>
      <c r="V571" s="76"/>
      <c r="W571" s="75"/>
      <c r="X571" s="76"/>
      <c r="Y571" s="29" t="str">
        <f t="shared" si="4"/>
        <v/>
      </c>
      <c r="Z571" s="29" t="str">
        <f t="shared" si="5"/>
        <v/>
      </c>
      <c r="AA571" s="76"/>
      <c r="AB571" s="76"/>
      <c r="AC571" s="75"/>
      <c r="AD571" s="75"/>
      <c r="AE571" s="78" t="str">
        <f>IF(U571="","",IF(AD571="","",_xlfn.WORKDAY.INTL(AD571,7,1,FERIADOS)))</f>
        <v/>
      </c>
      <c r="AF571" s="104"/>
      <c r="AG571" s="80" t="str">
        <f t="array" ref="AG571">IF(A571="","",IF(AF571="","",AF571*INDEX(PARAMETROS!F$2:F1634,MATCH(YEAR(AC571),PARAMETROS!E$2:E1634,0),1)))</f>
        <v/>
      </c>
      <c r="AH571" s="81"/>
      <c r="AI571" s="82"/>
      <c r="AJ571" s="81"/>
      <c r="AK571" s="81"/>
      <c r="AL571" s="76"/>
      <c r="AM571" s="75"/>
      <c r="AN571" s="76"/>
      <c r="AO571" s="95"/>
      <c r="AP571" s="96"/>
      <c r="AQ571" s="85" t="str">
        <f t="shared" si="6"/>
        <v/>
      </c>
      <c r="AR571" s="86" t="str">
        <f t="array" ref="AR571">IF(A571="","",IFERROR(INDEX('2) Etapas'!L$3:L923,MATCH(B571,'2) Etapas'!$A$4:$A923,0),1),-1))</f>
        <v/>
      </c>
      <c r="AS571" s="87" t="str">
        <f t="shared" si="7"/>
        <v/>
      </c>
      <c r="AT571" s="87" t="str">
        <f t="shared" si="8"/>
        <v/>
      </c>
      <c r="AU571" s="87" t="str">
        <f t="shared" si="9"/>
        <v/>
      </c>
      <c r="AV571" s="89" t="str">
        <f t="array" ref="AV571">IF(OR($A571="",$AB571="", $AC571=""),"",MAXA(IF($A571=$A$4:$A923,$AC$4:$AC923)))</f>
        <v/>
      </c>
    </row>
    <row r="572" ht="22.5" customHeight="1">
      <c r="A572" s="76"/>
      <c r="B572" s="68" t="str">
        <f t="shared" si="1"/>
        <v/>
      </c>
      <c r="C572" s="110"/>
      <c r="D572" s="70" t="str">
        <f t="shared" si="2"/>
        <v/>
      </c>
      <c r="E572" s="76"/>
      <c r="F572" s="68" t="str">
        <f t="array" ref="F572">IF($A572="","",IFERROR(INDEX(MA_INDIVIDUALES!C$2:C923, MATCH($A572,MA_INDIVIDUALES!$B$2:$B923,0),1),"CÓDIGO DE EXPEDIENTE INVÁLIDO"))</f>
        <v/>
      </c>
      <c r="G572" s="68" t="str">
        <f t="array" ref="G572">IF($A572="","",IFERROR(INDEX(MA_INDIVIDUALES!K$2:K923, MATCH($A572,MA_INDIVIDUALES!$B$2:$B923,0),1),"CÓDIGO DE EXPEDIENTE INVÁLIDO"))</f>
        <v/>
      </c>
      <c r="H572" s="68" t="str">
        <f t="array" ref="H572">IF($A572="","",IFERROR(INDEX(MA_INDIVIDUALES!L$2:L923, MATCH($A572,MA_INDIVIDUALES!$B$2:$B923,0),1),"CÓDIGO DE EXPEDIENTE INVÁLIDO"))</f>
        <v/>
      </c>
      <c r="I572" s="76"/>
      <c r="J572" s="76"/>
      <c r="K572" s="75"/>
      <c r="L572" s="74" t="str">
        <f>IF(A572="","",IF(K572="","",_xlfn.WORKDAY.INTL(K572,5,1,FERIADOS)))</f>
        <v/>
      </c>
      <c r="M572" s="76"/>
      <c r="N572" s="75"/>
      <c r="O572" s="76"/>
      <c r="P572" s="77" t="str">
        <f t="shared" si="3"/>
        <v/>
      </c>
      <c r="Q572" s="75"/>
      <c r="R572" s="76"/>
      <c r="S572" s="75"/>
      <c r="T572" s="75"/>
      <c r="U572" s="76"/>
      <c r="V572" s="76"/>
      <c r="W572" s="75"/>
      <c r="X572" s="76"/>
      <c r="Y572" s="29" t="str">
        <f t="shared" si="4"/>
        <v/>
      </c>
      <c r="Z572" s="29" t="str">
        <f t="shared" si="5"/>
        <v/>
      </c>
      <c r="AA572" s="76"/>
      <c r="AB572" s="76"/>
      <c r="AC572" s="75"/>
      <c r="AD572" s="75"/>
      <c r="AE572" s="78" t="str">
        <f>IF(U572="","",IF(AD572="","",_xlfn.WORKDAY.INTL(AD572,7,1,FERIADOS)))</f>
        <v/>
      </c>
      <c r="AF572" s="104"/>
      <c r="AG572" s="80" t="str">
        <f t="array" ref="AG572">IF(A572="","",IF(AF572="","",AF572*INDEX(PARAMETROS!F$2:F1635,MATCH(YEAR(AC572),PARAMETROS!E$2:E1635,0),1)))</f>
        <v/>
      </c>
      <c r="AH572" s="81"/>
      <c r="AI572" s="82"/>
      <c r="AJ572" s="81"/>
      <c r="AK572" s="81"/>
      <c r="AL572" s="76"/>
      <c r="AM572" s="75"/>
      <c r="AN572" s="76"/>
      <c r="AO572" s="95"/>
      <c r="AP572" s="96"/>
      <c r="AQ572" s="85" t="str">
        <f t="shared" si="6"/>
        <v/>
      </c>
      <c r="AR572" s="86" t="str">
        <f t="array" ref="AR572">IF(A572="","",IFERROR(INDEX('2) Etapas'!L$3:L923,MATCH(B572,'2) Etapas'!$A$4:$A923,0),1),-1))</f>
        <v/>
      </c>
      <c r="AS572" s="87" t="str">
        <f t="shared" si="7"/>
        <v/>
      </c>
      <c r="AT572" s="87" t="str">
        <f t="shared" si="8"/>
        <v/>
      </c>
      <c r="AU572" s="87" t="str">
        <f t="shared" si="9"/>
        <v/>
      </c>
      <c r="AV572" s="89" t="str">
        <f t="array" ref="AV572">IF(OR($A572="",$AB572="", $AC572=""),"",MAXA(IF($A572=$A$4:$A923,$AC$4:$AC923)))</f>
        <v/>
      </c>
    </row>
    <row r="573" ht="22.5" customHeight="1">
      <c r="A573" s="76"/>
      <c r="B573" s="68" t="str">
        <f t="shared" si="1"/>
        <v/>
      </c>
      <c r="C573" s="110"/>
      <c r="D573" s="70" t="str">
        <f t="shared" si="2"/>
        <v/>
      </c>
      <c r="E573" s="76"/>
      <c r="F573" s="68" t="str">
        <f t="array" ref="F573">IF($A573="","",IFERROR(INDEX(MA_INDIVIDUALES!C$2:C923, MATCH($A573,MA_INDIVIDUALES!$B$2:$B923,0),1),"CÓDIGO DE EXPEDIENTE INVÁLIDO"))</f>
        <v/>
      </c>
      <c r="G573" s="68" t="str">
        <f t="array" ref="G573">IF($A573="","",IFERROR(INDEX(MA_INDIVIDUALES!K$2:K923, MATCH($A573,MA_INDIVIDUALES!$B$2:$B923,0),1),"CÓDIGO DE EXPEDIENTE INVÁLIDO"))</f>
        <v/>
      </c>
      <c r="H573" s="68" t="str">
        <f t="array" ref="H573">IF($A573="","",IFERROR(INDEX(MA_INDIVIDUALES!L$2:L923, MATCH($A573,MA_INDIVIDUALES!$B$2:$B923,0),1),"CÓDIGO DE EXPEDIENTE INVÁLIDO"))</f>
        <v/>
      </c>
      <c r="I573" s="76"/>
      <c r="J573" s="76"/>
      <c r="K573" s="75"/>
      <c r="L573" s="74" t="str">
        <f>IF(A573="","",IF(K573="","",_xlfn.WORKDAY.INTL(K573,5,1,FERIADOS)))</f>
        <v/>
      </c>
      <c r="M573" s="76"/>
      <c r="N573" s="75"/>
      <c r="O573" s="76"/>
      <c r="P573" s="77" t="str">
        <f t="shared" si="3"/>
        <v/>
      </c>
      <c r="Q573" s="75"/>
      <c r="R573" s="76"/>
      <c r="S573" s="75"/>
      <c r="T573" s="75"/>
      <c r="U573" s="76"/>
      <c r="V573" s="76"/>
      <c r="W573" s="75"/>
      <c r="X573" s="76"/>
      <c r="Y573" s="29" t="str">
        <f t="shared" si="4"/>
        <v/>
      </c>
      <c r="Z573" s="29" t="str">
        <f t="shared" si="5"/>
        <v/>
      </c>
      <c r="AA573" s="76"/>
      <c r="AB573" s="76"/>
      <c r="AC573" s="75"/>
      <c r="AD573" s="75"/>
      <c r="AE573" s="78" t="str">
        <f>IF(U573="","",IF(AD573="","",_xlfn.WORKDAY.INTL(AD573,7,1,FERIADOS)))</f>
        <v/>
      </c>
      <c r="AF573" s="104"/>
      <c r="AG573" s="80" t="str">
        <f t="array" ref="AG573">IF(A573="","",IF(AF573="","",AF573*INDEX(PARAMETROS!F$2:F1636,MATCH(YEAR(AC573),PARAMETROS!E$2:E1636,0),1)))</f>
        <v/>
      </c>
      <c r="AH573" s="81"/>
      <c r="AI573" s="82"/>
      <c r="AJ573" s="81"/>
      <c r="AK573" s="81"/>
      <c r="AL573" s="76"/>
      <c r="AM573" s="75"/>
      <c r="AN573" s="76"/>
      <c r="AO573" s="95"/>
      <c r="AP573" s="96"/>
      <c r="AQ573" s="85" t="str">
        <f t="shared" si="6"/>
        <v/>
      </c>
      <c r="AR573" s="86" t="str">
        <f t="array" ref="AR573">IF(A573="","",IFERROR(INDEX('2) Etapas'!L$3:L923,MATCH(B573,'2) Etapas'!$A$4:$A923,0),1),-1))</f>
        <v/>
      </c>
      <c r="AS573" s="87" t="str">
        <f t="shared" si="7"/>
        <v/>
      </c>
      <c r="AT573" s="87" t="str">
        <f t="shared" si="8"/>
        <v/>
      </c>
      <c r="AU573" s="87" t="str">
        <f t="shared" si="9"/>
        <v/>
      </c>
      <c r="AV573" s="89" t="str">
        <f t="array" ref="AV573">IF(OR($A573="",$AB573="", $AC573=""),"",MAXA(IF($A573=$A$4:$A923,$AC$4:$AC923)))</f>
        <v/>
      </c>
    </row>
    <row r="574" ht="22.5" customHeight="1">
      <c r="A574" s="76"/>
      <c r="B574" s="68" t="str">
        <f t="shared" si="1"/>
        <v/>
      </c>
      <c r="C574" s="110"/>
      <c r="D574" s="70" t="str">
        <f t="shared" si="2"/>
        <v/>
      </c>
      <c r="E574" s="76"/>
      <c r="F574" s="68" t="str">
        <f t="array" ref="F574">IF($A574="","",IFERROR(INDEX(MA_INDIVIDUALES!C$2:C923, MATCH($A574,MA_INDIVIDUALES!$B$2:$B923,0),1),"CÓDIGO DE EXPEDIENTE INVÁLIDO"))</f>
        <v/>
      </c>
      <c r="G574" s="68" t="str">
        <f t="array" ref="G574">IF($A574="","",IFERROR(INDEX(MA_INDIVIDUALES!K$2:K923, MATCH($A574,MA_INDIVIDUALES!$B$2:$B923,0),1),"CÓDIGO DE EXPEDIENTE INVÁLIDO"))</f>
        <v/>
      </c>
      <c r="H574" s="68" t="str">
        <f t="array" ref="H574">IF($A574="","",IFERROR(INDEX(MA_INDIVIDUALES!L$2:L923, MATCH($A574,MA_INDIVIDUALES!$B$2:$B923,0),1),"CÓDIGO DE EXPEDIENTE INVÁLIDO"))</f>
        <v/>
      </c>
      <c r="I574" s="76"/>
      <c r="J574" s="76"/>
      <c r="K574" s="75"/>
      <c r="L574" s="74" t="str">
        <f>IF(A574="","",IF(K574="","",_xlfn.WORKDAY.INTL(K574,5,1,FERIADOS)))</f>
        <v/>
      </c>
      <c r="M574" s="76"/>
      <c r="N574" s="75"/>
      <c r="O574" s="76"/>
      <c r="P574" s="77" t="str">
        <f t="shared" si="3"/>
        <v/>
      </c>
      <c r="Q574" s="75"/>
      <c r="R574" s="76"/>
      <c r="S574" s="75"/>
      <c r="T574" s="75"/>
      <c r="U574" s="76"/>
      <c r="V574" s="76"/>
      <c r="W574" s="75"/>
      <c r="X574" s="76"/>
      <c r="Y574" s="29" t="str">
        <f t="shared" si="4"/>
        <v/>
      </c>
      <c r="Z574" s="29" t="str">
        <f t="shared" si="5"/>
        <v/>
      </c>
      <c r="AA574" s="76"/>
      <c r="AB574" s="76"/>
      <c r="AC574" s="75"/>
      <c r="AD574" s="75"/>
      <c r="AE574" s="78" t="str">
        <f>IF(U574="","",IF(AD574="","",_xlfn.WORKDAY.INTL(AD574,7,1,FERIADOS)))</f>
        <v/>
      </c>
      <c r="AF574" s="104"/>
      <c r="AG574" s="80" t="str">
        <f t="array" ref="AG574">IF(A574="","",IF(AF574="","",AF574*INDEX(PARAMETROS!F$2:F1637,MATCH(YEAR(AC574),PARAMETROS!E$2:E1637,0),1)))</f>
        <v/>
      </c>
      <c r="AH574" s="81"/>
      <c r="AI574" s="82"/>
      <c r="AJ574" s="81"/>
      <c r="AK574" s="81"/>
      <c r="AL574" s="76"/>
      <c r="AM574" s="75"/>
      <c r="AN574" s="76"/>
      <c r="AO574" s="95"/>
      <c r="AP574" s="96"/>
      <c r="AQ574" s="85" t="str">
        <f t="shared" si="6"/>
        <v/>
      </c>
      <c r="AR574" s="86" t="str">
        <f t="array" ref="AR574">IF(A574="","",IFERROR(INDEX('2) Etapas'!L$3:L923,MATCH(B574,'2) Etapas'!$A$4:$A923,0),1),-1))</f>
        <v/>
      </c>
      <c r="AS574" s="87" t="str">
        <f t="shared" si="7"/>
        <v/>
      </c>
      <c r="AT574" s="87" t="str">
        <f t="shared" si="8"/>
        <v/>
      </c>
      <c r="AU574" s="87" t="str">
        <f t="shared" si="9"/>
        <v/>
      </c>
      <c r="AV574" s="89" t="str">
        <f t="array" ref="AV574">IF(OR($A574="",$AB574="", $AC574=""),"",MAXA(IF($A574=$A$4:$A923,$AC$4:$AC923)))</f>
        <v/>
      </c>
    </row>
    <row r="575" ht="22.5" customHeight="1">
      <c r="A575" s="76"/>
      <c r="B575" s="68" t="str">
        <f t="shared" si="1"/>
        <v/>
      </c>
      <c r="C575" s="110"/>
      <c r="D575" s="70" t="str">
        <f t="shared" si="2"/>
        <v/>
      </c>
      <c r="E575" s="76"/>
      <c r="F575" s="68" t="str">
        <f t="array" ref="F575">IF($A575="","",IFERROR(INDEX(MA_INDIVIDUALES!C$2:C923, MATCH($A575,MA_INDIVIDUALES!$B$2:$B923,0),1),"CÓDIGO DE EXPEDIENTE INVÁLIDO"))</f>
        <v/>
      </c>
      <c r="G575" s="68" t="str">
        <f t="array" ref="G575">IF($A575="","",IFERROR(INDEX(MA_INDIVIDUALES!K$2:K923, MATCH($A575,MA_INDIVIDUALES!$B$2:$B923,0),1),"CÓDIGO DE EXPEDIENTE INVÁLIDO"))</f>
        <v/>
      </c>
      <c r="H575" s="68" t="str">
        <f t="array" ref="H575">IF($A575="","",IFERROR(INDEX(MA_INDIVIDUALES!L$2:L923, MATCH($A575,MA_INDIVIDUALES!$B$2:$B923,0),1),"CÓDIGO DE EXPEDIENTE INVÁLIDO"))</f>
        <v/>
      </c>
      <c r="I575" s="76"/>
      <c r="J575" s="76"/>
      <c r="K575" s="75"/>
      <c r="L575" s="74" t="str">
        <f>IF(A575="","",IF(K575="","",_xlfn.WORKDAY.INTL(K575,5,1,FERIADOS)))</f>
        <v/>
      </c>
      <c r="M575" s="76"/>
      <c r="N575" s="75"/>
      <c r="O575" s="76"/>
      <c r="P575" s="77" t="str">
        <f t="shared" si="3"/>
        <v/>
      </c>
      <c r="Q575" s="75"/>
      <c r="R575" s="76"/>
      <c r="S575" s="75"/>
      <c r="T575" s="75"/>
      <c r="U575" s="76"/>
      <c r="V575" s="76"/>
      <c r="W575" s="75"/>
      <c r="X575" s="76"/>
      <c r="Y575" s="29" t="str">
        <f t="shared" si="4"/>
        <v/>
      </c>
      <c r="Z575" s="29" t="str">
        <f t="shared" si="5"/>
        <v/>
      </c>
      <c r="AA575" s="76"/>
      <c r="AB575" s="76"/>
      <c r="AC575" s="75"/>
      <c r="AD575" s="75"/>
      <c r="AE575" s="78" t="str">
        <f>IF(U575="","",IF(AD575="","",_xlfn.WORKDAY.INTL(AD575,7,1,FERIADOS)))</f>
        <v/>
      </c>
      <c r="AF575" s="104"/>
      <c r="AG575" s="80" t="str">
        <f t="array" ref="AG575">IF(A575="","",IF(AF575="","",AF575*INDEX(PARAMETROS!F$2:F1638,MATCH(YEAR(AC575),PARAMETROS!E$2:E1638,0),1)))</f>
        <v/>
      </c>
      <c r="AH575" s="81"/>
      <c r="AI575" s="82"/>
      <c r="AJ575" s="81"/>
      <c r="AK575" s="81"/>
      <c r="AL575" s="76"/>
      <c r="AM575" s="75"/>
      <c r="AN575" s="76"/>
      <c r="AO575" s="95"/>
      <c r="AP575" s="96"/>
      <c r="AQ575" s="85" t="str">
        <f t="shared" si="6"/>
        <v/>
      </c>
      <c r="AR575" s="86" t="str">
        <f t="array" ref="AR575">IF(A575="","",IFERROR(INDEX('2) Etapas'!L$3:L923,MATCH(B575,'2) Etapas'!$A$4:$A923,0),1),-1))</f>
        <v/>
      </c>
      <c r="AS575" s="87" t="str">
        <f t="shared" si="7"/>
        <v/>
      </c>
      <c r="AT575" s="87" t="str">
        <f t="shared" si="8"/>
        <v/>
      </c>
      <c r="AU575" s="87" t="str">
        <f t="shared" si="9"/>
        <v/>
      </c>
      <c r="AV575" s="89" t="str">
        <f t="array" ref="AV575">IF(OR($A575="",$AB575="", $AC575=""),"",MAXA(IF($A575=$A$4:$A923,$AC$4:$AC923)))</f>
        <v/>
      </c>
    </row>
    <row r="576" ht="22.5" customHeight="1">
      <c r="A576" s="76"/>
      <c r="B576" s="68" t="str">
        <f t="shared" si="1"/>
        <v/>
      </c>
      <c r="C576" s="110"/>
      <c r="D576" s="70" t="str">
        <f t="shared" si="2"/>
        <v/>
      </c>
      <c r="E576" s="76"/>
      <c r="F576" s="68" t="str">
        <f t="array" ref="F576">IF($A576="","",IFERROR(INDEX(MA_INDIVIDUALES!C$2:C923, MATCH($A576,MA_INDIVIDUALES!$B$2:$B923,0),1),"CÓDIGO DE EXPEDIENTE INVÁLIDO"))</f>
        <v/>
      </c>
      <c r="G576" s="68" t="str">
        <f t="array" ref="G576">IF($A576="","",IFERROR(INDEX(MA_INDIVIDUALES!K$2:K923, MATCH($A576,MA_INDIVIDUALES!$B$2:$B923,0),1),"CÓDIGO DE EXPEDIENTE INVÁLIDO"))</f>
        <v/>
      </c>
      <c r="H576" s="68" t="str">
        <f t="array" ref="H576">IF($A576="","",IFERROR(INDEX(MA_INDIVIDUALES!L$2:L923, MATCH($A576,MA_INDIVIDUALES!$B$2:$B923,0),1),"CÓDIGO DE EXPEDIENTE INVÁLIDO"))</f>
        <v/>
      </c>
      <c r="I576" s="76"/>
      <c r="J576" s="76"/>
      <c r="K576" s="75"/>
      <c r="L576" s="74" t="str">
        <f>IF(A576="","",IF(K576="","",_xlfn.WORKDAY.INTL(K576,5,1,FERIADOS)))</f>
        <v/>
      </c>
      <c r="M576" s="76"/>
      <c r="N576" s="75"/>
      <c r="O576" s="76"/>
      <c r="P576" s="77" t="str">
        <f t="shared" si="3"/>
        <v/>
      </c>
      <c r="Q576" s="75"/>
      <c r="R576" s="76"/>
      <c r="S576" s="75"/>
      <c r="T576" s="75"/>
      <c r="U576" s="76"/>
      <c r="V576" s="76"/>
      <c r="W576" s="75"/>
      <c r="X576" s="76"/>
      <c r="Y576" s="29" t="str">
        <f t="shared" si="4"/>
        <v/>
      </c>
      <c r="Z576" s="29" t="str">
        <f t="shared" si="5"/>
        <v/>
      </c>
      <c r="AA576" s="76"/>
      <c r="AB576" s="76"/>
      <c r="AC576" s="75"/>
      <c r="AD576" s="75"/>
      <c r="AE576" s="78" t="str">
        <f>IF(U576="","",IF(AD576="","",_xlfn.WORKDAY.INTL(AD576,7,1,FERIADOS)))</f>
        <v/>
      </c>
      <c r="AF576" s="104"/>
      <c r="AG576" s="80" t="str">
        <f t="array" ref="AG576">IF(A576="","",IF(AF576="","",AF576*INDEX(PARAMETROS!F$2:F1639,MATCH(YEAR(AC576),PARAMETROS!E$2:E1639,0),1)))</f>
        <v/>
      </c>
      <c r="AH576" s="81"/>
      <c r="AI576" s="82"/>
      <c r="AJ576" s="81"/>
      <c r="AK576" s="81"/>
      <c r="AL576" s="76"/>
      <c r="AM576" s="75"/>
      <c r="AN576" s="76"/>
      <c r="AO576" s="95"/>
      <c r="AP576" s="96"/>
      <c r="AQ576" s="85" t="str">
        <f t="shared" si="6"/>
        <v/>
      </c>
      <c r="AR576" s="86" t="str">
        <f t="array" ref="AR576">IF(A576="","",IFERROR(INDEX('2) Etapas'!L$3:L923,MATCH(B576,'2) Etapas'!$A$4:$A923,0),1),-1))</f>
        <v/>
      </c>
      <c r="AS576" s="87" t="str">
        <f t="shared" si="7"/>
        <v/>
      </c>
      <c r="AT576" s="87" t="str">
        <f t="shared" si="8"/>
        <v/>
      </c>
      <c r="AU576" s="87" t="str">
        <f t="shared" si="9"/>
        <v/>
      </c>
      <c r="AV576" s="89" t="str">
        <f t="array" ref="AV576">IF(OR($A576="",$AB576="", $AC576=""),"",MAXA(IF($A576=$A$4:$A923,$AC$4:$AC923)))</f>
        <v/>
      </c>
    </row>
    <row r="577" ht="22.5" customHeight="1">
      <c r="A577" s="76"/>
      <c r="B577" s="68" t="str">
        <f t="shared" si="1"/>
        <v/>
      </c>
      <c r="C577" s="110"/>
      <c r="D577" s="70" t="str">
        <f t="shared" si="2"/>
        <v/>
      </c>
      <c r="E577" s="76"/>
      <c r="F577" s="68" t="str">
        <f t="array" ref="F577">IF($A577="","",IFERROR(INDEX(MA_INDIVIDUALES!C$2:C923, MATCH($A577,MA_INDIVIDUALES!$B$2:$B923,0),1),"CÓDIGO DE EXPEDIENTE INVÁLIDO"))</f>
        <v/>
      </c>
      <c r="G577" s="68" t="str">
        <f t="array" ref="G577">IF($A577="","",IFERROR(INDEX(MA_INDIVIDUALES!K$2:K923, MATCH($A577,MA_INDIVIDUALES!$B$2:$B923,0),1),"CÓDIGO DE EXPEDIENTE INVÁLIDO"))</f>
        <v/>
      </c>
      <c r="H577" s="68" t="str">
        <f t="array" ref="H577">IF($A577="","",IFERROR(INDEX(MA_INDIVIDUALES!L$2:L923, MATCH($A577,MA_INDIVIDUALES!$B$2:$B923,0),1),"CÓDIGO DE EXPEDIENTE INVÁLIDO"))</f>
        <v/>
      </c>
      <c r="I577" s="76"/>
      <c r="J577" s="76"/>
      <c r="K577" s="75"/>
      <c r="L577" s="74" t="str">
        <f>IF(A577="","",IF(K577="","",_xlfn.WORKDAY.INTL(K577,5,1,FERIADOS)))</f>
        <v/>
      </c>
      <c r="M577" s="76"/>
      <c r="N577" s="75"/>
      <c r="O577" s="76"/>
      <c r="P577" s="77" t="str">
        <f t="shared" si="3"/>
        <v/>
      </c>
      <c r="Q577" s="75"/>
      <c r="R577" s="76"/>
      <c r="S577" s="75"/>
      <c r="T577" s="75"/>
      <c r="U577" s="76"/>
      <c r="V577" s="76"/>
      <c r="W577" s="75"/>
      <c r="X577" s="76"/>
      <c r="Y577" s="29" t="str">
        <f t="shared" si="4"/>
        <v/>
      </c>
      <c r="Z577" s="29" t="str">
        <f t="shared" si="5"/>
        <v/>
      </c>
      <c r="AA577" s="76"/>
      <c r="AB577" s="76"/>
      <c r="AC577" s="75"/>
      <c r="AD577" s="75"/>
      <c r="AE577" s="78" t="str">
        <f>IF(U577="","",IF(AD577="","",_xlfn.WORKDAY.INTL(AD577,7,1,FERIADOS)))</f>
        <v/>
      </c>
      <c r="AF577" s="104"/>
      <c r="AG577" s="80" t="str">
        <f t="array" ref="AG577">IF(A577="","",IF(AF577="","",AF577*INDEX(PARAMETROS!F$2:F1640,MATCH(YEAR(AC577),PARAMETROS!E$2:E1640,0),1)))</f>
        <v/>
      </c>
      <c r="AH577" s="81"/>
      <c r="AI577" s="82"/>
      <c r="AJ577" s="81"/>
      <c r="AK577" s="81"/>
      <c r="AL577" s="76"/>
      <c r="AM577" s="75"/>
      <c r="AN577" s="76"/>
      <c r="AO577" s="95"/>
      <c r="AP577" s="96"/>
      <c r="AQ577" s="85" t="str">
        <f t="shared" si="6"/>
        <v/>
      </c>
      <c r="AR577" s="86" t="str">
        <f t="array" ref="AR577">IF(A577="","",IFERROR(INDEX('2) Etapas'!L$3:L923,MATCH(B577,'2) Etapas'!$A$4:$A923,0),1),-1))</f>
        <v/>
      </c>
      <c r="AS577" s="87" t="str">
        <f t="shared" si="7"/>
        <v/>
      </c>
      <c r="AT577" s="87" t="str">
        <f t="shared" si="8"/>
        <v/>
      </c>
      <c r="AU577" s="87" t="str">
        <f t="shared" si="9"/>
        <v/>
      </c>
      <c r="AV577" s="89" t="str">
        <f t="array" ref="AV577">IF(OR($A577="",$AB577="", $AC577=""),"",MAXA(IF($A577=$A$4:$A923,$AC$4:$AC923)))</f>
        <v/>
      </c>
    </row>
    <row r="578" ht="22.5" customHeight="1">
      <c r="A578" s="76"/>
      <c r="B578" s="68" t="str">
        <f t="shared" si="1"/>
        <v/>
      </c>
      <c r="C578" s="110"/>
      <c r="D578" s="70" t="str">
        <f t="shared" si="2"/>
        <v/>
      </c>
      <c r="E578" s="76"/>
      <c r="F578" s="68" t="str">
        <f t="array" ref="F578">IF($A578="","",IFERROR(INDEX(MA_INDIVIDUALES!C$2:C923, MATCH($A578,MA_INDIVIDUALES!$B$2:$B923,0),1),"CÓDIGO DE EXPEDIENTE INVÁLIDO"))</f>
        <v/>
      </c>
      <c r="G578" s="68" t="str">
        <f t="array" ref="G578">IF($A578="","",IFERROR(INDEX(MA_INDIVIDUALES!K$2:K923, MATCH($A578,MA_INDIVIDUALES!$B$2:$B923,0),1),"CÓDIGO DE EXPEDIENTE INVÁLIDO"))</f>
        <v/>
      </c>
      <c r="H578" s="68" t="str">
        <f t="array" ref="H578">IF($A578="","",IFERROR(INDEX(MA_INDIVIDUALES!L$2:L923, MATCH($A578,MA_INDIVIDUALES!$B$2:$B923,0),1),"CÓDIGO DE EXPEDIENTE INVÁLIDO"))</f>
        <v/>
      </c>
      <c r="I578" s="76"/>
      <c r="J578" s="76"/>
      <c r="K578" s="75"/>
      <c r="L578" s="74" t="str">
        <f>IF(A578="","",IF(K578="","",_xlfn.WORKDAY.INTL(K578,5,1,FERIADOS)))</f>
        <v/>
      </c>
      <c r="M578" s="76"/>
      <c r="N578" s="75"/>
      <c r="O578" s="76"/>
      <c r="P578" s="77" t="str">
        <f t="shared" si="3"/>
        <v/>
      </c>
      <c r="Q578" s="75"/>
      <c r="R578" s="76"/>
      <c r="S578" s="75"/>
      <c r="T578" s="75"/>
      <c r="U578" s="76"/>
      <c r="V578" s="76"/>
      <c r="W578" s="75"/>
      <c r="X578" s="76"/>
      <c r="Y578" s="29" t="str">
        <f t="shared" si="4"/>
        <v/>
      </c>
      <c r="Z578" s="29" t="str">
        <f t="shared" si="5"/>
        <v/>
      </c>
      <c r="AA578" s="76"/>
      <c r="AB578" s="76"/>
      <c r="AC578" s="75"/>
      <c r="AD578" s="75"/>
      <c r="AE578" s="78" t="str">
        <f>IF(U578="","",IF(AD578="","",_xlfn.WORKDAY.INTL(AD578,7,1,FERIADOS)))</f>
        <v/>
      </c>
      <c r="AF578" s="104"/>
      <c r="AG578" s="80" t="str">
        <f t="array" ref="AG578">IF(A578="","",IF(AF578="","",AF578*INDEX(PARAMETROS!F$2:F1641,MATCH(YEAR(AC578),PARAMETROS!E$2:E1641,0),1)))</f>
        <v/>
      </c>
      <c r="AH578" s="81"/>
      <c r="AI578" s="82"/>
      <c r="AJ578" s="81"/>
      <c r="AK578" s="81"/>
      <c r="AL578" s="76"/>
      <c r="AM578" s="75"/>
      <c r="AN578" s="76"/>
      <c r="AO578" s="95"/>
      <c r="AP578" s="96"/>
      <c r="AQ578" s="85" t="str">
        <f t="shared" si="6"/>
        <v/>
      </c>
      <c r="AR578" s="86" t="str">
        <f t="array" ref="AR578">IF(A578="","",IFERROR(INDEX('2) Etapas'!L$3:L923,MATCH(B578,'2) Etapas'!$A$4:$A923,0),1),-1))</f>
        <v/>
      </c>
      <c r="AS578" s="87" t="str">
        <f t="shared" si="7"/>
        <v/>
      </c>
      <c r="AT578" s="87" t="str">
        <f t="shared" si="8"/>
        <v/>
      </c>
      <c r="AU578" s="87" t="str">
        <f t="shared" si="9"/>
        <v/>
      </c>
      <c r="AV578" s="89" t="str">
        <f t="array" ref="AV578">IF(OR($A578="",$AB578="", $AC578=""),"",MAXA(IF($A578=$A$4:$A923,$AC$4:$AC923)))</f>
        <v/>
      </c>
    </row>
    <row r="579" ht="22.5" customHeight="1">
      <c r="A579" s="76"/>
      <c r="B579" s="68" t="str">
        <f t="shared" si="1"/>
        <v/>
      </c>
      <c r="C579" s="110"/>
      <c r="D579" s="70" t="str">
        <f t="shared" si="2"/>
        <v/>
      </c>
      <c r="E579" s="76"/>
      <c r="F579" s="68" t="str">
        <f t="array" ref="F579">IF($A579="","",IFERROR(INDEX(MA_INDIVIDUALES!C$2:C923, MATCH($A579,MA_INDIVIDUALES!$B$2:$B923,0),1),"CÓDIGO DE EXPEDIENTE INVÁLIDO"))</f>
        <v/>
      </c>
      <c r="G579" s="68" t="str">
        <f t="array" ref="G579">IF($A579="","",IFERROR(INDEX(MA_INDIVIDUALES!K$2:K923, MATCH($A579,MA_INDIVIDUALES!$B$2:$B923,0),1),"CÓDIGO DE EXPEDIENTE INVÁLIDO"))</f>
        <v/>
      </c>
      <c r="H579" s="68" t="str">
        <f t="array" ref="H579">IF($A579="","",IFERROR(INDEX(MA_INDIVIDUALES!L$2:L923, MATCH($A579,MA_INDIVIDUALES!$B$2:$B923,0),1),"CÓDIGO DE EXPEDIENTE INVÁLIDO"))</f>
        <v/>
      </c>
      <c r="I579" s="76"/>
      <c r="J579" s="76"/>
      <c r="K579" s="75"/>
      <c r="L579" s="74" t="str">
        <f>IF(A579="","",IF(K579="","",_xlfn.WORKDAY.INTL(K579,5,1,FERIADOS)))</f>
        <v/>
      </c>
      <c r="M579" s="76"/>
      <c r="N579" s="75"/>
      <c r="O579" s="76"/>
      <c r="P579" s="77" t="str">
        <f t="shared" si="3"/>
        <v/>
      </c>
      <c r="Q579" s="75"/>
      <c r="R579" s="76"/>
      <c r="S579" s="75"/>
      <c r="T579" s="75"/>
      <c r="U579" s="76"/>
      <c r="V579" s="76"/>
      <c r="W579" s="75"/>
      <c r="X579" s="76"/>
      <c r="Y579" s="29" t="str">
        <f t="shared" si="4"/>
        <v/>
      </c>
      <c r="Z579" s="29" t="str">
        <f t="shared" si="5"/>
        <v/>
      </c>
      <c r="AA579" s="76"/>
      <c r="AB579" s="76"/>
      <c r="AC579" s="75"/>
      <c r="AD579" s="75"/>
      <c r="AE579" s="78" t="str">
        <f>IF(U579="","",IF(AD579="","",_xlfn.WORKDAY.INTL(AD579,7,1,FERIADOS)))</f>
        <v/>
      </c>
      <c r="AF579" s="104"/>
      <c r="AG579" s="80" t="str">
        <f t="array" ref="AG579">IF(A579="","",IF(AF579="","",AF579*INDEX(PARAMETROS!F$2:F1642,MATCH(YEAR(AC579),PARAMETROS!E$2:E1642,0),1)))</f>
        <v/>
      </c>
      <c r="AH579" s="81"/>
      <c r="AI579" s="82"/>
      <c r="AJ579" s="81"/>
      <c r="AK579" s="81"/>
      <c r="AL579" s="76"/>
      <c r="AM579" s="75"/>
      <c r="AN579" s="76"/>
      <c r="AO579" s="95"/>
      <c r="AP579" s="96"/>
      <c r="AQ579" s="85" t="str">
        <f t="shared" si="6"/>
        <v/>
      </c>
      <c r="AR579" s="86" t="str">
        <f t="array" ref="AR579">IF(A579="","",IFERROR(INDEX('2) Etapas'!L$3:L923,MATCH(B579,'2) Etapas'!$A$4:$A923,0),1),-1))</f>
        <v/>
      </c>
      <c r="AS579" s="87" t="str">
        <f t="shared" si="7"/>
        <v/>
      </c>
      <c r="AT579" s="87" t="str">
        <f t="shared" si="8"/>
        <v/>
      </c>
      <c r="AU579" s="87" t="str">
        <f t="shared" si="9"/>
        <v/>
      </c>
      <c r="AV579" s="89" t="str">
        <f t="array" ref="AV579">IF(OR($A579="",$AB579="", $AC579=""),"",MAXA(IF($A579=$A$4:$A923,$AC$4:$AC923)))</f>
        <v/>
      </c>
    </row>
    <row r="580" ht="22.5" customHeight="1">
      <c r="A580" s="76"/>
      <c r="B580" s="68" t="str">
        <f t="shared" si="1"/>
        <v/>
      </c>
      <c r="C580" s="110"/>
      <c r="D580" s="70" t="str">
        <f t="shared" si="2"/>
        <v/>
      </c>
      <c r="E580" s="76"/>
      <c r="F580" s="68" t="str">
        <f t="array" ref="F580">IF($A580="","",IFERROR(INDEX(MA_INDIVIDUALES!C$2:C923, MATCH($A580,MA_INDIVIDUALES!$B$2:$B923,0),1),"CÓDIGO DE EXPEDIENTE INVÁLIDO"))</f>
        <v/>
      </c>
      <c r="G580" s="68" t="str">
        <f t="array" ref="G580">IF($A580="","",IFERROR(INDEX(MA_INDIVIDUALES!K$2:K923, MATCH($A580,MA_INDIVIDUALES!$B$2:$B923,0),1),"CÓDIGO DE EXPEDIENTE INVÁLIDO"))</f>
        <v/>
      </c>
      <c r="H580" s="68" t="str">
        <f t="array" ref="H580">IF($A580="","",IFERROR(INDEX(MA_INDIVIDUALES!L$2:L923, MATCH($A580,MA_INDIVIDUALES!$B$2:$B923,0),1),"CÓDIGO DE EXPEDIENTE INVÁLIDO"))</f>
        <v/>
      </c>
      <c r="I580" s="76"/>
      <c r="J580" s="76"/>
      <c r="K580" s="75"/>
      <c r="L580" s="74" t="str">
        <f>IF(A580="","",IF(K580="","",_xlfn.WORKDAY.INTL(K580,5,1,FERIADOS)))</f>
        <v/>
      </c>
      <c r="M580" s="76"/>
      <c r="N580" s="75"/>
      <c r="O580" s="76"/>
      <c r="P580" s="77" t="str">
        <f t="shared" si="3"/>
        <v/>
      </c>
      <c r="Q580" s="75"/>
      <c r="R580" s="76"/>
      <c r="S580" s="75"/>
      <c r="T580" s="75"/>
      <c r="U580" s="76"/>
      <c r="V580" s="76"/>
      <c r="W580" s="75"/>
      <c r="X580" s="76"/>
      <c r="Y580" s="29" t="str">
        <f t="shared" si="4"/>
        <v/>
      </c>
      <c r="Z580" s="29" t="str">
        <f t="shared" si="5"/>
        <v/>
      </c>
      <c r="AA580" s="76"/>
      <c r="AB580" s="76"/>
      <c r="AC580" s="75"/>
      <c r="AD580" s="75"/>
      <c r="AE580" s="78" t="str">
        <f>IF(U580="","",IF(AD580="","",_xlfn.WORKDAY.INTL(AD580,7,1,FERIADOS)))</f>
        <v/>
      </c>
      <c r="AF580" s="104"/>
      <c r="AG580" s="80" t="str">
        <f t="array" ref="AG580">IF(A580="","",IF(AF580="","",AF580*INDEX(PARAMETROS!F$2:F1643,MATCH(YEAR(AC580),PARAMETROS!E$2:E1643,0),1)))</f>
        <v/>
      </c>
      <c r="AH580" s="81"/>
      <c r="AI580" s="82"/>
      <c r="AJ580" s="81"/>
      <c r="AK580" s="81"/>
      <c r="AL580" s="76"/>
      <c r="AM580" s="75"/>
      <c r="AN580" s="76"/>
      <c r="AO580" s="95"/>
      <c r="AP580" s="96"/>
      <c r="AQ580" s="85" t="str">
        <f t="shared" si="6"/>
        <v/>
      </c>
      <c r="AR580" s="86" t="str">
        <f t="array" ref="AR580">IF(A580="","",IFERROR(INDEX('2) Etapas'!L$3:L923,MATCH(B580,'2) Etapas'!$A$4:$A923,0),1),-1))</f>
        <v/>
      </c>
      <c r="AS580" s="87" t="str">
        <f t="shared" si="7"/>
        <v/>
      </c>
      <c r="AT580" s="87" t="str">
        <f t="shared" si="8"/>
        <v/>
      </c>
      <c r="AU580" s="87" t="str">
        <f t="shared" si="9"/>
        <v/>
      </c>
      <c r="AV580" s="89" t="str">
        <f t="array" ref="AV580">IF(OR($A580="",$AB580="", $AC580=""),"",MAXA(IF($A580=$A$4:$A923,$AC$4:$AC923)))</f>
        <v/>
      </c>
    </row>
    <row r="581" ht="22.5" customHeight="1">
      <c r="A581" s="76"/>
      <c r="B581" s="68" t="str">
        <f t="shared" si="1"/>
        <v/>
      </c>
      <c r="C581" s="110"/>
      <c r="D581" s="70" t="str">
        <f t="shared" si="2"/>
        <v/>
      </c>
      <c r="E581" s="76"/>
      <c r="F581" s="68" t="str">
        <f t="array" ref="F581">IF($A581="","",IFERROR(INDEX(MA_INDIVIDUALES!C$2:C923, MATCH($A581,MA_INDIVIDUALES!$B$2:$B923,0),1),"CÓDIGO DE EXPEDIENTE INVÁLIDO"))</f>
        <v/>
      </c>
      <c r="G581" s="68" t="str">
        <f t="array" ref="G581">IF($A581="","",IFERROR(INDEX(MA_INDIVIDUALES!K$2:K923, MATCH($A581,MA_INDIVIDUALES!$B$2:$B923,0),1),"CÓDIGO DE EXPEDIENTE INVÁLIDO"))</f>
        <v/>
      </c>
      <c r="H581" s="68" t="str">
        <f t="array" ref="H581">IF($A581="","",IFERROR(INDEX(MA_INDIVIDUALES!L$2:L923, MATCH($A581,MA_INDIVIDUALES!$B$2:$B923,0),1),"CÓDIGO DE EXPEDIENTE INVÁLIDO"))</f>
        <v/>
      </c>
      <c r="I581" s="76"/>
      <c r="J581" s="76"/>
      <c r="K581" s="75"/>
      <c r="L581" s="74" t="str">
        <f>IF(A581="","",IF(K581="","",_xlfn.WORKDAY.INTL(K581,5,1,FERIADOS)))</f>
        <v/>
      </c>
      <c r="M581" s="76"/>
      <c r="N581" s="75"/>
      <c r="O581" s="76"/>
      <c r="P581" s="77" t="str">
        <f t="shared" si="3"/>
        <v/>
      </c>
      <c r="Q581" s="75"/>
      <c r="R581" s="76"/>
      <c r="S581" s="75"/>
      <c r="T581" s="75"/>
      <c r="U581" s="76"/>
      <c r="V581" s="76"/>
      <c r="W581" s="75"/>
      <c r="X581" s="76"/>
      <c r="Y581" s="29" t="str">
        <f t="shared" si="4"/>
        <v/>
      </c>
      <c r="Z581" s="29" t="str">
        <f t="shared" si="5"/>
        <v/>
      </c>
      <c r="AA581" s="76"/>
      <c r="AB581" s="76"/>
      <c r="AC581" s="75"/>
      <c r="AD581" s="75"/>
      <c r="AE581" s="78" t="str">
        <f>IF(U581="","",IF(AD581="","",_xlfn.WORKDAY.INTL(AD581,7,1,FERIADOS)))</f>
        <v/>
      </c>
      <c r="AF581" s="104"/>
      <c r="AG581" s="80" t="str">
        <f t="array" ref="AG581">IF(A581="","",IF(AF581="","",AF581*INDEX(PARAMETROS!F$2:F1644,MATCH(YEAR(AC581),PARAMETROS!E$2:E1644,0),1)))</f>
        <v/>
      </c>
      <c r="AH581" s="81"/>
      <c r="AI581" s="82"/>
      <c r="AJ581" s="81"/>
      <c r="AK581" s="81"/>
      <c r="AL581" s="76"/>
      <c r="AM581" s="75"/>
      <c r="AN581" s="76"/>
      <c r="AO581" s="95"/>
      <c r="AP581" s="96"/>
      <c r="AQ581" s="85" t="str">
        <f t="shared" si="6"/>
        <v/>
      </c>
      <c r="AR581" s="86" t="str">
        <f t="array" ref="AR581">IF(A581="","",IFERROR(INDEX('2) Etapas'!L$3:L923,MATCH(B581,'2) Etapas'!$A$4:$A923,0),1),-1))</f>
        <v/>
      </c>
      <c r="AS581" s="87" t="str">
        <f t="shared" si="7"/>
        <v/>
      </c>
      <c r="AT581" s="87" t="str">
        <f t="shared" si="8"/>
        <v/>
      </c>
      <c r="AU581" s="87" t="str">
        <f t="shared" si="9"/>
        <v/>
      </c>
      <c r="AV581" s="89" t="str">
        <f t="array" ref="AV581">IF(OR($A581="",$AB581="", $AC581=""),"",MAXA(IF($A581=$A$4:$A923,$AC$4:$AC923)))</f>
        <v/>
      </c>
    </row>
    <row r="582" ht="22.5" customHeight="1">
      <c r="A582" s="76"/>
      <c r="B582" s="68" t="str">
        <f t="shared" si="1"/>
        <v/>
      </c>
      <c r="C582" s="110"/>
      <c r="D582" s="70" t="str">
        <f t="shared" si="2"/>
        <v/>
      </c>
      <c r="E582" s="76"/>
      <c r="F582" s="68" t="str">
        <f t="array" ref="F582">IF($A582="","",IFERROR(INDEX(MA_INDIVIDUALES!C$2:C923, MATCH($A582,MA_INDIVIDUALES!$B$2:$B923,0),1),"CÓDIGO DE EXPEDIENTE INVÁLIDO"))</f>
        <v/>
      </c>
      <c r="G582" s="68" t="str">
        <f t="array" ref="G582">IF($A582="","",IFERROR(INDEX(MA_INDIVIDUALES!K$2:K923, MATCH($A582,MA_INDIVIDUALES!$B$2:$B923,0),1),"CÓDIGO DE EXPEDIENTE INVÁLIDO"))</f>
        <v/>
      </c>
      <c r="H582" s="68" t="str">
        <f t="array" ref="H582">IF($A582="","",IFERROR(INDEX(MA_INDIVIDUALES!L$2:L923, MATCH($A582,MA_INDIVIDUALES!$B$2:$B923,0),1),"CÓDIGO DE EXPEDIENTE INVÁLIDO"))</f>
        <v/>
      </c>
      <c r="I582" s="76"/>
      <c r="J582" s="76"/>
      <c r="K582" s="75"/>
      <c r="L582" s="74" t="str">
        <f>IF(A582="","",IF(K582="","",_xlfn.WORKDAY.INTL(K582,5,1,FERIADOS)))</f>
        <v/>
      </c>
      <c r="M582" s="76"/>
      <c r="N582" s="75"/>
      <c r="O582" s="76"/>
      <c r="P582" s="77" t="str">
        <f t="shared" si="3"/>
        <v/>
      </c>
      <c r="Q582" s="75"/>
      <c r="R582" s="76"/>
      <c r="S582" s="75"/>
      <c r="T582" s="75"/>
      <c r="U582" s="76"/>
      <c r="V582" s="76"/>
      <c r="W582" s="75"/>
      <c r="X582" s="76"/>
      <c r="Y582" s="29" t="str">
        <f t="shared" si="4"/>
        <v/>
      </c>
      <c r="Z582" s="29" t="str">
        <f t="shared" si="5"/>
        <v/>
      </c>
      <c r="AA582" s="76"/>
      <c r="AB582" s="76"/>
      <c r="AC582" s="75"/>
      <c r="AD582" s="75"/>
      <c r="AE582" s="78" t="str">
        <f>IF(U582="","",IF(AD582="","",_xlfn.WORKDAY.INTL(AD582,7,1,FERIADOS)))</f>
        <v/>
      </c>
      <c r="AF582" s="104"/>
      <c r="AG582" s="80" t="str">
        <f t="array" ref="AG582">IF(A582="","",IF(AF582="","",AF582*INDEX(PARAMETROS!F$2:F1645,MATCH(YEAR(AC582),PARAMETROS!E$2:E1645,0),1)))</f>
        <v/>
      </c>
      <c r="AH582" s="81"/>
      <c r="AI582" s="82"/>
      <c r="AJ582" s="81"/>
      <c r="AK582" s="81"/>
      <c r="AL582" s="76"/>
      <c r="AM582" s="75"/>
      <c r="AN582" s="76"/>
      <c r="AO582" s="95"/>
      <c r="AP582" s="96"/>
      <c r="AQ582" s="85" t="str">
        <f t="shared" si="6"/>
        <v/>
      </c>
      <c r="AR582" s="86" t="str">
        <f t="array" ref="AR582">IF(A582="","",IFERROR(INDEX('2) Etapas'!L$3:L923,MATCH(B582,'2) Etapas'!$A$4:$A923,0),1),-1))</f>
        <v/>
      </c>
      <c r="AS582" s="87" t="str">
        <f t="shared" si="7"/>
        <v/>
      </c>
      <c r="AT582" s="87" t="str">
        <f t="shared" si="8"/>
        <v/>
      </c>
      <c r="AU582" s="87" t="str">
        <f t="shared" si="9"/>
        <v/>
      </c>
      <c r="AV582" s="89" t="str">
        <f t="array" ref="AV582">IF(OR($A582="",$AB582="", $AC582=""),"",MAXA(IF($A582=$A$4:$A923,$AC$4:$AC923)))</f>
        <v/>
      </c>
    </row>
    <row r="583" ht="22.5" customHeight="1">
      <c r="A583" s="76"/>
      <c r="B583" s="68" t="str">
        <f t="shared" si="1"/>
        <v/>
      </c>
      <c r="C583" s="110"/>
      <c r="D583" s="70" t="str">
        <f t="shared" si="2"/>
        <v/>
      </c>
      <c r="E583" s="76"/>
      <c r="F583" s="68" t="str">
        <f t="array" ref="F583">IF($A583="","",IFERROR(INDEX(MA_INDIVIDUALES!C$2:C923, MATCH($A583,MA_INDIVIDUALES!$B$2:$B923,0),1),"CÓDIGO DE EXPEDIENTE INVÁLIDO"))</f>
        <v/>
      </c>
      <c r="G583" s="68" t="str">
        <f t="array" ref="G583">IF($A583="","",IFERROR(INDEX(MA_INDIVIDUALES!K$2:K923, MATCH($A583,MA_INDIVIDUALES!$B$2:$B923,0),1),"CÓDIGO DE EXPEDIENTE INVÁLIDO"))</f>
        <v/>
      </c>
      <c r="H583" s="68" t="str">
        <f t="array" ref="H583">IF($A583="","",IFERROR(INDEX(MA_INDIVIDUALES!L$2:L923, MATCH($A583,MA_INDIVIDUALES!$B$2:$B923,0),1),"CÓDIGO DE EXPEDIENTE INVÁLIDO"))</f>
        <v/>
      </c>
      <c r="I583" s="76"/>
      <c r="J583" s="76"/>
      <c r="K583" s="75"/>
      <c r="L583" s="74" t="str">
        <f>IF(A583="","",IF(K583="","",_xlfn.WORKDAY.INTL(K583,5,1,FERIADOS)))</f>
        <v/>
      </c>
      <c r="M583" s="76"/>
      <c r="N583" s="75"/>
      <c r="O583" s="76"/>
      <c r="P583" s="77" t="str">
        <f t="shared" si="3"/>
        <v/>
      </c>
      <c r="Q583" s="75"/>
      <c r="R583" s="76"/>
      <c r="S583" s="75"/>
      <c r="T583" s="75"/>
      <c r="U583" s="76"/>
      <c r="V583" s="76"/>
      <c r="W583" s="75"/>
      <c r="X583" s="76"/>
      <c r="Y583" s="29" t="str">
        <f t="shared" si="4"/>
        <v/>
      </c>
      <c r="Z583" s="29" t="str">
        <f t="shared" si="5"/>
        <v/>
      </c>
      <c r="AA583" s="76"/>
      <c r="AB583" s="76"/>
      <c r="AC583" s="75"/>
      <c r="AD583" s="75"/>
      <c r="AE583" s="78" t="str">
        <f>IF(U583="","",IF(AD583="","",_xlfn.WORKDAY.INTL(AD583,7,1,FERIADOS)))</f>
        <v/>
      </c>
      <c r="AF583" s="104"/>
      <c r="AG583" s="80" t="str">
        <f t="array" ref="AG583">IF(A583="","",IF(AF583="","",AF583*INDEX(PARAMETROS!F$2:F1646,MATCH(YEAR(AC583),PARAMETROS!E$2:E1646,0),1)))</f>
        <v/>
      </c>
      <c r="AH583" s="81"/>
      <c r="AI583" s="82"/>
      <c r="AJ583" s="81"/>
      <c r="AK583" s="81"/>
      <c r="AL583" s="76"/>
      <c r="AM583" s="75"/>
      <c r="AN583" s="76"/>
      <c r="AO583" s="95"/>
      <c r="AP583" s="96"/>
      <c r="AQ583" s="85" t="str">
        <f t="shared" si="6"/>
        <v/>
      </c>
      <c r="AR583" s="86" t="str">
        <f t="array" ref="AR583">IF(A583="","",IFERROR(INDEX('2) Etapas'!L$3:L923,MATCH(B583,'2) Etapas'!$A$4:$A923,0),1),-1))</f>
        <v/>
      </c>
      <c r="AS583" s="87" t="str">
        <f t="shared" si="7"/>
        <v/>
      </c>
      <c r="AT583" s="87" t="str">
        <f t="shared" si="8"/>
        <v/>
      </c>
      <c r="AU583" s="87" t="str">
        <f t="shared" si="9"/>
        <v/>
      </c>
      <c r="AV583" s="89" t="str">
        <f t="array" ref="AV583">IF(OR($A583="",$AB583="", $AC583=""),"",MAXA(IF($A583=$A$4:$A923,$AC$4:$AC923)))</f>
        <v/>
      </c>
    </row>
    <row r="584" ht="22.5" customHeight="1">
      <c r="A584" s="76"/>
      <c r="B584" s="68" t="str">
        <f t="shared" si="1"/>
        <v/>
      </c>
      <c r="C584" s="110"/>
      <c r="D584" s="70" t="str">
        <f t="shared" si="2"/>
        <v/>
      </c>
      <c r="E584" s="76"/>
      <c r="F584" s="68" t="str">
        <f t="array" ref="F584">IF($A584="","",IFERROR(INDEX(MA_INDIVIDUALES!C$2:C923, MATCH($A584,MA_INDIVIDUALES!$B$2:$B923,0),1),"CÓDIGO DE EXPEDIENTE INVÁLIDO"))</f>
        <v/>
      </c>
      <c r="G584" s="68" t="str">
        <f t="array" ref="G584">IF($A584="","",IFERROR(INDEX(MA_INDIVIDUALES!K$2:K923, MATCH($A584,MA_INDIVIDUALES!$B$2:$B923,0),1),"CÓDIGO DE EXPEDIENTE INVÁLIDO"))</f>
        <v/>
      </c>
      <c r="H584" s="68" t="str">
        <f t="array" ref="H584">IF($A584="","",IFERROR(INDEX(MA_INDIVIDUALES!L$2:L923, MATCH($A584,MA_INDIVIDUALES!$B$2:$B923,0),1),"CÓDIGO DE EXPEDIENTE INVÁLIDO"))</f>
        <v/>
      </c>
      <c r="I584" s="76"/>
      <c r="J584" s="76"/>
      <c r="K584" s="75"/>
      <c r="L584" s="74" t="str">
        <f>IF(A584="","",IF(K584="","",_xlfn.WORKDAY.INTL(K584,5,1,FERIADOS)))</f>
        <v/>
      </c>
      <c r="M584" s="76"/>
      <c r="N584" s="75"/>
      <c r="O584" s="76"/>
      <c r="P584" s="77" t="str">
        <f t="shared" si="3"/>
        <v/>
      </c>
      <c r="Q584" s="75"/>
      <c r="R584" s="76"/>
      <c r="S584" s="75"/>
      <c r="T584" s="75"/>
      <c r="U584" s="76"/>
      <c r="V584" s="76"/>
      <c r="W584" s="75"/>
      <c r="X584" s="76"/>
      <c r="Y584" s="29" t="str">
        <f t="shared" si="4"/>
        <v/>
      </c>
      <c r="Z584" s="29" t="str">
        <f t="shared" si="5"/>
        <v/>
      </c>
      <c r="AA584" s="76"/>
      <c r="AB584" s="76"/>
      <c r="AC584" s="75"/>
      <c r="AD584" s="75"/>
      <c r="AE584" s="78" t="str">
        <f>IF(U584="","",IF(AD584="","",_xlfn.WORKDAY.INTL(AD584,7,1,FERIADOS)))</f>
        <v/>
      </c>
      <c r="AF584" s="104"/>
      <c r="AG584" s="80" t="str">
        <f t="array" ref="AG584">IF(A584="","",IF(AF584="","",AF584*INDEX(PARAMETROS!F$2:F1647,MATCH(YEAR(AC584),PARAMETROS!E$2:E1647,0),1)))</f>
        <v/>
      </c>
      <c r="AH584" s="81"/>
      <c r="AI584" s="82"/>
      <c r="AJ584" s="81"/>
      <c r="AK584" s="81"/>
      <c r="AL584" s="76"/>
      <c r="AM584" s="75"/>
      <c r="AN584" s="76"/>
      <c r="AO584" s="95"/>
      <c r="AP584" s="96"/>
      <c r="AQ584" s="85" t="str">
        <f t="shared" si="6"/>
        <v/>
      </c>
      <c r="AR584" s="86" t="str">
        <f t="array" ref="AR584">IF(A584="","",IFERROR(INDEX('2) Etapas'!L$3:L923,MATCH(B584,'2) Etapas'!$A$4:$A923,0),1),-1))</f>
        <v/>
      </c>
      <c r="AS584" s="87" t="str">
        <f t="shared" si="7"/>
        <v/>
      </c>
      <c r="AT584" s="87" t="str">
        <f t="shared" si="8"/>
        <v/>
      </c>
      <c r="AU584" s="87" t="str">
        <f t="shared" si="9"/>
        <v/>
      </c>
      <c r="AV584" s="89" t="str">
        <f t="array" ref="AV584">IF(OR($A584="",$AB584="", $AC584=""),"",MAXA(IF($A584=$A$4:$A923,$AC$4:$AC923)))</f>
        <v/>
      </c>
    </row>
    <row r="585" ht="22.5" customHeight="1">
      <c r="A585" s="76"/>
      <c r="B585" s="68" t="str">
        <f t="shared" si="1"/>
        <v/>
      </c>
      <c r="C585" s="110"/>
      <c r="D585" s="70" t="str">
        <f t="shared" si="2"/>
        <v/>
      </c>
      <c r="E585" s="76"/>
      <c r="F585" s="68" t="str">
        <f t="array" ref="F585">IF($A585="","",IFERROR(INDEX(MA_INDIVIDUALES!C$2:C923, MATCH($A585,MA_INDIVIDUALES!$B$2:$B923,0),1),"CÓDIGO DE EXPEDIENTE INVÁLIDO"))</f>
        <v/>
      </c>
      <c r="G585" s="68" t="str">
        <f t="array" ref="G585">IF($A585="","",IFERROR(INDEX(MA_INDIVIDUALES!K$2:K923, MATCH($A585,MA_INDIVIDUALES!$B$2:$B923,0),1),"CÓDIGO DE EXPEDIENTE INVÁLIDO"))</f>
        <v/>
      </c>
      <c r="H585" s="68" t="str">
        <f t="array" ref="H585">IF($A585="","",IFERROR(INDEX(MA_INDIVIDUALES!L$2:L923, MATCH($A585,MA_INDIVIDUALES!$B$2:$B923,0),1),"CÓDIGO DE EXPEDIENTE INVÁLIDO"))</f>
        <v/>
      </c>
      <c r="I585" s="76"/>
      <c r="J585" s="76"/>
      <c r="K585" s="75"/>
      <c r="L585" s="74" t="str">
        <f>IF(A585="","",IF(K585="","",_xlfn.WORKDAY.INTL(K585,5,1,FERIADOS)))</f>
        <v/>
      </c>
      <c r="M585" s="76"/>
      <c r="N585" s="75"/>
      <c r="O585" s="76"/>
      <c r="P585" s="77" t="str">
        <f t="shared" si="3"/>
        <v/>
      </c>
      <c r="Q585" s="75"/>
      <c r="R585" s="76"/>
      <c r="S585" s="75"/>
      <c r="T585" s="75"/>
      <c r="U585" s="76"/>
      <c r="V585" s="76"/>
      <c r="W585" s="75"/>
      <c r="X585" s="76"/>
      <c r="Y585" s="29" t="str">
        <f t="shared" si="4"/>
        <v/>
      </c>
      <c r="Z585" s="29" t="str">
        <f t="shared" si="5"/>
        <v/>
      </c>
      <c r="AA585" s="76"/>
      <c r="AB585" s="76"/>
      <c r="AC585" s="75"/>
      <c r="AD585" s="75"/>
      <c r="AE585" s="78" t="str">
        <f>IF(U585="","",IF(AD585="","",_xlfn.WORKDAY.INTL(AD585,7,1,FERIADOS)))</f>
        <v/>
      </c>
      <c r="AF585" s="104"/>
      <c r="AG585" s="80" t="str">
        <f t="array" ref="AG585">IF(A585="","",IF(AF585="","",AF585*INDEX(PARAMETROS!F$2:F1648,MATCH(YEAR(AC585),PARAMETROS!E$2:E1648,0),1)))</f>
        <v/>
      </c>
      <c r="AH585" s="81"/>
      <c r="AI585" s="82"/>
      <c r="AJ585" s="81"/>
      <c r="AK585" s="81"/>
      <c r="AL585" s="76"/>
      <c r="AM585" s="75"/>
      <c r="AN585" s="76"/>
      <c r="AO585" s="95"/>
      <c r="AP585" s="96"/>
      <c r="AQ585" s="85" t="str">
        <f t="shared" si="6"/>
        <v/>
      </c>
      <c r="AR585" s="86" t="str">
        <f t="array" ref="AR585">IF(A585="","",IFERROR(INDEX('2) Etapas'!L$3:L923,MATCH(B585,'2) Etapas'!$A$4:$A923,0),1),-1))</f>
        <v/>
      </c>
      <c r="AS585" s="87" t="str">
        <f t="shared" si="7"/>
        <v/>
      </c>
      <c r="AT585" s="87" t="str">
        <f t="shared" si="8"/>
        <v/>
      </c>
      <c r="AU585" s="87" t="str">
        <f t="shared" si="9"/>
        <v/>
      </c>
      <c r="AV585" s="89" t="str">
        <f t="array" ref="AV585">IF(OR($A585="",$AB585="", $AC585=""),"",MAXA(IF($A585=$A$4:$A923,$AC$4:$AC923)))</f>
        <v/>
      </c>
    </row>
    <row r="586" ht="22.5" customHeight="1">
      <c r="A586" s="76"/>
      <c r="B586" s="68" t="str">
        <f t="shared" si="1"/>
        <v/>
      </c>
      <c r="C586" s="110"/>
      <c r="D586" s="70" t="str">
        <f t="shared" si="2"/>
        <v/>
      </c>
      <c r="E586" s="76"/>
      <c r="F586" s="68" t="str">
        <f t="array" ref="F586">IF($A586="","",IFERROR(INDEX(MA_INDIVIDUALES!C$2:C923, MATCH($A586,MA_INDIVIDUALES!$B$2:$B923,0),1),"CÓDIGO DE EXPEDIENTE INVÁLIDO"))</f>
        <v/>
      </c>
      <c r="G586" s="68" t="str">
        <f t="array" ref="G586">IF($A586="","",IFERROR(INDEX(MA_INDIVIDUALES!K$2:K923, MATCH($A586,MA_INDIVIDUALES!$B$2:$B923,0),1),"CÓDIGO DE EXPEDIENTE INVÁLIDO"))</f>
        <v/>
      </c>
      <c r="H586" s="68" t="str">
        <f t="array" ref="H586">IF($A586="","",IFERROR(INDEX(MA_INDIVIDUALES!L$2:L923, MATCH($A586,MA_INDIVIDUALES!$B$2:$B923,0),1),"CÓDIGO DE EXPEDIENTE INVÁLIDO"))</f>
        <v/>
      </c>
      <c r="I586" s="76"/>
      <c r="J586" s="76"/>
      <c r="K586" s="75"/>
      <c r="L586" s="74" t="str">
        <f>IF(A586="","",IF(K586="","",_xlfn.WORKDAY.INTL(K586,5,1,FERIADOS)))</f>
        <v/>
      </c>
      <c r="M586" s="76"/>
      <c r="N586" s="75"/>
      <c r="O586" s="76"/>
      <c r="P586" s="77" t="str">
        <f t="shared" si="3"/>
        <v/>
      </c>
      <c r="Q586" s="75"/>
      <c r="R586" s="76"/>
      <c r="S586" s="75"/>
      <c r="T586" s="75"/>
      <c r="U586" s="76"/>
      <c r="V586" s="76"/>
      <c r="W586" s="75"/>
      <c r="X586" s="76"/>
      <c r="Y586" s="29" t="str">
        <f t="shared" si="4"/>
        <v/>
      </c>
      <c r="Z586" s="29" t="str">
        <f t="shared" si="5"/>
        <v/>
      </c>
      <c r="AA586" s="76"/>
      <c r="AB586" s="76"/>
      <c r="AC586" s="75"/>
      <c r="AD586" s="75"/>
      <c r="AE586" s="78" t="str">
        <f>IF(U586="","",IF(AD586="","",_xlfn.WORKDAY.INTL(AD586,7,1,FERIADOS)))</f>
        <v/>
      </c>
      <c r="AF586" s="104"/>
      <c r="AG586" s="80" t="str">
        <f t="array" ref="AG586">IF(A586="","",IF(AF586="","",AF586*INDEX(PARAMETROS!F$2:F1649,MATCH(YEAR(AC586),PARAMETROS!E$2:E1649,0),1)))</f>
        <v/>
      </c>
      <c r="AH586" s="81"/>
      <c r="AI586" s="82"/>
      <c r="AJ586" s="81"/>
      <c r="AK586" s="81"/>
      <c r="AL586" s="76"/>
      <c r="AM586" s="75"/>
      <c r="AN586" s="76"/>
      <c r="AO586" s="95"/>
      <c r="AP586" s="96"/>
      <c r="AQ586" s="85" t="str">
        <f t="shared" si="6"/>
        <v/>
      </c>
      <c r="AR586" s="86" t="str">
        <f t="array" ref="AR586">IF(A586="","",IFERROR(INDEX('2) Etapas'!L$3:L923,MATCH(B586,'2) Etapas'!$A$4:$A923,0),1),-1))</f>
        <v/>
      </c>
      <c r="AS586" s="87" t="str">
        <f t="shared" si="7"/>
        <v/>
      </c>
      <c r="AT586" s="87" t="str">
        <f t="shared" si="8"/>
        <v/>
      </c>
      <c r="AU586" s="87" t="str">
        <f t="shared" si="9"/>
        <v/>
      </c>
      <c r="AV586" s="89" t="str">
        <f t="array" ref="AV586">IF(OR($A586="",$AB586="", $AC586=""),"",MAXA(IF($A586=$A$4:$A923,$AC$4:$AC923)))</f>
        <v/>
      </c>
    </row>
    <row r="587" ht="22.5" customHeight="1">
      <c r="A587" s="76"/>
      <c r="B587" s="68" t="str">
        <f t="shared" si="1"/>
        <v/>
      </c>
      <c r="C587" s="110"/>
      <c r="D587" s="70" t="str">
        <f t="shared" si="2"/>
        <v/>
      </c>
      <c r="E587" s="76"/>
      <c r="F587" s="68" t="str">
        <f t="array" ref="F587">IF($A587="","",IFERROR(INDEX(MA_INDIVIDUALES!C$2:C923, MATCH($A587,MA_INDIVIDUALES!$B$2:$B923,0),1),"CÓDIGO DE EXPEDIENTE INVÁLIDO"))</f>
        <v/>
      </c>
      <c r="G587" s="68" t="str">
        <f t="array" ref="G587">IF($A587="","",IFERROR(INDEX(MA_INDIVIDUALES!K$2:K923, MATCH($A587,MA_INDIVIDUALES!$B$2:$B923,0),1),"CÓDIGO DE EXPEDIENTE INVÁLIDO"))</f>
        <v/>
      </c>
      <c r="H587" s="68" t="str">
        <f t="array" ref="H587">IF($A587="","",IFERROR(INDEX(MA_INDIVIDUALES!L$2:L923, MATCH($A587,MA_INDIVIDUALES!$B$2:$B923,0),1),"CÓDIGO DE EXPEDIENTE INVÁLIDO"))</f>
        <v/>
      </c>
      <c r="I587" s="76"/>
      <c r="J587" s="76"/>
      <c r="K587" s="75"/>
      <c r="L587" s="74" t="str">
        <f>IF(A587="","",IF(K587="","",_xlfn.WORKDAY.INTL(K587,5,1,FERIADOS)))</f>
        <v/>
      </c>
      <c r="M587" s="76"/>
      <c r="N587" s="75"/>
      <c r="O587" s="76"/>
      <c r="P587" s="77" t="str">
        <f t="shared" si="3"/>
        <v/>
      </c>
      <c r="Q587" s="75"/>
      <c r="R587" s="76"/>
      <c r="S587" s="75"/>
      <c r="T587" s="75"/>
      <c r="U587" s="76"/>
      <c r="V587" s="76"/>
      <c r="W587" s="75"/>
      <c r="X587" s="76"/>
      <c r="Y587" s="29" t="str">
        <f t="shared" si="4"/>
        <v/>
      </c>
      <c r="Z587" s="29" t="str">
        <f t="shared" si="5"/>
        <v/>
      </c>
      <c r="AA587" s="76"/>
      <c r="AB587" s="76"/>
      <c r="AC587" s="75"/>
      <c r="AD587" s="75"/>
      <c r="AE587" s="78" t="str">
        <f>IF(U587="","",IF(AD587="","",_xlfn.WORKDAY.INTL(AD587,7,1,FERIADOS)))</f>
        <v/>
      </c>
      <c r="AF587" s="104"/>
      <c r="AG587" s="80" t="str">
        <f t="array" ref="AG587">IF(A587="","",IF(AF587="","",AF587*INDEX(PARAMETROS!F$2:F1650,MATCH(YEAR(AC587),PARAMETROS!E$2:E1650,0),1)))</f>
        <v/>
      </c>
      <c r="AH587" s="81"/>
      <c r="AI587" s="82"/>
      <c r="AJ587" s="81"/>
      <c r="AK587" s="81"/>
      <c r="AL587" s="76"/>
      <c r="AM587" s="75"/>
      <c r="AN587" s="76"/>
      <c r="AO587" s="95"/>
      <c r="AP587" s="96"/>
      <c r="AQ587" s="85" t="str">
        <f t="shared" si="6"/>
        <v/>
      </c>
      <c r="AR587" s="86" t="str">
        <f t="array" ref="AR587">IF(A587="","",IFERROR(INDEX('2) Etapas'!L$3:L923,MATCH(B587,'2) Etapas'!$A$4:$A923,0),1),-1))</f>
        <v/>
      </c>
      <c r="AS587" s="87" t="str">
        <f t="shared" si="7"/>
        <v/>
      </c>
      <c r="AT587" s="87" t="str">
        <f t="shared" si="8"/>
        <v/>
      </c>
      <c r="AU587" s="87" t="str">
        <f t="shared" si="9"/>
        <v/>
      </c>
      <c r="AV587" s="89" t="str">
        <f t="array" ref="AV587">IF(OR($A587="",$AB587="", $AC587=""),"",MAXA(IF($A587=$A$4:$A923,$AC$4:$AC923)))</f>
        <v/>
      </c>
    </row>
    <row r="588" ht="22.5" customHeight="1">
      <c r="A588" s="76"/>
      <c r="B588" s="68" t="str">
        <f t="shared" si="1"/>
        <v/>
      </c>
      <c r="C588" s="110"/>
      <c r="D588" s="70" t="str">
        <f t="shared" si="2"/>
        <v/>
      </c>
      <c r="E588" s="76"/>
      <c r="F588" s="68" t="str">
        <f t="array" ref="F588">IF($A588="","",IFERROR(INDEX(MA_INDIVIDUALES!C$2:C923, MATCH($A588,MA_INDIVIDUALES!$B$2:$B923,0),1),"CÓDIGO DE EXPEDIENTE INVÁLIDO"))</f>
        <v/>
      </c>
      <c r="G588" s="68" t="str">
        <f t="array" ref="G588">IF($A588="","",IFERROR(INDEX(MA_INDIVIDUALES!K$2:K923, MATCH($A588,MA_INDIVIDUALES!$B$2:$B923,0),1),"CÓDIGO DE EXPEDIENTE INVÁLIDO"))</f>
        <v/>
      </c>
      <c r="H588" s="68" t="str">
        <f t="array" ref="H588">IF($A588="","",IFERROR(INDEX(MA_INDIVIDUALES!L$2:L923, MATCH($A588,MA_INDIVIDUALES!$B$2:$B923,0),1),"CÓDIGO DE EXPEDIENTE INVÁLIDO"))</f>
        <v/>
      </c>
      <c r="I588" s="76"/>
      <c r="J588" s="76"/>
      <c r="K588" s="75"/>
      <c r="L588" s="74" t="str">
        <f>IF(A588="","",IF(K588="","",_xlfn.WORKDAY.INTL(K588,5,1,FERIADOS)))</f>
        <v/>
      </c>
      <c r="M588" s="76"/>
      <c r="N588" s="75"/>
      <c r="O588" s="76"/>
      <c r="P588" s="77" t="str">
        <f t="shared" si="3"/>
        <v/>
      </c>
      <c r="Q588" s="75"/>
      <c r="R588" s="76"/>
      <c r="S588" s="75"/>
      <c r="T588" s="75"/>
      <c r="U588" s="76"/>
      <c r="V588" s="76"/>
      <c r="W588" s="75"/>
      <c r="X588" s="76"/>
      <c r="Y588" s="29" t="str">
        <f t="shared" si="4"/>
        <v/>
      </c>
      <c r="Z588" s="29" t="str">
        <f t="shared" si="5"/>
        <v/>
      </c>
      <c r="AA588" s="76"/>
      <c r="AB588" s="76"/>
      <c r="AC588" s="75"/>
      <c r="AD588" s="75"/>
      <c r="AE588" s="78" t="str">
        <f>IF(U588="","",IF(AD588="","",_xlfn.WORKDAY.INTL(AD588,7,1,FERIADOS)))</f>
        <v/>
      </c>
      <c r="AF588" s="104"/>
      <c r="AG588" s="80" t="str">
        <f t="array" ref="AG588">IF(A588="","",IF(AF588="","",AF588*INDEX(PARAMETROS!F$2:F1651,MATCH(YEAR(AC588),PARAMETROS!E$2:E1651,0),1)))</f>
        <v/>
      </c>
      <c r="AH588" s="81"/>
      <c r="AI588" s="82"/>
      <c r="AJ588" s="81"/>
      <c r="AK588" s="81"/>
      <c r="AL588" s="76"/>
      <c r="AM588" s="75"/>
      <c r="AN588" s="76"/>
      <c r="AO588" s="95"/>
      <c r="AP588" s="96"/>
      <c r="AQ588" s="85" t="str">
        <f t="shared" si="6"/>
        <v/>
      </c>
      <c r="AR588" s="86" t="str">
        <f t="array" ref="AR588">IF(A588="","",IFERROR(INDEX('2) Etapas'!L$3:L923,MATCH(B588,'2) Etapas'!$A$4:$A923,0),1),-1))</f>
        <v/>
      </c>
      <c r="AS588" s="87" t="str">
        <f t="shared" si="7"/>
        <v/>
      </c>
      <c r="AT588" s="87" t="str">
        <f t="shared" si="8"/>
        <v/>
      </c>
      <c r="AU588" s="87" t="str">
        <f t="shared" si="9"/>
        <v/>
      </c>
      <c r="AV588" s="89" t="str">
        <f t="array" ref="AV588">IF(OR($A588="",$AB588="", $AC588=""),"",MAXA(IF($A588=$A$4:$A923,$AC$4:$AC923)))</f>
        <v/>
      </c>
    </row>
    <row r="589" ht="22.5" customHeight="1">
      <c r="A589" s="76"/>
      <c r="B589" s="68" t="str">
        <f t="shared" si="1"/>
        <v/>
      </c>
      <c r="C589" s="110"/>
      <c r="D589" s="70" t="str">
        <f t="shared" si="2"/>
        <v/>
      </c>
      <c r="E589" s="76"/>
      <c r="F589" s="68" t="str">
        <f t="array" ref="F589">IF($A589="","",IFERROR(INDEX(MA_INDIVIDUALES!C$2:C923, MATCH($A589,MA_INDIVIDUALES!$B$2:$B923,0),1),"CÓDIGO DE EXPEDIENTE INVÁLIDO"))</f>
        <v/>
      </c>
      <c r="G589" s="68" t="str">
        <f t="array" ref="G589">IF($A589="","",IFERROR(INDEX(MA_INDIVIDUALES!K$2:K923, MATCH($A589,MA_INDIVIDUALES!$B$2:$B923,0),1),"CÓDIGO DE EXPEDIENTE INVÁLIDO"))</f>
        <v/>
      </c>
      <c r="H589" s="68" t="str">
        <f t="array" ref="H589">IF($A589="","",IFERROR(INDEX(MA_INDIVIDUALES!L$2:L923, MATCH($A589,MA_INDIVIDUALES!$B$2:$B923,0),1),"CÓDIGO DE EXPEDIENTE INVÁLIDO"))</f>
        <v/>
      </c>
      <c r="I589" s="76"/>
      <c r="J589" s="76"/>
      <c r="K589" s="75"/>
      <c r="L589" s="74" t="str">
        <f>IF(A589="","",IF(K589="","",_xlfn.WORKDAY.INTL(K589,5,1,FERIADOS)))</f>
        <v/>
      </c>
      <c r="M589" s="76"/>
      <c r="N589" s="75"/>
      <c r="O589" s="76"/>
      <c r="P589" s="77" t="str">
        <f t="shared" si="3"/>
        <v/>
      </c>
      <c r="Q589" s="75"/>
      <c r="R589" s="76"/>
      <c r="S589" s="75"/>
      <c r="T589" s="75"/>
      <c r="U589" s="76"/>
      <c r="V589" s="76"/>
      <c r="W589" s="75"/>
      <c r="X589" s="76"/>
      <c r="Y589" s="29" t="str">
        <f t="shared" si="4"/>
        <v/>
      </c>
      <c r="Z589" s="29" t="str">
        <f t="shared" si="5"/>
        <v/>
      </c>
      <c r="AA589" s="76"/>
      <c r="AB589" s="76"/>
      <c r="AC589" s="75"/>
      <c r="AD589" s="75"/>
      <c r="AE589" s="78" t="str">
        <f>IF(U589="","",IF(AD589="","",_xlfn.WORKDAY.INTL(AD589,7,1,FERIADOS)))</f>
        <v/>
      </c>
      <c r="AF589" s="104"/>
      <c r="AG589" s="80" t="str">
        <f t="array" ref="AG589">IF(A589="","",IF(AF589="","",AF589*INDEX(PARAMETROS!F$2:F1652,MATCH(YEAR(AC589),PARAMETROS!E$2:E1652,0),1)))</f>
        <v/>
      </c>
      <c r="AH589" s="81"/>
      <c r="AI589" s="82"/>
      <c r="AJ589" s="81"/>
      <c r="AK589" s="81"/>
      <c r="AL589" s="76"/>
      <c r="AM589" s="75"/>
      <c r="AN589" s="76"/>
      <c r="AO589" s="95"/>
      <c r="AP589" s="96"/>
      <c r="AQ589" s="85" t="str">
        <f t="shared" si="6"/>
        <v/>
      </c>
      <c r="AR589" s="86" t="str">
        <f t="array" ref="AR589">IF(A589="","",IFERROR(INDEX('2) Etapas'!L$3:L923,MATCH(B589,'2) Etapas'!$A$4:$A923,0),1),-1))</f>
        <v/>
      </c>
      <c r="AS589" s="87" t="str">
        <f t="shared" si="7"/>
        <v/>
      </c>
      <c r="AT589" s="87" t="str">
        <f t="shared" si="8"/>
        <v/>
      </c>
      <c r="AU589" s="87" t="str">
        <f t="shared" si="9"/>
        <v/>
      </c>
      <c r="AV589" s="89" t="str">
        <f t="array" ref="AV589">IF(OR($A589="",$AB589="", $AC589=""),"",MAXA(IF($A589=$A$4:$A923,$AC$4:$AC923)))</f>
        <v/>
      </c>
    </row>
    <row r="590" ht="22.5" customHeight="1">
      <c r="A590" s="76"/>
      <c r="B590" s="68" t="str">
        <f t="shared" si="1"/>
        <v/>
      </c>
      <c r="C590" s="110"/>
      <c r="D590" s="70" t="str">
        <f t="shared" si="2"/>
        <v/>
      </c>
      <c r="E590" s="76"/>
      <c r="F590" s="68" t="str">
        <f t="array" ref="F590">IF($A590="","",IFERROR(INDEX(MA_INDIVIDUALES!C$2:C923, MATCH($A590,MA_INDIVIDUALES!$B$2:$B923,0),1),"CÓDIGO DE EXPEDIENTE INVÁLIDO"))</f>
        <v/>
      </c>
      <c r="G590" s="68" t="str">
        <f t="array" ref="G590">IF($A590="","",IFERROR(INDEX(MA_INDIVIDUALES!K$2:K923, MATCH($A590,MA_INDIVIDUALES!$B$2:$B923,0),1),"CÓDIGO DE EXPEDIENTE INVÁLIDO"))</f>
        <v/>
      </c>
      <c r="H590" s="68" t="str">
        <f t="array" ref="H590">IF($A590="","",IFERROR(INDEX(MA_INDIVIDUALES!L$2:L923, MATCH($A590,MA_INDIVIDUALES!$B$2:$B923,0),1),"CÓDIGO DE EXPEDIENTE INVÁLIDO"))</f>
        <v/>
      </c>
      <c r="I590" s="76"/>
      <c r="J590" s="76"/>
      <c r="K590" s="75"/>
      <c r="L590" s="74" t="str">
        <f>IF(A590="","",IF(K590="","",_xlfn.WORKDAY.INTL(K590,5,1,FERIADOS)))</f>
        <v/>
      </c>
      <c r="M590" s="76"/>
      <c r="N590" s="75"/>
      <c r="O590" s="76"/>
      <c r="P590" s="77" t="str">
        <f t="shared" si="3"/>
        <v/>
      </c>
      <c r="Q590" s="75"/>
      <c r="R590" s="76"/>
      <c r="S590" s="75"/>
      <c r="T590" s="75"/>
      <c r="U590" s="76"/>
      <c r="V590" s="76"/>
      <c r="W590" s="75"/>
      <c r="X590" s="76"/>
      <c r="Y590" s="29" t="str">
        <f t="shared" si="4"/>
        <v/>
      </c>
      <c r="Z590" s="29" t="str">
        <f t="shared" si="5"/>
        <v/>
      </c>
      <c r="AA590" s="76"/>
      <c r="AB590" s="76"/>
      <c r="AC590" s="75"/>
      <c r="AD590" s="75"/>
      <c r="AE590" s="78" t="str">
        <f>IF(U590="","",IF(AD590="","",_xlfn.WORKDAY.INTL(AD590,7,1,FERIADOS)))</f>
        <v/>
      </c>
      <c r="AF590" s="104"/>
      <c r="AG590" s="80" t="str">
        <f t="array" ref="AG590">IF(A590="","",IF(AF590="","",AF590*INDEX(PARAMETROS!F$2:F1653,MATCH(YEAR(AC590),PARAMETROS!E$2:E1653,0),1)))</f>
        <v/>
      </c>
      <c r="AH590" s="81"/>
      <c r="AI590" s="82"/>
      <c r="AJ590" s="81"/>
      <c r="AK590" s="81"/>
      <c r="AL590" s="76"/>
      <c r="AM590" s="75"/>
      <c r="AN590" s="76"/>
      <c r="AO590" s="95"/>
      <c r="AP590" s="96"/>
      <c r="AQ590" s="85" t="str">
        <f t="shared" si="6"/>
        <v/>
      </c>
      <c r="AR590" s="86" t="str">
        <f t="array" ref="AR590">IF(A590="","",IFERROR(INDEX('2) Etapas'!L$3:L923,MATCH(B590,'2) Etapas'!$A$4:$A923,0),1),-1))</f>
        <v/>
      </c>
      <c r="AS590" s="87" t="str">
        <f t="shared" si="7"/>
        <v/>
      </c>
      <c r="AT590" s="87" t="str">
        <f t="shared" si="8"/>
        <v/>
      </c>
      <c r="AU590" s="87" t="str">
        <f t="shared" si="9"/>
        <v/>
      </c>
      <c r="AV590" s="89" t="str">
        <f t="array" ref="AV590">IF(OR($A590="",$AB590="", $AC590=""),"",MAXA(IF($A590=$A$4:$A923,$AC$4:$AC923)))</f>
        <v/>
      </c>
    </row>
    <row r="591" ht="22.5" customHeight="1">
      <c r="A591" s="76"/>
      <c r="B591" s="68" t="str">
        <f t="shared" si="1"/>
        <v/>
      </c>
      <c r="C591" s="110"/>
      <c r="D591" s="70" t="str">
        <f t="shared" si="2"/>
        <v/>
      </c>
      <c r="E591" s="76"/>
      <c r="F591" s="68" t="str">
        <f t="array" ref="F591">IF($A591="","",IFERROR(INDEX(MA_INDIVIDUALES!C$2:C923, MATCH($A591,MA_INDIVIDUALES!$B$2:$B923,0),1),"CÓDIGO DE EXPEDIENTE INVÁLIDO"))</f>
        <v/>
      </c>
      <c r="G591" s="68" t="str">
        <f t="array" ref="G591">IF($A591="","",IFERROR(INDEX(MA_INDIVIDUALES!K$2:K923, MATCH($A591,MA_INDIVIDUALES!$B$2:$B923,0),1),"CÓDIGO DE EXPEDIENTE INVÁLIDO"))</f>
        <v/>
      </c>
      <c r="H591" s="68" t="str">
        <f t="array" ref="H591">IF($A591="","",IFERROR(INDEX(MA_INDIVIDUALES!L$2:L923, MATCH($A591,MA_INDIVIDUALES!$B$2:$B923,0),1),"CÓDIGO DE EXPEDIENTE INVÁLIDO"))</f>
        <v/>
      </c>
      <c r="I591" s="76"/>
      <c r="J591" s="76"/>
      <c r="K591" s="75"/>
      <c r="L591" s="74" t="str">
        <f>IF(A591="","",IF(K591="","",_xlfn.WORKDAY.INTL(K591,5,1,FERIADOS)))</f>
        <v/>
      </c>
      <c r="M591" s="76"/>
      <c r="N591" s="75"/>
      <c r="O591" s="76"/>
      <c r="P591" s="77" t="str">
        <f t="shared" si="3"/>
        <v/>
      </c>
      <c r="Q591" s="75"/>
      <c r="R591" s="76"/>
      <c r="S591" s="75"/>
      <c r="T591" s="75"/>
      <c r="U591" s="76"/>
      <c r="V591" s="76"/>
      <c r="W591" s="75"/>
      <c r="X591" s="76"/>
      <c r="Y591" s="29" t="str">
        <f t="shared" si="4"/>
        <v/>
      </c>
      <c r="Z591" s="29" t="str">
        <f t="shared" si="5"/>
        <v/>
      </c>
      <c r="AA591" s="76"/>
      <c r="AB591" s="76"/>
      <c r="AC591" s="75"/>
      <c r="AD591" s="75"/>
      <c r="AE591" s="78" t="str">
        <f>IF(U591="","",IF(AD591="","",_xlfn.WORKDAY.INTL(AD591,7,1,FERIADOS)))</f>
        <v/>
      </c>
      <c r="AF591" s="104"/>
      <c r="AG591" s="80" t="str">
        <f t="array" ref="AG591">IF(A591="","",IF(AF591="","",AF591*INDEX(PARAMETROS!F$2:F1654,MATCH(YEAR(AC591),PARAMETROS!E$2:E1654,0),1)))</f>
        <v/>
      </c>
      <c r="AH591" s="81"/>
      <c r="AI591" s="82"/>
      <c r="AJ591" s="81"/>
      <c r="AK591" s="81"/>
      <c r="AL591" s="76"/>
      <c r="AM591" s="75"/>
      <c r="AN591" s="76"/>
      <c r="AO591" s="95"/>
      <c r="AP591" s="96"/>
      <c r="AQ591" s="85" t="str">
        <f t="shared" si="6"/>
        <v/>
      </c>
      <c r="AR591" s="86" t="str">
        <f t="array" ref="AR591">IF(A591="","",IFERROR(INDEX('2) Etapas'!L$3:L923,MATCH(B591,'2) Etapas'!$A$4:$A923,0),1),-1))</f>
        <v/>
      </c>
      <c r="AS591" s="87" t="str">
        <f t="shared" si="7"/>
        <v/>
      </c>
      <c r="AT591" s="87" t="str">
        <f t="shared" si="8"/>
        <v/>
      </c>
      <c r="AU591" s="87" t="str">
        <f t="shared" si="9"/>
        <v/>
      </c>
      <c r="AV591" s="89" t="str">
        <f t="array" ref="AV591">IF(OR($A591="",$AB591="", $AC591=""),"",MAXA(IF($A591=$A$4:$A923,$AC$4:$AC923)))</f>
        <v/>
      </c>
    </row>
    <row r="592" ht="22.5" customHeight="1">
      <c r="A592" s="76"/>
      <c r="B592" s="68" t="str">
        <f t="shared" si="1"/>
        <v/>
      </c>
      <c r="C592" s="110"/>
      <c r="D592" s="70" t="str">
        <f t="shared" si="2"/>
        <v/>
      </c>
      <c r="E592" s="76"/>
      <c r="F592" s="68" t="str">
        <f t="array" ref="F592">IF($A592="","",IFERROR(INDEX(MA_INDIVIDUALES!C$2:C923, MATCH($A592,MA_INDIVIDUALES!$B$2:$B923,0),1),"CÓDIGO DE EXPEDIENTE INVÁLIDO"))</f>
        <v/>
      </c>
      <c r="G592" s="68" t="str">
        <f t="array" ref="G592">IF($A592="","",IFERROR(INDEX(MA_INDIVIDUALES!K$2:K923, MATCH($A592,MA_INDIVIDUALES!$B$2:$B923,0),1),"CÓDIGO DE EXPEDIENTE INVÁLIDO"))</f>
        <v/>
      </c>
      <c r="H592" s="68" t="str">
        <f t="array" ref="H592">IF($A592="","",IFERROR(INDEX(MA_INDIVIDUALES!L$2:L923, MATCH($A592,MA_INDIVIDUALES!$B$2:$B923,0),1),"CÓDIGO DE EXPEDIENTE INVÁLIDO"))</f>
        <v/>
      </c>
      <c r="I592" s="76"/>
      <c r="J592" s="76"/>
      <c r="K592" s="75"/>
      <c r="L592" s="74" t="str">
        <f>IF(A592="","",IF(K592="","",_xlfn.WORKDAY.INTL(K592,5,1,FERIADOS)))</f>
        <v/>
      </c>
      <c r="M592" s="76"/>
      <c r="N592" s="75"/>
      <c r="O592" s="76"/>
      <c r="P592" s="77" t="str">
        <f t="shared" si="3"/>
        <v/>
      </c>
      <c r="Q592" s="75"/>
      <c r="R592" s="76"/>
      <c r="S592" s="75"/>
      <c r="T592" s="75"/>
      <c r="U592" s="76"/>
      <c r="V592" s="76"/>
      <c r="W592" s="75"/>
      <c r="X592" s="76"/>
      <c r="Y592" s="29" t="str">
        <f t="shared" si="4"/>
        <v/>
      </c>
      <c r="Z592" s="29" t="str">
        <f t="shared" si="5"/>
        <v/>
      </c>
      <c r="AA592" s="76"/>
      <c r="AB592" s="76"/>
      <c r="AC592" s="75"/>
      <c r="AD592" s="75"/>
      <c r="AE592" s="78" t="str">
        <f>IF(U592="","",IF(AD592="","",_xlfn.WORKDAY.INTL(AD592,7,1,FERIADOS)))</f>
        <v/>
      </c>
      <c r="AF592" s="104"/>
      <c r="AG592" s="80" t="str">
        <f t="array" ref="AG592">IF(A592="","",IF(AF592="","",AF592*INDEX(PARAMETROS!F$2:F1655,MATCH(YEAR(AC592),PARAMETROS!E$2:E1655,0),1)))</f>
        <v/>
      </c>
      <c r="AH592" s="81"/>
      <c r="AI592" s="82"/>
      <c r="AJ592" s="81"/>
      <c r="AK592" s="81"/>
      <c r="AL592" s="76"/>
      <c r="AM592" s="75"/>
      <c r="AN592" s="76"/>
      <c r="AO592" s="95"/>
      <c r="AP592" s="96"/>
      <c r="AQ592" s="85" t="str">
        <f t="shared" si="6"/>
        <v/>
      </c>
      <c r="AR592" s="86" t="str">
        <f t="array" ref="AR592">IF(A592="","",IFERROR(INDEX('2) Etapas'!L$3:L923,MATCH(B592,'2) Etapas'!$A$4:$A923,0),1),-1))</f>
        <v/>
      </c>
      <c r="AS592" s="87" t="str">
        <f t="shared" si="7"/>
        <v/>
      </c>
      <c r="AT592" s="87" t="str">
        <f t="shared" si="8"/>
        <v/>
      </c>
      <c r="AU592" s="87" t="str">
        <f t="shared" si="9"/>
        <v/>
      </c>
      <c r="AV592" s="89" t="str">
        <f t="array" ref="AV592">IF(OR($A592="",$AB592="", $AC592=""),"",MAXA(IF($A592=$A$4:$A923,$AC$4:$AC923)))</f>
        <v/>
      </c>
    </row>
    <row r="593" ht="22.5" customHeight="1">
      <c r="A593" s="76"/>
      <c r="B593" s="68" t="str">
        <f t="shared" si="1"/>
        <v/>
      </c>
      <c r="C593" s="110"/>
      <c r="D593" s="70" t="str">
        <f t="shared" si="2"/>
        <v/>
      </c>
      <c r="E593" s="76"/>
      <c r="F593" s="68" t="str">
        <f t="array" ref="F593">IF($A593="","",IFERROR(INDEX(MA_INDIVIDUALES!C$2:C923, MATCH($A593,MA_INDIVIDUALES!$B$2:$B923,0),1),"CÓDIGO DE EXPEDIENTE INVÁLIDO"))</f>
        <v/>
      </c>
      <c r="G593" s="68" t="str">
        <f t="array" ref="G593">IF($A593="","",IFERROR(INDEX(MA_INDIVIDUALES!K$2:K923, MATCH($A593,MA_INDIVIDUALES!$B$2:$B923,0),1),"CÓDIGO DE EXPEDIENTE INVÁLIDO"))</f>
        <v/>
      </c>
      <c r="H593" s="68" t="str">
        <f t="array" ref="H593">IF($A593="","",IFERROR(INDEX(MA_INDIVIDUALES!L$2:L923, MATCH($A593,MA_INDIVIDUALES!$B$2:$B923,0),1),"CÓDIGO DE EXPEDIENTE INVÁLIDO"))</f>
        <v/>
      </c>
      <c r="I593" s="76"/>
      <c r="J593" s="76"/>
      <c r="K593" s="75"/>
      <c r="L593" s="74" t="str">
        <f>IF(A593="","",IF(K593="","",_xlfn.WORKDAY.INTL(K593,5,1,FERIADOS)))</f>
        <v/>
      </c>
      <c r="M593" s="76"/>
      <c r="N593" s="75"/>
      <c r="O593" s="76"/>
      <c r="P593" s="77" t="str">
        <f t="shared" si="3"/>
        <v/>
      </c>
      <c r="Q593" s="75"/>
      <c r="R593" s="76"/>
      <c r="S593" s="75"/>
      <c r="T593" s="75"/>
      <c r="U593" s="76"/>
      <c r="V593" s="76"/>
      <c r="W593" s="75"/>
      <c r="X593" s="76"/>
      <c r="Y593" s="29" t="str">
        <f t="shared" si="4"/>
        <v/>
      </c>
      <c r="Z593" s="29" t="str">
        <f t="shared" si="5"/>
        <v/>
      </c>
      <c r="AA593" s="76"/>
      <c r="AB593" s="76"/>
      <c r="AC593" s="75"/>
      <c r="AD593" s="75"/>
      <c r="AE593" s="78" t="str">
        <f>IF(U593="","",IF(AD593="","",_xlfn.WORKDAY.INTL(AD593,7,1,FERIADOS)))</f>
        <v/>
      </c>
      <c r="AF593" s="104"/>
      <c r="AG593" s="80" t="str">
        <f t="array" ref="AG593">IF(A593="","",IF(AF593="","",AF593*INDEX(PARAMETROS!F$2:F1656,MATCH(YEAR(AC593),PARAMETROS!E$2:E1656,0),1)))</f>
        <v/>
      </c>
      <c r="AH593" s="81"/>
      <c r="AI593" s="82"/>
      <c r="AJ593" s="81"/>
      <c r="AK593" s="81"/>
      <c r="AL593" s="76"/>
      <c r="AM593" s="75"/>
      <c r="AN593" s="76"/>
      <c r="AO593" s="95"/>
      <c r="AP593" s="96"/>
      <c r="AQ593" s="85" t="str">
        <f t="shared" si="6"/>
        <v/>
      </c>
      <c r="AR593" s="86" t="str">
        <f t="array" ref="AR593">IF(A593="","",IFERROR(INDEX('2) Etapas'!L$3:L923,MATCH(B593,'2) Etapas'!$A$4:$A923,0),1),-1))</f>
        <v/>
      </c>
      <c r="AS593" s="87" t="str">
        <f t="shared" si="7"/>
        <v/>
      </c>
      <c r="AT593" s="87" t="str">
        <f t="shared" si="8"/>
        <v/>
      </c>
      <c r="AU593" s="87" t="str">
        <f t="shared" si="9"/>
        <v/>
      </c>
      <c r="AV593" s="89" t="str">
        <f t="array" ref="AV593">IF(OR($A593="",$AB593="", $AC593=""),"",MAXA(IF($A593=$A$4:$A923,$AC$4:$AC923)))</f>
        <v/>
      </c>
    </row>
    <row r="594" ht="22.5" customHeight="1">
      <c r="A594" s="76"/>
      <c r="B594" s="68" t="str">
        <f t="shared" si="1"/>
        <v/>
      </c>
      <c r="C594" s="110"/>
      <c r="D594" s="70" t="str">
        <f t="shared" si="2"/>
        <v/>
      </c>
      <c r="E594" s="76"/>
      <c r="F594" s="68" t="str">
        <f t="array" ref="F594">IF($A594="","",IFERROR(INDEX(MA_INDIVIDUALES!C$2:C923, MATCH($A594,MA_INDIVIDUALES!$B$2:$B923,0),1),"CÓDIGO DE EXPEDIENTE INVÁLIDO"))</f>
        <v/>
      </c>
      <c r="G594" s="68" t="str">
        <f t="array" ref="G594">IF($A594="","",IFERROR(INDEX(MA_INDIVIDUALES!K$2:K923, MATCH($A594,MA_INDIVIDUALES!$B$2:$B923,0),1),"CÓDIGO DE EXPEDIENTE INVÁLIDO"))</f>
        <v/>
      </c>
      <c r="H594" s="68" t="str">
        <f t="array" ref="H594">IF($A594="","",IFERROR(INDEX(MA_INDIVIDUALES!L$2:L923, MATCH($A594,MA_INDIVIDUALES!$B$2:$B923,0),1),"CÓDIGO DE EXPEDIENTE INVÁLIDO"))</f>
        <v/>
      </c>
      <c r="I594" s="76"/>
      <c r="J594" s="76"/>
      <c r="K594" s="75"/>
      <c r="L594" s="74" t="str">
        <f>IF(A594="","",IF(K594="","",_xlfn.WORKDAY.INTL(K594,5,1,FERIADOS)))</f>
        <v/>
      </c>
      <c r="M594" s="76"/>
      <c r="N594" s="75"/>
      <c r="O594" s="76"/>
      <c r="P594" s="77" t="str">
        <f t="shared" si="3"/>
        <v/>
      </c>
      <c r="Q594" s="75"/>
      <c r="R594" s="76"/>
      <c r="S594" s="75"/>
      <c r="T594" s="75"/>
      <c r="U594" s="76"/>
      <c r="V594" s="76"/>
      <c r="W594" s="75"/>
      <c r="X594" s="76"/>
      <c r="Y594" s="29" t="str">
        <f t="shared" si="4"/>
        <v/>
      </c>
      <c r="Z594" s="29" t="str">
        <f t="shared" si="5"/>
        <v/>
      </c>
      <c r="AA594" s="76"/>
      <c r="AB594" s="76"/>
      <c r="AC594" s="75"/>
      <c r="AD594" s="75"/>
      <c r="AE594" s="78" t="str">
        <f>IF(U594="","",IF(AD594="","",_xlfn.WORKDAY.INTL(AD594,7,1,FERIADOS)))</f>
        <v/>
      </c>
      <c r="AF594" s="104"/>
      <c r="AG594" s="80" t="str">
        <f t="array" ref="AG594">IF(A594="","",IF(AF594="","",AF594*INDEX(PARAMETROS!F$2:F1657,MATCH(YEAR(AC594),PARAMETROS!E$2:E1657,0),1)))</f>
        <v/>
      </c>
      <c r="AH594" s="81"/>
      <c r="AI594" s="82"/>
      <c r="AJ594" s="81"/>
      <c r="AK594" s="81"/>
      <c r="AL594" s="76"/>
      <c r="AM594" s="75"/>
      <c r="AN594" s="76"/>
      <c r="AO594" s="95"/>
      <c r="AP594" s="96"/>
      <c r="AQ594" s="85" t="str">
        <f t="shared" si="6"/>
        <v/>
      </c>
      <c r="AR594" s="86" t="str">
        <f t="array" ref="AR594">IF(A594="","",IFERROR(INDEX('2) Etapas'!L$3:L923,MATCH(B594,'2) Etapas'!$A$4:$A923,0),1),-1))</f>
        <v/>
      </c>
      <c r="AS594" s="87" t="str">
        <f t="shared" si="7"/>
        <v/>
      </c>
      <c r="AT594" s="87" t="str">
        <f t="shared" si="8"/>
        <v/>
      </c>
      <c r="AU594" s="87" t="str">
        <f t="shared" si="9"/>
        <v/>
      </c>
      <c r="AV594" s="89" t="str">
        <f t="array" ref="AV594">IF(OR($A594="",$AB594="", $AC594=""),"",MAXA(IF($A594=$A$4:$A923,$AC$4:$AC923)))</f>
        <v/>
      </c>
    </row>
    <row r="595" ht="22.5" customHeight="1">
      <c r="A595" s="76"/>
      <c r="B595" s="68" t="str">
        <f t="shared" si="1"/>
        <v/>
      </c>
      <c r="C595" s="110"/>
      <c r="D595" s="70" t="str">
        <f t="shared" si="2"/>
        <v/>
      </c>
      <c r="E595" s="76"/>
      <c r="F595" s="68" t="str">
        <f t="array" ref="F595">IF($A595="","",IFERROR(INDEX(MA_INDIVIDUALES!C$2:C923, MATCH($A595,MA_INDIVIDUALES!$B$2:$B923,0),1),"CÓDIGO DE EXPEDIENTE INVÁLIDO"))</f>
        <v/>
      </c>
      <c r="G595" s="68" t="str">
        <f t="array" ref="G595">IF($A595="","",IFERROR(INDEX(MA_INDIVIDUALES!K$2:K923, MATCH($A595,MA_INDIVIDUALES!$B$2:$B923,0),1),"CÓDIGO DE EXPEDIENTE INVÁLIDO"))</f>
        <v/>
      </c>
      <c r="H595" s="68" t="str">
        <f t="array" ref="H595">IF($A595="","",IFERROR(INDEX(MA_INDIVIDUALES!L$2:L923, MATCH($A595,MA_INDIVIDUALES!$B$2:$B923,0),1),"CÓDIGO DE EXPEDIENTE INVÁLIDO"))</f>
        <v/>
      </c>
      <c r="I595" s="76"/>
      <c r="J595" s="76"/>
      <c r="K595" s="75"/>
      <c r="L595" s="74" t="str">
        <f>IF(A595="","",IF(K595="","",_xlfn.WORKDAY.INTL(K595,5,1,FERIADOS)))</f>
        <v/>
      </c>
      <c r="M595" s="76"/>
      <c r="N595" s="75"/>
      <c r="O595" s="76"/>
      <c r="P595" s="77" t="str">
        <f t="shared" si="3"/>
        <v/>
      </c>
      <c r="Q595" s="75"/>
      <c r="R595" s="76"/>
      <c r="S595" s="75"/>
      <c r="T595" s="75"/>
      <c r="U595" s="76"/>
      <c r="V595" s="76"/>
      <c r="W595" s="75"/>
      <c r="X595" s="76"/>
      <c r="Y595" s="29" t="str">
        <f t="shared" si="4"/>
        <v/>
      </c>
      <c r="Z595" s="29" t="str">
        <f t="shared" si="5"/>
        <v/>
      </c>
      <c r="AA595" s="76"/>
      <c r="AB595" s="76"/>
      <c r="AC595" s="75"/>
      <c r="AD595" s="75"/>
      <c r="AE595" s="78" t="str">
        <f>IF(U595="","",IF(AD595="","",_xlfn.WORKDAY.INTL(AD595,7,1,FERIADOS)))</f>
        <v/>
      </c>
      <c r="AF595" s="104"/>
      <c r="AG595" s="80" t="str">
        <f t="array" ref="AG595">IF(A595="","",IF(AF595="","",AF595*INDEX(PARAMETROS!F$2:F1658,MATCH(YEAR(AC595),PARAMETROS!E$2:E1658,0),1)))</f>
        <v/>
      </c>
      <c r="AH595" s="81"/>
      <c r="AI595" s="82"/>
      <c r="AJ595" s="81"/>
      <c r="AK595" s="81"/>
      <c r="AL595" s="76"/>
      <c r="AM595" s="75"/>
      <c r="AN595" s="76"/>
      <c r="AO595" s="95"/>
      <c r="AP595" s="96"/>
      <c r="AQ595" s="85" t="str">
        <f t="shared" si="6"/>
        <v/>
      </c>
      <c r="AR595" s="86" t="str">
        <f t="array" ref="AR595">IF(A595="","",IFERROR(INDEX('2) Etapas'!L$3:L923,MATCH(B595,'2) Etapas'!$A$4:$A923,0),1),-1))</f>
        <v/>
      </c>
      <c r="AS595" s="87" t="str">
        <f t="shared" si="7"/>
        <v/>
      </c>
      <c r="AT595" s="87" t="str">
        <f t="shared" si="8"/>
        <v/>
      </c>
      <c r="AU595" s="87" t="str">
        <f t="shared" si="9"/>
        <v/>
      </c>
      <c r="AV595" s="89" t="str">
        <f t="array" ref="AV595">IF(OR($A595="",$AB595="", $AC595=""),"",MAXA(IF($A595=$A$4:$A923,$AC$4:$AC923)))</f>
        <v/>
      </c>
    </row>
    <row r="596" ht="22.5" customHeight="1">
      <c r="A596" s="76"/>
      <c r="B596" s="68" t="str">
        <f t="shared" si="1"/>
        <v/>
      </c>
      <c r="C596" s="110"/>
      <c r="D596" s="70" t="str">
        <f t="shared" si="2"/>
        <v/>
      </c>
      <c r="E596" s="76"/>
      <c r="F596" s="68" t="str">
        <f t="array" ref="F596">IF($A596="","",IFERROR(INDEX(MA_INDIVIDUALES!C$2:C923, MATCH($A596,MA_INDIVIDUALES!$B$2:$B923,0),1),"CÓDIGO DE EXPEDIENTE INVÁLIDO"))</f>
        <v/>
      </c>
      <c r="G596" s="68" t="str">
        <f t="array" ref="G596">IF($A596="","",IFERROR(INDEX(MA_INDIVIDUALES!K$2:K923, MATCH($A596,MA_INDIVIDUALES!$B$2:$B923,0),1),"CÓDIGO DE EXPEDIENTE INVÁLIDO"))</f>
        <v/>
      </c>
      <c r="H596" s="68" t="str">
        <f t="array" ref="H596">IF($A596="","",IFERROR(INDEX(MA_INDIVIDUALES!L$2:L923, MATCH($A596,MA_INDIVIDUALES!$B$2:$B923,0),1),"CÓDIGO DE EXPEDIENTE INVÁLIDO"))</f>
        <v/>
      </c>
      <c r="I596" s="76"/>
      <c r="J596" s="76"/>
      <c r="K596" s="75"/>
      <c r="L596" s="74" t="str">
        <f>IF(A596="","",IF(K596="","",_xlfn.WORKDAY.INTL(K596,5,1,FERIADOS)))</f>
        <v/>
      </c>
      <c r="M596" s="76"/>
      <c r="N596" s="75"/>
      <c r="O596" s="76"/>
      <c r="P596" s="77" t="str">
        <f t="shared" si="3"/>
        <v/>
      </c>
      <c r="Q596" s="75"/>
      <c r="R596" s="76"/>
      <c r="S596" s="75"/>
      <c r="T596" s="75"/>
      <c r="U596" s="76"/>
      <c r="V596" s="76"/>
      <c r="W596" s="75"/>
      <c r="X596" s="76"/>
      <c r="Y596" s="29" t="str">
        <f t="shared" si="4"/>
        <v/>
      </c>
      <c r="Z596" s="29" t="str">
        <f t="shared" si="5"/>
        <v/>
      </c>
      <c r="AA596" s="76"/>
      <c r="AB596" s="76"/>
      <c r="AC596" s="75"/>
      <c r="AD596" s="75"/>
      <c r="AE596" s="78" t="str">
        <f>IF(U596="","",IF(AD596="","",_xlfn.WORKDAY.INTL(AD596,7,1,FERIADOS)))</f>
        <v/>
      </c>
      <c r="AF596" s="104"/>
      <c r="AG596" s="80" t="str">
        <f t="array" ref="AG596">IF(A596="","",IF(AF596="","",AF596*INDEX(PARAMETROS!F$2:F1659,MATCH(YEAR(AC596),PARAMETROS!E$2:E1659,0),1)))</f>
        <v/>
      </c>
      <c r="AH596" s="81"/>
      <c r="AI596" s="82"/>
      <c r="AJ596" s="81"/>
      <c r="AK596" s="81"/>
      <c r="AL596" s="76"/>
      <c r="AM596" s="75"/>
      <c r="AN596" s="76"/>
      <c r="AO596" s="95"/>
      <c r="AP596" s="96"/>
      <c r="AQ596" s="85" t="str">
        <f t="shared" si="6"/>
        <v/>
      </c>
      <c r="AR596" s="86" t="str">
        <f t="array" ref="AR596">IF(A596="","",IFERROR(INDEX('2) Etapas'!L$3:L923,MATCH(B596,'2) Etapas'!$A$4:$A923,0),1),-1))</f>
        <v/>
      </c>
      <c r="AS596" s="87" t="str">
        <f t="shared" si="7"/>
        <v/>
      </c>
      <c r="AT596" s="87" t="str">
        <f t="shared" si="8"/>
        <v/>
      </c>
      <c r="AU596" s="87" t="str">
        <f t="shared" si="9"/>
        <v/>
      </c>
      <c r="AV596" s="89" t="str">
        <f t="array" ref="AV596">IF(OR($A596="",$AB596="", $AC596=""),"",MAXA(IF($A596=$A$4:$A923,$AC$4:$AC923)))</f>
        <v/>
      </c>
    </row>
    <row r="597" ht="22.5" customHeight="1">
      <c r="A597" s="76"/>
      <c r="B597" s="68" t="str">
        <f t="shared" si="1"/>
        <v/>
      </c>
      <c r="C597" s="110"/>
      <c r="D597" s="70" t="str">
        <f t="shared" si="2"/>
        <v/>
      </c>
      <c r="E597" s="76"/>
      <c r="F597" s="68" t="str">
        <f t="array" ref="F597">IF($A597="","",IFERROR(INDEX(MA_INDIVIDUALES!C$2:C923, MATCH($A597,MA_INDIVIDUALES!$B$2:$B923,0),1),"CÓDIGO DE EXPEDIENTE INVÁLIDO"))</f>
        <v/>
      </c>
      <c r="G597" s="68" t="str">
        <f t="array" ref="G597">IF($A597="","",IFERROR(INDEX(MA_INDIVIDUALES!K$2:K923, MATCH($A597,MA_INDIVIDUALES!$B$2:$B923,0),1),"CÓDIGO DE EXPEDIENTE INVÁLIDO"))</f>
        <v/>
      </c>
      <c r="H597" s="68" t="str">
        <f t="array" ref="H597">IF($A597="","",IFERROR(INDEX(MA_INDIVIDUALES!L$2:L923, MATCH($A597,MA_INDIVIDUALES!$B$2:$B923,0),1),"CÓDIGO DE EXPEDIENTE INVÁLIDO"))</f>
        <v/>
      </c>
      <c r="I597" s="76"/>
      <c r="J597" s="76"/>
      <c r="K597" s="75"/>
      <c r="L597" s="74" t="str">
        <f>IF(A597="","",IF(K597="","",_xlfn.WORKDAY.INTL(K597,5,1,FERIADOS)))</f>
        <v/>
      </c>
      <c r="M597" s="76"/>
      <c r="N597" s="75"/>
      <c r="O597" s="76"/>
      <c r="P597" s="77" t="str">
        <f t="shared" si="3"/>
        <v/>
      </c>
      <c r="Q597" s="75"/>
      <c r="R597" s="76"/>
      <c r="S597" s="75"/>
      <c r="T597" s="75"/>
      <c r="U597" s="76"/>
      <c r="V597" s="76"/>
      <c r="W597" s="75"/>
      <c r="X597" s="76"/>
      <c r="Y597" s="29" t="str">
        <f t="shared" si="4"/>
        <v/>
      </c>
      <c r="Z597" s="29" t="str">
        <f t="shared" si="5"/>
        <v/>
      </c>
      <c r="AA597" s="76"/>
      <c r="AB597" s="76"/>
      <c r="AC597" s="75"/>
      <c r="AD597" s="75"/>
      <c r="AE597" s="78" t="str">
        <f>IF(U597="","",IF(AD597="","",_xlfn.WORKDAY.INTL(AD597,7,1,FERIADOS)))</f>
        <v/>
      </c>
      <c r="AF597" s="104"/>
      <c r="AG597" s="80" t="str">
        <f t="array" ref="AG597">IF(A597="","",IF(AF597="","",AF597*INDEX(PARAMETROS!F$2:F1660,MATCH(YEAR(AC597),PARAMETROS!E$2:E1660,0),1)))</f>
        <v/>
      </c>
      <c r="AH597" s="81"/>
      <c r="AI597" s="82"/>
      <c r="AJ597" s="81"/>
      <c r="AK597" s="81"/>
      <c r="AL597" s="76"/>
      <c r="AM597" s="75"/>
      <c r="AN597" s="76"/>
      <c r="AO597" s="95"/>
      <c r="AP597" s="96"/>
      <c r="AQ597" s="85" t="str">
        <f t="shared" si="6"/>
        <v/>
      </c>
      <c r="AR597" s="86" t="str">
        <f t="array" ref="AR597">IF(A597="","",IFERROR(INDEX('2) Etapas'!L$3:L923,MATCH(B597,'2) Etapas'!$A$4:$A923,0),1),-1))</f>
        <v/>
      </c>
      <c r="AS597" s="87" t="str">
        <f t="shared" si="7"/>
        <v/>
      </c>
      <c r="AT597" s="87" t="str">
        <f t="shared" si="8"/>
        <v/>
      </c>
      <c r="AU597" s="87" t="str">
        <f t="shared" si="9"/>
        <v/>
      </c>
      <c r="AV597" s="89" t="str">
        <f t="array" ref="AV597">IF(OR($A597="",$AB597="", $AC597=""),"",MAXA(IF($A597=$A$4:$A923,$AC$4:$AC923)))</f>
        <v/>
      </c>
    </row>
    <row r="598" ht="22.5" customHeight="1">
      <c r="A598" s="76"/>
      <c r="B598" s="68" t="str">
        <f t="shared" si="1"/>
        <v/>
      </c>
      <c r="C598" s="110"/>
      <c r="D598" s="70" t="str">
        <f t="shared" si="2"/>
        <v/>
      </c>
      <c r="E598" s="76"/>
      <c r="F598" s="68" t="str">
        <f t="array" ref="F598">IF($A598="","",IFERROR(INDEX(MA_INDIVIDUALES!C$2:C923, MATCH($A598,MA_INDIVIDUALES!$B$2:$B923,0),1),"CÓDIGO DE EXPEDIENTE INVÁLIDO"))</f>
        <v/>
      </c>
      <c r="G598" s="68" t="str">
        <f t="array" ref="G598">IF($A598="","",IFERROR(INDEX(MA_INDIVIDUALES!K$2:K923, MATCH($A598,MA_INDIVIDUALES!$B$2:$B923,0),1),"CÓDIGO DE EXPEDIENTE INVÁLIDO"))</f>
        <v/>
      </c>
      <c r="H598" s="68" t="str">
        <f t="array" ref="H598">IF($A598="","",IFERROR(INDEX(MA_INDIVIDUALES!L$2:L923, MATCH($A598,MA_INDIVIDUALES!$B$2:$B923,0),1),"CÓDIGO DE EXPEDIENTE INVÁLIDO"))</f>
        <v/>
      </c>
      <c r="I598" s="76"/>
      <c r="J598" s="76"/>
      <c r="K598" s="75"/>
      <c r="L598" s="74" t="str">
        <f>IF(A598="","",IF(K598="","",_xlfn.WORKDAY.INTL(K598,5,1,FERIADOS)))</f>
        <v/>
      </c>
      <c r="M598" s="76"/>
      <c r="N598" s="75"/>
      <c r="O598" s="76"/>
      <c r="P598" s="77" t="str">
        <f t="shared" si="3"/>
        <v/>
      </c>
      <c r="Q598" s="75"/>
      <c r="R598" s="76"/>
      <c r="S598" s="75"/>
      <c r="T598" s="75"/>
      <c r="U598" s="76"/>
      <c r="V598" s="76"/>
      <c r="W598" s="75"/>
      <c r="X598" s="76"/>
      <c r="Y598" s="29" t="str">
        <f t="shared" si="4"/>
        <v/>
      </c>
      <c r="Z598" s="29" t="str">
        <f t="shared" si="5"/>
        <v/>
      </c>
      <c r="AA598" s="76"/>
      <c r="AB598" s="76"/>
      <c r="AC598" s="75"/>
      <c r="AD598" s="75"/>
      <c r="AE598" s="78" t="str">
        <f>IF(U598="","",IF(AD598="","",_xlfn.WORKDAY.INTL(AD598,7,1,FERIADOS)))</f>
        <v/>
      </c>
      <c r="AF598" s="104"/>
      <c r="AG598" s="80" t="str">
        <f t="array" ref="AG598">IF(A598="","",IF(AF598="","",AF598*INDEX(PARAMETROS!F$2:F1661,MATCH(YEAR(AC598),PARAMETROS!E$2:E1661,0),1)))</f>
        <v/>
      </c>
      <c r="AH598" s="81"/>
      <c r="AI598" s="82"/>
      <c r="AJ598" s="81"/>
      <c r="AK598" s="81"/>
      <c r="AL598" s="76"/>
      <c r="AM598" s="75"/>
      <c r="AN598" s="76"/>
      <c r="AO598" s="95"/>
      <c r="AP598" s="96"/>
      <c r="AQ598" s="85" t="str">
        <f t="shared" si="6"/>
        <v/>
      </c>
      <c r="AR598" s="86" t="str">
        <f t="array" ref="AR598">IF(A598="","",IFERROR(INDEX('2) Etapas'!L$3:L923,MATCH(B598,'2) Etapas'!$A$4:$A923,0),1),-1))</f>
        <v/>
      </c>
      <c r="AS598" s="87" t="str">
        <f t="shared" si="7"/>
        <v/>
      </c>
      <c r="AT598" s="87" t="str">
        <f t="shared" si="8"/>
        <v/>
      </c>
      <c r="AU598" s="87" t="str">
        <f t="shared" si="9"/>
        <v/>
      </c>
      <c r="AV598" s="89" t="str">
        <f t="array" ref="AV598">IF(OR($A598="",$AB598="", $AC598=""),"",MAXA(IF($A598=$A$4:$A923,$AC$4:$AC923)))</f>
        <v/>
      </c>
    </row>
    <row r="599" ht="22.5" customHeight="1">
      <c r="A599" s="76"/>
      <c r="B599" s="68" t="str">
        <f t="shared" si="1"/>
        <v/>
      </c>
      <c r="C599" s="110"/>
      <c r="D599" s="70" t="str">
        <f t="shared" si="2"/>
        <v/>
      </c>
      <c r="E599" s="76"/>
      <c r="F599" s="68" t="str">
        <f t="array" ref="F599">IF($A599="","",IFERROR(INDEX(MA_INDIVIDUALES!C$2:C923, MATCH($A599,MA_INDIVIDUALES!$B$2:$B923,0),1),"CÓDIGO DE EXPEDIENTE INVÁLIDO"))</f>
        <v/>
      </c>
      <c r="G599" s="68" t="str">
        <f t="array" ref="G599">IF($A599="","",IFERROR(INDEX(MA_INDIVIDUALES!K$2:K923, MATCH($A599,MA_INDIVIDUALES!$B$2:$B923,0),1),"CÓDIGO DE EXPEDIENTE INVÁLIDO"))</f>
        <v/>
      </c>
      <c r="H599" s="68" t="str">
        <f t="array" ref="H599">IF($A599="","",IFERROR(INDEX(MA_INDIVIDUALES!L$2:L923, MATCH($A599,MA_INDIVIDUALES!$B$2:$B923,0),1),"CÓDIGO DE EXPEDIENTE INVÁLIDO"))</f>
        <v/>
      </c>
      <c r="I599" s="76"/>
      <c r="J599" s="76"/>
      <c r="K599" s="75"/>
      <c r="L599" s="74" t="str">
        <f>IF(A599="","",IF(K599="","",_xlfn.WORKDAY.INTL(K599,5,1,FERIADOS)))</f>
        <v/>
      </c>
      <c r="M599" s="76"/>
      <c r="N599" s="75"/>
      <c r="O599" s="76"/>
      <c r="P599" s="77" t="str">
        <f t="shared" si="3"/>
        <v/>
      </c>
      <c r="Q599" s="75"/>
      <c r="R599" s="76"/>
      <c r="S599" s="75"/>
      <c r="T599" s="75"/>
      <c r="U599" s="76"/>
      <c r="V599" s="76"/>
      <c r="W599" s="75"/>
      <c r="X599" s="76"/>
      <c r="Y599" s="29" t="str">
        <f t="shared" si="4"/>
        <v/>
      </c>
      <c r="Z599" s="29" t="str">
        <f t="shared" si="5"/>
        <v/>
      </c>
      <c r="AA599" s="76"/>
      <c r="AB599" s="76"/>
      <c r="AC599" s="75"/>
      <c r="AD599" s="75"/>
      <c r="AE599" s="78" t="str">
        <f>IF(U599="","",IF(AD599="","",_xlfn.WORKDAY.INTL(AD599,7,1,FERIADOS)))</f>
        <v/>
      </c>
      <c r="AF599" s="104"/>
      <c r="AG599" s="80" t="str">
        <f t="array" ref="AG599">IF(A599="","",IF(AF599="","",AF599*INDEX(PARAMETROS!F$2:F1662,MATCH(YEAR(AC599),PARAMETROS!E$2:E1662,0),1)))</f>
        <v/>
      </c>
      <c r="AH599" s="81"/>
      <c r="AI599" s="82"/>
      <c r="AJ599" s="81"/>
      <c r="AK599" s="81"/>
      <c r="AL599" s="76"/>
      <c r="AM599" s="75"/>
      <c r="AN599" s="76"/>
      <c r="AO599" s="95"/>
      <c r="AP599" s="96"/>
      <c r="AQ599" s="85" t="str">
        <f t="shared" si="6"/>
        <v/>
      </c>
      <c r="AR599" s="86" t="str">
        <f t="array" ref="AR599">IF(A599="","",IFERROR(INDEX('2) Etapas'!L$3:L923,MATCH(B599,'2) Etapas'!$A$4:$A923,0),1),-1))</f>
        <v/>
      </c>
      <c r="AS599" s="87" t="str">
        <f t="shared" si="7"/>
        <v/>
      </c>
      <c r="AT599" s="87" t="str">
        <f t="shared" si="8"/>
        <v/>
      </c>
      <c r="AU599" s="87" t="str">
        <f t="shared" si="9"/>
        <v/>
      </c>
      <c r="AV599" s="89" t="str">
        <f t="array" ref="AV599">IF(OR($A599="",$AB599="", $AC599=""),"",MAXA(IF($A599=$A$4:$A923,$AC$4:$AC923)))</f>
        <v/>
      </c>
    </row>
    <row r="600" ht="22.5" customHeight="1">
      <c r="A600" s="76"/>
      <c r="B600" s="68" t="str">
        <f t="shared" si="1"/>
        <v/>
      </c>
      <c r="C600" s="110"/>
      <c r="D600" s="70" t="str">
        <f t="shared" si="2"/>
        <v/>
      </c>
      <c r="E600" s="76"/>
      <c r="F600" s="68" t="str">
        <f t="array" ref="F600">IF($A600="","",IFERROR(INDEX(MA_INDIVIDUALES!C$2:C923, MATCH($A600,MA_INDIVIDUALES!$B$2:$B923,0),1),"CÓDIGO DE EXPEDIENTE INVÁLIDO"))</f>
        <v/>
      </c>
      <c r="G600" s="68" t="str">
        <f t="array" ref="G600">IF($A600="","",IFERROR(INDEX(MA_INDIVIDUALES!K$2:K923, MATCH($A600,MA_INDIVIDUALES!$B$2:$B923,0),1),"CÓDIGO DE EXPEDIENTE INVÁLIDO"))</f>
        <v/>
      </c>
      <c r="H600" s="68" t="str">
        <f t="array" ref="H600">IF($A600="","",IFERROR(INDEX(MA_INDIVIDUALES!L$2:L923, MATCH($A600,MA_INDIVIDUALES!$B$2:$B923,0),1),"CÓDIGO DE EXPEDIENTE INVÁLIDO"))</f>
        <v/>
      </c>
      <c r="I600" s="76"/>
      <c r="J600" s="76"/>
      <c r="K600" s="75"/>
      <c r="L600" s="74" t="str">
        <f>IF(A600="","",IF(K600="","",_xlfn.WORKDAY.INTL(K600,5,1,FERIADOS)))</f>
        <v/>
      </c>
      <c r="M600" s="76"/>
      <c r="N600" s="75"/>
      <c r="O600" s="76"/>
      <c r="P600" s="77" t="str">
        <f t="shared" si="3"/>
        <v/>
      </c>
      <c r="Q600" s="75"/>
      <c r="R600" s="76"/>
      <c r="S600" s="75"/>
      <c r="T600" s="75"/>
      <c r="U600" s="76"/>
      <c r="V600" s="76"/>
      <c r="W600" s="75"/>
      <c r="X600" s="76"/>
      <c r="Y600" s="29" t="str">
        <f t="shared" si="4"/>
        <v/>
      </c>
      <c r="Z600" s="29" t="str">
        <f t="shared" si="5"/>
        <v/>
      </c>
      <c r="AA600" s="76"/>
      <c r="AB600" s="76"/>
      <c r="AC600" s="75"/>
      <c r="AD600" s="75"/>
      <c r="AE600" s="78" t="str">
        <f>IF(U600="","",IF(AD600="","",_xlfn.WORKDAY.INTL(AD600,7,1,FERIADOS)))</f>
        <v/>
      </c>
      <c r="AF600" s="104"/>
      <c r="AG600" s="80" t="str">
        <f t="array" ref="AG600">IF(A600="","",IF(AF600="","",AF600*INDEX(PARAMETROS!F$2:F1663,MATCH(YEAR(AC600),PARAMETROS!E$2:E1663,0),1)))</f>
        <v/>
      </c>
      <c r="AH600" s="81"/>
      <c r="AI600" s="82"/>
      <c r="AJ600" s="81"/>
      <c r="AK600" s="81"/>
      <c r="AL600" s="76"/>
      <c r="AM600" s="75"/>
      <c r="AN600" s="76"/>
      <c r="AO600" s="95"/>
      <c r="AP600" s="96"/>
      <c r="AQ600" s="85" t="str">
        <f t="shared" si="6"/>
        <v/>
      </c>
      <c r="AR600" s="86" t="str">
        <f t="array" ref="AR600">IF(A600="","",IFERROR(INDEX('2) Etapas'!L$3:L923,MATCH(B600,'2) Etapas'!$A$4:$A923,0),1),-1))</f>
        <v/>
      </c>
      <c r="AS600" s="87" t="str">
        <f t="shared" si="7"/>
        <v/>
      </c>
      <c r="AT600" s="87" t="str">
        <f t="shared" si="8"/>
        <v/>
      </c>
      <c r="AU600" s="87" t="str">
        <f t="shared" si="9"/>
        <v/>
      </c>
      <c r="AV600" s="89" t="str">
        <f t="array" ref="AV600">IF(OR($A600="",$AB600="", $AC600=""),"",MAXA(IF($A600=$A$4:$A923,$AC$4:$AC923)))</f>
        <v/>
      </c>
    </row>
    <row r="601" ht="22.5" customHeight="1">
      <c r="A601" s="76"/>
      <c r="B601" s="68" t="str">
        <f t="shared" si="1"/>
        <v/>
      </c>
      <c r="C601" s="110"/>
      <c r="D601" s="70" t="str">
        <f t="shared" si="2"/>
        <v/>
      </c>
      <c r="E601" s="76"/>
      <c r="F601" s="68" t="str">
        <f t="array" ref="F601">IF($A601="","",IFERROR(INDEX(MA_INDIVIDUALES!C$2:C923, MATCH($A601,MA_INDIVIDUALES!$B$2:$B923,0),1),"CÓDIGO DE EXPEDIENTE INVÁLIDO"))</f>
        <v/>
      </c>
      <c r="G601" s="68" t="str">
        <f t="array" ref="G601">IF($A601="","",IFERROR(INDEX(MA_INDIVIDUALES!K$2:K923, MATCH($A601,MA_INDIVIDUALES!$B$2:$B923,0),1),"CÓDIGO DE EXPEDIENTE INVÁLIDO"))</f>
        <v/>
      </c>
      <c r="H601" s="68" t="str">
        <f t="array" ref="H601">IF($A601="","",IFERROR(INDEX(MA_INDIVIDUALES!L$2:L923, MATCH($A601,MA_INDIVIDUALES!$B$2:$B923,0),1),"CÓDIGO DE EXPEDIENTE INVÁLIDO"))</f>
        <v/>
      </c>
      <c r="I601" s="76"/>
      <c r="J601" s="76"/>
      <c r="K601" s="75"/>
      <c r="L601" s="74" t="str">
        <f>IF(A601="","",IF(K601="","",_xlfn.WORKDAY.INTL(K601,5,1,FERIADOS)))</f>
        <v/>
      </c>
      <c r="M601" s="76"/>
      <c r="N601" s="75"/>
      <c r="O601" s="76"/>
      <c r="P601" s="77" t="str">
        <f t="shared" si="3"/>
        <v/>
      </c>
      <c r="Q601" s="75"/>
      <c r="R601" s="76"/>
      <c r="S601" s="75"/>
      <c r="T601" s="75"/>
      <c r="U601" s="76"/>
      <c r="V601" s="76"/>
      <c r="W601" s="75"/>
      <c r="X601" s="76"/>
      <c r="Y601" s="29" t="str">
        <f t="shared" si="4"/>
        <v/>
      </c>
      <c r="Z601" s="29" t="str">
        <f t="shared" si="5"/>
        <v/>
      </c>
      <c r="AA601" s="76"/>
      <c r="AB601" s="76"/>
      <c r="AC601" s="75"/>
      <c r="AD601" s="75"/>
      <c r="AE601" s="78" t="str">
        <f>IF(U601="","",IF(AD601="","",_xlfn.WORKDAY.INTL(AD601,7,1,FERIADOS)))</f>
        <v/>
      </c>
      <c r="AF601" s="104"/>
      <c r="AG601" s="80" t="str">
        <f t="array" ref="AG601">IF(A601="","",IF(AF601="","",AF601*INDEX(PARAMETROS!F$2:F1664,MATCH(YEAR(AC601),PARAMETROS!E$2:E1664,0),1)))</f>
        <v/>
      </c>
      <c r="AH601" s="81"/>
      <c r="AI601" s="82"/>
      <c r="AJ601" s="81"/>
      <c r="AK601" s="81"/>
      <c r="AL601" s="76"/>
      <c r="AM601" s="75"/>
      <c r="AN601" s="76"/>
      <c r="AO601" s="95"/>
      <c r="AP601" s="96"/>
      <c r="AQ601" s="85" t="str">
        <f t="shared" si="6"/>
        <v/>
      </c>
      <c r="AR601" s="86" t="str">
        <f t="array" ref="AR601">IF(A601="","",IFERROR(INDEX('2) Etapas'!L$3:L923,MATCH(B601,'2) Etapas'!$A$4:$A923,0),1),-1))</f>
        <v/>
      </c>
      <c r="AS601" s="87" t="str">
        <f t="shared" si="7"/>
        <v/>
      </c>
      <c r="AT601" s="87" t="str">
        <f t="shared" si="8"/>
        <v/>
      </c>
      <c r="AU601" s="87" t="str">
        <f t="shared" si="9"/>
        <v/>
      </c>
      <c r="AV601" s="89" t="str">
        <f t="array" ref="AV601">IF(OR($A601="",$AB601="", $AC601=""),"",MAXA(IF($A601=$A$4:$A923,$AC$4:$AC923)))</f>
        <v/>
      </c>
    </row>
    <row r="602" ht="22.5" customHeight="1">
      <c r="A602" s="76"/>
      <c r="B602" s="68" t="str">
        <f t="shared" si="1"/>
        <v/>
      </c>
      <c r="C602" s="110"/>
      <c r="D602" s="70" t="str">
        <f t="shared" si="2"/>
        <v/>
      </c>
      <c r="E602" s="76"/>
      <c r="F602" s="68" t="str">
        <f t="array" ref="F602">IF($A602="","",IFERROR(INDEX(MA_INDIVIDUALES!C$2:C923, MATCH($A602,MA_INDIVIDUALES!$B$2:$B923,0),1),"CÓDIGO DE EXPEDIENTE INVÁLIDO"))</f>
        <v/>
      </c>
      <c r="G602" s="68" t="str">
        <f t="array" ref="G602">IF($A602="","",IFERROR(INDEX(MA_INDIVIDUALES!K$2:K923, MATCH($A602,MA_INDIVIDUALES!$B$2:$B923,0),1),"CÓDIGO DE EXPEDIENTE INVÁLIDO"))</f>
        <v/>
      </c>
      <c r="H602" s="68" t="str">
        <f t="array" ref="H602">IF($A602="","",IFERROR(INDEX(MA_INDIVIDUALES!L$2:L923, MATCH($A602,MA_INDIVIDUALES!$B$2:$B923,0),1),"CÓDIGO DE EXPEDIENTE INVÁLIDO"))</f>
        <v/>
      </c>
      <c r="I602" s="76"/>
      <c r="J602" s="76"/>
      <c r="K602" s="75"/>
      <c r="L602" s="74" t="str">
        <f>IF(A602="","",IF(K602="","",_xlfn.WORKDAY.INTL(K602,5,1,FERIADOS)))</f>
        <v/>
      </c>
      <c r="M602" s="76"/>
      <c r="N602" s="75"/>
      <c r="O602" s="76"/>
      <c r="P602" s="77" t="str">
        <f t="shared" si="3"/>
        <v/>
      </c>
      <c r="Q602" s="75"/>
      <c r="R602" s="76"/>
      <c r="S602" s="75"/>
      <c r="T602" s="75"/>
      <c r="U602" s="76"/>
      <c r="V602" s="76"/>
      <c r="W602" s="75"/>
      <c r="X602" s="76"/>
      <c r="Y602" s="29" t="str">
        <f t="shared" si="4"/>
        <v/>
      </c>
      <c r="Z602" s="29" t="str">
        <f t="shared" si="5"/>
        <v/>
      </c>
      <c r="AA602" s="76"/>
      <c r="AB602" s="76"/>
      <c r="AC602" s="75"/>
      <c r="AD602" s="75"/>
      <c r="AE602" s="78" t="str">
        <f>IF(U602="","",IF(AD602="","",_xlfn.WORKDAY.INTL(AD602,7,1,FERIADOS)))</f>
        <v/>
      </c>
      <c r="AF602" s="104"/>
      <c r="AG602" s="80" t="str">
        <f t="array" ref="AG602">IF(A602="","",IF(AF602="","",AF602*INDEX(PARAMETROS!F$2:F1665,MATCH(YEAR(AC602),PARAMETROS!E$2:E1665,0),1)))</f>
        <v/>
      </c>
      <c r="AH602" s="81"/>
      <c r="AI602" s="82"/>
      <c r="AJ602" s="81"/>
      <c r="AK602" s="81"/>
      <c r="AL602" s="76"/>
      <c r="AM602" s="75"/>
      <c r="AN602" s="76"/>
      <c r="AO602" s="95"/>
      <c r="AP602" s="96"/>
      <c r="AQ602" s="85" t="str">
        <f t="shared" si="6"/>
        <v/>
      </c>
      <c r="AR602" s="86" t="str">
        <f t="array" ref="AR602">IF(A602="","",IFERROR(INDEX('2) Etapas'!L$3:L923,MATCH(B602,'2) Etapas'!$A$4:$A923,0),1),-1))</f>
        <v/>
      </c>
      <c r="AS602" s="87" t="str">
        <f t="shared" si="7"/>
        <v/>
      </c>
      <c r="AT602" s="87" t="str">
        <f t="shared" si="8"/>
        <v/>
      </c>
      <c r="AU602" s="87" t="str">
        <f t="shared" si="9"/>
        <v/>
      </c>
      <c r="AV602" s="89" t="str">
        <f t="array" ref="AV602">IF(OR($A602="",$AB602="", $AC602=""),"",MAXA(IF($A602=$A$4:$A923,$AC$4:$AC923)))</f>
        <v/>
      </c>
    </row>
    <row r="603" ht="22.5" customHeight="1">
      <c r="A603" s="76"/>
      <c r="B603" s="68" t="str">
        <f t="shared" si="1"/>
        <v/>
      </c>
      <c r="C603" s="110"/>
      <c r="D603" s="70" t="str">
        <f t="shared" si="2"/>
        <v/>
      </c>
      <c r="E603" s="76"/>
      <c r="F603" s="68" t="str">
        <f t="array" ref="F603">IF($A603="","",IFERROR(INDEX(MA_INDIVIDUALES!C$2:C923, MATCH($A603,MA_INDIVIDUALES!$B$2:$B923,0),1),"CÓDIGO DE EXPEDIENTE INVÁLIDO"))</f>
        <v/>
      </c>
      <c r="G603" s="68" t="str">
        <f t="array" ref="G603">IF($A603="","",IFERROR(INDEX(MA_INDIVIDUALES!K$2:K923, MATCH($A603,MA_INDIVIDUALES!$B$2:$B923,0),1),"CÓDIGO DE EXPEDIENTE INVÁLIDO"))</f>
        <v/>
      </c>
      <c r="H603" s="68" t="str">
        <f t="array" ref="H603">IF($A603="","",IFERROR(INDEX(MA_INDIVIDUALES!L$2:L923, MATCH($A603,MA_INDIVIDUALES!$B$2:$B923,0),1),"CÓDIGO DE EXPEDIENTE INVÁLIDO"))</f>
        <v/>
      </c>
      <c r="I603" s="76"/>
      <c r="J603" s="76"/>
      <c r="K603" s="75"/>
      <c r="L603" s="74" t="str">
        <f>IF(A603="","",IF(K603="","",_xlfn.WORKDAY.INTL(K603,5,1,FERIADOS)))</f>
        <v/>
      </c>
      <c r="M603" s="76"/>
      <c r="N603" s="75"/>
      <c r="O603" s="76"/>
      <c r="P603" s="77" t="str">
        <f t="shared" si="3"/>
        <v/>
      </c>
      <c r="Q603" s="75"/>
      <c r="R603" s="76"/>
      <c r="S603" s="75"/>
      <c r="T603" s="75"/>
      <c r="U603" s="76"/>
      <c r="V603" s="76"/>
      <c r="W603" s="75"/>
      <c r="X603" s="76"/>
      <c r="Y603" s="29" t="str">
        <f t="shared" si="4"/>
        <v/>
      </c>
      <c r="Z603" s="29" t="str">
        <f t="shared" si="5"/>
        <v/>
      </c>
      <c r="AA603" s="76"/>
      <c r="AB603" s="76"/>
      <c r="AC603" s="75"/>
      <c r="AD603" s="75"/>
      <c r="AE603" s="78" t="str">
        <f>IF(U603="","",IF(AD603="","",_xlfn.WORKDAY.INTL(AD603,7,1,FERIADOS)))</f>
        <v/>
      </c>
      <c r="AF603" s="104"/>
      <c r="AG603" s="80" t="str">
        <f t="array" ref="AG603">IF(A603="","",IF(AF603="","",AF603*INDEX(PARAMETROS!F$2:F1666,MATCH(YEAR(AC603),PARAMETROS!E$2:E1666,0),1)))</f>
        <v/>
      </c>
      <c r="AH603" s="81"/>
      <c r="AI603" s="82"/>
      <c r="AJ603" s="81"/>
      <c r="AK603" s="81"/>
      <c r="AL603" s="76"/>
      <c r="AM603" s="75"/>
      <c r="AN603" s="76"/>
      <c r="AO603" s="95"/>
      <c r="AP603" s="96"/>
      <c r="AQ603" s="85" t="str">
        <f t="shared" si="6"/>
        <v/>
      </c>
      <c r="AR603" s="86" t="str">
        <f t="array" ref="AR603">IF(A603="","",IFERROR(INDEX('2) Etapas'!L$3:L923,MATCH(B603,'2) Etapas'!$A$4:$A923,0),1),-1))</f>
        <v/>
      </c>
      <c r="AS603" s="87" t="str">
        <f t="shared" si="7"/>
        <v/>
      </c>
      <c r="AT603" s="87" t="str">
        <f t="shared" si="8"/>
        <v/>
      </c>
      <c r="AU603" s="87" t="str">
        <f t="shared" si="9"/>
        <v/>
      </c>
      <c r="AV603" s="89" t="str">
        <f t="array" ref="AV603">IF(OR($A603="",$AB603="", $AC603=""),"",MAXA(IF($A603=$A$4:$A923,$AC$4:$AC923)))</f>
        <v/>
      </c>
    </row>
    <row r="604" ht="22.5" customHeight="1">
      <c r="A604" s="76"/>
      <c r="B604" s="68" t="str">
        <f t="shared" si="1"/>
        <v/>
      </c>
      <c r="C604" s="110"/>
      <c r="D604" s="70" t="str">
        <f t="shared" si="2"/>
        <v/>
      </c>
      <c r="E604" s="76"/>
      <c r="F604" s="68" t="str">
        <f t="array" ref="F604">IF($A604="","",IFERROR(INDEX(MA_INDIVIDUALES!C$2:C923, MATCH($A604,MA_INDIVIDUALES!$B$2:$B923,0),1),"CÓDIGO DE EXPEDIENTE INVÁLIDO"))</f>
        <v/>
      </c>
      <c r="G604" s="68" t="str">
        <f t="array" ref="G604">IF($A604="","",IFERROR(INDEX(MA_INDIVIDUALES!K$2:K923, MATCH($A604,MA_INDIVIDUALES!$B$2:$B923,0),1),"CÓDIGO DE EXPEDIENTE INVÁLIDO"))</f>
        <v/>
      </c>
      <c r="H604" s="68" t="str">
        <f t="array" ref="H604">IF($A604="","",IFERROR(INDEX(MA_INDIVIDUALES!L$2:L923, MATCH($A604,MA_INDIVIDUALES!$B$2:$B923,0),1),"CÓDIGO DE EXPEDIENTE INVÁLIDO"))</f>
        <v/>
      </c>
      <c r="I604" s="76"/>
      <c r="J604" s="76"/>
      <c r="K604" s="75"/>
      <c r="L604" s="74" t="str">
        <f>IF(A604="","",IF(K604="","",_xlfn.WORKDAY.INTL(K604,5,1,FERIADOS)))</f>
        <v/>
      </c>
      <c r="M604" s="76"/>
      <c r="N604" s="75"/>
      <c r="O604" s="76"/>
      <c r="P604" s="77" t="str">
        <f t="shared" si="3"/>
        <v/>
      </c>
      <c r="Q604" s="75"/>
      <c r="R604" s="76"/>
      <c r="S604" s="75"/>
      <c r="T604" s="75"/>
      <c r="U604" s="76"/>
      <c r="V604" s="76"/>
      <c r="W604" s="75"/>
      <c r="X604" s="76"/>
      <c r="Y604" s="29" t="str">
        <f t="shared" si="4"/>
        <v/>
      </c>
      <c r="Z604" s="29" t="str">
        <f t="shared" si="5"/>
        <v/>
      </c>
      <c r="AA604" s="76"/>
      <c r="AB604" s="76"/>
      <c r="AC604" s="75"/>
      <c r="AD604" s="75"/>
      <c r="AE604" s="78" t="str">
        <f>IF(U604="","",IF(AD604="","",_xlfn.WORKDAY.INTL(AD604,7,1,FERIADOS)))</f>
        <v/>
      </c>
      <c r="AF604" s="104"/>
      <c r="AG604" s="80" t="str">
        <f t="array" ref="AG604">IF(A604="","",IF(AF604="","",AF604*INDEX(PARAMETROS!F$2:F1667,MATCH(YEAR(AC604),PARAMETROS!E$2:E1667,0),1)))</f>
        <v/>
      </c>
      <c r="AH604" s="81"/>
      <c r="AI604" s="82"/>
      <c r="AJ604" s="81"/>
      <c r="AK604" s="81"/>
      <c r="AL604" s="76"/>
      <c r="AM604" s="75"/>
      <c r="AN604" s="76"/>
      <c r="AO604" s="95"/>
      <c r="AP604" s="96"/>
      <c r="AQ604" s="85" t="str">
        <f t="shared" si="6"/>
        <v/>
      </c>
      <c r="AR604" s="86" t="str">
        <f t="array" ref="AR604">IF(A604="","",IFERROR(INDEX('2) Etapas'!L$3:L923,MATCH(B604,'2) Etapas'!$A$4:$A923,0),1),-1))</f>
        <v/>
      </c>
      <c r="AS604" s="87" t="str">
        <f t="shared" si="7"/>
        <v/>
      </c>
      <c r="AT604" s="87" t="str">
        <f t="shared" si="8"/>
        <v/>
      </c>
      <c r="AU604" s="87" t="str">
        <f t="shared" si="9"/>
        <v/>
      </c>
      <c r="AV604" s="89" t="str">
        <f t="array" ref="AV604">IF(OR($A604="",$AB604="", $AC604=""),"",MAXA(IF($A604=$A$4:$A923,$AC$4:$AC923)))</f>
        <v/>
      </c>
    </row>
    <row r="605" ht="22.5" customHeight="1">
      <c r="A605" s="76"/>
      <c r="B605" s="68" t="str">
        <f t="shared" si="1"/>
        <v/>
      </c>
      <c r="C605" s="110"/>
      <c r="D605" s="70" t="str">
        <f t="shared" si="2"/>
        <v/>
      </c>
      <c r="E605" s="76"/>
      <c r="F605" s="68" t="str">
        <f t="array" ref="F605">IF($A605="","",IFERROR(INDEX(MA_INDIVIDUALES!C$2:C923, MATCH($A605,MA_INDIVIDUALES!$B$2:$B923,0),1),"CÓDIGO DE EXPEDIENTE INVÁLIDO"))</f>
        <v/>
      </c>
      <c r="G605" s="68" t="str">
        <f t="array" ref="G605">IF($A605="","",IFERROR(INDEX(MA_INDIVIDUALES!K$2:K923, MATCH($A605,MA_INDIVIDUALES!$B$2:$B923,0),1),"CÓDIGO DE EXPEDIENTE INVÁLIDO"))</f>
        <v/>
      </c>
      <c r="H605" s="68" t="str">
        <f t="array" ref="H605">IF($A605="","",IFERROR(INDEX(MA_INDIVIDUALES!L$2:L923, MATCH($A605,MA_INDIVIDUALES!$B$2:$B923,0),1),"CÓDIGO DE EXPEDIENTE INVÁLIDO"))</f>
        <v/>
      </c>
      <c r="I605" s="76"/>
      <c r="J605" s="76"/>
      <c r="K605" s="75"/>
      <c r="L605" s="74" t="str">
        <f>IF(A605="","",IF(K605="","",_xlfn.WORKDAY.INTL(K605,5,1,FERIADOS)))</f>
        <v/>
      </c>
      <c r="M605" s="76"/>
      <c r="N605" s="75"/>
      <c r="O605" s="76"/>
      <c r="P605" s="77" t="str">
        <f t="shared" si="3"/>
        <v/>
      </c>
      <c r="Q605" s="75"/>
      <c r="R605" s="76"/>
      <c r="S605" s="75"/>
      <c r="T605" s="75"/>
      <c r="U605" s="76"/>
      <c r="V605" s="76"/>
      <c r="W605" s="75"/>
      <c r="X605" s="76"/>
      <c r="Y605" s="29" t="str">
        <f t="shared" si="4"/>
        <v/>
      </c>
      <c r="Z605" s="29" t="str">
        <f t="shared" si="5"/>
        <v/>
      </c>
      <c r="AA605" s="76"/>
      <c r="AB605" s="76"/>
      <c r="AC605" s="75"/>
      <c r="AD605" s="75"/>
      <c r="AE605" s="78" t="str">
        <f>IF(U605="","",IF(AD605="","",_xlfn.WORKDAY.INTL(AD605,7,1,FERIADOS)))</f>
        <v/>
      </c>
      <c r="AF605" s="104"/>
      <c r="AG605" s="80" t="str">
        <f t="array" ref="AG605">IF(A605="","",IF(AF605="","",AF605*INDEX(PARAMETROS!F$2:F1668,MATCH(YEAR(AC605),PARAMETROS!E$2:E1668,0),1)))</f>
        <v/>
      </c>
      <c r="AH605" s="81"/>
      <c r="AI605" s="82"/>
      <c r="AJ605" s="81"/>
      <c r="AK605" s="81"/>
      <c r="AL605" s="76"/>
      <c r="AM605" s="75"/>
      <c r="AN605" s="76"/>
      <c r="AO605" s="95"/>
      <c r="AP605" s="96"/>
      <c r="AQ605" s="85" t="str">
        <f t="shared" si="6"/>
        <v/>
      </c>
      <c r="AR605" s="86" t="str">
        <f t="array" ref="AR605">IF(A605="","",IFERROR(INDEX('2) Etapas'!L$3:L923,MATCH(B605,'2) Etapas'!$A$4:$A923,0),1),-1))</f>
        <v/>
      </c>
      <c r="AS605" s="87" t="str">
        <f t="shared" si="7"/>
        <v/>
      </c>
      <c r="AT605" s="87" t="str">
        <f t="shared" si="8"/>
        <v/>
      </c>
      <c r="AU605" s="87" t="str">
        <f t="shared" si="9"/>
        <v/>
      </c>
      <c r="AV605" s="89" t="str">
        <f t="array" ref="AV605">IF(OR($A605="",$AB605="", $AC605=""),"",MAXA(IF($A605=$A$4:$A923,$AC$4:$AC923)))</f>
        <v/>
      </c>
    </row>
    <row r="606" ht="22.5" customHeight="1">
      <c r="A606" s="76"/>
      <c r="B606" s="68" t="str">
        <f t="shared" si="1"/>
        <v/>
      </c>
      <c r="C606" s="110"/>
      <c r="D606" s="70" t="str">
        <f t="shared" si="2"/>
        <v/>
      </c>
      <c r="E606" s="76"/>
      <c r="F606" s="68" t="str">
        <f t="array" ref="F606">IF($A606="","",IFERROR(INDEX(MA_INDIVIDUALES!C$2:C923, MATCH($A606,MA_INDIVIDUALES!$B$2:$B923,0),1),"CÓDIGO DE EXPEDIENTE INVÁLIDO"))</f>
        <v/>
      </c>
      <c r="G606" s="68" t="str">
        <f t="array" ref="G606">IF($A606="","",IFERROR(INDEX(MA_INDIVIDUALES!K$2:K923, MATCH($A606,MA_INDIVIDUALES!$B$2:$B923,0),1),"CÓDIGO DE EXPEDIENTE INVÁLIDO"))</f>
        <v/>
      </c>
      <c r="H606" s="68" t="str">
        <f t="array" ref="H606">IF($A606="","",IFERROR(INDEX(MA_INDIVIDUALES!L$2:L923, MATCH($A606,MA_INDIVIDUALES!$B$2:$B923,0),1),"CÓDIGO DE EXPEDIENTE INVÁLIDO"))</f>
        <v/>
      </c>
      <c r="I606" s="76"/>
      <c r="J606" s="76"/>
      <c r="K606" s="75"/>
      <c r="L606" s="74" t="str">
        <f>IF(A606="","",IF(K606="","",_xlfn.WORKDAY.INTL(K606,5,1,FERIADOS)))</f>
        <v/>
      </c>
      <c r="M606" s="76"/>
      <c r="N606" s="75"/>
      <c r="O606" s="76"/>
      <c r="P606" s="77" t="str">
        <f t="shared" si="3"/>
        <v/>
      </c>
      <c r="Q606" s="75"/>
      <c r="R606" s="76"/>
      <c r="S606" s="75"/>
      <c r="T606" s="75"/>
      <c r="U606" s="76"/>
      <c r="V606" s="76"/>
      <c r="W606" s="75"/>
      <c r="X606" s="76"/>
      <c r="Y606" s="29" t="str">
        <f t="shared" si="4"/>
        <v/>
      </c>
      <c r="Z606" s="29" t="str">
        <f t="shared" si="5"/>
        <v/>
      </c>
      <c r="AA606" s="76"/>
      <c r="AB606" s="76"/>
      <c r="AC606" s="75"/>
      <c r="AD606" s="75"/>
      <c r="AE606" s="78" t="str">
        <f>IF(U606="","",IF(AD606="","",_xlfn.WORKDAY.INTL(AD606,7,1,FERIADOS)))</f>
        <v/>
      </c>
      <c r="AF606" s="104"/>
      <c r="AG606" s="80" t="str">
        <f t="array" ref="AG606">IF(A606="","",IF(AF606="","",AF606*INDEX(PARAMETROS!F$2:F1669,MATCH(YEAR(AC606),PARAMETROS!E$2:E1669,0),1)))</f>
        <v/>
      </c>
      <c r="AH606" s="81"/>
      <c r="AI606" s="82"/>
      <c r="AJ606" s="81"/>
      <c r="AK606" s="81"/>
      <c r="AL606" s="76"/>
      <c r="AM606" s="75"/>
      <c r="AN606" s="76"/>
      <c r="AO606" s="95"/>
      <c r="AP606" s="96"/>
      <c r="AQ606" s="85" t="str">
        <f t="shared" si="6"/>
        <v/>
      </c>
      <c r="AR606" s="86" t="str">
        <f t="array" ref="AR606">IF(A606="","",IFERROR(INDEX('2) Etapas'!L$3:L923,MATCH(B606,'2) Etapas'!$A$4:$A923,0),1),-1))</f>
        <v/>
      </c>
      <c r="AS606" s="87" t="str">
        <f t="shared" si="7"/>
        <v/>
      </c>
      <c r="AT606" s="87" t="str">
        <f t="shared" si="8"/>
        <v/>
      </c>
      <c r="AU606" s="87" t="str">
        <f t="shared" si="9"/>
        <v/>
      </c>
      <c r="AV606" s="89" t="str">
        <f t="array" ref="AV606">IF(OR($A606="",$AB606="", $AC606=""),"",MAXA(IF($A606=$A$4:$A923,$AC$4:$AC923)))</f>
        <v/>
      </c>
    </row>
    <row r="607" ht="22.5" customHeight="1">
      <c r="A607" s="76"/>
      <c r="B607" s="68" t="str">
        <f t="shared" si="1"/>
        <v/>
      </c>
      <c r="C607" s="110"/>
      <c r="D607" s="70" t="str">
        <f t="shared" si="2"/>
        <v/>
      </c>
      <c r="E607" s="76"/>
      <c r="F607" s="68" t="str">
        <f t="array" ref="F607">IF($A607="","",IFERROR(INDEX(MA_INDIVIDUALES!C$2:C923, MATCH($A607,MA_INDIVIDUALES!$B$2:$B923,0),1),"CÓDIGO DE EXPEDIENTE INVÁLIDO"))</f>
        <v/>
      </c>
      <c r="G607" s="68" t="str">
        <f t="array" ref="G607">IF($A607="","",IFERROR(INDEX(MA_INDIVIDUALES!K$2:K923, MATCH($A607,MA_INDIVIDUALES!$B$2:$B923,0),1),"CÓDIGO DE EXPEDIENTE INVÁLIDO"))</f>
        <v/>
      </c>
      <c r="H607" s="68" t="str">
        <f t="array" ref="H607">IF($A607="","",IFERROR(INDEX(MA_INDIVIDUALES!L$2:L923, MATCH($A607,MA_INDIVIDUALES!$B$2:$B923,0),1),"CÓDIGO DE EXPEDIENTE INVÁLIDO"))</f>
        <v/>
      </c>
      <c r="I607" s="76"/>
      <c r="J607" s="76"/>
      <c r="K607" s="75"/>
      <c r="L607" s="74" t="str">
        <f>IF(A607="","",IF(K607="","",_xlfn.WORKDAY.INTL(K607,5,1,FERIADOS)))</f>
        <v/>
      </c>
      <c r="M607" s="76"/>
      <c r="N607" s="75"/>
      <c r="O607" s="76"/>
      <c r="P607" s="77" t="str">
        <f t="shared" si="3"/>
        <v/>
      </c>
      <c r="Q607" s="75"/>
      <c r="R607" s="76"/>
      <c r="S607" s="75"/>
      <c r="T607" s="75"/>
      <c r="U607" s="76"/>
      <c r="V607" s="76"/>
      <c r="W607" s="75"/>
      <c r="X607" s="76"/>
      <c r="Y607" s="29" t="str">
        <f t="shared" si="4"/>
        <v/>
      </c>
      <c r="Z607" s="29" t="str">
        <f t="shared" si="5"/>
        <v/>
      </c>
      <c r="AA607" s="76"/>
      <c r="AB607" s="76"/>
      <c r="AC607" s="75"/>
      <c r="AD607" s="75"/>
      <c r="AE607" s="78" t="str">
        <f>IF(U607="","",IF(AD607="","",_xlfn.WORKDAY.INTL(AD607,7,1,FERIADOS)))</f>
        <v/>
      </c>
      <c r="AF607" s="104"/>
      <c r="AG607" s="80" t="str">
        <f t="array" ref="AG607">IF(A607="","",IF(AF607="","",AF607*INDEX(PARAMETROS!F$2:F1670,MATCH(YEAR(AC607),PARAMETROS!E$2:E1670,0),1)))</f>
        <v/>
      </c>
      <c r="AH607" s="81"/>
      <c r="AI607" s="82"/>
      <c r="AJ607" s="81"/>
      <c r="AK607" s="81"/>
      <c r="AL607" s="76"/>
      <c r="AM607" s="75"/>
      <c r="AN607" s="76"/>
      <c r="AO607" s="95"/>
      <c r="AP607" s="96"/>
      <c r="AQ607" s="85" t="str">
        <f t="shared" si="6"/>
        <v/>
      </c>
      <c r="AR607" s="86" t="str">
        <f t="array" ref="AR607">IF(A607="","",IFERROR(INDEX('2) Etapas'!L$3:L923,MATCH(B607,'2) Etapas'!$A$4:$A923,0),1),-1))</f>
        <v/>
      </c>
      <c r="AS607" s="87" t="str">
        <f t="shared" si="7"/>
        <v/>
      </c>
      <c r="AT607" s="87" t="str">
        <f t="shared" si="8"/>
        <v/>
      </c>
      <c r="AU607" s="87" t="str">
        <f t="shared" si="9"/>
        <v/>
      </c>
      <c r="AV607" s="89" t="str">
        <f t="array" ref="AV607">IF(OR($A607="",$AB607="", $AC607=""),"",MAXA(IF($A607=$A$4:$A923,$AC$4:$AC923)))</f>
        <v/>
      </c>
    </row>
    <row r="608" ht="22.5" customHeight="1">
      <c r="A608" s="76"/>
      <c r="B608" s="68" t="str">
        <f t="shared" si="1"/>
        <v/>
      </c>
      <c r="C608" s="110"/>
      <c r="D608" s="70" t="str">
        <f t="shared" si="2"/>
        <v/>
      </c>
      <c r="E608" s="76"/>
      <c r="F608" s="68" t="str">
        <f t="array" ref="F608">IF($A608="","",IFERROR(INDEX(MA_INDIVIDUALES!C$2:C923, MATCH($A608,MA_INDIVIDUALES!$B$2:$B923,0),1),"CÓDIGO DE EXPEDIENTE INVÁLIDO"))</f>
        <v/>
      </c>
      <c r="G608" s="68" t="str">
        <f t="array" ref="G608">IF($A608="","",IFERROR(INDEX(MA_INDIVIDUALES!K$2:K923, MATCH($A608,MA_INDIVIDUALES!$B$2:$B923,0),1),"CÓDIGO DE EXPEDIENTE INVÁLIDO"))</f>
        <v/>
      </c>
      <c r="H608" s="68" t="str">
        <f t="array" ref="H608">IF($A608="","",IFERROR(INDEX(MA_INDIVIDUALES!L$2:L923, MATCH($A608,MA_INDIVIDUALES!$B$2:$B923,0),1),"CÓDIGO DE EXPEDIENTE INVÁLIDO"))</f>
        <v/>
      </c>
      <c r="I608" s="76"/>
      <c r="J608" s="76"/>
      <c r="K608" s="75"/>
      <c r="L608" s="74" t="str">
        <f>IF(A608="","",IF(K608="","",_xlfn.WORKDAY.INTL(K608,5,1,FERIADOS)))</f>
        <v/>
      </c>
      <c r="M608" s="76"/>
      <c r="N608" s="75"/>
      <c r="O608" s="76"/>
      <c r="P608" s="77" t="str">
        <f t="shared" si="3"/>
        <v/>
      </c>
      <c r="Q608" s="75"/>
      <c r="R608" s="76"/>
      <c r="S608" s="75"/>
      <c r="T608" s="75"/>
      <c r="U608" s="76"/>
      <c r="V608" s="76"/>
      <c r="W608" s="75"/>
      <c r="X608" s="76"/>
      <c r="Y608" s="29" t="str">
        <f t="shared" si="4"/>
        <v/>
      </c>
      <c r="Z608" s="29" t="str">
        <f t="shared" si="5"/>
        <v/>
      </c>
      <c r="AA608" s="76"/>
      <c r="AB608" s="76"/>
      <c r="AC608" s="75"/>
      <c r="AD608" s="75"/>
      <c r="AE608" s="78" t="str">
        <f>IF(U608="","",IF(AD608="","",_xlfn.WORKDAY.INTL(AD608,7,1,FERIADOS)))</f>
        <v/>
      </c>
      <c r="AF608" s="104"/>
      <c r="AG608" s="80" t="str">
        <f t="array" ref="AG608">IF(A608="","",IF(AF608="","",AF608*INDEX(PARAMETROS!F$2:F1671,MATCH(YEAR(AC608),PARAMETROS!E$2:E1671,0),1)))</f>
        <v/>
      </c>
      <c r="AH608" s="81"/>
      <c r="AI608" s="82"/>
      <c r="AJ608" s="81"/>
      <c r="AK608" s="81"/>
      <c r="AL608" s="76"/>
      <c r="AM608" s="75"/>
      <c r="AN608" s="76"/>
      <c r="AO608" s="95"/>
      <c r="AP608" s="96"/>
      <c r="AQ608" s="85" t="str">
        <f t="shared" si="6"/>
        <v/>
      </c>
      <c r="AR608" s="86" t="str">
        <f t="array" ref="AR608">IF(A608="","",IFERROR(INDEX('2) Etapas'!L$3:L923,MATCH(B608,'2) Etapas'!$A$4:$A923,0),1),-1))</f>
        <v/>
      </c>
      <c r="AS608" s="87" t="str">
        <f t="shared" si="7"/>
        <v/>
      </c>
      <c r="AT608" s="87" t="str">
        <f t="shared" si="8"/>
        <v/>
      </c>
      <c r="AU608" s="87" t="str">
        <f t="shared" si="9"/>
        <v/>
      </c>
      <c r="AV608" s="89" t="str">
        <f t="array" ref="AV608">IF(OR($A608="",$AB608="", $AC608=""),"",MAXA(IF($A608=$A$4:$A923,$AC$4:$AC923)))</f>
        <v/>
      </c>
    </row>
    <row r="609" ht="22.5" customHeight="1">
      <c r="A609" s="76"/>
      <c r="B609" s="68" t="str">
        <f t="shared" si="1"/>
        <v/>
      </c>
      <c r="C609" s="110"/>
      <c r="D609" s="70" t="str">
        <f t="shared" si="2"/>
        <v/>
      </c>
      <c r="E609" s="76"/>
      <c r="F609" s="68" t="str">
        <f t="array" ref="F609">IF($A609="","",IFERROR(INDEX(MA_INDIVIDUALES!C$2:C923, MATCH($A609,MA_INDIVIDUALES!$B$2:$B923,0),1),"CÓDIGO DE EXPEDIENTE INVÁLIDO"))</f>
        <v/>
      </c>
      <c r="G609" s="68" t="str">
        <f t="array" ref="G609">IF($A609="","",IFERROR(INDEX(MA_INDIVIDUALES!K$2:K923, MATCH($A609,MA_INDIVIDUALES!$B$2:$B923,0),1),"CÓDIGO DE EXPEDIENTE INVÁLIDO"))</f>
        <v/>
      </c>
      <c r="H609" s="68" t="str">
        <f t="array" ref="H609">IF($A609="","",IFERROR(INDEX(MA_INDIVIDUALES!L$2:L923, MATCH($A609,MA_INDIVIDUALES!$B$2:$B923,0),1),"CÓDIGO DE EXPEDIENTE INVÁLIDO"))</f>
        <v/>
      </c>
      <c r="I609" s="76"/>
      <c r="J609" s="76"/>
      <c r="K609" s="75"/>
      <c r="L609" s="74" t="str">
        <f>IF(A609="","",IF(K609="","",_xlfn.WORKDAY.INTL(K609,5,1,FERIADOS)))</f>
        <v/>
      </c>
      <c r="M609" s="76"/>
      <c r="N609" s="75"/>
      <c r="O609" s="76"/>
      <c r="P609" s="77" t="str">
        <f t="shared" si="3"/>
        <v/>
      </c>
      <c r="Q609" s="75"/>
      <c r="R609" s="76"/>
      <c r="S609" s="75"/>
      <c r="T609" s="75"/>
      <c r="U609" s="76"/>
      <c r="V609" s="76"/>
      <c r="W609" s="75"/>
      <c r="X609" s="76"/>
      <c r="Y609" s="29" t="str">
        <f t="shared" si="4"/>
        <v/>
      </c>
      <c r="Z609" s="29" t="str">
        <f t="shared" si="5"/>
        <v/>
      </c>
      <c r="AA609" s="76"/>
      <c r="AB609" s="76"/>
      <c r="AC609" s="75"/>
      <c r="AD609" s="75"/>
      <c r="AE609" s="78" t="str">
        <f>IF(U609="","",IF(AD609="","",_xlfn.WORKDAY.INTL(AD609,7,1,FERIADOS)))</f>
        <v/>
      </c>
      <c r="AF609" s="104"/>
      <c r="AG609" s="80" t="str">
        <f t="array" ref="AG609">IF(A609="","",IF(AF609="","",AF609*INDEX(PARAMETROS!F$2:F1672,MATCH(YEAR(AC609),PARAMETROS!E$2:E1672,0),1)))</f>
        <v/>
      </c>
      <c r="AH609" s="81"/>
      <c r="AI609" s="82"/>
      <c r="AJ609" s="81"/>
      <c r="AK609" s="81"/>
      <c r="AL609" s="76"/>
      <c r="AM609" s="75"/>
      <c r="AN609" s="76"/>
      <c r="AO609" s="95"/>
      <c r="AP609" s="96"/>
      <c r="AQ609" s="85" t="str">
        <f t="shared" si="6"/>
        <v/>
      </c>
      <c r="AR609" s="86" t="str">
        <f t="array" ref="AR609">IF(A609="","",IFERROR(INDEX('2) Etapas'!L$3:L923,MATCH(B609,'2) Etapas'!$A$4:$A923,0),1),-1))</f>
        <v/>
      </c>
      <c r="AS609" s="87" t="str">
        <f t="shared" si="7"/>
        <v/>
      </c>
      <c r="AT609" s="87" t="str">
        <f t="shared" si="8"/>
        <v/>
      </c>
      <c r="AU609" s="87" t="str">
        <f t="shared" si="9"/>
        <v/>
      </c>
      <c r="AV609" s="89" t="str">
        <f t="array" ref="AV609">IF(OR($A609="",$AB609="", $AC609=""),"",MAXA(IF($A609=$A$4:$A923,$AC$4:$AC923)))</f>
        <v/>
      </c>
    </row>
    <row r="610" ht="22.5" customHeight="1">
      <c r="A610" s="76"/>
      <c r="B610" s="68" t="str">
        <f t="shared" si="1"/>
        <v/>
      </c>
      <c r="C610" s="110"/>
      <c r="D610" s="70" t="str">
        <f t="shared" si="2"/>
        <v/>
      </c>
      <c r="E610" s="76"/>
      <c r="F610" s="68" t="str">
        <f t="array" ref="F610">IF($A610="","",IFERROR(INDEX(MA_INDIVIDUALES!C$2:C923, MATCH($A610,MA_INDIVIDUALES!$B$2:$B923,0),1),"CÓDIGO DE EXPEDIENTE INVÁLIDO"))</f>
        <v/>
      </c>
      <c r="G610" s="68" t="str">
        <f t="array" ref="G610">IF($A610="","",IFERROR(INDEX(MA_INDIVIDUALES!K$2:K923, MATCH($A610,MA_INDIVIDUALES!$B$2:$B923,0),1),"CÓDIGO DE EXPEDIENTE INVÁLIDO"))</f>
        <v/>
      </c>
      <c r="H610" s="68" t="str">
        <f t="array" ref="H610">IF($A610="","",IFERROR(INDEX(MA_INDIVIDUALES!L$2:L923, MATCH($A610,MA_INDIVIDUALES!$B$2:$B923,0),1),"CÓDIGO DE EXPEDIENTE INVÁLIDO"))</f>
        <v/>
      </c>
      <c r="I610" s="76"/>
      <c r="J610" s="76"/>
      <c r="K610" s="75"/>
      <c r="L610" s="74" t="str">
        <f>IF(A610="","",IF(K610="","",_xlfn.WORKDAY.INTL(K610,5,1,FERIADOS)))</f>
        <v/>
      </c>
      <c r="M610" s="76"/>
      <c r="N610" s="75"/>
      <c r="O610" s="76"/>
      <c r="P610" s="77" t="str">
        <f t="shared" si="3"/>
        <v/>
      </c>
      <c r="Q610" s="75"/>
      <c r="R610" s="76"/>
      <c r="S610" s="75"/>
      <c r="T610" s="75"/>
      <c r="U610" s="76"/>
      <c r="V610" s="76"/>
      <c r="W610" s="75"/>
      <c r="X610" s="76"/>
      <c r="Y610" s="29" t="str">
        <f t="shared" si="4"/>
        <v/>
      </c>
      <c r="Z610" s="29" t="str">
        <f t="shared" si="5"/>
        <v/>
      </c>
      <c r="AA610" s="76"/>
      <c r="AB610" s="76"/>
      <c r="AC610" s="75"/>
      <c r="AD610" s="75"/>
      <c r="AE610" s="78" t="str">
        <f>IF(U610="","",IF(AD610="","",_xlfn.WORKDAY.INTL(AD610,7,1,FERIADOS)))</f>
        <v/>
      </c>
      <c r="AF610" s="104"/>
      <c r="AG610" s="80" t="str">
        <f t="array" ref="AG610">IF(A610="","",IF(AF610="","",AF610*INDEX(PARAMETROS!F$2:F1673,MATCH(YEAR(AC610),PARAMETROS!E$2:E1673,0),1)))</f>
        <v/>
      </c>
      <c r="AH610" s="81"/>
      <c r="AI610" s="82"/>
      <c r="AJ610" s="81"/>
      <c r="AK610" s="81"/>
      <c r="AL610" s="76"/>
      <c r="AM610" s="75"/>
      <c r="AN610" s="76"/>
      <c r="AO610" s="95"/>
      <c r="AP610" s="96"/>
      <c r="AQ610" s="85" t="str">
        <f t="shared" si="6"/>
        <v/>
      </c>
      <c r="AR610" s="86" t="str">
        <f t="array" ref="AR610">IF(A610="","",IFERROR(INDEX('2) Etapas'!L$3:L923,MATCH(B610,'2) Etapas'!$A$4:$A923,0),1),-1))</f>
        <v/>
      </c>
      <c r="AS610" s="87" t="str">
        <f t="shared" si="7"/>
        <v/>
      </c>
      <c r="AT610" s="87" t="str">
        <f t="shared" si="8"/>
        <v/>
      </c>
      <c r="AU610" s="87" t="str">
        <f t="shared" si="9"/>
        <v/>
      </c>
      <c r="AV610" s="89" t="str">
        <f t="array" ref="AV610">IF(OR($A610="",$AB610="", $AC610=""),"",MAXA(IF($A610=$A$4:$A923,$AC$4:$AC923)))</f>
        <v/>
      </c>
    </row>
    <row r="611" ht="22.5" customHeight="1">
      <c r="A611" s="76"/>
      <c r="B611" s="68" t="str">
        <f t="shared" si="1"/>
        <v/>
      </c>
      <c r="C611" s="110"/>
      <c r="D611" s="70" t="str">
        <f t="shared" si="2"/>
        <v/>
      </c>
      <c r="E611" s="76"/>
      <c r="F611" s="68" t="str">
        <f t="array" ref="F611">IF($A611="","",IFERROR(INDEX(MA_INDIVIDUALES!C$2:C923, MATCH($A611,MA_INDIVIDUALES!$B$2:$B923,0),1),"CÓDIGO DE EXPEDIENTE INVÁLIDO"))</f>
        <v/>
      </c>
      <c r="G611" s="68" t="str">
        <f t="array" ref="G611">IF($A611="","",IFERROR(INDEX(MA_INDIVIDUALES!K$2:K923, MATCH($A611,MA_INDIVIDUALES!$B$2:$B923,0),1),"CÓDIGO DE EXPEDIENTE INVÁLIDO"))</f>
        <v/>
      </c>
      <c r="H611" s="68" t="str">
        <f t="array" ref="H611">IF($A611="","",IFERROR(INDEX(MA_INDIVIDUALES!L$2:L923, MATCH($A611,MA_INDIVIDUALES!$B$2:$B923,0),1),"CÓDIGO DE EXPEDIENTE INVÁLIDO"))</f>
        <v/>
      </c>
      <c r="I611" s="76"/>
      <c r="J611" s="76"/>
      <c r="K611" s="75"/>
      <c r="L611" s="74" t="str">
        <f>IF(A611="","",IF(K611="","",_xlfn.WORKDAY.INTL(K611,5,1,FERIADOS)))</f>
        <v/>
      </c>
      <c r="M611" s="76"/>
      <c r="N611" s="75"/>
      <c r="O611" s="76"/>
      <c r="P611" s="77" t="str">
        <f t="shared" si="3"/>
        <v/>
      </c>
      <c r="Q611" s="75"/>
      <c r="R611" s="76"/>
      <c r="S611" s="75"/>
      <c r="T611" s="75"/>
      <c r="U611" s="76"/>
      <c r="V611" s="76"/>
      <c r="W611" s="75"/>
      <c r="X611" s="76"/>
      <c r="Y611" s="29" t="str">
        <f t="shared" si="4"/>
        <v/>
      </c>
      <c r="Z611" s="29" t="str">
        <f t="shared" si="5"/>
        <v/>
      </c>
      <c r="AA611" s="76"/>
      <c r="AB611" s="76"/>
      <c r="AC611" s="75"/>
      <c r="AD611" s="75"/>
      <c r="AE611" s="78" t="str">
        <f>IF(U611="","",IF(AD611="","",_xlfn.WORKDAY.INTL(AD611,7,1,FERIADOS)))</f>
        <v/>
      </c>
      <c r="AF611" s="104"/>
      <c r="AG611" s="80" t="str">
        <f t="array" ref="AG611">IF(A611="","",IF(AF611="","",AF611*INDEX(PARAMETROS!F$2:F1674,MATCH(YEAR(AC611),PARAMETROS!E$2:E1674,0),1)))</f>
        <v/>
      </c>
      <c r="AH611" s="81"/>
      <c r="AI611" s="82"/>
      <c r="AJ611" s="81"/>
      <c r="AK611" s="81"/>
      <c r="AL611" s="76"/>
      <c r="AM611" s="75"/>
      <c r="AN611" s="76"/>
      <c r="AO611" s="95"/>
      <c r="AP611" s="96"/>
      <c r="AQ611" s="85" t="str">
        <f t="shared" si="6"/>
        <v/>
      </c>
      <c r="AR611" s="86" t="str">
        <f t="array" ref="AR611">IF(A611="","",IFERROR(INDEX('2) Etapas'!L$3:L923,MATCH(B611,'2) Etapas'!$A$4:$A923,0),1),-1))</f>
        <v/>
      </c>
      <c r="AS611" s="87" t="str">
        <f t="shared" si="7"/>
        <v/>
      </c>
      <c r="AT611" s="87" t="str">
        <f t="shared" si="8"/>
        <v/>
      </c>
      <c r="AU611" s="87" t="str">
        <f t="shared" si="9"/>
        <v/>
      </c>
      <c r="AV611" s="89" t="str">
        <f t="array" ref="AV611">IF(OR($A611="",$AB611="", $AC611=""),"",MAXA(IF($A611=$A$4:$A923,$AC$4:$AC923)))</f>
        <v/>
      </c>
    </row>
    <row r="612" ht="22.5" customHeight="1">
      <c r="A612" s="76"/>
      <c r="B612" s="68" t="str">
        <f t="shared" si="1"/>
        <v/>
      </c>
      <c r="C612" s="110"/>
      <c r="D612" s="70" t="str">
        <f t="shared" si="2"/>
        <v/>
      </c>
      <c r="E612" s="76"/>
      <c r="F612" s="68" t="str">
        <f t="array" ref="F612">IF($A612="","",IFERROR(INDEX(MA_INDIVIDUALES!C$2:C923, MATCH($A612,MA_INDIVIDUALES!$B$2:$B923,0),1),"CÓDIGO DE EXPEDIENTE INVÁLIDO"))</f>
        <v/>
      </c>
      <c r="G612" s="68" t="str">
        <f t="array" ref="G612">IF($A612="","",IFERROR(INDEX(MA_INDIVIDUALES!K$2:K923, MATCH($A612,MA_INDIVIDUALES!$B$2:$B923,0),1),"CÓDIGO DE EXPEDIENTE INVÁLIDO"))</f>
        <v/>
      </c>
      <c r="H612" s="68" t="str">
        <f t="array" ref="H612">IF($A612="","",IFERROR(INDEX(MA_INDIVIDUALES!L$2:L923, MATCH($A612,MA_INDIVIDUALES!$B$2:$B923,0),1),"CÓDIGO DE EXPEDIENTE INVÁLIDO"))</f>
        <v/>
      </c>
      <c r="I612" s="76"/>
      <c r="J612" s="76"/>
      <c r="K612" s="75"/>
      <c r="L612" s="74" t="str">
        <f>IF(A612="","",IF(K612="","",_xlfn.WORKDAY.INTL(K612,5,1,FERIADOS)))</f>
        <v/>
      </c>
      <c r="M612" s="76"/>
      <c r="N612" s="75"/>
      <c r="O612" s="76"/>
      <c r="P612" s="77" t="str">
        <f t="shared" si="3"/>
        <v/>
      </c>
      <c r="Q612" s="75"/>
      <c r="R612" s="76"/>
      <c r="S612" s="75"/>
      <c r="T612" s="75"/>
      <c r="U612" s="76"/>
      <c r="V612" s="76"/>
      <c r="W612" s="75"/>
      <c r="X612" s="76"/>
      <c r="Y612" s="29" t="str">
        <f t="shared" si="4"/>
        <v/>
      </c>
      <c r="Z612" s="29" t="str">
        <f t="shared" si="5"/>
        <v/>
      </c>
      <c r="AA612" s="76"/>
      <c r="AB612" s="76"/>
      <c r="AC612" s="75"/>
      <c r="AD612" s="75"/>
      <c r="AE612" s="78" t="str">
        <f>IF(U612="","",IF(AD612="","",_xlfn.WORKDAY.INTL(AD612,7,1,FERIADOS)))</f>
        <v/>
      </c>
      <c r="AF612" s="104"/>
      <c r="AG612" s="80" t="str">
        <f t="array" ref="AG612">IF(A612="","",IF(AF612="","",AF612*INDEX(PARAMETROS!F$2:F1675,MATCH(YEAR(AC612),PARAMETROS!E$2:E1675,0),1)))</f>
        <v/>
      </c>
      <c r="AH612" s="81"/>
      <c r="AI612" s="82"/>
      <c r="AJ612" s="81"/>
      <c r="AK612" s="81"/>
      <c r="AL612" s="76"/>
      <c r="AM612" s="75"/>
      <c r="AN612" s="76"/>
      <c r="AO612" s="95"/>
      <c r="AP612" s="96"/>
      <c r="AQ612" s="85" t="str">
        <f t="shared" si="6"/>
        <v/>
      </c>
      <c r="AR612" s="86" t="str">
        <f t="array" ref="AR612">IF(A612="","",IFERROR(INDEX('2) Etapas'!L$3:L923,MATCH(B612,'2) Etapas'!$A$4:$A923,0),1),-1))</f>
        <v/>
      </c>
      <c r="AS612" s="87" t="str">
        <f t="shared" si="7"/>
        <v/>
      </c>
      <c r="AT612" s="87" t="str">
        <f t="shared" si="8"/>
        <v/>
      </c>
      <c r="AU612" s="87" t="str">
        <f t="shared" si="9"/>
        <v/>
      </c>
      <c r="AV612" s="89" t="str">
        <f t="array" ref="AV612">IF(OR($A612="",$AB612="", $AC612=""),"",MAXA(IF($A612=$A$4:$A923,$AC$4:$AC923)))</f>
        <v/>
      </c>
    </row>
    <row r="613" ht="22.5" customHeight="1">
      <c r="A613" s="76"/>
      <c r="B613" s="68" t="str">
        <f t="shared" si="1"/>
        <v/>
      </c>
      <c r="C613" s="110"/>
      <c r="D613" s="70" t="str">
        <f t="shared" si="2"/>
        <v/>
      </c>
      <c r="E613" s="76"/>
      <c r="F613" s="68" t="str">
        <f t="array" ref="F613">IF($A613="","",IFERROR(INDEX(MA_INDIVIDUALES!C$2:C923, MATCH($A613,MA_INDIVIDUALES!$B$2:$B923,0),1),"CÓDIGO DE EXPEDIENTE INVÁLIDO"))</f>
        <v/>
      </c>
      <c r="G613" s="68" t="str">
        <f t="array" ref="G613">IF($A613="","",IFERROR(INDEX(MA_INDIVIDUALES!K$2:K923, MATCH($A613,MA_INDIVIDUALES!$B$2:$B923,0),1),"CÓDIGO DE EXPEDIENTE INVÁLIDO"))</f>
        <v/>
      </c>
      <c r="H613" s="68" t="str">
        <f t="array" ref="H613">IF($A613="","",IFERROR(INDEX(MA_INDIVIDUALES!L$2:L923, MATCH($A613,MA_INDIVIDUALES!$B$2:$B923,0),1),"CÓDIGO DE EXPEDIENTE INVÁLIDO"))</f>
        <v/>
      </c>
      <c r="I613" s="76"/>
      <c r="J613" s="76"/>
      <c r="K613" s="75"/>
      <c r="L613" s="74" t="str">
        <f>IF(A613="","",IF(K613="","",_xlfn.WORKDAY.INTL(K613,5,1,FERIADOS)))</f>
        <v/>
      </c>
      <c r="M613" s="76"/>
      <c r="N613" s="75"/>
      <c r="O613" s="76"/>
      <c r="P613" s="77" t="str">
        <f t="shared" si="3"/>
        <v/>
      </c>
      <c r="Q613" s="75"/>
      <c r="R613" s="76"/>
      <c r="S613" s="75"/>
      <c r="T613" s="75"/>
      <c r="U613" s="76"/>
      <c r="V613" s="76"/>
      <c r="W613" s="75"/>
      <c r="X613" s="76"/>
      <c r="Y613" s="29" t="str">
        <f t="shared" si="4"/>
        <v/>
      </c>
      <c r="Z613" s="29" t="str">
        <f t="shared" si="5"/>
        <v/>
      </c>
      <c r="AA613" s="76"/>
      <c r="AB613" s="76"/>
      <c r="AC613" s="75"/>
      <c r="AD613" s="75"/>
      <c r="AE613" s="78" t="str">
        <f>IF(U613="","",IF(AD613="","",_xlfn.WORKDAY.INTL(AD613,7,1,FERIADOS)))</f>
        <v/>
      </c>
      <c r="AF613" s="104"/>
      <c r="AG613" s="80" t="str">
        <f t="array" ref="AG613">IF(A613="","",IF(AF613="","",AF613*INDEX(PARAMETROS!F$2:F1676,MATCH(YEAR(AC613),PARAMETROS!E$2:E1676,0),1)))</f>
        <v/>
      </c>
      <c r="AH613" s="81"/>
      <c r="AI613" s="82"/>
      <c r="AJ613" s="81"/>
      <c r="AK613" s="81"/>
      <c r="AL613" s="76"/>
      <c r="AM613" s="75"/>
      <c r="AN613" s="76"/>
      <c r="AO613" s="95"/>
      <c r="AP613" s="96"/>
      <c r="AQ613" s="85" t="str">
        <f t="shared" si="6"/>
        <v/>
      </c>
      <c r="AR613" s="86" t="str">
        <f t="array" ref="AR613">IF(A613="","",IFERROR(INDEX('2) Etapas'!L$3:L923,MATCH(B613,'2) Etapas'!$A$4:$A923,0),1),-1))</f>
        <v/>
      </c>
      <c r="AS613" s="87" t="str">
        <f t="shared" si="7"/>
        <v/>
      </c>
      <c r="AT613" s="87" t="str">
        <f t="shared" si="8"/>
        <v/>
      </c>
      <c r="AU613" s="87" t="str">
        <f t="shared" si="9"/>
        <v/>
      </c>
      <c r="AV613" s="89" t="str">
        <f t="array" ref="AV613">IF(OR($A613="",$AB613="", $AC613=""),"",MAXA(IF($A613=$A$4:$A923,$AC$4:$AC923)))</f>
        <v/>
      </c>
    </row>
    <row r="614" ht="22.5" customHeight="1">
      <c r="A614" s="76"/>
      <c r="B614" s="68" t="str">
        <f t="shared" si="1"/>
        <v/>
      </c>
      <c r="C614" s="110"/>
      <c r="D614" s="70" t="str">
        <f t="shared" si="2"/>
        <v/>
      </c>
      <c r="E614" s="76"/>
      <c r="F614" s="68" t="str">
        <f t="array" ref="F614">IF($A614="","",IFERROR(INDEX(MA_INDIVIDUALES!C$2:C923, MATCH($A614,MA_INDIVIDUALES!$B$2:$B923,0),1),"CÓDIGO DE EXPEDIENTE INVÁLIDO"))</f>
        <v/>
      </c>
      <c r="G614" s="68" t="str">
        <f t="array" ref="G614">IF($A614="","",IFERROR(INDEX(MA_INDIVIDUALES!K$2:K923, MATCH($A614,MA_INDIVIDUALES!$B$2:$B923,0),1),"CÓDIGO DE EXPEDIENTE INVÁLIDO"))</f>
        <v/>
      </c>
      <c r="H614" s="68" t="str">
        <f t="array" ref="H614">IF($A614="","",IFERROR(INDEX(MA_INDIVIDUALES!L$2:L923, MATCH($A614,MA_INDIVIDUALES!$B$2:$B923,0),1),"CÓDIGO DE EXPEDIENTE INVÁLIDO"))</f>
        <v/>
      </c>
      <c r="I614" s="76"/>
      <c r="J614" s="76"/>
      <c r="K614" s="75"/>
      <c r="L614" s="74" t="str">
        <f>IF(A614="","",IF(K614="","",_xlfn.WORKDAY.INTL(K614,5,1,FERIADOS)))</f>
        <v/>
      </c>
      <c r="M614" s="76"/>
      <c r="N614" s="75"/>
      <c r="O614" s="76"/>
      <c r="P614" s="77" t="str">
        <f t="shared" si="3"/>
        <v/>
      </c>
      <c r="Q614" s="75"/>
      <c r="R614" s="76"/>
      <c r="S614" s="75"/>
      <c r="T614" s="75"/>
      <c r="U614" s="76"/>
      <c r="V614" s="76"/>
      <c r="W614" s="75"/>
      <c r="X614" s="76"/>
      <c r="Y614" s="29" t="str">
        <f t="shared" si="4"/>
        <v/>
      </c>
      <c r="Z614" s="29" t="str">
        <f t="shared" si="5"/>
        <v/>
      </c>
      <c r="AA614" s="76"/>
      <c r="AB614" s="76"/>
      <c r="AC614" s="75"/>
      <c r="AD614" s="75"/>
      <c r="AE614" s="78" t="str">
        <f>IF(U614="","",IF(AD614="","",_xlfn.WORKDAY.INTL(AD614,7,1,FERIADOS)))</f>
        <v/>
      </c>
      <c r="AF614" s="104"/>
      <c r="AG614" s="80" t="str">
        <f t="array" ref="AG614">IF(A614="","",IF(AF614="","",AF614*INDEX(PARAMETROS!F$2:F1677,MATCH(YEAR(AC614),PARAMETROS!E$2:E1677,0),1)))</f>
        <v/>
      </c>
      <c r="AH614" s="81"/>
      <c r="AI614" s="82"/>
      <c r="AJ614" s="81"/>
      <c r="AK614" s="81"/>
      <c r="AL614" s="76"/>
      <c r="AM614" s="75"/>
      <c r="AN614" s="76"/>
      <c r="AO614" s="95"/>
      <c r="AP614" s="96"/>
      <c r="AQ614" s="85" t="str">
        <f t="shared" si="6"/>
        <v/>
      </c>
      <c r="AR614" s="86" t="str">
        <f t="array" ref="AR614">IF(A614="","",IFERROR(INDEX('2) Etapas'!L$3:L923,MATCH(B614,'2) Etapas'!$A$4:$A923,0),1),-1))</f>
        <v/>
      </c>
      <c r="AS614" s="87" t="str">
        <f t="shared" si="7"/>
        <v/>
      </c>
      <c r="AT614" s="87" t="str">
        <f t="shared" si="8"/>
        <v/>
      </c>
      <c r="AU614" s="87" t="str">
        <f t="shared" si="9"/>
        <v/>
      </c>
      <c r="AV614" s="89" t="str">
        <f t="array" ref="AV614">IF(OR($A614="",$AB614="", $AC614=""),"",MAXA(IF($A614=$A$4:$A923,$AC$4:$AC923)))</f>
        <v/>
      </c>
    </row>
    <row r="615" ht="22.5" customHeight="1">
      <c r="A615" s="76"/>
      <c r="B615" s="68" t="str">
        <f t="shared" si="1"/>
        <v/>
      </c>
      <c r="C615" s="110"/>
      <c r="D615" s="70" t="str">
        <f t="shared" si="2"/>
        <v/>
      </c>
      <c r="E615" s="76"/>
      <c r="F615" s="68" t="str">
        <f t="array" ref="F615">IF($A615="","",IFERROR(INDEX(MA_INDIVIDUALES!C$2:C923, MATCH($A615,MA_INDIVIDUALES!$B$2:$B923,0),1),"CÓDIGO DE EXPEDIENTE INVÁLIDO"))</f>
        <v/>
      </c>
      <c r="G615" s="68" t="str">
        <f t="array" ref="G615">IF($A615="","",IFERROR(INDEX(MA_INDIVIDUALES!K$2:K923, MATCH($A615,MA_INDIVIDUALES!$B$2:$B923,0),1),"CÓDIGO DE EXPEDIENTE INVÁLIDO"))</f>
        <v/>
      </c>
      <c r="H615" s="68" t="str">
        <f t="array" ref="H615">IF($A615="","",IFERROR(INDEX(MA_INDIVIDUALES!L$2:L923, MATCH($A615,MA_INDIVIDUALES!$B$2:$B923,0),1),"CÓDIGO DE EXPEDIENTE INVÁLIDO"))</f>
        <v/>
      </c>
      <c r="I615" s="76"/>
      <c r="J615" s="76"/>
      <c r="K615" s="75"/>
      <c r="L615" s="74" t="str">
        <f>IF(A615="","",IF(K615="","",_xlfn.WORKDAY.INTL(K615,5,1,FERIADOS)))</f>
        <v/>
      </c>
      <c r="M615" s="76"/>
      <c r="N615" s="75"/>
      <c r="O615" s="76"/>
      <c r="P615" s="77" t="str">
        <f t="shared" si="3"/>
        <v/>
      </c>
      <c r="Q615" s="75"/>
      <c r="R615" s="76"/>
      <c r="S615" s="75"/>
      <c r="T615" s="75"/>
      <c r="U615" s="76"/>
      <c r="V615" s="76"/>
      <c r="W615" s="75"/>
      <c r="X615" s="76"/>
      <c r="Y615" s="29" t="str">
        <f t="shared" si="4"/>
        <v/>
      </c>
      <c r="Z615" s="29" t="str">
        <f t="shared" si="5"/>
        <v/>
      </c>
      <c r="AA615" s="76"/>
      <c r="AB615" s="76"/>
      <c r="AC615" s="75"/>
      <c r="AD615" s="75"/>
      <c r="AE615" s="78" t="str">
        <f>IF(U615="","",IF(AD615="","",_xlfn.WORKDAY.INTL(AD615,7,1,FERIADOS)))</f>
        <v/>
      </c>
      <c r="AF615" s="104"/>
      <c r="AG615" s="80" t="str">
        <f t="array" ref="AG615">IF(A615="","",IF(AF615="","",AF615*INDEX(PARAMETROS!F$2:F1678,MATCH(YEAR(AC615),PARAMETROS!E$2:E1678,0),1)))</f>
        <v/>
      </c>
      <c r="AH615" s="81"/>
      <c r="AI615" s="82"/>
      <c r="AJ615" s="81"/>
      <c r="AK615" s="81"/>
      <c r="AL615" s="76"/>
      <c r="AM615" s="75"/>
      <c r="AN615" s="76"/>
      <c r="AO615" s="95"/>
      <c r="AP615" s="96"/>
      <c r="AQ615" s="85" t="str">
        <f t="shared" si="6"/>
        <v/>
      </c>
      <c r="AR615" s="86" t="str">
        <f t="array" ref="AR615">IF(A615="","",IFERROR(INDEX('2) Etapas'!L$3:L923,MATCH(B615,'2) Etapas'!$A$4:$A923,0),1),-1))</f>
        <v/>
      </c>
      <c r="AS615" s="87" t="str">
        <f t="shared" si="7"/>
        <v/>
      </c>
      <c r="AT615" s="87" t="str">
        <f t="shared" si="8"/>
        <v/>
      </c>
      <c r="AU615" s="87" t="str">
        <f t="shared" si="9"/>
        <v/>
      </c>
      <c r="AV615" s="89" t="str">
        <f t="array" ref="AV615">IF(OR($A615="",$AB615="", $AC615=""),"",MAXA(IF($A615=$A$4:$A923,$AC$4:$AC923)))</f>
        <v/>
      </c>
    </row>
    <row r="616" ht="22.5" customHeight="1">
      <c r="A616" s="76"/>
      <c r="B616" s="68" t="str">
        <f t="shared" si="1"/>
        <v/>
      </c>
      <c r="C616" s="110"/>
      <c r="D616" s="70" t="str">
        <f t="shared" si="2"/>
        <v/>
      </c>
      <c r="E616" s="76"/>
      <c r="F616" s="68" t="str">
        <f t="array" ref="F616">IF($A616="","",IFERROR(INDEX(MA_INDIVIDUALES!C$2:C923, MATCH($A616,MA_INDIVIDUALES!$B$2:$B923,0),1),"CÓDIGO DE EXPEDIENTE INVÁLIDO"))</f>
        <v/>
      </c>
      <c r="G616" s="68" t="str">
        <f t="array" ref="G616">IF($A616="","",IFERROR(INDEX(MA_INDIVIDUALES!K$2:K923, MATCH($A616,MA_INDIVIDUALES!$B$2:$B923,0),1),"CÓDIGO DE EXPEDIENTE INVÁLIDO"))</f>
        <v/>
      </c>
      <c r="H616" s="68" t="str">
        <f t="array" ref="H616">IF($A616="","",IFERROR(INDEX(MA_INDIVIDUALES!L$2:L923, MATCH($A616,MA_INDIVIDUALES!$B$2:$B923,0),1),"CÓDIGO DE EXPEDIENTE INVÁLIDO"))</f>
        <v/>
      </c>
      <c r="I616" s="76"/>
      <c r="J616" s="76"/>
      <c r="K616" s="75"/>
      <c r="L616" s="74" t="str">
        <f>IF(A616="","",IF(K616="","",_xlfn.WORKDAY.INTL(K616,5,1,FERIADOS)))</f>
        <v/>
      </c>
      <c r="M616" s="76"/>
      <c r="N616" s="75"/>
      <c r="O616" s="76"/>
      <c r="P616" s="77" t="str">
        <f t="shared" si="3"/>
        <v/>
      </c>
      <c r="Q616" s="75"/>
      <c r="R616" s="76"/>
      <c r="S616" s="75"/>
      <c r="T616" s="75"/>
      <c r="U616" s="76"/>
      <c r="V616" s="76"/>
      <c r="W616" s="75"/>
      <c r="X616" s="76"/>
      <c r="Y616" s="29" t="str">
        <f t="shared" si="4"/>
        <v/>
      </c>
      <c r="Z616" s="29" t="str">
        <f t="shared" si="5"/>
        <v/>
      </c>
      <c r="AA616" s="76"/>
      <c r="AB616" s="76"/>
      <c r="AC616" s="75"/>
      <c r="AD616" s="75"/>
      <c r="AE616" s="78" t="str">
        <f>IF(U616="","",IF(AD616="","",_xlfn.WORKDAY.INTL(AD616,7,1,FERIADOS)))</f>
        <v/>
      </c>
      <c r="AF616" s="104"/>
      <c r="AG616" s="80" t="str">
        <f t="array" ref="AG616">IF(A616="","",IF(AF616="","",AF616*INDEX(PARAMETROS!F$2:F1679,MATCH(YEAR(AC616),PARAMETROS!E$2:E1679,0),1)))</f>
        <v/>
      </c>
      <c r="AH616" s="81"/>
      <c r="AI616" s="82"/>
      <c r="AJ616" s="81"/>
      <c r="AK616" s="81"/>
      <c r="AL616" s="76"/>
      <c r="AM616" s="75"/>
      <c r="AN616" s="76"/>
      <c r="AO616" s="95"/>
      <c r="AP616" s="96"/>
      <c r="AQ616" s="85" t="str">
        <f t="shared" si="6"/>
        <v/>
      </c>
      <c r="AR616" s="86" t="str">
        <f t="array" ref="AR616">IF(A616="","",IFERROR(INDEX('2) Etapas'!L$3:L923,MATCH(B616,'2) Etapas'!$A$4:$A923,0),1),-1))</f>
        <v/>
      </c>
      <c r="AS616" s="87" t="str">
        <f t="shared" si="7"/>
        <v/>
      </c>
      <c r="AT616" s="87" t="str">
        <f t="shared" si="8"/>
        <v/>
      </c>
      <c r="AU616" s="87" t="str">
        <f t="shared" si="9"/>
        <v/>
      </c>
      <c r="AV616" s="89" t="str">
        <f t="array" ref="AV616">IF(OR($A616="",$AB616="", $AC616=""),"",MAXA(IF($A616=$A$4:$A923,$AC$4:$AC923)))</f>
        <v/>
      </c>
    </row>
    <row r="617" ht="22.5" customHeight="1">
      <c r="A617" s="76"/>
      <c r="B617" s="68" t="str">
        <f t="shared" si="1"/>
        <v/>
      </c>
      <c r="C617" s="110"/>
      <c r="D617" s="70" t="str">
        <f t="shared" si="2"/>
        <v/>
      </c>
      <c r="E617" s="76"/>
      <c r="F617" s="68" t="str">
        <f t="array" ref="F617">IF($A617="","",IFERROR(INDEX(MA_INDIVIDUALES!C$2:C923, MATCH($A617,MA_INDIVIDUALES!$B$2:$B923,0),1),"CÓDIGO DE EXPEDIENTE INVÁLIDO"))</f>
        <v/>
      </c>
      <c r="G617" s="68" t="str">
        <f t="array" ref="G617">IF($A617="","",IFERROR(INDEX(MA_INDIVIDUALES!K$2:K923, MATCH($A617,MA_INDIVIDUALES!$B$2:$B923,0),1),"CÓDIGO DE EXPEDIENTE INVÁLIDO"))</f>
        <v/>
      </c>
      <c r="H617" s="68" t="str">
        <f t="array" ref="H617">IF($A617="","",IFERROR(INDEX(MA_INDIVIDUALES!L$2:L923, MATCH($A617,MA_INDIVIDUALES!$B$2:$B923,0),1),"CÓDIGO DE EXPEDIENTE INVÁLIDO"))</f>
        <v/>
      </c>
      <c r="I617" s="76"/>
      <c r="J617" s="76"/>
      <c r="K617" s="75"/>
      <c r="L617" s="74" t="str">
        <f>IF(A617="","",IF(K617="","",_xlfn.WORKDAY.INTL(K617,5,1,FERIADOS)))</f>
        <v/>
      </c>
      <c r="M617" s="76"/>
      <c r="N617" s="75"/>
      <c r="O617" s="76"/>
      <c r="P617" s="77" t="str">
        <f t="shared" si="3"/>
        <v/>
      </c>
      <c r="Q617" s="75"/>
      <c r="R617" s="76"/>
      <c r="S617" s="75"/>
      <c r="T617" s="75"/>
      <c r="U617" s="76"/>
      <c r="V617" s="76"/>
      <c r="W617" s="75"/>
      <c r="X617" s="76"/>
      <c r="Y617" s="29" t="str">
        <f t="shared" si="4"/>
        <v/>
      </c>
      <c r="Z617" s="29" t="str">
        <f t="shared" si="5"/>
        <v/>
      </c>
      <c r="AA617" s="76"/>
      <c r="AB617" s="76"/>
      <c r="AC617" s="75"/>
      <c r="AD617" s="75"/>
      <c r="AE617" s="78" t="str">
        <f>IF(U617="","",IF(AD617="","",_xlfn.WORKDAY.INTL(AD617,7,1,FERIADOS)))</f>
        <v/>
      </c>
      <c r="AF617" s="104"/>
      <c r="AG617" s="80" t="str">
        <f t="array" ref="AG617">IF(A617="","",IF(AF617="","",AF617*INDEX(PARAMETROS!F$2:F1680,MATCH(YEAR(AC617),PARAMETROS!E$2:E1680,0),1)))</f>
        <v/>
      </c>
      <c r="AH617" s="81"/>
      <c r="AI617" s="82"/>
      <c r="AJ617" s="81"/>
      <c r="AK617" s="81"/>
      <c r="AL617" s="76"/>
      <c r="AM617" s="75"/>
      <c r="AN617" s="76"/>
      <c r="AO617" s="95"/>
      <c r="AP617" s="96"/>
      <c r="AQ617" s="85" t="str">
        <f t="shared" si="6"/>
        <v/>
      </c>
      <c r="AR617" s="86" t="str">
        <f t="array" ref="AR617">IF(A617="","",IFERROR(INDEX('2) Etapas'!L$3:L923,MATCH(B617,'2) Etapas'!$A$4:$A923,0),1),-1))</f>
        <v/>
      </c>
      <c r="AS617" s="87" t="str">
        <f t="shared" si="7"/>
        <v/>
      </c>
      <c r="AT617" s="87" t="str">
        <f t="shared" si="8"/>
        <v/>
      </c>
      <c r="AU617" s="87" t="str">
        <f t="shared" si="9"/>
        <v/>
      </c>
      <c r="AV617" s="89" t="str">
        <f t="array" ref="AV617">IF(OR($A617="",$AB617="", $AC617=""),"",MAXA(IF($A617=$A$4:$A923,$AC$4:$AC923)))</f>
        <v/>
      </c>
    </row>
    <row r="618" ht="22.5" customHeight="1">
      <c r="A618" s="76"/>
      <c r="B618" s="68" t="str">
        <f t="shared" si="1"/>
        <v/>
      </c>
      <c r="C618" s="110"/>
      <c r="D618" s="70" t="str">
        <f t="shared" si="2"/>
        <v/>
      </c>
      <c r="E618" s="76"/>
      <c r="F618" s="68" t="str">
        <f t="array" ref="F618">IF($A618="","",IFERROR(INDEX(MA_INDIVIDUALES!C$2:C923, MATCH($A618,MA_INDIVIDUALES!$B$2:$B923,0),1),"CÓDIGO DE EXPEDIENTE INVÁLIDO"))</f>
        <v/>
      </c>
      <c r="G618" s="68" t="str">
        <f t="array" ref="G618">IF($A618="","",IFERROR(INDEX(MA_INDIVIDUALES!K$2:K923, MATCH($A618,MA_INDIVIDUALES!$B$2:$B923,0),1),"CÓDIGO DE EXPEDIENTE INVÁLIDO"))</f>
        <v/>
      </c>
      <c r="H618" s="68" t="str">
        <f t="array" ref="H618">IF($A618="","",IFERROR(INDEX(MA_INDIVIDUALES!L$2:L923, MATCH($A618,MA_INDIVIDUALES!$B$2:$B923,0),1),"CÓDIGO DE EXPEDIENTE INVÁLIDO"))</f>
        <v/>
      </c>
      <c r="I618" s="76"/>
      <c r="J618" s="76"/>
      <c r="K618" s="75"/>
      <c r="L618" s="74" t="str">
        <f>IF(A618="","",IF(K618="","",_xlfn.WORKDAY.INTL(K618,5,1,FERIADOS)))</f>
        <v/>
      </c>
      <c r="M618" s="76"/>
      <c r="N618" s="75"/>
      <c r="O618" s="76"/>
      <c r="P618" s="77" t="str">
        <f t="shared" si="3"/>
        <v/>
      </c>
      <c r="Q618" s="75"/>
      <c r="R618" s="76"/>
      <c r="S618" s="75"/>
      <c r="T618" s="75"/>
      <c r="U618" s="76"/>
      <c r="V618" s="76"/>
      <c r="W618" s="75"/>
      <c r="X618" s="76"/>
      <c r="Y618" s="29" t="str">
        <f t="shared" si="4"/>
        <v/>
      </c>
      <c r="Z618" s="29" t="str">
        <f t="shared" si="5"/>
        <v/>
      </c>
      <c r="AA618" s="76"/>
      <c r="AB618" s="76"/>
      <c r="AC618" s="75"/>
      <c r="AD618" s="75"/>
      <c r="AE618" s="78" t="str">
        <f>IF(U618="","",IF(AD618="","",_xlfn.WORKDAY.INTL(AD618,7,1,FERIADOS)))</f>
        <v/>
      </c>
      <c r="AF618" s="104"/>
      <c r="AG618" s="80" t="str">
        <f t="array" ref="AG618">IF(A618="","",IF(AF618="","",AF618*INDEX(PARAMETROS!F$2:F1681,MATCH(YEAR(AC618),PARAMETROS!E$2:E1681,0),1)))</f>
        <v/>
      </c>
      <c r="AH618" s="81"/>
      <c r="AI618" s="82"/>
      <c r="AJ618" s="81"/>
      <c r="AK618" s="81"/>
      <c r="AL618" s="76"/>
      <c r="AM618" s="75"/>
      <c r="AN618" s="76"/>
      <c r="AO618" s="95"/>
      <c r="AP618" s="96"/>
      <c r="AQ618" s="85" t="str">
        <f t="shared" si="6"/>
        <v/>
      </c>
      <c r="AR618" s="86" t="str">
        <f t="array" ref="AR618">IF(A618="","",IFERROR(INDEX('2) Etapas'!L$3:L923,MATCH(B618,'2) Etapas'!$A$4:$A923,0),1),-1))</f>
        <v/>
      </c>
      <c r="AS618" s="87" t="str">
        <f t="shared" si="7"/>
        <v/>
      </c>
      <c r="AT618" s="87" t="str">
        <f t="shared" si="8"/>
        <v/>
      </c>
      <c r="AU618" s="87" t="str">
        <f t="shared" si="9"/>
        <v/>
      </c>
      <c r="AV618" s="89" t="str">
        <f t="array" ref="AV618">IF(OR($A618="",$AB618="", $AC618=""),"",MAXA(IF($A618=$A$4:$A923,$AC$4:$AC923)))</f>
        <v/>
      </c>
    </row>
    <row r="619" ht="22.5" customHeight="1">
      <c r="A619" s="76"/>
      <c r="B619" s="68" t="str">
        <f t="shared" si="1"/>
        <v/>
      </c>
      <c r="C619" s="110"/>
      <c r="D619" s="70" t="str">
        <f t="shared" si="2"/>
        <v/>
      </c>
      <c r="E619" s="76"/>
      <c r="F619" s="68" t="str">
        <f t="array" ref="F619">IF($A619="","",IFERROR(INDEX(MA_INDIVIDUALES!C$2:C923, MATCH($A619,MA_INDIVIDUALES!$B$2:$B923,0),1),"CÓDIGO DE EXPEDIENTE INVÁLIDO"))</f>
        <v/>
      </c>
      <c r="G619" s="68" t="str">
        <f t="array" ref="G619">IF($A619="","",IFERROR(INDEX(MA_INDIVIDUALES!K$2:K923, MATCH($A619,MA_INDIVIDUALES!$B$2:$B923,0),1),"CÓDIGO DE EXPEDIENTE INVÁLIDO"))</f>
        <v/>
      </c>
      <c r="H619" s="68" t="str">
        <f t="array" ref="H619">IF($A619="","",IFERROR(INDEX(MA_INDIVIDUALES!L$2:L923, MATCH($A619,MA_INDIVIDUALES!$B$2:$B923,0),1),"CÓDIGO DE EXPEDIENTE INVÁLIDO"))</f>
        <v/>
      </c>
      <c r="I619" s="76"/>
      <c r="J619" s="76"/>
      <c r="K619" s="75"/>
      <c r="L619" s="74" t="str">
        <f>IF(A619="","",IF(K619="","",_xlfn.WORKDAY.INTL(K619,5,1,FERIADOS)))</f>
        <v/>
      </c>
      <c r="M619" s="76"/>
      <c r="N619" s="75"/>
      <c r="O619" s="76"/>
      <c r="P619" s="77" t="str">
        <f t="shared" si="3"/>
        <v/>
      </c>
      <c r="Q619" s="75"/>
      <c r="R619" s="76"/>
      <c r="S619" s="75"/>
      <c r="T619" s="75"/>
      <c r="U619" s="76"/>
      <c r="V619" s="76"/>
      <c r="W619" s="75"/>
      <c r="X619" s="76"/>
      <c r="Y619" s="29" t="str">
        <f t="shared" si="4"/>
        <v/>
      </c>
      <c r="Z619" s="29" t="str">
        <f t="shared" si="5"/>
        <v/>
      </c>
      <c r="AA619" s="76"/>
      <c r="AB619" s="76"/>
      <c r="AC619" s="75"/>
      <c r="AD619" s="75"/>
      <c r="AE619" s="78" t="str">
        <f>IF(U619="","",IF(AD619="","",_xlfn.WORKDAY.INTL(AD619,7,1,FERIADOS)))</f>
        <v/>
      </c>
      <c r="AF619" s="104"/>
      <c r="AG619" s="80" t="str">
        <f t="array" ref="AG619">IF(A619="","",IF(AF619="","",AF619*INDEX(PARAMETROS!F$2:F1682,MATCH(YEAR(AC619),PARAMETROS!E$2:E1682,0),1)))</f>
        <v/>
      </c>
      <c r="AH619" s="81"/>
      <c r="AI619" s="82"/>
      <c r="AJ619" s="81"/>
      <c r="AK619" s="81"/>
      <c r="AL619" s="76"/>
      <c r="AM619" s="75"/>
      <c r="AN619" s="76"/>
      <c r="AO619" s="95"/>
      <c r="AP619" s="96"/>
      <c r="AQ619" s="85" t="str">
        <f t="shared" si="6"/>
        <v/>
      </c>
      <c r="AR619" s="86" t="str">
        <f t="array" ref="AR619">IF(A619="","",IFERROR(INDEX('2) Etapas'!L$3:L923,MATCH(B619,'2) Etapas'!$A$4:$A923,0),1),-1))</f>
        <v/>
      </c>
      <c r="AS619" s="87" t="str">
        <f t="shared" si="7"/>
        <v/>
      </c>
      <c r="AT619" s="87" t="str">
        <f t="shared" si="8"/>
        <v/>
      </c>
      <c r="AU619" s="87" t="str">
        <f t="shared" si="9"/>
        <v/>
      </c>
      <c r="AV619" s="89" t="str">
        <f t="array" ref="AV619">IF(OR($A619="",$AB619="", $AC619=""),"",MAXA(IF($A619=$A$4:$A923,$AC$4:$AC923)))</f>
        <v/>
      </c>
    </row>
    <row r="620" ht="22.5" customHeight="1">
      <c r="A620" s="76"/>
      <c r="B620" s="68" t="str">
        <f t="shared" si="1"/>
        <v/>
      </c>
      <c r="C620" s="110"/>
      <c r="D620" s="70" t="str">
        <f t="shared" si="2"/>
        <v/>
      </c>
      <c r="E620" s="76"/>
      <c r="F620" s="68" t="str">
        <f t="array" ref="F620">IF($A620="","",IFERROR(INDEX(MA_INDIVIDUALES!C$2:C923, MATCH($A620,MA_INDIVIDUALES!$B$2:$B923,0),1),"CÓDIGO DE EXPEDIENTE INVÁLIDO"))</f>
        <v/>
      </c>
      <c r="G620" s="68" t="str">
        <f t="array" ref="G620">IF($A620="","",IFERROR(INDEX(MA_INDIVIDUALES!K$2:K923, MATCH($A620,MA_INDIVIDUALES!$B$2:$B923,0),1),"CÓDIGO DE EXPEDIENTE INVÁLIDO"))</f>
        <v/>
      </c>
      <c r="H620" s="68" t="str">
        <f t="array" ref="H620">IF($A620="","",IFERROR(INDEX(MA_INDIVIDUALES!L$2:L923, MATCH($A620,MA_INDIVIDUALES!$B$2:$B923,0),1),"CÓDIGO DE EXPEDIENTE INVÁLIDO"))</f>
        <v/>
      </c>
      <c r="I620" s="76"/>
      <c r="J620" s="76"/>
      <c r="K620" s="75"/>
      <c r="L620" s="74" t="str">
        <f>IF(A620="","",IF(K620="","",_xlfn.WORKDAY.INTL(K620,5,1,FERIADOS)))</f>
        <v/>
      </c>
      <c r="M620" s="76"/>
      <c r="N620" s="75"/>
      <c r="O620" s="76"/>
      <c r="P620" s="77" t="str">
        <f t="shared" si="3"/>
        <v/>
      </c>
      <c r="Q620" s="75"/>
      <c r="R620" s="76"/>
      <c r="S620" s="75"/>
      <c r="T620" s="75"/>
      <c r="U620" s="76"/>
      <c r="V620" s="76"/>
      <c r="W620" s="75"/>
      <c r="X620" s="76"/>
      <c r="Y620" s="29" t="str">
        <f t="shared" si="4"/>
        <v/>
      </c>
      <c r="Z620" s="29" t="str">
        <f t="shared" si="5"/>
        <v/>
      </c>
      <c r="AA620" s="76"/>
      <c r="AB620" s="76"/>
      <c r="AC620" s="75"/>
      <c r="AD620" s="75"/>
      <c r="AE620" s="78" t="str">
        <f>IF(U620="","",IF(AD620="","",_xlfn.WORKDAY.INTL(AD620,7,1,FERIADOS)))</f>
        <v/>
      </c>
      <c r="AF620" s="104"/>
      <c r="AG620" s="80" t="str">
        <f t="array" ref="AG620">IF(A620="","",IF(AF620="","",AF620*INDEX(PARAMETROS!F$2:F1683,MATCH(YEAR(AC620),PARAMETROS!E$2:E1683,0),1)))</f>
        <v/>
      </c>
      <c r="AH620" s="81"/>
      <c r="AI620" s="82"/>
      <c r="AJ620" s="81"/>
      <c r="AK620" s="81"/>
      <c r="AL620" s="76"/>
      <c r="AM620" s="75"/>
      <c r="AN620" s="76"/>
      <c r="AO620" s="95"/>
      <c r="AP620" s="96"/>
      <c r="AQ620" s="85" t="str">
        <f t="shared" si="6"/>
        <v/>
      </c>
      <c r="AR620" s="86" t="str">
        <f t="array" ref="AR620">IF(A620="","",IFERROR(INDEX('2) Etapas'!L$3:L923,MATCH(B620,'2) Etapas'!$A$4:$A923,0),1),-1))</f>
        <v/>
      </c>
      <c r="AS620" s="87" t="str">
        <f t="shared" si="7"/>
        <v/>
      </c>
      <c r="AT620" s="87" t="str">
        <f t="shared" si="8"/>
        <v/>
      </c>
      <c r="AU620" s="87" t="str">
        <f t="shared" si="9"/>
        <v/>
      </c>
      <c r="AV620" s="89" t="str">
        <f t="array" ref="AV620">IF(OR($A620="",$AB620="", $AC620=""),"",MAXA(IF($A620=$A$4:$A923,$AC$4:$AC923)))</f>
        <v/>
      </c>
    </row>
    <row r="621" ht="22.5" customHeight="1">
      <c r="A621" s="76"/>
      <c r="B621" s="68" t="str">
        <f t="shared" si="1"/>
        <v/>
      </c>
      <c r="C621" s="110"/>
      <c r="D621" s="70" t="str">
        <f t="shared" si="2"/>
        <v/>
      </c>
      <c r="E621" s="76"/>
      <c r="F621" s="68" t="str">
        <f t="array" ref="F621">IF($A621="","",IFERROR(INDEX(MA_INDIVIDUALES!C$2:C923, MATCH($A621,MA_INDIVIDUALES!$B$2:$B923,0),1),"CÓDIGO DE EXPEDIENTE INVÁLIDO"))</f>
        <v/>
      </c>
      <c r="G621" s="68" t="str">
        <f t="array" ref="G621">IF($A621="","",IFERROR(INDEX(MA_INDIVIDUALES!K$2:K923, MATCH($A621,MA_INDIVIDUALES!$B$2:$B923,0),1),"CÓDIGO DE EXPEDIENTE INVÁLIDO"))</f>
        <v/>
      </c>
      <c r="H621" s="68" t="str">
        <f t="array" ref="H621">IF($A621="","",IFERROR(INDEX(MA_INDIVIDUALES!L$2:L923, MATCH($A621,MA_INDIVIDUALES!$B$2:$B923,0),1),"CÓDIGO DE EXPEDIENTE INVÁLIDO"))</f>
        <v/>
      </c>
      <c r="I621" s="76"/>
      <c r="J621" s="76"/>
      <c r="K621" s="75"/>
      <c r="L621" s="74" t="str">
        <f>IF(A621="","",IF(K621="","",_xlfn.WORKDAY.INTL(K621,5,1,FERIADOS)))</f>
        <v/>
      </c>
      <c r="M621" s="76"/>
      <c r="N621" s="75"/>
      <c r="O621" s="76"/>
      <c r="P621" s="77" t="str">
        <f t="shared" si="3"/>
        <v/>
      </c>
      <c r="Q621" s="75"/>
      <c r="R621" s="76"/>
      <c r="S621" s="75"/>
      <c r="T621" s="75"/>
      <c r="U621" s="76"/>
      <c r="V621" s="76"/>
      <c r="W621" s="75"/>
      <c r="X621" s="76"/>
      <c r="Y621" s="29" t="str">
        <f t="shared" si="4"/>
        <v/>
      </c>
      <c r="Z621" s="29" t="str">
        <f t="shared" si="5"/>
        <v/>
      </c>
      <c r="AA621" s="76"/>
      <c r="AB621" s="76"/>
      <c r="AC621" s="75"/>
      <c r="AD621" s="75"/>
      <c r="AE621" s="78" t="str">
        <f>IF(U621="","",IF(AD621="","",_xlfn.WORKDAY.INTL(AD621,7,1,FERIADOS)))</f>
        <v/>
      </c>
      <c r="AF621" s="104"/>
      <c r="AG621" s="80" t="str">
        <f t="array" ref="AG621">IF(A621="","",IF(AF621="","",AF621*INDEX(PARAMETROS!F$2:F1684,MATCH(YEAR(AC621),PARAMETROS!E$2:E1684,0),1)))</f>
        <v/>
      </c>
      <c r="AH621" s="81"/>
      <c r="AI621" s="82"/>
      <c r="AJ621" s="81"/>
      <c r="AK621" s="81"/>
      <c r="AL621" s="76"/>
      <c r="AM621" s="75"/>
      <c r="AN621" s="76"/>
      <c r="AO621" s="95"/>
      <c r="AP621" s="96"/>
      <c r="AQ621" s="85" t="str">
        <f t="shared" si="6"/>
        <v/>
      </c>
      <c r="AR621" s="86" t="str">
        <f t="array" ref="AR621">IF(A621="","",IFERROR(INDEX('2) Etapas'!L$3:L923,MATCH(B621,'2) Etapas'!$A$4:$A923,0),1),-1))</f>
        <v/>
      </c>
      <c r="AS621" s="87" t="str">
        <f t="shared" si="7"/>
        <v/>
      </c>
      <c r="AT621" s="87" t="str">
        <f t="shared" si="8"/>
        <v/>
      </c>
      <c r="AU621" s="87" t="str">
        <f t="shared" si="9"/>
        <v/>
      </c>
      <c r="AV621" s="89" t="str">
        <f t="array" ref="AV621">IF(OR($A621="",$AB621="", $AC621=""),"",MAXA(IF($A621=$A$4:$A923,$AC$4:$AC923)))</f>
        <v/>
      </c>
    </row>
    <row r="622" ht="22.5" customHeight="1">
      <c r="A622" s="76"/>
      <c r="B622" s="68" t="str">
        <f t="shared" si="1"/>
        <v/>
      </c>
      <c r="C622" s="110"/>
      <c r="D622" s="70" t="str">
        <f t="shared" si="2"/>
        <v/>
      </c>
      <c r="E622" s="76"/>
      <c r="F622" s="68" t="str">
        <f t="array" ref="F622">IF($A622="","",IFERROR(INDEX(MA_INDIVIDUALES!C$2:C923, MATCH($A622,MA_INDIVIDUALES!$B$2:$B923,0),1),"CÓDIGO DE EXPEDIENTE INVÁLIDO"))</f>
        <v/>
      </c>
      <c r="G622" s="68" t="str">
        <f t="array" ref="G622">IF($A622="","",IFERROR(INDEX(MA_INDIVIDUALES!K$2:K923, MATCH($A622,MA_INDIVIDUALES!$B$2:$B923,0),1),"CÓDIGO DE EXPEDIENTE INVÁLIDO"))</f>
        <v/>
      </c>
      <c r="H622" s="68" t="str">
        <f t="array" ref="H622">IF($A622="","",IFERROR(INDEX(MA_INDIVIDUALES!L$2:L923, MATCH($A622,MA_INDIVIDUALES!$B$2:$B923,0),1),"CÓDIGO DE EXPEDIENTE INVÁLIDO"))</f>
        <v/>
      </c>
      <c r="I622" s="76"/>
      <c r="J622" s="76"/>
      <c r="K622" s="75"/>
      <c r="L622" s="74" t="str">
        <f>IF(A622="","",IF(K622="","",_xlfn.WORKDAY.INTL(K622,5,1,FERIADOS)))</f>
        <v/>
      </c>
      <c r="M622" s="76"/>
      <c r="N622" s="75"/>
      <c r="O622" s="76"/>
      <c r="P622" s="77" t="str">
        <f t="shared" si="3"/>
        <v/>
      </c>
      <c r="Q622" s="75"/>
      <c r="R622" s="76"/>
      <c r="S622" s="75"/>
      <c r="T622" s="75"/>
      <c r="U622" s="76"/>
      <c r="V622" s="76"/>
      <c r="W622" s="75"/>
      <c r="X622" s="76"/>
      <c r="Y622" s="29" t="str">
        <f t="shared" si="4"/>
        <v/>
      </c>
      <c r="Z622" s="29" t="str">
        <f t="shared" si="5"/>
        <v/>
      </c>
      <c r="AA622" s="76"/>
      <c r="AB622" s="76"/>
      <c r="AC622" s="75"/>
      <c r="AD622" s="75"/>
      <c r="AE622" s="78" t="str">
        <f>IF(U622="","",IF(AD622="","",_xlfn.WORKDAY.INTL(AD622,7,1,FERIADOS)))</f>
        <v/>
      </c>
      <c r="AF622" s="104"/>
      <c r="AG622" s="80" t="str">
        <f t="array" ref="AG622">IF(A622="","",IF(AF622="","",AF622*INDEX(PARAMETROS!F$2:F1685,MATCH(YEAR(AC622),PARAMETROS!E$2:E1685,0),1)))</f>
        <v/>
      </c>
      <c r="AH622" s="81"/>
      <c r="AI622" s="82"/>
      <c r="AJ622" s="81"/>
      <c r="AK622" s="81"/>
      <c r="AL622" s="76"/>
      <c r="AM622" s="75"/>
      <c r="AN622" s="76"/>
      <c r="AO622" s="95"/>
      <c r="AP622" s="96"/>
      <c r="AQ622" s="85" t="str">
        <f t="shared" si="6"/>
        <v/>
      </c>
      <c r="AR622" s="86" t="str">
        <f t="array" ref="AR622">IF(A622="","",IFERROR(INDEX('2) Etapas'!L$3:L923,MATCH(B622,'2) Etapas'!$A$4:$A923,0),1),-1))</f>
        <v/>
      </c>
      <c r="AS622" s="87" t="str">
        <f t="shared" si="7"/>
        <v/>
      </c>
      <c r="AT622" s="87" t="str">
        <f t="shared" si="8"/>
        <v/>
      </c>
      <c r="AU622" s="87" t="str">
        <f t="shared" si="9"/>
        <v/>
      </c>
      <c r="AV622" s="89" t="str">
        <f t="array" ref="AV622">IF(OR($A622="",$AB622="", $AC622=""),"",MAXA(IF($A622=$A$4:$A923,$AC$4:$AC923)))</f>
        <v/>
      </c>
    </row>
    <row r="623" ht="22.5" customHeight="1">
      <c r="A623" s="76"/>
      <c r="B623" s="68" t="str">
        <f t="shared" si="1"/>
        <v/>
      </c>
      <c r="C623" s="110"/>
      <c r="D623" s="70" t="str">
        <f t="shared" si="2"/>
        <v/>
      </c>
      <c r="E623" s="76"/>
      <c r="F623" s="68" t="str">
        <f t="array" ref="F623">IF($A623="","",IFERROR(INDEX(MA_INDIVIDUALES!C$2:C923, MATCH($A623,MA_INDIVIDUALES!$B$2:$B923,0),1),"CÓDIGO DE EXPEDIENTE INVÁLIDO"))</f>
        <v/>
      </c>
      <c r="G623" s="68" t="str">
        <f t="array" ref="G623">IF($A623="","",IFERROR(INDEX(MA_INDIVIDUALES!K$2:K923, MATCH($A623,MA_INDIVIDUALES!$B$2:$B923,0),1),"CÓDIGO DE EXPEDIENTE INVÁLIDO"))</f>
        <v/>
      </c>
      <c r="H623" s="68" t="str">
        <f t="array" ref="H623">IF($A623="","",IFERROR(INDEX(MA_INDIVIDUALES!L$2:L923, MATCH($A623,MA_INDIVIDUALES!$B$2:$B923,0),1),"CÓDIGO DE EXPEDIENTE INVÁLIDO"))</f>
        <v/>
      </c>
      <c r="I623" s="76"/>
      <c r="J623" s="76"/>
      <c r="K623" s="75"/>
      <c r="L623" s="74" t="str">
        <f>IF(A623="","",IF(K623="","",_xlfn.WORKDAY.INTL(K623,5,1,FERIADOS)))</f>
        <v/>
      </c>
      <c r="M623" s="76"/>
      <c r="N623" s="75"/>
      <c r="O623" s="76"/>
      <c r="P623" s="77" t="str">
        <f t="shared" si="3"/>
        <v/>
      </c>
      <c r="Q623" s="75"/>
      <c r="R623" s="76"/>
      <c r="S623" s="75"/>
      <c r="T623" s="75"/>
      <c r="U623" s="76"/>
      <c r="V623" s="76"/>
      <c r="W623" s="75"/>
      <c r="X623" s="76"/>
      <c r="Y623" s="29" t="str">
        <f t="shared" si="4"/>
        <v/>
      </c>
      <c r="Z623" s="29" t="str">
        <f t="shared" si="5"/>
        <v/>
      </c>
      <c r="AA623" s="76"/>
      <c r="AB623" s="76"/>
      <c r="AC623" s="75"/>
      <c r="AD623" s="75"/>
      <c r="AE623" s="78" t="str">
        <f>IF(U623="","",IF(AD623="","",_xlfn.WORKDAY.INTL(AD623,7,1,FERIADOS)))</f>
        <v/>
      </c>
      <c r="AF623" s="104"/>
      <c r="AG623" s="80" t="str">
        <f t="array" ref="AG623">IF(A623="","",IF(AF623="","",AF623*INDEX(PARAMETROS!F$2:F1686,MATCH(YEAR(AC623),PARAMETROS!E$2:E1686,0),1)))</f>
        <v/>
      </c>
      <c r="AH623" s="81"/>
      <c r="AI623" s="82"/>
      <c r="AJ623" s="81"/>
      <c r="AK623" s="81"/>
      <c r="AL623" s="76"/>
      <c r="AM623" s="75"/>
      <c r="AN623" s="76"/>
      <c r="AO623" s="95"/>
      <c r="AP623" s="96"/>
      <c r="AQ623" s="85" t="str">
        <f t="shared" si="6"/>
        <v/>
      </c>
      <c r="AR623" s="86" t="str">
        <f t="array" ref="AR623">IF(A623="","",IFERROR(INDEX('2) Etapas'!L$3:L923,MATCH(B623,'2) Etapas'!$A$4:$A923,0),1),-1))</f>
        <v/>
      </c>
      <c r="AS623" s="87" t="str">
        <f t="shared" si="7"/>
        <v/>
      </c>
      <c r="AT623" s="87" t="str">
        <f t="shared" si="8"/>
        <v/>
      </c>
      <c r="AU623" s="87" t="str">
        <f t="shared" si="9"/>
        <v/>
      </c>
      <c r="AV623" s="89" t="str">
        <f t="array" ref="AV623">IF(OR($A623="",$AB623="", $AC623=""),"",MAXA(IF($A623=$A$4:$A923,$AC$4:$AC923)))</f>
        <v/>
      </c>
    </row>
    <row r="624" ht="22.5" customHeight="1">
      <c r="A624" s="76"/>
      <c r="B624" s="68" t="str">
        <f t="shared" si="1"/>
        <v/>
      </c>
      <c r="C624" s="110"/>
      <c r="D624" s="70" t="str">
        <f t="shared" si="2"/>
        <v/>
      </c>
      <c r="E624" s="76"/>
      <c r="F624" s="68" t="str">
        <f t="array" ref="F624">IF($A624="","",IFERROR(INDEX(MA_INDIVIDUALES!C$2:C923, MATCH($A624,MA_INDIVIDUALES!$B$2:$B923,0),1),"CÓDIGO DE EXPEDIENTE INVÁLIDO"))</f>
        <v/>
      </c>
      <c r="G624" s="68" t="str">
        <f t="array" ref="G624">IF($A624="","",IFERROR(INDEX(MA_INDIVIDUALES!K$2:K923, MATCH($A624,MA_INDIVIDUALES!$B$2:$B923,0),1),"CÓDIGO DE EXPEDIENTE INVÁLIDO"))</f>
        <v/>
      </c>
      <c r="H624" s="68" t="str">
        <f t="array" ref="H624">IF($A624="","",IFERROR(INDEX(MA_INDIVIDUALES!L$2:L923, MATCH($A624,MA_INDIVIDUALES!$B$2:$B923,0),1),"CÓDIGO DE EXPEDIENTE INVÁLIDO"))</f>
        <v/>
      </c>
      <c r="I624" s="76"/>
      <c r="J624" s="76"/>
      <c r="K624" s="75"/>
      <c r="L624" s="74" t="str">
        <f>IF(A624="","",IF(K624="","",_xlfn.WORKDAY.INTL(K624,5,1,FERIADOS)))</f>
        <v/>
      </c>
      <c r="M624" s="76"/>
      <c r="N624" s="75"/>
      <c r="O624" s="76"/>
      <c r="P624" s="77" t="str">
        <f t="shared" si="3"/>
        <v/>
      </c>
      <c r="Q624" s="75"/>
      <c r="R624" s="76"/>
      <c r="S624" s="75"/>
      <c r="T624" s="75"/>
      <c r="U624" s="76"/>
      <c r="V624" s="76"/>
      <c r="W624" s="75"/>
      <c r="X624" s="76"/>
      <c r="Y624" s="29" t="str">
        <f t="shared" si="4"/>
        <v/>
      </c>
      <c r="Z624" s="29" t="str">
        <f t="shared" si="5"/>
        <v/>
      </c>
      <c r="AA624" s="76"/>
      <c r="AB624" s="76"/>
      <c r="AC624" s="75"/>
      <c r="AD624" s="75"/>
      <c r="AE624" s="78" t="str">
        <f>IF(U624="","",IF(AD624="","",_xlfn.WORKDAY.INTL(AD624,7,1,FERIADOS)))</f>
        <v/>
      </c>
      <c r="AF624" s="104"/>
      <c r="AG624" s="80" t="str">
        <f t="array" ref="AG624">IF(A624="","",IF(AF624="","",AF624*INDEX(PARAMETROS!F$2:F1687,MATCH(YEAR(AC624),PARAMETROS!E$2:E1687,0),1)))</f>
        <v/>
      </c>
      <c r="AH624" s="81"/>
      <c r="AI624" s="82"/>
      <c r="AJ624" s="81"/>
      <c r="AK624" s="81"/>
      <c r="AL624" s="76"/>
      <c r="AM624" s="75"/>
      <c r="AN624" s="76"/>
      <c r="AO624" s="95"/>
      <c r="AP624" s="96"/>
      <c r="AQ624" s="85" t="str">
        <f t="shared" si="6"/>
        <v/>
      </c>
      <c r="AR624" s="86" t="str">
        <f t="array" ref="AR624">IF(A624="","",IFERROR(INDEX('2) Etapas'!L$3:L923,MATCH(B624,'2) Etapas'!$A$4:$A923,0),1),-1))</f>
        <v/>
      </c>
      <c r="AS624" s="87" t="str">
        <f t="shared" si="7"/>
        <v/>
      </c>
      <c r="AT624" s="87" t="str">
        <f t="shared" si="8"/>
        <v/>
      </c>
      <c r="AU624" s="87" t="str">
        <f t="shared" si="9"/>
        <v/>
      </c>
      <c r="AV624" s="89" t="str">
        <f t="array" ref="AV624">IF(OR($A624="",$AB624="", $AC624=""),"",MAXA(IF($A624=$A$4:$A923,$AC$4:$AC923)))</f>
        <v/>
      </c>
    </row>
    <row r="625" ht="22.5" customHeight="1">
      <c r="A625" s="76"/>
      <c r="B625" s="68" t="str">
        <f t="shared" si="1"/>
        <v/>
      </c>
      <c r="C625" s="110"/>
      <c r="D625" s="70" t="str">
        <f t="shared" si="2"/>
        <v/>
      </c>
      <c r="E625" s="76"/>
      <c r="F625" s="68" t="str">
        <f t="array" ref="F625">IF($A625="","",IFERROR(INDEX(MA_INDIVIDUALES!C$2:C923, MATCH($A625,MA_INDIVIDUALES!$B$2:$B923,0),1),"CÓDIGO DE EXPEDIENTE INVÁLIDO"))</f>
        <v/>
      </c>
      <c r="G625" s="68" t="str">
        <f t="array" ref="G625">IF($A625="","",IFERROR(INDEX(MA_INDIVIDUALES!K$2:K923, MATCH($A625,MA_INDIVIDUALES!$B$2:$B923,0),1),"CÓDIGO DE EXPEDIENTE INVÁLIDO"))</f>
        <v/>
      </c>
      <c r="H625" s="68" t="str">
        <f t="array" ref="H625">IF($A625="","",IFERROR(INDEX(MA_INDIVIDUALES!L$2:L923, MATCH($A625,MA_INDIVIDUALES!$B$2:$B923,0),1),"CÓDIGO DE EXPEDIENTE INVÁLIDO"))</f>
        <v/>
      </c>
      <c r="I625" s="76"/>
      <c r="J625" s="76"/>
      <c r="K625" s="75"/>
      <c r="L625" s="74" t="str">
        <f>IF(A625="","",IF(K625="","",_xlfn.WORKDAY.INTL(K625,5,1,FERIADOS)))</f>
        <v/>
      </c>
      <c r="M625" s="76"/>
      <c r="N625" s="75"/>
      <c r="O625" s="76"/>
      <c r="P625" s="77" t="str">
        <f t="shared" si="3"/>
        <v/>
      </c>
      <c r="Q625" s="75"/>
      <c r="R625" s="76"/>
      <c r="S625" s="75"/>
      <c r="T625" s="75"/>
      <c r="U625" s="76"/>
      <c r="V625" s="76"/>
      <c r="W625" s="75"/>
      <c r="X625" s="76"/>
      <c r="Y625" s="29" t="str">
        <f t="shared" si="4"/>
        <v/>
      </c>
      <c r="Z625" s="29" t="str">
        <f t="shared" si="5"/>
        <v/>
      </c>
      <c r="AA625" s="76"/>
      <c r="AB625" s="76"/>
      <c r="AC625" s="75"/>
      <c r="AD625" s="75"/>
      <c r="AE625" s="78" t="str">
        <f>IF(U625="","",IF(AD625="","",_xlfn.WORKDAY.INTL(AD625,7,1,FERIADOS)))</f>
        <v/>
      </c>
      <c r="AF625" s="104"/>
      <c r="AG625" s="80" t="str">
        <f t="array" ref="AG625">IF(A625="","",IF(AF625="","",AF625*INDEX(PARAMETROS!F$2:F1688,MATCH(YEAR(AC625),PARAMETROS!E$2:E1688,0),1)))</f>
        <v/>
      </c>
      <c r="AH625" s="81"/>
      <c r="AI625" s="82"/>
      <c r="AJ625" s="81"/>
      <c r="AK625" s="81"/>
      <c r="AL625" s="76"/>
      <c r="AM625" s="75"/>
      <c r="AN625" s="76"/>
      <c r="AO625" s="95"/>
      <c r="AP625" s="96"/>
      <c r="AQ625" s="85" t="str">
        <f t="shared" si="6"/>
        <v/>
      </c>
      <c r="AR625" s="86" t="str">
        <f t="array" ref="AR625">IF(A625="","",IFERROR(INDEX('2) Etapas'!L$3:L923,MATCH(B625,'2) Etapas'!$A$4:$A923,0),1),-1))</f>
        <v/>
      </c>
      <c r="AS625" s="87" t="str">
        <f t="shared" si="7"/>
        <v/>
      </c>
      <c r="AT625" s="87" t="str">
        <f t="shared" si="8"/>
        <v/>
      </c>
      <c r="AU625" s="87" t="str">
        <f t="shared" si="9"/>
        <v/>
      </c>
      <c r="AV625" s="89" t="str">
        <f t="array" ref="AV625">IF(OR($A625="",$AB625="", $AC625=""),"",MAXA(IF($A625=$A$4:$A923,$AC$4:$AC923)))</f>
        <v/>
      </c>
    </row>
    <row r="626" ht="22.5" customHeight="1">
      <c r="A626" s="76"/>
      <c r="B626" s="68" t="str">
        <f t="shared" si="1"/>
        <v/>
      </c>
      <c r="C626" s="110"/>
      <c r="D626" s="70" t="str">
        <f t="shared" si="2"/>
        <v/>
      </c>
      <c r="E626" s="76"/>
      <c r="F626" s="68" t="str">
        <f t="array" ref="F626">IF($A626="","",IFERROR(INDEX(MA_INDIVIDUALES!C$2:C923, MATCH($A626,MA_INDIVIDUALES!$B$2:$B923,0),1),"CÓDIGO DE EXPEDIENTE INVÁLIDO"))</f>
        <v/>
      </c>
      <c r="G626" s="68" t="str">
        <f t="array" ref="G626">IF($A626="","",IFERROR(INDEX(MA_INDIVIDUALES!K$2:K923, MATCH($A626,MA_INDIVIDUALES!$B$2:$B923,0),1),"CÓDIGO DE EXPEDIENTE INVÁLIDO"))</f>
        <v/>
      </c>
      <c r="H626" s="68" t="str">
        <f t="array" ref="H626">IF($A626="","",IFERROR(INDEX(MA_INDIVIDUALES!L$2:L923, MATCH($A626,MA_INDIVIDUALES!$B$2:$B923,0),1),"CÓDIGO DE EXPEDIENTE INVÁLIDO"))</f>
        <v/>
      </c>
      <c r="I626" s="76"/>
      <c r="J626" s="76"/>
      <c r="K626" s="75"/>
      <c r="L626" s="74" t="str">
        <f>IF(A626="","",IF(K626="","",_xlfn.WORKDAY.INTL(K626,5,1,FERIADOS)))</f>
        <v/>
      </c>
      <c r="M626" s="76"/>
      <c r="N626" s="75"/>
      <c r="O626" s="76"/>
      <c r="P626" s="77" t="str">
        <f t="shared" si="3"/>
        <v/>
      </c>
      <c r="Q626" s="75"/>
      <c r="R626" s="76"/>
      <c r="S626" s="75"/>
      <c r="T626" s="75"/>
      <c r="U626" s="76"/>
      <c r="V626" s="76"/>
      <c r="W626" s="75"/>
      <c r="X626" s="76"/>
      <c r="Y626" s="29" t="str">
        <f t="shared" si="4"/>
        <v/>
      </c>
      <c r="Z626" s="29" t="str">
        <f t="shared" si="5"/>
        <v/>
      </c>
      <c r="AA626" s="76"/>
      <c r="AB626" s="76"/>
      <c r="AC626" s="75"/>
      <c r="AD626" s="75"/>
      <c r="AE626" s="78" t="str">
        <f>IF(U626="","",IF(AD626="","",_xlfn.WORKDAY.INTL(AD626,7,1,FERIADOS)))</f>
        <v/>
      </c>
      <c r="AF626" s="104"/>
      <c r="AG626" s="80" t="str">
        <f t="array" ref="AG626">IF(A626="","",IF(AF626="","",AF626*INDEX(PARAMETROS!F$2:F1689,MATCH(YEAR(AC626),PARAMETROS!E$2:E1689,0),1)))</f>
        <v/>
      </c>
      <c r="AH626" s="81"/>
      <c r="AI626" s="82"/>
      <c r="AJ626" s="81"/>
      <c r="AK626" s="81"/>
      <c r="AL626" s="76"/>
      <c r="AM626" s="75"/>
      <c r="AN626" s="76"/>
      <c r="AO626" s="95"/>
      <c r="AP626" s="96"/>
      <c r="AQ626" s="85" t="str">
        <f t="shared" si="6"/>
        <v/>
      </c>
      <c r="AR626" s="86" t="str">
        <f t="array" ref="AR626">IF(A626="","",IFERROR(INDEX('2) Etapas'!L$3:L923,MATCH(B626,'2) Etapas'!$A$4:$A923,0),1),-1))</f>
        <v/>
      </c>
      <c r="AS626" s="87" t="str">
        <f t="shared" si="7"/>
        <v/>
      </c>
      <c r="AT626" s="87" t="str">
        <f t="shared" si="8"/>
        <v/>
      </c>
      <c r="AU626" s="87" t="str">
        <f t="shared" si="9"/>
        <v/>
      </c>
      <c r="AV626" s="89" t="str">
        <f t="array" ref="AV626">IF(OR($A626="",$AB626="", $AC626=""),"",MAXA(IF($A626=$A$4:$A923,$AC$4:$AC923)))</f>
        <v/>
      </c>
    </row>
    <row r="627" ht="22.5" customHeight="1">
      <c r="A627" s="76"/>
      <c r="B627" s="68" t="str">
        <f t="shared" si="1"/>
        <v/>
      </c>
      <c r="C627" s="110"/>
      <c r="D627" s="70" t="str">
        <f t="shared" si="2"/>
        <v/>
      </c>
      <c r="E627" s="76"/>
      <c r="F627" s="68" t="str">
        <f t="array" ref="F627">IF($A627="","",IFERROR(INDEX(MA_INDIVIDUALES!C$2:C923, MATCH($A627,MA_INDIVIDUALES!$B$2:$B923,0),1),"CÓDIGO DE EXPEDIENTE INVÁLIDO"))</f>
        <v/>
      </c>
      <c r="G627" s="68" t="str">
        <f t="array" ref="G627">IF($A627="","",IFERROR(INDEX(MA_INDIVIDUALES!K$2:K923, MATCH($A627,MA_INDIVIDUALES!$B$2:$B923,0),1),"CÓDIGO DE EXPEDIENTE INVÁLIDO"))</f>
        <v/>
      </c>
      <c r="H627" s="68" t="str">
        <f t="array" ref="H627">IF($A627="","",IFERROR(INDEX(MA_INDIVIDUALES!L$2:L923, MATCH($A627,MA_INDIVIDUALES!$B$2:$B923,0),1),"CÓDIGO DE EXPEDIENTE INVÁLIDO"))</f>
        <v/>
      </c>
      <c r="I627" s="76"/>
      <c r="J627" s="76"/>
      <c r="K627" s="75"/>
      <c r="L627" s="74" t="str">
        <f>IF(A627="","",IF(K627="","",_xlfn.WORKDAY.INTL(K627,5,1,FERIADOS)))</f>
        <v/>
      </c>
      <c r="M627" s="76"/>
      <c r="N627" s="75"/>
      <c r="O627" s="76"/>
      <c r="P627" s="77" t="str">
        <f t="shared" si="3"/>
        <v/>
      </c>
      <c r="Q627" s="75"/>
      <c r="R627" s="76"/>
      <c r="S627" s="75"/>
      <c r="T627" s="75"/>
      <c r="U627" s="76"/>
      <c r="V627" s="76"/>
      <c r="W627" s="75"/>
      <c r="X627" s="76"/>
      <c r="Y627" s="29" t="str">
        <f t="shared" si="4"/>
        <v/>
      </c>
      <c r="Z627" s="29" t="str">
        <f t="shared" si="5"/>
        <v/>
      </c>
      <c r="AA627" s="76"/>
      <c r="AB627" s="76"/>
      <c r="AC627" s="75"/>
      <c r="AD627" s="75"/>
      <c r="AE627" s="78" t="str">
        <f>IF(U627="","",IF(AD627="","",_xlfn.WORKDAY.INTL(AD627,7,1,FERIADOS)))</f>
        <v/>
      </c>
      <c r="AF627" s="104"/>
      <c r="AG627" s="80" t="str">
        <f t="array" ref="AG627">IF(A627="","",IF(AF627="","",AF627*INDEX(PARAMETROS!F$2:F1690,MATCH(YEAR(AC627),PARAMETROS!E$2:E1690,0),1)))</f>
        <v/>
      </c>
      <c r="AH627" s="81"/>
      <c r="AI627" s="82"/>
      <c r="AJ627" s="81"/>
      <c r="AK627" s="81"/>
      <c r="AL627" s="76"/>
      <c r="AM627" s="75"/>
      <c r="AN627" s="76"/>
      <c r="AO627" s="95"/>
      <c r="AP627" s="96"/>
      <c r="AQ627" s="85" t="str">
        <f t="shared" si="6"/>
        <v/>
      </c>
      <c r="AR627" s="86" t="str">
        <f t="array" ref="AR627">IF(A627="","",IFERROR(INDEX('2) Etapas'!L$3:L923,MATCH(B627,'2) Etapas'!$A$4:$A923,0),1),-1))</f>
        <v/>
      </c>
      <c r="AS627" s="87" t="str">
        <f t="shared" si="7"/>
        <v/>
      </c>
      <c r="AT627" s="87" t="str">
        <f t="shared" si="8"/>
        <v/>
      </c>
      <c r="AU627" s="87" t="str">
        <f t="shared" si="9"/>
        <v/>
      </c>
      <c r="AV627" s="89" t="str">
        <f t="array" ref="AV627">IF(OR($A627="",$AB627="", $AC627=""),"",MAXA(IF($A627=$A$4:$A923,$AC$4:$AC923)))</f>
        <v/>
      </c>
    </row>
    <row r="628" ht="22.5" customHeight="1">
      <c r="A628" s="76"/>
      <c r="B628" s="68" t="str">
        <f t="shared" si="1"/>
        <v/>
      </c>
      <c r="C628" s="110"/>
      <c r="D628" s="70" t="str">
        <f t="shared" si="2"/>
        <v/>
      </c>
      <c r="E628" s="76"/>
      <c r="F628" s="68" t="str">
        <f t="array" ref="F628">IF($A628="","",IFERROR(INDEX(MA_INDIVIDUALES!C$2:C923, MATCH($A628,MA_INDIVIDUALES!$B$2:$B923,0),1),"CÓDIGO DE EXPEDIENTE INVÁLIDO"))</f>
        <v/>
      </c>
      <c r="G628" s="68" t="str">
        <f t="array" ref="G628">IF($A628="","",IFERROR(INDEX(MA_INDIVIDUALES!K$2:K923, MATCH($A628,MA_INDIVIDUALES!$B$2:$B923,0),1),"CÓDIGO DE EXPEDIENTE INVÁLIDO"))</f>
        <v/>
      </c>
      <c r="H628" s="68" t="str">
        <f t="array" ref="H628">IF($A628="","",IFERROR(INDEX(MA_INDIVIDUALES!L$2:L923, MATCH($A628,MA_INDIVIDUALES!$B$2:$B923,0),1),"CÓDIGO DE EXPEDIENTE INVÁLIDO"))</f>
        <v/>
      </c>
      <c r="I628" s="76"/>
      <c r="J628" s="76"/>
      <c r="K628" s="75"/>
      <c r="L628" s="74" t="str">
        <f>IF(A628="","",IF(K628="","",_xlfn.WORKDAY.INTL(K628,5,1,FERIADOS)))</f>
        <v/>
      </c>
      <c r="M628" s="76"/>
      <c r="N628" s="75"/>
      <c r="O628" s="76"/>
      <c r="P628" s="77" t="str">
        <f t="shared" si="3"/>
        <v/>
      </c>
      <c r="Q628" s="75"/>
      <c r="R628" s="76"/>
      <c r="S628" s="75"/>
      <c r="T628" s="75"/>
      <c r="U628" s="76"/>
      <c r="V628" s="76"/>
      <c r="W628" s="75"/>
      <c r="X628" s="76"/>
      <c r="Y628" s="29" t="str">
        <f t="shared" si="4"/>
        <v/>
      </c>
      <c r="Z628" s="29" t="str">
        <f t="shared" si="5"/>
        <v/>
      </c>
      <c r="AA628" s="76"/>
      <c r="AB628" s="76"/>
      <c r="AC628" s="75"/>
      <c r="AD628" s="75"/>
      <c r="AE628" s="78" t="str">
        <f>IF(U628="","",IF(AD628="","",_xlfn.WORKDAY.INTL(AD628,7,1,FERIADOS)))</f>
        <v/>
      </c>
      <c r="AF628" s="104"/>
      <c r="AG628" s="80" t="str">
        <f t="array" ref="AG628">IF(A628="","",IF(AF628="","",AF628*INDEX(PARAMETROS!F$2:F1691,MATCH(YEAR(AC628),PARAMETROS!E$2:E1691,0),1)))</f>
        <v/>
      </c>
      <c r="AH628" s="81"/>
      <c r="AI628" s="82"/>
      <c r="AJ628" s="81"/>
      <c r="AK628" s="81"/>
      <c r="AL628" s="76"/>
      <c r="AM628" s="75"/>
      <c r="AN628" s="76"/>
      <c r="AO628" s="95"/>
      <c r="AP628" s="96"/>
      <c r="AQ628" s="85" t="str">
        <f t="shared" si="6"/>
        <v/>
      </c>
      <c r="AR628" s="86" t="str">
        <f t="array" ref="AR628">IF(A628="","",IFERROR(INDEX('2) Etapas'!L$3:L923,MATCH(B628,'2) Etapas'!$A$4:$A923,0),1),-1))</f>
        <v/>
      </c>
      <c r="AS628" s="87" t="str">
        <f t="shared" si="7"/>
        <v/>
      </c>
      <c r="AT628" s="87" t="str">
        <f t="shared" si="8"/>
        <v/>
      </c>
      <c r="AU628" s="87" t="str">
        <f t="shared" si="9"/>
        <v/>
      </c>
      <c r="AV628" s="89" t="str">
        <f t="array" ref="AV628">IF(OR($A628="",$AB628="", $AC628=""),"",MAXA(IF($A628=$A$4:$A923,$AC$4:$AC923)))</f>
        <v/>
      </c>
    </row>
    <row r="629" ht="22.5" customHeight="1">
      <c r="A629" s="76"/>
      <c r="B629" s="68" t="str">
        <f t="shared" si="1"/>
        <v/>
      </c>
      <c r="C629" s="110"/>
      <c r="D629" s="70" t="str">
        <f t="shared" si="2"/>
        <v/>
      </c>
      <c r="E629" s="76"/>
      <c r="F629" s="68" t="str">
        <f t="array" ref="F629">IF($A629="","",IFERROR(INDEX(MA_INDIVIDUALES!C$2:C923, MATCH($A629,MA_INDIVIDUALES!$B$2:$B923,0),1),"CÓDIGO DE EXPEDIENTE INVÁLIDO"))</f>
        <v/>
      </c>
      <c r="G629" s="68" t="str">
        <f t="array" ref="G629">IF($A629="","",IFERROR(INDEX(MA_INDIVIDUALES!K$2:K923, MATCH($A629,MA_INDIVIDUALES!$B$2:$B923,0),1),"CÓDIGO DE EXPEDIENTE INVÁLIDO"))</f>
        <v/>
      </c>
      <c r="H629" s="68" t="str">
        <f t="array" ref="H629">IF($A629="","",IFERROR(INDEX(MA_INDIVIDUALES!L$2:L923, MATCH($A629,MA_INDIVIDUALES!$B$2:$B923,0),1),"CÓDIGO DE EXPEDIENTE INVÁLIDO"))</f>
        <v/>
      </c>
      <c r="I629" s="76"/>
      <c r="J629" s="76"/>
      <c r="K629" s="75"/>
      <c r="L629" s="74" t="str">
        <f>IF(A629="","",IF(K629="","",_xlfn.WORKDAY.INTL(K629,5,1,FERIADOS)))</f>
        <v/>
      </c>
      <c r="M629" s="76"/>
      <c r="N629" s="75"/>
      <c r="O629" s="76"/>
      <c r="P629" s="77" t="str">
        <f t="shared" si="3"/>
        <v/>
      </c>
      <c r="Q629" s="75"/>
      <c r="R629" s="76"/>
      <c r="S629" s="75"/>
      <c r="T629" s="75"/>
      <c r="U629" s="76"/>
      <c r="V629" s="76"/>
      <c r="W629" s="75"/>
      <c r="X629" s="76"/>
      <c r="Y629" s="29" t="str">
        <f t="shared" si="4"/>
        <v/>
      </c>
      <c r="Z629" s="29" t="str">
        <f t="shared" si="5"/>
        <v/>
      </c>
      <c r="AA629" s="76"/>
      <c r="AB629" s="76"/>
      <c r="AC629" s="75"/>
      <c r="AD629" s="75"/>
      <c r="AE629" s="78" t="str">
        <f>IF(U629="","",IF(AD629="","",_xlfn.WORKDAY.INTL(AD629,7,1,FERIADOS)))</f>
        <v/>
      </c>
      <c r="AF629" s="104"/>
      <c r="AG629" s="80" t="str">
        <f t="array" ref="AG629">IF(A629="","",IF(AF629="","",AF629*INDEX(PARAMETROS!F$2:F1692,MATCH(YEAR(AC629),PARAMETROS!E$2:E1692,0),1)))</f>
        <v/>
      </c>
      <c r="AH629" s="81"/>
      <c r="AI629" s="82"/>
      <c r="AJ629" s="81"/>
      <c r="AK629" s="81"/>
      <c r="AL629" s="76"/>
      <c r="AM629" s="75"/>
      <c r="AN629" s="76"/>
      <c r="AO629" s="95"/>
      <c r="AP629" s="96"/>
      <c r="AQ629" s="85" t="str">
        <f t="shared" si="6"/>
        <v/>
      </c>
      <c r="AR629" s="86" t="str">
        <f t="array" ref="AR629">IF(A629="","",IFERROR(INDEX('2) Etapas'!L$3:L923,MATCH(B629,'2) Etapas'!$A$4:$A923,0),1),-1))</f>
        <v/>
      </c>
      <c r="AS629" s="87" t="str">
        <f t="shared" si="7"/>
        <v/>
      </c>
      <c r="AT629" s="87" t="str">
        <f t="shared" si="8"/>
        <v/>
      </c>
      <c r="AU629" s="87" t="str">
        <f t="shared" si="9"/>
        <v/>
      </c>
      <c r="AV629" s="89" t="str">
        <f t="array" ref="AV629">IF(OR($A629="",$AB629="", $AC629=""),"",MAXA(IF($A629=$A$4:$A923,$AC$4:$AC923)))</f>
        <v/>
      </c>
    </row>
    <row r="630" ht="22.5" customHeight="1">
      <c r="A630" s="76"/>
      <c r="B630" s="68" t="str">
        <f t="shared" si="1"/>
        <v/>
      </c>
      <c r="C630" s="110"/>
      <c r="D630" s="70" t="str">
        <f t="shared" si="2"/>
        <v/>
      </c>
      <c r="E630" s="76"/>
      <c r="F630" s="68" t="str">
        <f t="array" ref="F630">IF($A630="","",IFERROR(INDEX(MA_INDIVIDUALES!C$2:C923, MATCH($A630,MA_INDIVIDUALES!$B$2:$B923,0),1),"CÓDIGO DE EXPEDIENTE INVÁLIDO"))</f>
        <v/>
      </c>
      <c r="G630" s="68" t="str">
        <f t="array" ref="G630">IF($A630="","",IFERROR(INDEX(MA_INDIVIDUALES!K$2:K923, MATCH($A630,MA_INDIVIDUALES!$B$2:$B923,0),1),"CÓDIGO DE EXPEDIENTE INVÁLIDO"))</f>
        <v/>
      </c>
      <c r="H630" s="68" t="str">
        <f t="array" ref="H630">IF($A630="","",IFERROR(INDEX(MA_INDIVIDUALES!L$2:L923, MATCH($A630,MA_INDIVIDUALES!$B$2:$B923,0),1),"CÓDIGO DE EXPEDIENTE INVÁLIDO"))</f>
        <v/>
      </c>
      <c r="I630" s="76"/>
      <c r="J630" s="76"/>
      <c r="K630" s="75"/>
      <c r="L630" s="74" t="str">
        <f>IF(A630="","",IF(K630="","",_xlfn.WORKDAY.INTL(K630,5,1,FERIADOS)))</f>
        <v/>
      </c>
      <c r="M630" s="76"/>
      <c r="N630" s="75"/>
      <c r="O630" s="76"/>
      <c r="P630" s="77" t="str">
        <f t="shared" si="3"/>
        <v/>
      </c>
      <c r="Q630" s="75"/>
      <c r="R630" s="76"/>
      <c r="S630" s="75"/>
      <c r="T630" s="75"/>
      <c r="U630" s="76"/>
      <c r="V630" s="76"/>
      <c r="W630" s="75"/>
      <c r="X630" s="76"/>
      <c r="Y630" s="29" t="str">
        <f t="shared" si="4"/>
        <v/>
      </c>
      <c r="Z630" s="29" t="str">
        <f t="shared" si="5"/>
        <v/>
      </c>
      <c r="AA630" s="76"/>
      <c r="AB630" s="76"/>
      <c r="AC630" s="75"/>
      <c r="AD630" s="75"/>
      <c r="AE630" s="78" t="str">
        <f>IF(U630="","",IF(AD630="","",_xlfn.WORKDAY.INTL(AD630,7,1,FERIADOS)))</f>
        <v/>
      </c>
      <c r="AF630" s="104"/>
      <c r="AG630" s="80" t="str">
        <f t="array" ref="AG630">IF(A630="","",IF(AF630="","",AF630*INDEX(PARAMETROS!F$2:F1693,MATCH(YEAR(AC630),PARAMETROS!E$2:E1693,0),1)))</f>
        <v/>
      </c>
      <c r="AH630" s="81"/>
      <c r="AI630" s="82"/>
      <c r="AJ630" s="81"/>
      <c r="AK630" s="81"/>
      <c r="AL630" s="76"/>
      <c r="AM630" s="75"/>
      <c r="AN630" s="76"/>
      <c r="AO630" s="95"/>
      <c r="AP630" s="96"/>
      <c r="AQ630" s="85" t="str">
        <f t="shared" si="6"/>
        <v/>
      </c>
      <c r="AR630" s="86" t="str">
        <f t="array" ref="AR630">IF(A630="","",IFERROR(INDEX('2) Etapas'!L$3:L923,MATCH(B630,'2) Etapas'!$A$4:$A923,0),1),-1))</f>
        <v/>
      </c>
      <c r="AS630" s="87" t="str">
        <f t="shared" si="7"/>
        <v/>
      </c>
      <c r="AT630" s="87" t="str">
        <f t="shared" si="8"/>
        <v/>
      </c>
      <c r="AU630" s="87" t="str">
        <f t="shared" si="9"/>
        <v/>
      </c>
      <c r="AV630" s="89" t="str">
        <f t="array" ref="AV630">IF(OR($A630="",$AB630="", $AC630=""),"",MAXA(IF($A630=$A$4:$A923,$AC$4:$AC923)))</f>
        <v/>
      </c>
    </row>
    <row r="631" ht="22.5" customHeight="1">
      <c r="A631" s="76"/>
      <c r="B631" s="68" t="str">
        <f t="shared" si="1"/>
        <v/>
      </c>
      <c r="C631" s="110"/>
      <c r="D631" s="70" t="str">
        <f t="shared" si="2"/>
        <v/>
      </c>
      <c r="E631" s="76"/>
      <c r="F631" s="68" t="str">
        <f t="array" ref="F631">IF($A631="","",IFERROR(INDEX(MA_INDIVIDUALES!C$2:C923, MATCH($A631,MA_INDIVIDUALES!$B$2:$B923,0),1),"CÓDIGO DE EXPEDIENTE INVÁLIDO"))</f>
        <v/>
      </c>
      <c r="G631" s="68" t="str">
        <f t="array" ref="G631">IF($A631="","",IFERROR(INDEX(MA_INDIVIDUALES!K$2:K923, MATCH($A631,MA_INDIVIDUALES!$B$2:$B923,0),1),"CÓDIGO DE EXPEDIENTE INVÁLIDO"))</f>
        <v/>
      </c>
      <c r="H631" s="68" t="str">
        <f t="array" ref="H631">IF($A631="","",IFERROR(INDEX(MA_INDIVIDUALES!L$2:L923, MATCH($A631,MA_INDIVIDUALES!$B$2:$B923,0),1),"CÓDIGO DE EXPEDIENTE INVÁLIDO"))</f>
        <v/>
      </c>
      <c r="I631" s="76"/>
      <c r="J631" s="76"/>
      <c r="K631" s="75"/>
      <c r="L631" s="74" t="str">
        <f>IF(A631="","",IF(K631="","",_xlfn.WORKDAY.INTL(K631,5,1,FERIADOS)))</f>
        <v/>
      </c>
      <c r="M631" s="76"/>
      <c r="N631" s="75"/>
      <c r="O631" s="76"/>
      <c r="P631" s="77" t="str">
        <f t="shared" si="3"/>
        <v/>
      </c>
      <c r="Q631" s="75"/>
      <c r="R631" s="76"/>
      <c r="S631" s="75"/>
      <c r="T631" s="75"/>
      <c r="U631" s="76"/>
      <c r="V631" s="76"/>
      <c r="W631" s="75"/>
      <c r="X631" s="76"/>
      <c r="Y631" s="29" t="str">
        <f t="shared" si="4"/>
        <v/>
      </c>
      <c r="Z631" s="29" t="str">
        <f t="shared" si="5"/>
        <v/>
      </c>
      <c r="AA631" s="76"/>
      <c r="AB631" s="76"/>
      <c r="AC631" s="75"/>
      <c r="AD631" s="75"/>
      <c r="AE631" s="78" t="str">
        <f>IF(U631="","",IF(AD631="","",_xlfn.WORKDAY.INTL(AD631,7,1,FERIADOS)))</f>
        <v/>
      </c>
      <c r="AF631" s="104"/>
      <c r="AG631" s="80" t="str">
        <f t="array" ref="AG631">IF(A631="","",IF(AF631="","",AF631*INDEX(PARAMETROS!F$2:F1694,MATCH(YEAR(AC631),PARAMETROS!E$2:E1694,0),1)))</f>
        <v/>
      </c>
      <c r="AH631" s="81"/>
      <c r="AI631" s="82"/>
      <c r="AJ631" s="81"/>
      <c r="AK631" s="81"/>
      <c r="AL631" s="76"/>
      <c r="AM631" s="75"/>
      <c r="AN631" s="76"/>
      <c r="AO631" s="95"/>
      <c r="AP631" s="96"/>
      <c r="AQ631" s="85" t="str">
        <f t="shared" si="6"/>
        <v/>
      </c>
      <c r="AR631" s="86" t="str">
        <f t="array" ref="AR631">IF(A631="","",IFERROR(INDEX('2) Etapas'!L$3:L923,MATCH(B631,'2) Etapas'!$A$4:$A923,0),1),-1))</f>
        <v/>
      </c>
      <c r="AS631" s="87" t="str">
        <f t="shared" si="7"/>
        <v/>
      </c>
      <c r="AT631" s="87" t="str">
        <f t="shared" si="8"/>
        <v/>
      </c>
      <c r="AU631" s="87" t="str">
        <f t="shared" si="9"/>
        <v/>
      </c>
      <c r="AV631" s="89" t="str">
        <f t="array" ref="AV631">IF(OR($A631="",$AB631="", $AC631=""),"",MAXA(IF($A631=$A$4:$A923,$AC$4:$AC923)))</f>
        <v/>
      </c>
    </row>
    <row r="632" ht="22.5" customHeight="1">
      <c r="A632" s="76"/>
      <c r="B632" s="68" t="str">
        <f t="shared" si="1"/>
        <v/>
      </c>
      <c r="C632" s="110"/>
      <c r="D632" s="70" t="str">
        <f t="shared" si="2"/>
        <v/>
      </c>
      <c r="E632" s="76"/>
      <c r="F632" s="68" t="str">
        <f t="array" ref="F632">IF($A632="","",IFERROR(INDEX(MA_INDIVIDUALES!C$2:C923, MATCH($A632,MA_INDIVIDUALES!$B$2:$B923,0),1),"CÓDIGO DE EXPEDIENTE INVÁLIDO"))</f>
        <v/>
      </c>
      <c r="G632" s="68" t="str">
        <f t="array" ref="G632">IF($A632="","",IFERROR(INDEX(MA_INDIVIDUALES!K$2:K923, MATCH($A632,MA_INDIVIDUALES!$B$2:$B923,0),1),"CÓDIGO DE EXPEDIENTE INVÁLIDO"))</f>
        <v/>
      </c>
      <c r="H632" s="68" t="str">
        <f t="array" ref="H632">IF($A632="","",IFERROR(INDEX(MA_INDIVIDUALES!L$2:L923, MATCH($A632,MA_INDIVIDUALES!$B$2:$B923,0),1),"CÓDIGO DE EXPEDIENTE INVÁLIDO"))</f>
        <v/>
      </c>
      <c r="I632" s="76"/>
      <c r="J632" s="76"/>
      <c r="K632" s="75"/>
      <c r="L632" s="74" t="str">
        <f>IF(A632="","",IF(K632="","",_xlfn.WORKDAY.INTL(K632,5,1,FERIADOS)))</f>
        <v/>
      </c>
      <c r="M632" s="76"/>
      <c r="N632" s="75"/>
      <c r="O632" s="76"/>
      <c r="P632" s="77" t="str">
        <f t="shared" si="3"/>
        <v/>
      </c>
      <c r="Q632" s="75"/>
      <c r="R632" s="76"/>
      <c r="S632" s="75"/>
      <c r="T632" s="75"/>
      <c r="U632" s="76"/>
      <c r="V632" s="76"/>
      <c r="W632" s="75"/>
      <c r="X632" s="76"/>
      <c r="Y632" s="29" t="str">
        <f t="shared" si="4"/>
        <v/>
      </c>
      <c r="Z632" s="29" t="str">
        <f t="shared" si="5"/>
        <v/>
      </c>
      <c r="AA632" s="76"/>
      <c r="AB632" s="76"/>
      <c r="AC632" s="75"/>
      <c r="AD632" s="75"/>
      <c r="AE632" s="78" t="str">
        <f>IF(U632="","",IF(AD632="","",_xlfn.WORKDAY.INTL(AD632,7,1,FERIADOS)))</f>
        <v/>
      </c>
      <c r="AF632" s="104"/>
      <c r="AG632" s="80" t="str">
        <f t="array" ref="AG632">IF(A632="","",IF(AF632="","",AF632*INDEX(PARAMETROS!F$2:F1695,MATCH(YEAR(AC632),PARAMETROS!E$2:E1695,0),1)))</f>
        <v/>
      </c>
      <c r="AH632" s="81"/>
      <c r="AI632" s="82"/>
      <c r="AJ632" s="81"/>
      <c r="AK632" s="81"/>
      <c r="AL632" s="76"/>
      <c r="AM632" s="75"/>
      <c r="AN632" s="76"/>
      <c r="AO632" s="95"/>
      <c r="AP632" s="96"/>
      <c r="AQ632" s="85" t="str">
        <f t="shared" si="6"/>
        <v/>
      </c>
      <c r="AR632" s="86" t="str">
        <f t="array" ref="AR632">IF(A632="","",IFERROR(INDEX('2) Etapas'!L$3:L923,MATCH(B632,'2) Etapas'!$A$4:$A923,0),1),-1))</f>
        <v/>
      </c>
      <c r="AS632" s="87" t="str">
        <f t="shared" si="7"/>
        <v/>
      </c>
      <c r="AT632" s="87" t="str">
        <f t="shared" si="8"/>
        <v/>
      </c>
      <c r="AU632" s="87" t="str">
        <f t="shared" si="9"/>
        <v/>
      </c>
      <c r="AV632" s="89" t="str">
        <f t="array" ref="AV632">IF(OR($A632="",$AB632="", $AC632=""),"",MAXA(IF($A632=$A$4:$A923,$AC$4:$AC923)))</f>
        <v/>
      </c>
    </row>
    <row r="633" ht="22.5" customHeight="1">
      <c r="A633" s="76"/>
      <c r="B633" s="68" t="str">
        <f t="shared" si="1"/>
        <v/>
      </c>
      <c r="C633" s="110"/>
      <c r="D633" s="70" t="str">
        <f t="shared" si="2"/>
        <v/>
      </c>
      <c r="E633" s="76"/>
      <c r="F633" s="68" t="str">
        <f t="array" ref="F633">IF($A633="","",IFERROR(INDEX(MA_INDIVIDUALES!C$2:C923, MATCH($A633,MA_INDIVIDUALES!$B$2:$B923,0),1),"CÓDIGO DE EXPEDIENTE INVÁLIDO"))</f>
        <v/>
      </c>
      <c r="G633" s="68" t="str">
        <f t="array" ref="G633">IF($A633="","",IFERROR(INDEX(MA_INDIVIDUALES!K$2:K923, MATCH($A633,MA_INDIVIDUALES!$B$2:$B923,0),1),"CÓDIGO DE EXPEDIENTE INVÁLIDO"))</f>
        <v/>
      </c>
      <c r="H633" s="68" t="str">
        <f t="array" ref="H633">IF($A633="","",IFERROR(INDEX(MA_INDIVIDUALES!L$2:L923, MATCH($A633,MA_INDIVIDUALES!$B$2:$B923,0),1),"CÓDIGO DE EXPEDIENTE INVÁLIDO"))</f>
        <v/>
      </c>
      <c r="I633" s="76"/>
      <c r="J633" s="76"/>
      <c r="K633" s="75"/>
      <c r="L633" s="74" t="str">
        <f>IF(A633="","",IF(K633="","",_xlfn.WORKDAY.INTL(K633,5,1,FERIADOS)))</f>
        <v/>
      </c>
      <c r="M633" s="76"/>
      <c r="N633" s="75"/>
      <c r="O633" s="76"/>
      <c r="P633" s="77" t="str">
        <f t="shared" si="3"/>
        <v/>
      </c>
      <c r="Q633" s="75"/>
      <c r="R633" s="76"/>
      <c r="S633" s="75"/>
      <c r="T633" s="75"/>
      <c r="U633" s="76"/>
      <c r="V633" s="76"/>
      <c r="W633" s="75"/>
      <c r="X633" s="76"/>
      <c r="Y633" s="29" t="str">
        <f t="shared" si="4"/>
        <v/>
      </c>
      <c r="Z633" s="29" t="str">
        <f t="shared" si="5"/>
        <v/>
      </c>
      <c r="AA633" s="76"/>
      <c r="AB633" s="76"/>
      <c r="AC633" s="75"/>
      <c r="AD633" s="75"/>
      <c r="AE633" s="78" t="str">
        <f>IF(U633="","",IF(AD633="","",_xlfn.WORKDAY.INTL(AD633,7,1,FERIADOS)))</f>
        <v/>
      </c>
      <c r="AF633" s="104"/>
      <c r="AG633" s="80" t="str">
        <f t="array" ref="AG633">IF(A633="","",IF(AF633="","",AF633*INDEX(PARAMETROS!F$2:F1696,MATCH(YEAR(AC633),PARAMETROS!E$2:E1696,0),1)))</f>
        <v/>
      </c>
      <c r="AH633" s="81"/>
      <c r="AI633" s="82"/>
      <c r="AJ633" s="81"/>
      <c r="AK633" s="81"/>
      <c r="AL633" s="76"/>
      <c r="AM633" s="75"/>
      <c r="AN633" s="76"/>
      <c r="AO633" s="95"/>
      <c r="AP633" s="96"/>
      <c r="AQ633" s="85" t="str">
        <f t="shared" si="6"/>
        <v/>
      </c>
      <c r="AR633" s="86" t="str">
        <f t="array" ref="AR633">IF(A633="","",IFERROR(INDEX('2) Etapas'!L$3:L923,MATCH(B633,'2) Etapas'!$A$4:$A923,0),1),-1))</f>
        <v/>
      </c>
      <c r="AS633" s="87" t="str">
        <f t="shared" si="7"/>
        <v/>
      </c>
      <c r="AT633" s="87" t="str">
        <f t="shared" si="8"/>
        <v/>
      </c>
      <c r="AU633" s="87" t="str">
        <f t="shared" si="9"/>
        <v/>
      </c>
      <c r="AV633" s="89" t="str">
        <f t="array" ref="AV633">IF(OR($A633="",$AB633="", $AC633=""),"",MAXA(IF($A633=$A$4:$A923,$AC$4:$AC923)))</f>
        <v/>
      </c>
    </row>
    <row r="634" ht="22.5" customHeight="1">
      <c r="A634" s="76"/>
      <c r="B634" s="68" t="str">
        <f t="shared" si="1"/>
        <v/>
      </c>
      <c r="C634" s="110"/>
      <c r="D634" s="70" t="str">
        <f t="shared" si="2"/>
        <v/>
      </c>
      <c r="E634" s="76"/>
      <c r="F634" s="68" t="str">
        <f t="array" ref="F634">IF($A634="","",IFERROR(INDEX(MA_INDIVIDUALES!C$2:C923, MATCH($A634,MA_INDIVIDUALES!$B$2:$B923,0),1),"CÓDIGO DE EXPEDIENTE INVÁLIDO"))</f>
        <v/>
      </c>
      <c r="G634" s="68" t="str">
        <f t="array" ref="G634">IF($A634="","",IFERROR(INDEX(MA_INDIVIDUALES!K$2:K923, MATCH($A634,MA_INDIVIDUALES!$B$2:$B923,0),1),"CÓDIGO DE EXPEDIENTE INVÁLIDO"))</f>
        <v/>
      </c>
      <c r="H634" s="68" t="str">
        <f t="array" ref="H634">IF($A634="","",IFERROR(INDEX(MA_INDIVIDUALES!L$2:L923, MATCH($A634,MA_INDIVIDUALES!$B$2:$B923,0),1),"CÓDIGO DE EXPEDIENTE INVÁLIDO"))</f>
        <v/>
      </c>
      <c r="I634" s="76"/>
      <c r="J634" s="76"/>
      <c r="K634" s="75"/>
      <c r="L634" s="74" t="str">
        <f>IF(A634="","",IF(K634="","",_xlfn.WORKDAY.INTL(K634,5,1,FERIADOS)))</f>
        <v/>
      </c>
      <c r="M634" s="76"/>
      <c r="N634" s="75"/>
      <c r="O634" s="76"/>
      <c r="P634" s="77" t="str">
        <f t="shared" si="3"/>
        <v/>
      </c>
      <c r="Q634" s="75"/>
      <c r="R634" s="76"/>
      <c r="S634" s="75"/>
      <c r="T634" s="75"/>
      <c r="U634" s="76"/>
      <c r="V634" s="76"/>
      <c r="W634" s="75"/>
      <c r="X634" s="76"/>
      <c r="Y634" s="29" t="str">
        <f t="shared" si="4"/>
        <v/>
      </c>
      <c r="Z634" s="29" t="str">
        <f t="shared" si="5"/>
        <v/>
      </c>
      <c r="AA634" s="76"/>
      <c r="AB634" s="76"/>
      <c r="AC634" s="75"/>
      <c r="AD634" s="75"/>
      <c r="AE634" s="78" t="str">
        <f>IF(U634="","",IF(AD634="","",_xlfn.WORKDAY.INTL(AD634,7,1,FERIADOS)))</f>
        <v/>
      </c>
      <c r="AF634" s="104"/>
      <c r="AG634" s="80" t="str">
        <f t="array" ref="AG634">IF(A634="","",IF(AF634="","",AF634*INDEX(PARAMETROS!F$2:F1697,MATCH(YEAR(AC634),PARAMETROS!E$2:E1697,0),1)))</f>
        <v/>
      </c>
      <c r="AH634" s="81"/>
      <c r="AI634" s="82"/>
      <c r="AJ634" s="81"/>
      <c r="AK634" s="81"/>
      <c r="AL634" s="76"/>
      <c r="AM634" s="75"/>
      <c r="AN634" s="76"/>
      <c r="AO634" s="95"/>
      <c r="AP634" s="96"/>
      <c r="AQ634" s="85" t="str">
        <f t="shared" si="6"/>
        <v/>
      </c>
      <c r="AR634" s="86" t="str">
        <f t="array" ref="AR634">IF(A634="","",IFERROR(INDEX('2) Etapas'!L$3:L923,MATCH(B634,'2) Etapas'!$A$4:$A923,0),1),-1))</f>
        <v/>
      </c>
      <c r="AS634" s="87" t="str">
        <f t="shared" si="7"/>
        <v/>
      </c>
      <c r="AT634" s="87" t="str">
        <f t="shared" si="8"/>
        <v/>
      </c>
      <c r="AU634" s="87" t="str">
        <f t="shared" si="9"/>
        <v/>
      </c>
      <c r="AV634" s="89" t="str">
        <f t="array" ref="AV634">IF(OR($A634="",$AB634="", $AC634=""),"",MAXA(IF($A634=$A$4:$A923,$AC$4:$AC923)))</f>
        <v/>
      </c>
    </row>
    <row r="635" ht="22.5" customHeight="1">
      <c r="A635" s="76"/>
      <c r="B635" s="68" t="str">
        <f t="shared" si="1"/>
        <v/>
      </c>
      <c r="C635" s="110"/>
      <c r="D635" s="70" t="str">
        <f t="shared" si="2"/>
        <v/>
      </c>
      <c r="E635" s="76"/>
      <c r="F635" s="68" t="str">
        <f t="array" ref="F635">IF($A635="","",IFERROR(INDEX(MA_INDIVIDUALES!C$2:C923, MATCH($A635,MA_INDIVIDUALES!$B$2:$B923,0),1),"CÓDIGO DE EXPEDIENTE INVÁLIDO"))</f>
        <v/>
      </c>
      <c r="G635" s="68" t="str">
        <f t="array" ref="G635">IF($A635="","",IFERROR(INDEX(MA_INDIVIDUALES!K$2:K923, MATCH($A635,MA_INDIVIDUALES!$B$2:$B923,0),1),"CÓDIGO DE EXPEDIENTE INVÁLIDO"))</f>
        <v/>
      </c>
      <c r="H635" s="68" t="str">
        <f t="array" ref="H635">IF($A635="","",IFERROR(INDEX(MA_INDIVIDUALES!L$2:L923, MATCH($A635,MA_INDIVIDUALES!$B$2:$B923,0),1),"CÓDIGO DE EXPEDIENTE INVÁLIDO"))</f>
        <v/>
      </c>
      <c r="I635" s="76"/>
      <c r="J635" s="76"/>
      <c r="K635" s="75"/>
      <c r="L635" s="74" t="str">
        <f>IF(A635="","",IF(K635="","",_xlfn.WORKDAY.INTL(K635,5,1,FERIADOS)))</f>
        <v/>
      </c>
      <c r="M635" s="76"/>
      <c r="N635" s="75"/>
      <c r="O635" s="76"/>
      <c r="P635" s="77" t="str">
        <f t="shared" si="3"/>
        <v/>
      </c>
      <c r="Q635" s="75"/>
      <c r="R635" s="76"/>
      <c r="S635" s="75"/>
      <c r="T635" s="75"/>
      <c r="U635" s="76"/>
      <c r="V635" s="76"/>
      <c r="W635" s="75"/>
      <c r="X635" s="76"/>
      <c r="Y635" s="29" t="str">
        <f t="shared" si="4"/>
        <v/>
      </c>
      <c r="Z635" s="29" t="str">
        <f t="shared" si="5"/>
        <v/>
      </c>
      <c r="AA635" s="76"/>
      <c r="AB635" s="76"/>
      <c r="AC635" s="75"/>
      <c r="AD635" s="75"/>
      <c r="AE635" s="78" t="str">
        <f>IF(U635="","",IF(AD635="","",_xlfn.WORKDAY.INTL(AD635,7,1,FERIADOS)))</f>
        <v/>
      </c>
      <c r="AF635" s="104"/>
      <c r="AG635" s="80" t="str">
        <f t="array" ref="AG635">IF(A635="","",IF(AF635="","",AF635*INDEX(PARAMETROS!F$2:F1698,MATCH(YEAR(AC635),PARAMETROS!E$2:E1698,0),1)))</f>
        <v/>
      </c>
      <c r="AH635" s="81"/>
      <c r="AI635" s="82"/>
      <c r="AJ635" s="81"/>
      <c r="AK635" s="81"/>
      <c r="AL635" s="76"/>
      <c r="AM635" s="75"/>
      <c r="AN635" s="76"/>
      <c r="AO635" s="95"/>
      <c r="AP635" s="96"/>
      <c r="AQ635" s="85" t="str">
        <f t="shared" si="6"/>
        <v/>
      </c>
      <c r="AR635" s="86" t="str">
        <f t="array" ref="AR635">IF(A635="","",IFERROR(INDEX('2) Etapas'!L$3:L923,MATCH(B635,'2) Etapas'!$A$4:$A923,0),1),-1))</f>
        <v/>
      </c>
      <c r="AS635" s="87" t="str">
        <f t="shared" si="7"/>
        <v/>
      </c>
      <c r="AT635" s="87" t="str">
        <f t="shared" si="8"/>
        <v/>
      </c>
      <c r="AU635" s="87" t="str">
        <f t="shared" si="9"/>
        <v/>
      </c>
      <c r="AV635" s="89" t="str">
        <f t="array" ref="AV635">IF(OR($A635="",$AB635="", $AC635=""),"",MAXA(IF($A635=$A$4:$A923,$AC$4:$AC923)))</f>
        <v/>
      </c>
    </row>
    <row r="636" ht="22.5" customHeight="1">
      <c r="A636" s="76"/>
      <c r="B636" s="68" t="str">
        <f t="shared" si="1"/>
        <v/>
      </c>
      <c r="C636" s="110"/>
      <c r="D636" s="70" t="str">
        <f t="shared" si="2"/>
        <v/>
      </c>
      <c r="E636" s="76"/>
      <c r="F636" s="68" t="str">
        <f t="array" ref="F636">IF($A636="","",IFERROR(INDEX(MA_INDIVIDUALES!C$2:C923, MATCH($A636,MA_INDIVIDUALES!$B$2:$B923,0),1),"CÓDIGO DE EXPEDIENTE INVÁLIDO"))</f>
        <v/>
      </c>
      <c r="G636" s="68" t="str">
        <f t="array" ref="G636">IF($A636="","",IFERROR(INDEX(MA_INDIVIDUALES!K$2:K923, MATCH($A636,MA_INDIVIDUALES!$B$2:$B923,0),1),"CÓDIGO DE EXPEDIENTE INVÁLIDO"))</f>
        <v/>
      </c>
      <c r="H636" s="68" t="str">
        <f t="array" ref="H636">IF($A636="","",IFERROR(INDEX(MA_INDIVIDUALES!L$2:L923, MATCH($A636,MA_INDIVIDUALES!$B$2:$B923,0),1),"CÓDIGO DE EXPEDIENTE INVÁLIDO"))</f>
        <v/>
      </c>
      <c r="I636" s="76"/>
      <c r="J636" s="76"/>
      <c r="K636" s="75"/>
      <c r="L636" s="74" t="str">
        <f>IF(A636="","",IF(K636="","",_xlfn.WORKDAY.INTL(K636,5,1,FERIADOS)))</f>
        <v/>
      </c>
      <c r="M636" s="76"/>
      <c r="N636" s="75"/>
      <c r="O636" s="76"/>
      <c r="P636" s="77" t="str">
        <f t="shared" si="3"/>
        <v/>
      </c>
      <c r="Q636" s="75"/>
      <c r="R636" s="76"/>
      <c r="S636" s="75"/>
      <c r="T636" s="75"/>
      <c r="U636" s="76"/>
      <c r="V636" s="76"/>
      <c r="W636" s="75"/>
      <c r="X636" s="76"/>
      <c r="Y636" s="29" t="str">
        <f t="shared" si="4"/>
        <v/>
      </c>
      <c r="Z636" s="29" t="str">
        <f t="shared" si="5"/>
        <v/>
      </c>
      <c r="AA636" s="76"/>
      <c r="AB636" s="76"/>
      <c r="AC636" s="75"/>
      <c r="AD636" s="75"/>
      <c r="AE636" s="78" t="str">
        <f>IF(U636="","",IF(AD636="","",_xlfn.WORKDAY.INTL(AD636,7,1,FERIADOS)))</f>
        <v/>
      </c>
      <c r="AF636" s="104"/>
      <c r="AG636" s="80" t="str">
        <f t="array" ref="AG636">IF(A636="","",IF(AF636="","",AF636*INDEX(PARAMETROS!F$2:F1699,MATCH(YEAR(AC636),PARAMETROS!E$2:E1699,0),1)))</f>
        <v/>
      </c>
      <c r="AH636" s="81"/>
      <c r="AI636" s="82"/>
      <c r="AJ636" s="81"/>
      <c r="AK636" s="81"/>
      <c r="AL636" s="76"/>
      <c r="AM636" s="75"/>
      <c r="AN636" s="76"/>
      <c r="AO636" s="95"/>
      <c r="AP636" s="96"/>
      <c r="AQ636" s="85" t="str">
        <f t="shared" si="6"/>
        <v/>
      </c>
      <c r="AR636" s="86" t="str">
        <f t="array" ref="AR636">IF(A636="","",IFERROR(INDEX('2) Etapas'!L$3:L923,MATCH(B636,'2) Etapas'!$A$4:$A923,0),1),-1))</f>
        <v/>
      </c>
      <c r="AS636" s="87" t="str">
        <f t="shared" si="7"/>
        <v/>
      </c>
      <c r="AT636" s="87" t="str">
        <f t="shared" si="8"/>
        <v/>
      </c>
      <c r="AU636" s="87" t="str">
        <f t="shared" si="9"/>
        <v/>
      </c>
      <c r="AV636" s="89" t="str">
        <f t="array" ref="AV636">IF(OR($A636="",$AB636="", $AC636=""),"",MAXA(IF($A636=$A$4:$A923,$AC$4:$AC923)))</f>
        <v/>
      </c>
    </row>
    <row r="637" ht="22.5" customHeight="1">
      <c r="A637" s="76"/>
      <c r="B637" s="68" t="str">
        <f t="shared" si="1"/>
        <v/>
      </c>
      <c r="C637" s="110"/>
      <c r="D637" s="70" t="str">
        <f t="shared" si="2"/>
        <v/>
      </c>
      <c r="E637" s="76"/>
      <c r="F637" s="68" t="str">
        <f t="array" ref="F637">IF($A637="","",IFERROR(INDEX(MA_INDIVIDUALES!C$2:C923, MATCH($A637,MA_INDIVIDUALES!$B$2:$B923,0),1),"CÓDIGO DE EXPEDIENTE INVÁLIDO"))</f>
        <v/>
      </c>
      <c r="G637" s="68" t="str">
        <f t="array" ref="G637">IF($A637="","",IFERROR(INDEX(MA_INDIVIDUALES!K$2:K923, MATCH($A637,MA_INDIVIDUALES!$B$2:$B923,0),1),"CÓDIGO DE EXPEDIENTE INVÁLIDO"))</f>
        <v/>
      </c>
      <c r="H637" s="68" t="str">
        <f t="array" ref="H637">IF($A637="","",IFERROR(INDEX(MA_INDIVIDUALES!L$2:L923, MATCH($A637,MA_INDIVIDUALES!$B$2:$B923,0),1),"CÓDIGO DE EXPEDIENTE INVÁLIDO"))</f>
        <v/>
      </c>
      <c r="I637" s="76"/>
      <c r="J637" s="76"/>
      <c r="K637" s="75"/>
      <c r="L637" s="74" t="str">
        <f>IF(A637="","",IF(K637="","",_xlfn.WORKDAY.INTL(K637,5,1,FERIADOS)))</f>
        <v/>
      </c>
      <c r="M637" s="76"/>
      <c r="N637" s="75"/>
      <c r="O637" s="76"/>
      <c r="P637" s="77" t="str">
        <f t="shared" si="3"/>
        <v/>
      </c>
      <c r="Q637" s="75"/>
      <c r="R637" s="76"/>
      <c r="S637" s="75"/>
      <c r="T637" s="75"/>
      <c r="U637" s="76"/>
      <c r="V637" s="76"/>
      <c r="W637" s="75"/>
      <c r="X637" s="76"/>
      <c r="Y637" s="29" t="str">
        <f t="shared" si="4"/>
        <v/>
      </c>
      <c r="Z637" s="29" t="str">
        <f t="shared" si="5"/>
        <v/>
      </c>
      <c r="AA637" s="76"/>
      <c r="AB637" s="76"/>
      <c r="AC637" s="75"/>
      <c r="AD637" s="75"/>
      <c r="AE637" s="78" t="str">
        <f>IF(U637="","",IF(AD637="","",_xlfn.WORKDAY.INTL(AD637,7,1,FERIADOS)))</f>
        <v/>
      </c>
      <c r="AF637" s="104"/>
      <c r="AG637" s="80" t="str">
        <f t="array" ref="AG637">IF(A637="","",IF(AF637="","",AF637*INDEX(PARAMETROS!F$2:F1700,MATCH(YEAR(AC637),PARAMETROS!E$2:E1700,0),1)))</f>
        <v/>
      </c>
      <c r="AH637" s="81"/>
      <c r="AI637" s="82"/>
      <c r="AJ637" s="81"/>
      <c r="AK637" s="81"/>
      <c r="AL637" s="76"/>
      <c r="AM637" s="75"/>
      <c r="AN637" s="76"/>
      <c r="AO637" s="95"/>
      <c r="AP637" s="96"/>
      <c r="AQ637" s="85" t="str">
        <f t="shared" si="6"/>
        <v/>
      </c>
      <c r="AR637" s="86" t="str">
        <f t="array" ref="AR637">IF(A637="","",IFERROR(INDEX('2) Etapas'!L$3:L923,MATCH(B637,'2) Etapas'!$A$4:$A923,0),1),-1))</f>
        <v/>
      </c>
      <c r="AS637" s="87" t="str">
        <f t="shared" si="7"/>
        <v/>
      </c>
      <c r="AT637" s="87" t="str">
        <f t="shared" si="8"/>
        <v/>
      </c>
      <c r="AU637" s="87" t="str">
        <f t="shared" si="9"/>
        <v/>
      </c>
      <c r="AV637" s="89" t="str">
        <f t="array" ref="AV637">IF(OR($A637="",$AB637="", $AC637=""),"",MAXA(IF($A637=$A$4:$A923,$AC$4:$AC923)))</f>
        <v/>
      </c>
    </row>
    <row r="638" ht="22.5" customHeight="1">
      <c r="A638" s="76"/>
      <c r="B638" s="68" t="str">
        <f t="shared" si="1"/>
        <v/>
      </c>
      <c r="C638" s="110"/>
      <c r="D638" s="70" t="str">
        <f t="shared" si="2"/>
        <v/>
      </c>
      <c r="E638" s="76"/>
      <c r="F638" s="68" t="str">
        <f t="array" ref="F638">IF($A638="","",IFERROR(INDEX(MA_INDIVIDUALES!C$2:C923, MATCH($A638,MA_INDIVIDUALES!$B$2:$B923,0),1),"CÓDIGO DE EXPEDIENTE INVÁLIDO"))</f>
        <v/>
      </c>
      <c r="G638" s="68" t="str">
        <f t="array" ref="G638">IF($A638="","",IFERROR(INDEX(MA_INDIVIDUALES!K$2:K923, MATCH($A638,MA_INDIVIDUALES!$B$2:$B923,0),1),"CÓDIGO DE EXPEDIENTE INVÁLIDO"))</f>
        <v/>
      </c>
      <c r="H638" s="68" t="str">
        <f t="array" ref="H638">IF($A638="","",IFERROR(INDEX(MA_INDIVIDUALES!L$2:L923, MATCH($A638,MA_INDIVIDUALES!$B$2:$B923,0),1),"CÓDIGO DE EXPEDIENTE INVÁLIDO"))</f>
        <v/>
      </c>
      <c r="I638" s="76"/>
      <c r="J638" s="76"/>
      <c r="K638" s="75"/>
      <c r="L638" s="74" t="str">
        <f>IF(A638="","",IF(K638="","",_xlfn.WORKDAY.INTL(K638,5,1,FERIADOS)))</f>
        <v/>
      </c>
      <c r="M638" s="76"/>
      <c r="N638" s="75"/>
      <c r="O638" s="76"/>
      <c r="P638" s="77" t="str">
        <f t="shared" si="3"/>
        <v/>
      </c>
      <c r="Q638" s="75"/>
      <c r="R638" s="76"/>
      <c r="S638" s="75"/>
      <c r="T638" s="75"/>
      <c r="U638" s="76"/>
      <c r="V638" s="76"/>
      <c r="W638" s="75"/>
      <c r="X638" s="76"/>
      <c r="Y638" s="29" t="str">
        <f t="shared" si="4"/>
        <v/>
      </c>
      <c r="Z638" s="29" t="str">
        <f t="shared" si="5"/>
        <v/>
      </c>
      <c r="AA638" s="76"/>
      <c r="AB638" s="76"/>
      <c r="AC638" s="75"/>
      <c r="AD638" s="75"/>
      <c r="AE638" s="78" t="str">
        <f>IF(U638="","",IF(AD638="","",_xlfn.WORKDAY.INTL(AD638,7,1,FERIADOS)))</f>
        <v/>
      </c>
      <c r="AF638" s="104"/>
      <c r="AG638" s="80" t="str">
        <f t="array" ref="AG638">IF(A638="","",IF(AF638="","",AF638*INDEX(PARAMETROS!F$2:F1701,MATCH(YEAR(AC638),PARAMETROS!E$2:E1701,0),1)))</f>
        <v/>
      </c>
      <c r="AH638" s="81"/>
      <c r="AI638" s="82"/>
      <c r="AJ638" s="81"/>
      <c r="AK638" s="81"/>
      <c r="AL638" s="76"/>
      <c r="AM638" s="75"/>
      <c r="AN638" s="76"/>
      <c r="AO638" s="95"/>
      <c r="AP638" s="96"/>
      <c r="AQ638" s="85" t="str">
        <f t="shared" si="6"/>
        <v/>
      </c>
      <c r="AR638" s="86" t="str">
        <f t="array" ref="AR638">IF(A638="","",IFERROR(INDEX('2) Etapas'!L$3:L923,MATCH(B638,'2) Etapas'!$A$4:$A923,0),1),-1))</f>
        <v/>
      </c>
      <c r="AS638" s="87" t="str">
        <f t="shared" si="7"/>
        <v/>
      </c>
      <c r="AT638" s="87" t="str">
        <f t="shared" si="8"/>
        <v/>
      </c>
      <c r="AU638" s="87" t="str">
        <f t="shared" si="9"/>
        <v/>
      </c>
      <c r="AV638" s="89" t="str">
        <f t="array" ref="AV638">IF(OR($A638="",$AB638="", $AC638=""),"",MAXA(IF($A638=$A$4:$A923,$AC$4:$AC923)))</f>
        <v/>
      </c>
    </row>
    <row r="639" ht="22.5" customHeight="1">
      <c r="A639" s="76"/>
      <c r="B639" s="68" t="str">
        <f t="shared" si="1"/>
        <v/>
      </c>
      <c r="C639" s="110"/>
      <c r="D639" s="70" t="str">
        <f t="shared" si="2"/>
        <v/>
      </c>
      <c r="E639" s="76"/>
      <c r="F639" s="68" t="str">
        <f t="array" ref="F639">IF($A639="","",IFERROR(INDEX(MA_INDIVIDUALES!C$2:C923, MATCH($A639,MA_INDIVIDUALES!$B$2:$B923,0),1),"CÓDIGO DE EXPEDIENTE INVÁLIDO"))</f>
        <v/>
      </c>
      <c r="G639" s="68" t="str">
        <f t="array" ref="G639">IF($A639="","",IFERROR(INDEX(MA_INDIVIDUALES!K$2:K923, MATCH($A639,MA_INDIVIDUALES!$B$2:$B923,0),1),"CÓDIGO DE EXPEDIENTE INVÁLIDO"))</f>
        <v/>
      </c>
      <c r="H639" s="68" t="str">
        <f t="array" ref="H639">IF($A639="","",IFERROR(INDEX(MA_INDIVIDUALES!L$2:L923, MATCH($A639,MA_INDIVIDUALES!$B$2:$B923,0),1),"CÓDIGO DE EXPEDIENTE INVÁLIDO"))</f>
        <v/>
      </c>
      <c r="I639" s="76"/>
      <c r="J639" s="76"/>
      <c r="K639" s="75"/>
      <c r="L639" s="74" t="str">
        <f>IF(A639="","",IF(K639="","",_xlfn.WORKDAY.INTL(K639,5,1,FERIADOS)))</f>
        <v/>
      </c>
      <c r="M639" s="76"/>
      <c r="N639" s="75"/>
      <c r="O639" s="76"/>
      <c r="P639" s="77" t="str">
        <f t="shared" si="3"/>
        <v/>
      </c>
      <c r="Q639" s="75"/>
      <c r="R639" s="76"/>
      <c r="S639" s="75"/>
      <c r="T639" s="75"/>
      <c r="U639" s="76"/>
      <c r="V639" s="76"/>
      <c r="W639" s="75"/>
      <c r="X639" s="76"/>
      <c r="Y639" s="29" t="str">
        <f t="shared" si="4"/>
        <v/>
      </c>
      <c r="Z639" s="29" t="str">
        <f t="shared" si="5"/>
        <v/>
      </c>
      <c r="AA639" s="76"/>
      <c r="AB639" s="76"/>
      <c r="AC639" s="75"/>
      <c r="AD639" s="75"/>
      <c r="AE639" s="78" t="str">
        <f>IF(U639="","",IF(AD639="","",_xlfn.WORKDAY.INTL(AD639,7,1,FERIADOS)))</f>
        <v/>
      </c>
      <c r="AF639" s="104"/>
      <c r="AG639" s="80" t="str">
        <f t="array" ref="AG639">IF(A639="","",IF(AF639="","",AF639*INDEX(PARAMETROS!F$2:F1702,MATCH(YEAR(AC639),PARAMETROS!E$2:E1702,0),1)))</f>
        <v/>
      </c>
      <c r="AH639" s="81"/>
      <c r="AI639" s="82"/>
      <c r="AJ639" s="81"/>
      <c r="AK639" s="81"/>
      <c r="AL639" s="76"/>
      <c r="AM639" s="75"/>
      <c r="AN639" s="76"/>
      <c r="AO639" s="95"/>
      <c r="AP639" s="96"/>
      <c r="AQ639" s="85" t="str">
        <f t="shared" si="6"/>
        <v/>
      </c>
      <c r="AR639" s="86" t="str">
        <f t="array" ref="AR639">IF(A639="","",IFERROR(INDEX('2) Etapas'!L$3:L923,MATCH(B639,'2) Etapas'!$A$4:$A923,0),1),-1))</f>
        <v/>
      </c>
      <c r="AS639" s="87" t="str">
        <f t="shared" si="7"/>
        <v/>
      </c>
      <c r="AT639" s="87" t="str">
        <f t="shared" si="8"/>
        <v/>
      </c>
      <c r="AU639" s="87" t="str">
        <f t="shared" si="9"/>
        <v/>
      </c>
      <c r="AV639" s="89" t="str">
        <f t="array" ref="AV639">IF(OR($A639="",$AB639="", $AC639=""),"",MAXA(IF($A639=$A$4:$A923,$AC$4:$AC923)))</f>
        <v/>
      </c>
    </row>
    <row r="640" ht="22.5" customHeight="1">
      <c r="A640" s="76"/>
      <c r="B640" s="68" t="str">
        <f t="shared" si="1"/>
        <v/>
      </c>
      <c r="C640" s="110"/>
      <c r="D640" s="70" t="str">
        <f t="shared" si="2"/>
        <v/>
      </c>
      <c r="E640" s="76"/>
      <c r="F640" s="68" t="str">
        <f t="array" ref="F640">IF($A640="","",IFERROR(INDEX(MA_INDIVIDUALES!C$2:C923, MATCH($A640,MA_INDIVIDUALES!$B$2:$B923,0),1),"CÓDIGO DE EXPEDIENTE INVÁLIDO"))</f>
        <v/>
      </c>
      <c r="G640" s="68" t="str">
        <f t="array" ref="G640">IF($A640="","",IFERROR(INDEX(MA_INDIVIDUALES!K$2:K923, MATCH($A640,MA_INDIVIDUALES!$B$2:$B923,0),1),"CÓDIGO DE EXPEDIENTE INVÁLIDO"))</f>
        <v/>
      </c>
      <c r="H640" s="68" t="str">
        <f t="array" ref="H640">IF($A640="","",IFERROR(INDEX(MA_INDIVIDUALES!L$2:L923, MATCH($A640,MA_INDIVIDUALES!$B$2:$B923,0),1),"CÓDIGO DE EXPEDIENTE INVÁLIDO"))</f>
        <v/>
      </c>
      <c r="I640" s="76"/>
      <c r="J640" s="76"/>
      <c r="K640" s="75"/>
      <c r="L640" s="74" t="str">
        <f>IF(A640="","",IF(K640="","",_xlfn.WORKDAY.INTL(K640,5,1,FERIADOS)))</f>
        <v/>
      </c>
      <c r="M640" s="76"/>
      <c r="N640" s="75"/>
      <c r="O640" s="76"/>
      <c r="P640" s="77" t="str">
        <f t="shared" si="3"/>
        <v/>
      </c>
      <c r="Q640" s="75"/>
      <c r="R640" s="76"/>
      <c r="S640" s="75"/>
      <c r="T640" s="75"/>
      <c r="U640" s="76"/>
      <c r="V640" s="76"/>
      <c r="W640" s="75"/>
      <c r="X640" s="76"/>
      <c r="Y640" s="29" t="str">
        <f t="shared" si="4"/>
        <v/>
      </c>
      <c r="Z640" s="29" t="str">
        <f t="shared" si="5"/>
        <v/>
      </c>
      <c r="AA640" s="76"/>
      <c r="AB640" s="76"/>
      <c r="AC640" s="75"/>
      <c r="AD640" s="75"/>
      <c r="AE640" s="78" t="str">
        <f>IF(U640="","",IF(AD640="","",_xlfn.WORKDAY.INTL(AD640,7,1,FERIADOS)))</f>
        <v/>
      </c>
      <c r="AF640" s="104"/>
      <c r="AG640" s="80" t="str">
        <f t="array" ref="AG640">IF(A640="","",IF(AF640="","",AF640*INDEX(PARAMETROS!F$2:F1703,MATCH(YEAR(AC640),PARAMETROS!E$2:E1703,0),1)))</f>
        <v/>
      </c>
      <c r="AH640" s="81"/>
      <c r="AI640" s="82"/>
      <c r="AJ640" s="81"/>
      <c r="AK640" s="81"/>
      <c r="AL640" s="76"/>
      <c r="AM640" s="75"/>
      <c r="AN640" s="76"/>
      <c r="AO640" s="95"/>
      <c r="AP640" s="96"/>
      <c r="AQ640" s="85" t="str">
        <f t="shared" si="6"/>
        <v/>
      </c>
      <c r="AR640" s="86" t="str">
        <f t="array" ref="AR640">IF(A640="","",IFERROR(INDEX('2) Etapas'!L$3:L923,MATCH(B640,'2) Etapas'!$A$4:$A923,0),1),-1))</f>
        <v/>
      </c>
      <c r="AS640" s="87" t="str">
        <f t="shared" si="7"/>
        <v/>
      </c>
      <c r="AT640" s="87" t="str">
        <f t="shared" si="8"/>
        <v/>
      </c>
      <c r="AU640" s="87" t="str">
        <f t="shared" si="9"/>
        <v/>
      </c>
      <c r="AV640" s="89" t="str">
        <f t="array" ref="AV640">IF(OR($A640="",$AB640="", $AC640=""),"",MAXA(IF($A640=$A$4:$A923,$AC$4:$AC923)))</f>
        <v/>
      </c>
    </row>
    <row r="641" ht="22.5" customHeight="1">
      <c r="A641" s="76"/>
      <c r="B641" s="68" t="str">
        <f t="shared" si="1"/>
        <v/>
      </c>
      <c r="C641" s="110"/>
      <c r="D641" s="70" t="str">
        <f t="shared" si="2"/>
        <v/>
      </c>
      <c r="E641" s="76"/>
      <c r="F641" s="68" t="str">
        <f t="array" ref="F641">IF($A641="","",IFERROR(INDEX(MA_INDIVIDUALES!C$2:C923, MATCH($A641,MA_INDIVIDUALES!$B$2:$B923,0),1),"CÓDIGO DE EXPEDIENTE INVÁLIDO"))</f>
        <v/>
      </c>
      <c r="G641" s="68" t="str">
        <f t="array" ref="G641">IF($A641="","",IFERROR(INDEX(MA_INDIVIDUALES!K$2:K923, MATCH($A641,MA_INDIVIDUALES!$B$2:$B923,0),1),"CÓDIGO DE EXPEDIENTE INVÁLIDO"))</f>
        <v/>
      </c>
      <c r="H641" s="68" t="str">
        <f t="array" ref="H641">IF($A641="","",IFERROR(INDEX(MA_INDIVIDUALES!L$2:L923, MATCH($A641,MA_INDIVIDUALES!$B$2:$B923,0),1),"CÓDIGO DE EXPEDIENTE INVÁLIDO"))</f>
        <v/>
      </c>
      <c r="I641" s="76"/>
      <c r="J641" s="76"/>
      <c r="K641" s="75"/>
      <c r="L641" s="74" t="str">
        <f>IF(A641="","",IF(K641="","",_xlfn.WORKDAY.INTL(K641,5,1,FERIADOS)))</f>
        <v/>
      </c>
      <c r="M641" s="76"/>
      <c r="N641" s="75"/>
      <c r="O641" s="76"/>
      <c r="P641" s="77" t="str">
        <f t="shared" si="3"/>
        <v/>
      </c>
      <c r="Q641" s="75"/>
      <c r="R641" s="76"/>
      <c r="S641" s="75"/>
      <c r="T641" s="75"/>
      <c r="U641" s="76"/>
      <c r="V641" s="76"/>
      <c r="W641" s="75"/>
      <c r="X641" s="76"/>
      <c r="Y641" s="29" t="str">
        <f t="shared" si="4"/>
        <v/>
      </c>
      <c r="Z641" s="29" t="str">
        <f t="shared" si="5"/>
        <v/>
      </c>
      <c r="AA641" s="76"/>
      <c r="AB641" s="76"/>
      <c r="AC641" s="75"/>
      <c r="AD641" s="75"/>
      <c r="AE641" s="78" t="str">
        <f>IF(U641="","",IF(AD641="","",_xlfn.WORKDAY.INTL(AD641,7,1,FERIADOS)))</f>
        <v/>
      </c>
      <c r="AF641" s="104"/>
      <c r="AG641" s="80" t="str">
        <f t="array" ref="AG641">IF(A641="","",IF(AF641="","",AF641*INDEX(PARAMETROS!F$2:F1704,MATCH(YEAR(AC641),PARAMETROS!E$2:E1704,0),1)))</f>
        <v/>
      </c>
      <c r="AH641" s="81"/>
      <c r="AI641" s="82"/>
      <c r="AJ641" s="81"/>
      <c r="AK641" s="81"/>
      <c r="AL641" s="76"/>
      <c r="AM641" s="75"/>
      <c r="AN641" s="76"/>
      <c r="AO641" s="95"/>
      <c r="AP641" s="96"/>
      <c r="AQ641" s="85" t="str">
        <f t="shared" si="6"/>
        <v/>
      </c>
      <c r="AR641" s="86" t="str">
        <f t="array" ref="AR641">IF(A641="","",IFERROR(INDEX('2) Etapas'!L$3:L923,MATCH(B641,'2) Etapas'!$A$4:$A923,0),1),-1))</f>
        <v/>
      </c>
      <c r="AS641" s="87" t="str">
        <f t="shared" si="7"/>
        <v/>
      </c>
      <c r="AT641" s="87" t="str">
        <f t="shared" si="8"/>
        <v/>
      </c>
      <c r="AU641" s="87" t="str">
        <f t="shared" si="9"/>
        <v/>
      </c>
      <c r="AV641" s="89" t="str">
        <f t="array" ref="AV641">IF(OR($A641="",$AB641="", $AC641=""),"",MAXA(IF($A641=$A$4:$A923,$AC$4:$AC923)))</f>
        <v/>
      </c>
    </row>
    <row r="642" ht="22.5" customHeight="1">
      <c r="A642" s="76"/>
      <c r="B642" s="68" t="str">
        <f t="shared" si="1"/>
        <v/>
      </c>
      <c r="C642" s="110"/>
      <c r="D642" s="70" t="str">
        <f t="shared" si="2"/>
        <v/>
      </c>
      <c r="E642" s="76"/>
      <c r="F642" s="68" t="str">
        <f t="array" ref="F642">IF($A642="","",IFERROR(INDEX(MA_INDIVIDUALES!C$2:C923, MATCH($A642,MA_INDIVIDUALES!$B$2:$B923,0),1),"CÓDIGO DE EXPEDIENTE INVÁLIDO"))</f>
        <v/>
      </c>
      <c r="G642" s="68" t="str">
        <f t="array" ref="G642">IF($A642="","",IFERROR(INDEX(MA_INDIVIDUALES!K$2:K923, MATCH($A642,MA_INDIVIDUALES!$B$2:$B923,0),1),"CÓDIGO DE EXPEDIENTE INVÁLIDO"))</f>
        <v/>
      </c>
      <c r="H642" s="68" t="str">
        <f t="array" ref="H642">IF($A642="","",IFERROR(INDEX(MA_INDIVIDUALES!L$2:L923, MATCH($A642,MA_INDIVIDUALES!$B$2:$B923,0),1),"CÓDIGO DE EXPEDIENTE INVÁLIDO"))</f>
        <v/>
      </c>
      <c r="I642" s="76"/>
      <c r="J642" s="76"/>
      <c r="K642" s="75"/>
      <c r="L642" s="74" t="str">
        <f>IF(A642="","",IF(K642="","",_xlfn.WORKDAY.INTL(K642,5,1,FERIADOS)))</f>
        <v/>
      </c>
      <c r="M642" s="76"/>
      <c r="N642" s="75"/>
      <c r="O642" s="76"/>
      <c r="P642" s="77" t="str">
        <f t="shared" si="3"/>
        <v/>
      </c>
      <c r="Q642" s="75"/>
      <c r="R642" s="76"/>
      <c r="S642" s="75"/>
      <c r="T642" s="75"/>
      <c r="U642" s="76"/>
      <c r="V642" s="76"/>
      <c r="W642" s="75"/>
      <c r="X642" s="76"/>
      <c r="Y642" s="29" t="str">
        <f t="shared" si="4"/>
        <v/>
      </c>
      <c r="Z642" s="29" t="str">
        <f t="shared" si="5"/>
        <v/>
      </c>
      <c r="AA642" s="76"/>
      <c r="AB642" s="76"/>
      <c r="AC642" s="75"/>
      <c r="AD642" s="75"/>
      <c r="AE642" s="78" t="str">
        <f>IF(U642="","",IF(AD642="","",_xlfn.WORKDAY.INTL(AD642,7,1,FERIADOS)))</f>
        <v/>
      </c>
      <c r="AF642" s="104"/>
      <c r="AG642" s="80" t="str">
        <f t="array" ref="AG642">IF(A642="","",IF(AF642="","",AF642*INDEX(PARAMETROS!F$2:F1705,MATCH(YEAR(AC642),PARAMETROS!E$2:E1705,0),1)))</f>
        <v/>
      </c>
      <c r="AH642" s="81"/>
      <c r="AI642" s="82"/>
      <c r="AJ642" s="81"/>
      <c r="AK642" s="81"/>
      <c r="AL642" s="76"/>
      <c r="AM642" s="75"/>
      <c r="AN642" s="76"/>
      <c r="AO642" s="95"/>
      <c r="AP642" s="96"/>
      <c r="AQ642" s="85" t="str">
        <f t="shared" si="6"/>
        <v/>
      </c>
      <c r="AR642" s="86" t="str">
        <f t="array" ref="AR642">IF(A642="","",IFERROR(INDEX('2) Etapas'!L$3:L923,MATCH(B642,'2) Etapas'!$A$4:$A923,0),1),-1))</f>
        <v/>
      </c>
      <c r="AS642" s="87" t="str">
        <f t="shared" si="7"/>
        <v/>
      </c>
      <c r="AT642" s="87" t="str">
        <f t="shared" si="8"/>
        <v/>
      </c>
      <c r="AU642" s="87" t="str">
        <f t="shared" si="9"/>
        <v/>
      </c>
      <c r="AV642" s="89" t="str">
        <f t="array" ref="AV642">IF(OR($A642="",$AB642="", $AC642=""),"",MAXA(IF($A642=$A$4:$A923,$AC$4:$AC923)))</f>
        <v/>
      </c>
    </row>
    <row r="643" ht="22.5" customHeight="1">
      <c r="A643" s="76"/>
      <c r="B643" s="68" t="str">
        <f t="shared" si="1"/>
        <v/>
      </c>
      <c r="C643" s="110"/>
      <c r="D643" s="70" t="str">
        <f t="shared" si="2"/>
        <v/>
      </c>
      <c r="E643" s="76"/>
      <c r="F643" s="68" t="str">
        <f t="array" ref="F643">IF($A643="","",IFERROR(INDEX(MA_INDIVIDUALES!C$2:C923, MATCH($A643,MA_INDIVIDUALES!$B$2:$B923,0),1),"CÓDIGO DE EXPEDIENTE INVÁLIDO"))</f>
        <v/>
      </c>
      <c r="G643" s="68" t="str">
        <f t="array" ref="G643">IF($A643="","",IFERROR(INDEX(MA_INDIVIDUALES!K$2:K923, MATCH($A643,MA_INDIVIDUALES!$B$2:$B923,0),1),"CÓDIGO DE EXPEDIENTE INVÁLIDO"))</f>
        <v/>
      </c>
      <c r="H643" s="68" t="str">
        <f t="array" ref="H643">IF($A643="","",IFERROR(INDEX(MA_INDIVIDUALES!L$2:L923, MATCH($A643,MA_INDIVIDUALES!$B$2:$B923,0),1),"CÓDIGO DE EXPEDIENTE INVÁLIDO"))</f>
        <v/>
      </c>
      <c r="I643" s="76"/>
      <c r="J643" s="76"/>
      <c r="K643" s="75"/>
      <c r="L643" s="74" t="str">
        <f>IF(A643="","",IF(K643="","",_xlfn.WORKDAY.INTL(K643,5,1,FERIADOS)))</f>
        <v/>
      </c>
      <c r="M643" s="76"/>
      <c r="N643" s="75"/>
      <c r="O643" s="76"/>
      <c r="P643" s="77" t="str">
        <f t="shared" si="3"/>
        <v/>
      </c>
      <c r="Q643" s="75"/>
      <c r="R643" s="76"/>
      <c r="S643" s="75"/>
      <c r="T643" s="75"/>
      <c r="U643" s="76"/>
      <c r="V643" s="76"/>
      <c r="W643" s="75"/>
      <c r="X643" s="76"/>
      <c r="Y643" s="29" t="str">
        <f t="shared" si="4"/>
        <v/>
      </c>
      <c r="Z643" s="29" t="str">
        <f t="shared" si="5"/>
        <v/>
      </c>
      <c r="AA643" s="76"/>
      <c r="AB643" s="76"/>
      <c r="AC643" s="75"/>
      <c r="AD643" s="75"/>
      <c r="AE643" s="78" t="str">
        <f>IF(U643="","",IF(AD643="","",_xlfn.WORKDAY.INTL(AD643,7,1,FERIADOS)))</f>
        <v/>
      </c>
      <c r="AF643" s="104"/>
      <c r="AG643" s="80" t="str">
        <f t="array" ref="AG643">IF(A643="","",IF(AF643="","",AF643*INDEX(PARAMETROS!F$2:F1706,MATCH(YEAR(AC643),PARAMETROS!E$2:E1706,0),1)))</f>
        <v/>
      </c>
      <c r="AH643" s="81"/>
      <c r="AI643" s="82"/>
      <c r="AJ643" s="81"/>
      <c r="AK643" s="81"/>
      <c r="AL643" s="76"/>
      <c r="AM643" s="75"/>
      <c r="AN643" s="76"/>
      <c r="AO643" s="95"/>
      <c r="AP643" s="96"/>
      <c r="AQ643" s="85" t="str">
        <f t="shared" si="6"/>
        <v/>
      </c>
      <c r="AR643" s="86" t="str">
        <f t="array" ref="AR643">IF(A643="","",IFERROR(INDEX('2) Etapas'!L$3:L923,MATCH(B643,'2) Etapas'!$A$4:$A923,0),1),-1))</f>
        <v/>
      </c>
      <c r="AS643" s="87" t="str">
        <f t="shared" si="7"/>
        <v/>
      </c>
      <c r="AT643" s="87" t="str">
        <f t="shared" si="8"/>
        <v/>
      </c>
      <c r="AU643" s="87" t="str">
        <f t="shared" si="9"/>
        <v/>
      </c>
      <c r="AV643" s="89" t="str">
        <f t="array" ref="AV643">IF(OR($A643="",$AB643="", $AC643=""),"",MAXA(IF($A643=$A$4:$A923,$AC$4:$AC923)))</f>
        <v/>
      </c>
    </row>
    <row r="644" ht="22.5" customHeight="1">
      <c r="A644" s="76"/>
      <c r="B644" s="68" t="str">
        <f t="shared" si="1"/>
        <v/>
      </c>
      <c r="C644" s="110"/>
      <c r="D644" s="70" t="str">
        <f t="shared" si="2"/>
        <v/>
      </c>
      <c r="E644" s="76"/>
      <c r="F644" s="68" t="str">
        <f t="array" ref="F644">IF($A644="","",IFERROR(INDEX(MA_INDIVIDUALES!C$2:C923, MATCH($A644,MA_INDIVIDUALES!$B$2:$B923,0),1),"CÓDIGO DE EXPEDIENTE INVÁLIDO"))</f>
        <v/>
      </c>
      <c r="G644" s="68" t="str">
        <f t="array" ref="G644">IF($A644="","",IFERROR(INDEX(MA_INDIVIDUALES!K$2:K923, MATCH($A644,MA_INDIVIDUALES!$B$2:$B923,0),1),"CÓDIGO DE EXPEDIENTE INVÁLIDO"))</f>
        <v/>
      </c>
      <c r="H644" s="68" t="str">
        <f t="array" ref="H644">IF($A644="","",IFERROR(INDEX(MA_INDIVIDUALES!L$2:L923, MATCH($A644,MA_INDIVIDUALES!$B$2:$B923,0),1),"CÓDIGO DE EXPEDIENTE INVÁLIDO"))</f>
        <v/>
      </c>
      <c r="I644" s="76"/>
      <c r="J644" s="76"/>
      <c r="K644" s="75"/>
      <c r="L644" s="74" t="str">
        <f>IF(A644="","",IF(K644="","",_xlfn.WORKDAY.INTL(K644,5,1,FERIADOS)))</f>
        <v/>
      </c>
      <c r="M644" s="76"/>
      <c r="N644" s="75"/>
      <c r="O644" s="76"/>
      <c r="P644" s="77" t="str">
        <f t="shared" si="3"/>
        <v/>
      </c>
      <c r="Q644" s="75"/>
      <c r="R644" s="76"/>
      <c r="S644" s="75"/>
      <c r="T644" s="75"/>
      <c r="U644" s="76"/>
      <c r="V644" s="76"/>
      <c r="W644" s="75"/>
      <c r="X644" s="76"/>
      <c r="Y644" s="29" t="str">
        <f t="shared" si="4"/>
        <v/>
      </c>
      <c r="Z644" s="29" t="str">
        <f t="shared" si="5"/>
        <v/>
      </c>
      <c r="AA644" s="76"/>
      <c r="AB644" s="76"/>
      <c r="AC644" s="75"/>
      <c r="AD644" s="75"/>
      <c r="AE644" s="78" t="str">
        <f>IF(U644="","",IF(AD644="","",_xlfn.WORKDAY.INTL(AD644,7,1,FERIADOS)))</f>
        <v/>
      </c>
      <c r="AF644" s="104"/>
      <c r="AG644" s="80" t="str">
        <f t="array" ref="AG644">IF(A644="","",IF(AF644="","",AF644*INDEX(PARAMETROS!F$2:F1707,MATCH(YEAR(AC644),PARAMETROS!E$2:E1707,0),1)))</f>
        <v/>
      </c>
      <c r="AH644" s="81"/>
      <c r="AI644" s="82"/>
      <c r="AJ644" s="81"/>
      <c r="AK644" s="81"/>
      <c r="AL644" s="76"/>
      <c r="AM644" s="75"/>
      <c r="AN644" s="76"/>
      <c r="AO644" s="95"/>
      <c r="AP644" s="96"/>
      <c r="AQ644" s="85" t="str">
        <f t="shared" si="6"/>
        <v/>
      </c>
      <c r="AR644" s="86" t="str">
        <f t="array" ref="AR644">IF(A644="","",IFERROR(INDEX('2) Etapas'!L$3:L923,MATCH(B644,'2) Etapas'!$A$4:$A923,0),1),-1))</f>
        <v/>
      </c>
      <c r="AS644" s="87" t="str">
        <f t="shared" si="7"/>
        <v/>
      </c>
      <c r="AT644" s="87" t="str">
        <f t="shared" si="8"/>
        <v/>
      </c>
      <c r="AU644" s="87" t="str">
        <f t="shared" si="9"/>
        <v/>
      </c>
      <c r="AV644" s="89" t="str">
        <f t="array" ref="AV644">IF(OR($A644="",$AB644="", $AC644=""),"",MAXA(IF($A644=$A$4:$A923,$AC$4:$AC923)))</f>
        <v/>
      </c>
    </row>
    <row r="645" ht="22.5" customHeight="1">
      <c r="A645" s="76"/>
      <c r="B645" s="68" t="str">
        <f t="shared" si="1"/>
        <v/>
      </c>
      <c r="C645" s="110"/>
      <c r="D645" s="70" t="str">
        <f t="shared" si="2"/>
        <v/>
      </c>
      <c r="E645" s="76"/>
      <c r="F645" s="68" t="str">
        <f t="array" ref="F645">IF($A645="","",IFERROR(INDEX(MA_INDIVIDUALES!C$2:C923, MATCH($A645,MA_INDIVIDUALES!$B$2:$B923,0),1),"CÓDIGO DE EXPEDIENTE INVÁLIDO"))</f>
        <v/>
      </c>
      <c r="G645" s="68" t="str">
        <f t="array" ref="G645">IF($A645="","",IFERROR(INDEX(MA_INDIVIDUALES!K$2:K923, MATCH($A645,MA_INDIVIDUALES!$B$2:$B923,0),1),"CÓDIGO DE EXPEDIENTE INVÁLIDO"))</f>
        <v/>
      </c>
      <c r="H645" s="68" t="str">
        <f t="array" ref="H645">IF($A645="","",IFERROR(INDEX(MA_INDIVIDUALES!L$2:L923, MATCH($A645,MA_INDIVIDUALES!$B$2:$B923,0),1),"CÓDIGO DE EXPEDIENTE INVÁLIDO"))</f>
        <v/>
      </c>
      <c r="I645" s="76"/>
      <c r="J645" s="76"/>
      <c r="K645" s="75"/>
      <c r="L645" s="74" t="str">
        <f>IF(A645="","",IF(K645="","",_xlfn.WORKDAY.INTL(K645,5,1,FERIADOS)))</f>
        <v/>
      </c>
      <c r="M645" s="76"/>
      <c r="N645" s="75"/>
      <c r="O645" s="76"/>
      <c r="P645" s="77" t="str">
        <f t="shared" si="3"/>
        <v/>
      </c>
      <c r="Q645" s="75"/>
      <c r="R645" s="76"/>
      <c r="S645" s="75"/>
      <c r="T645" s="75"/>
      <c r="U645" s="76"/>
      <c r="V645" s="76"/>
      <c r="W645" s="75"/>
      <c r="X645" s="76"/>
      <c r="Y645" s="29" t="str">
        <f t="shared" si="4"/>
        <v/>
      </c>
      <c r="Z645" s="29" t="str">
        <f t="shared" si="5"/>
        <v/>
      </c>
      <c r="AA645" s="76"/>
      <c r="AB645" s="76"/>
      <c r="AC645" s="75"/>
      <c r="AD645" s="75"/>
      <c r="AE645" s="78" t="str">
        <f>IF(U645="","",IF(AD645="","",_xlfn.WORKDAY.INTL(AD645,7,1,FERIADOS)))</f>
        <v/>
      </c>
      <c r="AF645" s="104"/>
      <c r="AG645" s="80" t="str">
        <f t="array" ref="AG645">IF(A645="","",IF(AF645="","",AF645*INDEX(PARAMETROS!F$2:F1708,MATCH(YEAR(AC645),PARAMETROS!E$2:E1708,0),1)))</f>
        <v/>
      </c>
      <c r="AH645" s="81"/>
      <c r="AI645" s="82"/>
      <c r="AJ645" s="81"/>
      <c r="AK645" s="81"/>
      <c r="AL645" s="76"/>
      <c r="AM645" s="75"/>
      <c r="AN645" s="76"/>
      <c r="AO645" s="95"/>
      <c r="AP645" s="96"/>
      <c r="AQ645" s="85" t="str">
        <f t="shared" si="6"/>
        <v/>
      </c>
      <c r="AR645" s="86" t="str">
        <f t="array" ref="AR645">IF(A645="","",IFERROR(INDEX('2) Etapas'!L$3:L923,MATCH(B645,'2) Etapas'!$A$4:$A923,0),1),-1))</f>
        <v/>
      </c>
      <c r="AS645" s="87" t="str">
        <f t="shared" si="7"/>
        <v/>
      </c>
      <c r="AT645" s="87" t="str">
        <f t="shared" si="8"/>
        <v/>
      </c>
      <c r="AU645" s="87" t="str">
        <f t="shared" si="9"/>
        <v/>
      </c>
      <c r="AV645" s="89" t="str">
        <f t="array" ref="AV645">IF(OR($A645="",$AB645="", $AC645=""),"",MAXA(IF($A645=$A$4:$A923,$AC$4:$AC923)))</f>
        <v/>
      </c>
    </row>
    <row r="646" ht="22.5" customHeight="1">
      <c r="A646" s="76"/>
      <c r="B646" s="68" t="str">
        <f t="shared" si="1"/>
        <v/>
      </c>
      <c r="C646" s="110"/>
      <c r="D646" s="70" t="str">
        <f t="shared" si="2"/>
        <v/>
      </c>
      <c r="E646" s="76"/>
      <c r="F646" s="68" t="str">
        <f t="array" ref="F646">IF($A646="","",IFERROR(INDEX(MA_INDIVIDUALES!C$2:C923, MATCH($A646,MA_INDIVIDUALES!$B$2:$B923,0),1),"CÓDIGO DE EXPEDIENTE INVÁLIDO"))</f>
        <v/>
      </c>
      <c r="G646" s="68" t="str">
        <f t="array" ref="G646">IF($A646="","",IFERROR(INDEX(MA_INDIVIDUALES!K$2:K923, MATCH($A646,MA_INDIVIDUALES!$B$2:$B923,0),1),"CÓDIGO DE EXPEDIENTE INVÁLIDO"))</f>
        <v/>
      </c>
      <c r="H646" s="68" t="str">
        <f t="array" ref="H646">IF($A646="","",IFERROR(INDEX(MA_INDIVIDUALES!L$2:L923, MATCH($A646,MA_INDIVIDUALES!$B$2:$B923,0),1),"CÓDIGO DE EXPEDIENTE INVÁLIDO"))</f>
        <v/>
      </c>
      <c r="I646" s="76"/>
      <c r="J646" s="76"/>
      <c r="K646" s="75"/>
      <c r="L646" s="74" t="str">
        <f>IF(A646="","",IF(K646="","",_xlfn.WORKDAY.INTL(K646,5,1,FERIADOS)))</f>
        <v/>
      </c>
      <c r="M646" s="76"/>
      <c r="N646" s="75"/>
      <c r="O646" s="76"/>
      <c r="P646" s="77" t="str">
        <f t="shared" si="3"/>
        <v/>
      </c>
      <c r="Q646" s="75"/>
      <c r="R646" s="76"/>
      <c r="S646" s="75"/>
      <c r="T646" s="75"/>
      <c r="U646" s="76"/>
      <c r="V646" s="76"/>
      <c r="W646" s="75"/>
      <c r="X646" s="76"/>
      <c r="Y646" s="29" t="str">
        <f t="shared" si="4"/>
        <v/>
      </c>
      <c r="Z646" s="29" t="str">
        <f t="shared" si="5"/>
        <v/>
      </c>
      <c r="AA646" s="76"/>
      <c r="AB646" s="76"/>
      <c r="AC646" s="75"/>
      <c r="AD646" s="75"/>
      <c r="AE646" s="78" t="str">
        <f>IF(U646="","",IF(AD646="","",_xlfn.WORKDAY.INTL(AD646,7,1,FERIADOS)))</f>
        <v/>
      </c>
      <c r="AF646" s="104"/>
      <c r="AG646" s="80" t="str">
        <f t="array" ref="AG646">IF(A646="","",IF(AF646="","",AF646*INDEX(PARAMETROS!F$2:F1709,MATCH(YEAR(AC646),PARAMETROS!E$2:E1709,0),1)))</f>
        <v/>
      </c>
      <c r="AH646" s="81"/>
      <c r="AI646" s="82"/>
      <c r="AJ646" s="81"/>
      <c r="AK646" s="81"/>
      <c r="AL646" s="76"/>
      <c r="AM646" s="75"/>
      <c r="AN646" s="76"/>
      <c r="AO646" s="95"/>
      <c r="AP646" s="96"/>
      <c r="AQ646" s="85" t="str">
        <f t="shared" si="6"/>
        <v/>
      </c>
      <c r="AR646" s="86" t="str">
        <f t="array" ref="AR646">IF(A646="","",IFERROR(INDEX('2) Etapas'!L$3:L923,MATCH(B646,'2) Etapas'!$A$4:$A923,0),1),-1))</f>
        <v/>
      </c>
      <c r="AS646" s="87" t="str">
        <f t="shared" si="7"/>
        <v/>
      </c>
      <c r="AT646" s="87" t="str">
        <f t="shared" si="8"/>
        <v/>
      </c>
      <c r="AU646" s="87" t="str">
        <f t="shared" si="9"/>
        <v/>
      </c>
      <c r="AV646" s="89" t="str">
        <f t="array" ref="AV646">IF(OR($A646="",$AB646="", $AC646=""),"",MAXA(IF($A646=$A$4:$A923,$AC$4:$AC923)))</f>
        <v/>
      </c>
    </row>
    <row r="647" ht="22.5" customHeight="1">
      <c r="A647" s="76"/>
      <c r="B647" s="68" t="str">
        <f t="shared" si="1"/>
        <v/>
      </c>
      <c r="C647" s="110"/>
      <c r="D647" s="70" t="str">
        <f t="shared" si="2"/>
        <v/>
      </c>
      <c r="E647" s="76"/>
      <c r="F647" s="68" t="str">
        <f t="array" ref="F647">IF($A647="","",IFERROR(INDEX(MA_INDIVIDUALES!C$2:C923, MATCH($A647,MA_INDIVIDUALES!$B$2:$B923,0),1),"CÓDIGO DE EXPEDIENTE INVÁLIDO"))</f>
        <v/>
      </c>
      <c r="G647" s="68" t="str">
        <f t="array" ref="G647">IF($A647="","",IFERROR(INDEX(MA_INDIVIDUALES!K$2:K923, MATCH($A647,MA_INDIVIDUALES!$B$2:$B923,0),1),"CÓDIGO DE EXPEDIENTE INVÁLIDO"))</f>
        <v/>
      </c>
      <c r="H647" s="68" t="str">
        <f t="array" ref="H647">IF($A647="","",IFERROR(INDEX(MA_INDIVIDUALES!L$2:L923, MATCH($A647,MA_INDIVIDUALES!$B$2:$B923,0),1),"CÓDIGO DE EXPEDIENTE INVÁLIDO"))</f>
        <v/>
      </c>
      <c r="I647" s="76"/>
      <c r="J647" s="76"/>
      <c r="K647" s="75"/>
      <c r="L647" s="74" t="str">
        <f>IF(A647="","",IF(K647="","",_xlfn.WORKDAY.INTL(K647,5,1,FERIADOS)))</f>
        <v/>
      </c>
      <c r="M647" s="76"/>
      <c r="N647" s="75"/>
      <c r="O647" s="76"/>
      <c r="P647" s="77" t="str">
        <f t="shared" si="3"/>
        <v/>
      </c>
      <c r="Q647" s="75"/>
      <c r="R647" s="76"/>
      <c r="S647" s="75"/>
      <c r="T647" s="75"/>
      <c r="U647" s="76"/>
      <c r="V647" s="76"/>
      <c r="W647" s="75"/>
      <c r="X647" s="76"/>
      <c r="Y647" s="29" t="str">
        <f t="shared" si="4"/>
        <v/>
      </c>
      <c r="Z647" s="29" t="str">
        <f t="shared" si="5"/>
        <v/>
      </c>
      <c r="AA647" s="76"/>
      <c r="AB647" s="76"/>
      <c r="AC647" s="75"/>
      <c r="AD647" s="75"/>
      <c r="AE647" s="78" t="str">
        <f>IF(U647="","",IF(AD647="","",_xlfn.WORKDAY.INTL(AD647,7,1,FERIADOS)))</f>
        <v/>
      </c>
      <c r="AF647" s="104"/>
      <c r="AG647" s="80" t="str">
        <f t="array" ref="AG647">IF(A647="","",IF(AF647="","",AF647*INDEX(PARAMETROS!F$2:F1710,MATCH(YEAR(AC647),PARAMETROS!E$2:E1710,0),1)))</f>
        <v/>
      </c>
      <c r="AH647" s="81"/>
      <c r="AI647" s="82"/>
      <c r="AJ647" s="81"/>
      <c r="AK647" s="81"/>
      <c r="AL647" s="76"/>
      <c r="AM647" s="75"/>
      <c r="AN647" s="76"/>
      <c r="AO647" s="95"/>
      <c r="AP647" s="96"/>
      <c r="AQ647" s="85" t="str">
        <f t="shared" si="6"/>
        <v/>
      </c>
      <c r="AR647" s="86" t="str">
        <f t="array" ref="AR647">IF(A647="","",IFERROR(INDEX('2) Etapas'!L$3:L923,MATCH(B647,'2) Etapas'!$A$4:$A923,0),1),-1))</f>
        <v/>
      </c>
      <c r="AS647" s="87" t="str">
        <f t="shared" si="7"/>
        <v/>
      </c>
      <c r="AT647" s="87" t="str">
        <f t="shared" si="8"/>
        <v/>
      </c>
      <c r="AU647" s="87" t="str">
        <f t="shared" si="9"/>
        <v/>
      </c>
      <c r="AV647" s="89" t="str">
        <f t="array" ref="AV647">IF(OR($A647="",$AB647="", $AC647=""),"",MAXA(IF($A647=$A$4:$A923,$AC$4:$AC923)))</f>
        <v/>
      </c>
    </row>
    <row r="648" ht="22.5" customHeight="1">
      <c r="A648" s="76"/>
      <c r="B648" s="68" t="str">
        <f t="shared" si="1"/>
        <v/>
      </c>
      <c r="C648" s="110"/>
      <c r="D648" s="70" t="str">
        <f t="shared" si="2"/>
        <v/>
      </c>
      <c r="E648" s="76"/>
      <c r="F648" s="68" t="str">
        <f t="array" ref="F648">IF($A648="","",IFERROR(INDEX(MA_INDIVIDUALES!C$2:C923, MATCH($A648,MA_INDIVIDUALES!$B$2:$B923,0),1),"CÓDIGO DE EXPEDIENTE INVÁLIDO"))</f>
        <v/>
      </c>
      <c r="G648" s="68" t="str">
        <f t="array" ref="G648">IF($A648="","",IFERROR(INDEX(MA_INDIVIDUALES!K$2:K923, MATCH($A648,MA_INDIVIDUALES!$B$2:$B923,0),1),"CÓDIGO DE EXPEDIENTE INVÁLIDO"))</f>
        <v/>
      </c>
      <c r="H648" s="68" t="str">
        <f t="array" ref="H648">IF($A648="","",IFERROR(INDEX(MA_INDIVIDUALES!L$2:L923, MATCH($A648,MA_INDIVIDUALES!$B$2:$B923,0),1),"CÓDIGO DE EXPEDIENTE INVÁLIDO"))</f>
        <v/>
      </c>
      <c r="I648" s="76"/>
      <c r="J648" s="76"/>
      <c r="K648" s="75"/>
      <c r="L648" s="74" t="str">
        <f>IF(A648="","",IF(K648="","",_xlfn.WORKDAY.INTL(K648,5,1,FERIADOS)))</f>
        <v/>
      </c>
      <c r="M648" s="76"/>
      <c r="N648" s="75"/>
      <c r="O648" s="76"/>
      <c r="P648" s="77" t="str">
        <f t="shared" si="3"/>
        <v/>
      </c>
      <c r="Q648" s="75"/>
      <c r="R648" s="76"/>
      <c r="S648" s="75"/>
      <c r="T648" s="75"/>
      <c r="U648" s="76"/>
      <c r="V648" s="76"/>
      <c r="W648" s="75"/>
      <c r="X648" s="76"/>
      <c r="Y648" s="29" t="str">
        <f t="shared" si="4"/>
        <v/>
      </c>
      <c r="Z648" s="29" t="str">
        <f t="shared" si="5"/>
        <v/>
      </c>
      <c r="AA648" s="76"/>
      <c r="AB648" s="76"/>
      <c r="AC648" s="75"/>
      <c r="AD648" s="75"/>
      <c r="AE648" s="78" t="str">
        <f>IF(U648="","",IF(AD648="","",_xlfn.WORKDAY.INTL(AD648,7,1,FERIADOS)))</f>
        <v/>
      </c>
      <c r="AF648" s="104"/>
      <c r="AG648" s="80" t="str">
        <f t="array" ref="AG648">IF(A648="","",IF(AF648="","",AF648*INDEX(PARAMETROS!F$2:F1711,MATCH(YEAR(AC648),PARAMETROS!E$2:E1711,0),1)))</f>
        <v/>
      </c>
      <c r="AH648" s="81"/>
      <c r="AI648" s="82"/>
      <c r="AJ648" s="81"/>
      <c r="AK648" s="81"/>
      <c r="AL648" s="76"/>
      <c r="AM648" s="75"/>
      <c r="AN648" s="76"/>
      <c r="AO648" s="95"/>
      <c r="AP648" s="96"/>
      <c r="AQ648" s="85" t="str">
        <f t="shared" si="6"/>
        <v/>
      </c>
      <c r="AR648" s="86" t="str">
        <f t="array" ref="AR648">IF(A648="","",IFERROR(INDEX('2) Etapas'!L$3:L923,MATCH(B648,'2) Etapas'!$A$4:$A923,0),1),-1))</f>
        <v/>
      </c>
      <c r="AS648" s="87" t="str">
        <f t="shared" si="7"/>
        <v/>
      </c>
      <c r="AT648" s="87" t="str">
        <f t="shared" si="8"/>
        <v/>
      </c>
      <c r="AU648" s="87" t="str">
        <f t="shared" si="9"/>
        <v/>
      </c>
      <c r="AV648" s="89" t="str">
        <f t="array" ref="AV648">IF(OR($A648="",$AB648="", $AC648=""),"",MAXA(IF($A648=$A$4:$A923,$AC$4:$AC923)))</f>
        <v/>
      </c>
    </row>
    <row r="649" ht="22.5" customHeight="1">
      <c r="A649" s="76"/>
      <c r="B649" s="68" t="str">
        <f t="shared" si="1"/>
        <v/>
      </c>
      <c r="C649" s="110"/>
      <c r="D649" s="70" t="str">
        <f t="shared" si="2"/>
        <v/>
      </c>
      <c r="E649" s="76"/>
      <c r="F649" s="68" t="str">
        <f t="array" ref="F649">IF($A649="","",IFERROR(INDEX(MA_INDIVIDUALES!C$2:C923, MATCH($A649,MA_INDIVIDUALES!$B$2:$B923,0),1),"CÓDIGO DE EXPEDIENTE INVÁLIDO"))</f>
        <v/>
      </c>
      <c r="G649" s="68" t="str">
        <f t="array" ref="G649">IF($A649="","",IFERROR(INDEX(MA_INDIVIDUALES!K$2:K923, MATCH($A649,MA_INDIVIDUALES!$B$2:$B923,0),1),"CÓDIGO DE EXPEDIENTE INVÁLIDO"))</f>
        <v/>
      </c>
      <c r="H649" s="68" t="str">
        <f t="array" ref="H649">IF($A649="","",IFERROR(INDEX(MA_INDIVIDUALES!L$2:L923, MATCH($A649,MA_INDIVIDUALES!$B$2:$B923,0),1),"CÓDIGO DE EXPEDIENTE INVÁLIDO"))</f>
        <v/>
      </c>
      <c r="I649" s="76"/>
      <c r="J649" s="76"/>
      <c r="K649" s="75"/>
      <c r="L649" s="74" t="str">
        <f>IF(A649="","",IF(K649="","",_xlfn.WORKDAY.INTL(K649,5,1,FERIADOS)))</f>
        <v/>
      </c>
      <c r="M649" s="76"/>
      <c r="N649" s="75"/>
      <c r="O649" s="76"/>
      <c r="P649" s="77" t="str">
        <f t="shared" si="3"/>
        <v/>
      </c>
      <c r="Q649" s="75"/>
      <c r="R649" s="76"/>
      <c r="S649" s="75"/>
      <c r="T649" s="75"/>
      <c r="U649" s="76"/>
      <c r="V649" s="76"/>
      <c r="W649" s="75"/>
      <c r="X649" s="76"/>
      <c r="Y649" s="29" t="str">
        <f t="shared" si="4"/>
        <v/>
      </c>
      <c r="Z649" s="29" t="str">
        <f t="shared" si="5"/>
        <v/>
      </c>
      <c r="AA649" s="76"/>
      <c r="AB649" s="76"/>
      <c r="AC649" s="75"/>
      <c r="AD649" s="75"/>
      <c r="AE649" s="78" t="str">
        <f>IF(U649="","",IF(AD649="","",_xlfn.WORKDAY.INTL(AD649,7,1,FERIADOS)))</f>
        <v/>
      </c>
      <c r="AF649" s="104"/>
      <c r="AG649" s="80" t="str">
        <f t="array" ref="AG649">IF(A649="","",IF(AF649="","",AF649*INDEX(PARAMETROS!F$2:F1712,MATCH(YEAR(AC649),PARAMETROS!E$2:E1712,0),1)))</f>
        <v/>
      </c>
      <c r="AH649" s="81"/>
      <c r="AI649" s="82"/>
      <c r="AJ649" s="81"/>
      <c r="AK649" s="81"/>
      <c r="AL649" s="76"/>
      <c r="AM649" s="75"/>
      <c r="AN649" s="76"/>
      <c r="AO649" s="95"/>
      <c r="AP649" s="96"/>
      <c r="AQ649" s="85" t="str">
        <f t="shared" si="6"/>
        <v/>
      </c>
      <c r="AR649" s="86" t="str">
        <f t="array" ref="AR649">IF(A649="","",IFERROR(INDEX('2) Etapas'!L$3:L923,MATCH(B649,'2) Etapas'!$A$4:$A923,0),1),-1))</f>
        <v/>
      </c>
      <c r="AS649" s="87" t="str">
        <f t="shared" si="7"/>
        <v/>
      </c>
      <c r="AT649" s="87" t="str">
        <f t="shared" si="8"/>
        <v/>
      </c>
      <c r="AU649" s="87" t="str">
        <f t="shared" si="9"/>
        <v/>
      </c>
      <c r="AV649" s="89" t="str">
        <f t="array" ref="AV649">IF(OR($A649="",$AB649="", $AC649=""),"",MAXA(IF($A649=$A$4:$A923,$AC$4:$AC923)))</f>
        <v/>
      </c>
    </row>
    <row r="650" ht="22.5" customHeight="1">
      <c r="A650" s="76"/>
      <c r="B650" s="68" t="str">
        <f t="shared" si="1"/>
        <v/>
      </c>
      <c r="C650" s="110"/>
      <c r="D650" s="70" t="str">
        <f t="shared" si="2"/>
        <v/>
      </c>
      <c r="E650" s="76"/>
      <c r="F650" s="68" t="str">
        <f t="array" ref="F650">IF($A650="","",IFERROR(INDEX(MA_INDIVIDUALES!C$2:C923, MATCH($A650,MA_INDIVIDUALES!$B$2:$B923,0),1),"CÓDIGO DE EXPEDIENTE INVÁLIDO"))</f>
        <v/>
      </c>
      <c r="G650" s="68" t="str">
        <f t="array" ref="G650">IF($A650="","",IFERROR(INDEX(MA_INDIVIDUALES!K$2:K923, MATCH($A650,MA_INDIVIDUALES!$B$2:$B923,0),1),"CÓDIGO DE EXPEDIENTE INVÁLIDO"))</f>
        <v/>
      </c>
      <c r="H650" s="68" t="str">
        <f t="array" ref="H650">IF($A650="","",IFERROR(INDEX(MA_INDIVIDUALES!L$2:L923, MATCH($A650,MA_INDIVIDUALES!$B$2:$B923,0),1),"CÓDIGO DE EXPEDIENTE INVÁLIDO"))</f>
        <v/>
      </c>
      <c r="I650" s="76"/>
      <c r="J650" s="76"/>
      <c r="K650" s="75"/>
      <c r="L650" s="74" t="str">
        <f>IF(A650="","",IF(K650="","",_xlfn.WORKDAY.INTL(K650,5,1,FERIADOS)))</f>
        <v/>
      </c>
      <c r="M650" s="76"/>
      <c r="N650" s="75"/>
      <c r="O650" s="76"/>
      <c r="P650" s="77" t="str">
        <f t="shared" si="3"/>
        <v/>
      </c>
      <c r="Q650" s="75"/>
      <c r="R650" s="76"/>
      <c r="S650" s="75"/>
      <c r="T650" s="75"/>
      <c r="U650" s="76"/>
      <c r="V650" s="76"/>
      <c r="W650" s="75"/>
      <c r="X650" s="76"/>
      <c r="Y650" s="29" t="str">
        <f t="shared" si="4"/>
        <v/>
      </c>
      <c r="Z650" s="29" t="str">
        <f t="shared" si="5"/>
        <v/>
      </c>
      <c r="AA650" s="76"/>
      <c r="AB650" s="76"/>
      <c r="AC650" s="75"/>
      <c r="AD650" s="75"/>
      <c r="AE650" s="78" t="str">
        <f>IF(U650="","",IF(AD650="","",_xlfn.WORKDAY.INTL(AD650,7,1,FERIADOS)))</f>
        <v/>
      </c>
      <c r="AF650" s="104"/>
      <c r="AG650" s="80" t="str">
        <f t="array" ref="AG650">IF(A650="","",IF(AF650="","",AF650*INDEX(PARAMETROS!F$2:F1713,MATCH(YEAR(AC650),PARAMETROS!E$2:E1713,0),1)))</f>
        <v/>
      </c>
      <c r="AH650" s="81"/>
      <c r="AI650" s="82"/>
      <c r="AJ650" s="81"/>
      <c r="AK650" s="81"/>
      <c r="AL650" s="76"/>
      <c r="AM650" s="75"/>
      <c r="AN650" s="76"/>
      <c r="AO650" s="95"/>
      <c r="AP650" s="96"/>
      <c r="AQ650" s="85" t="str">
        <f t="shared" si="6"/>
        <v/>
      </c>
      <c r="AR650" s="86" t="str">
        <f t="array" ref="AR650">IF(A650="","",IFERROR(INDEX('2) Etapas'!L$3:L923,MATCH(B650,'2) Etapas'!$A$4:$A923,0),1),-1))</f>
        <v/>
      </c>
      <c r="AS650" s="87" t="str">
        <f t="shared" si="7"/>
        <v/>
      </c>
      <c r="AT650" s="87" t="str">
        <f t="shared" si="8"/>
        <v/>
      </c>
      <c r="AU650" s="87" t="str">
        <f t="shared" si="9"/>
        <v/>
      </c>
      <c r="AV650" s="89" t="str">
        <f t="array" ref="AV650">IF(OR($A650="",$AB650="", $AC650=""),"",MAXA(IF($A650=$A$4:$A923,$AC$4:$AC923)))</f>
        <v/>
      </c>
    </row>
    <row r="651" ht="22.5" customHeight="1">
      <c r="A651" s="76"/>
      <c r="B651" s="68" t="str">
        <f t="shared" si="1"/>
        <v/>
      </c>
      <c r="C651" s="110"/>
      <c r="D651" s="70" t="str">
        <f t="shared" si="2"/>
        <v/>
      </c>
      <c r="E651" s="76"/>
      <c r="F651" s="68" t="str">
        <f t="array" ref="F651">IF($A651="","",IFERROR(INDEX(MA_INDIVIDUALES!C$2:C923, MATCH($A651,MA_INDIVIDUALES!$B$2:$B923,0),1),"CÓDIGO DE EXPEDIENTE INVÁLIDO"))</f>
        <v/>
      </c>
      <c r="G651" s="68" t="str">
        <f t="array" ref="G651">IF($A651="","",IFERROR(INDEX(MA_INDIVIDUALES!K$2:K923, MATCH($A651,MA_INDIVIDUALES!$B$2:$B923,0),1),"CÓDIGO DE EXPEDIENTE INVÁLIDO"))</f>
        <v/>
      </c>
      <c r="H651" s="68" t="str">
        <f t="array" ref="H651">IF($A651="","",IFERROR(INDEX(MA_INDIVIDUALES!L$2:L923, MATCH($A651,MA_INDIVIDUALES!$B$2:$B923,0),1),"CÓDIGO DE EXPEDIENTE INVÁLIDO"))</f>
        <v/>
      </c>
      <c r="I651" s="76"/>
      <c r="J651" s="76"/>
      <c r="K651" s="75"/>
      <c r="L651" s="74" t="str">
        <f>IF(A651="","",IF(K651="","",_xlfn.WORKDAY.INTL(K651,5,1,FERIADOS)))</f>
        <v/>
      </c>
      <c r="M651" s="76"/>
      <c r="N651" s="75"/>
      <c r="O651" s="76"/>
      <c r="P651" s="77" t="str">
        <f t="shared" si="3"/>
        <v/>
      </c>
      <c r="Q651" s="75"/>
      <c r="R651" s="76"/>
      <c r="S651" s="75"/>
      <c r="T651" s="75"/>
      <c r="U651" s="76"/>
      <c r="V651" s="76"/>
      <c r="W651" s="75"/>
      <c r="X651" s="76"/>
      <c r="Y651" s="29" t="str">
        <f t="shared" si="4"/>
        <v/>
      </c>
      <c r="Z651" s="29" t="str">
        <f t="shared" si="5"/>
        <v/>
      </c>
      <c r="AA651" s="76"/>
      <c r="AB651" s="76"/>
      <c r="AC651" s="75"/>
      <c r="AD651" s="75"/>
      <c r="AE651" s="78" t="str">
        <f>IF(U651="","",IF(AD651="","",_xlfn.WORKDAY.INTL(AD651,7,1,FERIADOS)))</f>
        <v/>
      </c>
      <c r="AF651" s="104"/>
      <c r="AG651" s="80" t="str">
        <f t="array" ref="AG651">IF(A651="","",IF(AF651="","",AF651*INDEX(PARAMETROS!F$2:F1714,MATCH(YEAR(AC651),PARAMETROS!E$2:E1714,0),1)))</f>
        <v/>
      </c>
      <c r="AH651" s="81"/>
      <c r="AI651" s="82"/>
      <c r="AJ651" s="81"/>
      <c r="AK651" s="81"/>
      <c r="AL651" s="76"/>
      <c r="AM651" s="75"/>
      <c r="AN651" s="76"/>
      <c r="AO651" s="95"/>
      <c r="AP651" s="96"/>
      <c r="AQ651" s="85" t="str">
        <f t="shared" si="6"/>
        <v/>
      </c>
      <c r="AR651" s="86" t="str">
        <f t="array" ref="AR651">IF(A651="","",IFERROR(INDEX('2) Etapas'!L$3:L923,MATCH(B651,'2) Etapas'!$A$4:$A923,0),1),-1))</f>
        <v/>
      </c>
      <c r="AS651" s="87" t="str">
        <f t="shared" si="7"/>
        <v/>
      </c>
      <c r="AT651" s="87" t="str">
        <f t="shared" si="8"/>
        <v/>
      </c>
      <c r="AU651" s="87" t="str">
        <f t="shared" si="9"/>
        <v/>
      </c>
      <c r="AV651" s="89" t="str">
        <f t="array" ref="AV651">IF(OR($A651="",$AB651="", $AC651=""),"",MAXA(IF($A651=$A$4:$A923,$AC$4:$AC923)))</f>
        <v/>
      </c>
    </row>
    <row r="652" ht="22.5" customHeight="1">
      <c r="A652" s="76"/>
      <c r="B652" s="68" t="str">
        <f t="shared" si="1"/>
        <v/>
      </c>
      <c r="C652" s="110"/>
      <c r="D652" s="70" t="str">
        <f t="shared" si="2"/>
        <v/>
      </c>
      <c r="E652" s="76"/>
      <c r="F652" s="68" t="str">
        <f t="array" ref="F652">IF($A652="","",IFERROR(INDEX(MA_INDIVIDUALES!C$2:C923, MATCH($A652,MA_INDIVIDUALES!$B$2:$B923,0),1),"CÓDIGO DE EXPEDIENTE INVÁLIDO"))</f>
        <v/>
      </c>
      <c r="G652" s="68" t="str">
        <f t="array" ref="G652">IF($A652="","",IFERROR(INDEX(MA_INDIVIDUALES!K$2:K923, MATCH($A652,MA_INDIVIDUALES!$B$2:$B923,0),1),"CÓDIGO DE EXPEDIENTE INVÁLIDO"))</f>
        <v/>
      </c>
      <c r="H652" s="68" t="str">
        <f t="array" ref="H652">IF($A652="","",IFERROR(INDEX(MA_INDIVIDUALES!L$2:L923, MATCH($A652,MA_INDIVIDUALES!$B$2:$B923,0),1),"CÓDIGO DE EXPEDIENTE INVÁLIDO"))</f>
        <v/>
      </c>
      <c r="I652" s="76"/>
      <c r="J652" s="76"/>
      <c r="K652" s="75"/>
      <c r="L652" s="74" t="str">
        <f>IF(A652="","",IF(K652="","",_xlfn.WORKDAY.INTL(K652,5,1,FERIADOS)))</f>
        <v/>
      </c>
      <c r="M652" s="76"/>
      <c r="N652" s="75"/>
      <c r="O652" s="76"/>
      <c r="P652" s="77" t="str">
        <f t="shared" si="3"/>
        <v/>
      </c>
      <c r="Q652" s="75"/>
      <c r="R652" s="76"/>
      <c r="S652" s="75"/>
      <c r="T652" s="75"/>
      <c r="U652" s="76"/>
      <c r="V652" s="76"/>
      <c r="W652" s="75"/>
      <c r="X652" s="76"/>
      <c r="Y652" s="29" t="str">
        <f t="shared" si="4"/>
        <v/>
      </c>
      <c r="Z652" s="29" t="str">
        <f t="shared" si="5"/>
        <v/>
      </c>
      <c r="AA652" s="76"/>
      <c r="AB652" s="76"/>
      <c r="AC652" s="75"/>
      <c r="AD652" s="75"/>
      <c r="AE652" s="78" t="str">
        <f>IF(U652="","",IF(AD652="","",_xlfn.WORKDAY.INTL(AD652,7,1,FERIADOS)))</f>
        <v/>
      </c>
      <c r="AF652" s="104"/>
      <c r="AG652" s="80" t="str">
        <f t="array" ref="AG652">IF(A652="","",IF(AF652="","",AF652*INDEX(PARAMETROS!F$2:F1715,MATCH(YEAR(AC652),PARAMETROS!E$2:E1715,0),1)))</f>
        <v/>
      </c>
      <c r="AH652" s="81"/>
      <c r="AI652" s="82"/>
      <c r="AJ652" s="81"/>
      <c r="AK652" s="81"/>
      <c r="AL652" s="76"/>
      <c r="AM652" s="75"/>
      <c r="AN652" s="76"/>
      <c r="AO652" s="95"/>
      <c r="AP652" s="96"/>
      <c r="AQ652" s="85" t="str">
        <f t="shared" si="6"/>
        <v/>
      </c>
      <c r="AR652" s="86" t="str">
        <f t="array" ref="AR652">IF(A652="","",IFERROR(INDEX('2) Etapas'!L$3:L923,MATCH(B652,'2) Etapas'!$A$4:$A923,0),1),-1))</f>
        <v/>
      </c>
      <c r="AS652" s="87" t="str">
        <f t="shared" si="7"/>
        <v/>
      </c>
      <c r="AT652" s="87" t="str">
        <f t="shared" si="8"/>
        <v/>
      </c>
      <c r="AU652" s="87" t="str">
        <f t="shared" si="9"/>
        <v/>
      </c>
      <c r="AV652" s="89" t="str">
        <f t="array" ref="AV652">IF(OR($A652="",$AB652="", $AC652=""),"",MAXA(IF($A652=$A$4:$A923,$AC$4:$AC923)))</f>
        <v/>
      </c>
    </row>
    <row r="653" ht="22.5" customHeight="1">
      <c r="A653" s="76"/>
      <c r="B653" s="68" t="str">
        <f t="shared" si="1"/>
        <v/>
      </c>
      <c r="C653" s="110"/>
      <c r="D653" s="70" t="str">
        <f t="shared" si="2"/>
        <v/>
      </c>
      <c r="E653" s="76"/>
      <c r="F653" s="68" t="str">
        <f t="array" ref="F653">IF($A653="","",IFERROR(INDEX(MA_INDIVIDUALES!C$2:C923, MATCH($A653,MA_INDIVIDUALES!$B$2:$B923,0),1),"CÓDIGO DE EXPEDIENTE INVÁLIDO"))</f>
        <v/>
      </c>
      <c r="G653" s="68" t="str">
        <f t="array" ref="G653">IF($A653="","",IFERROR(INDEX(MA_INDIVIDUALES!K$2:K923, MATCH($A653,MA_INDIVIDUALES!$B$2:$B923,0),1),"CÓDIGO DE EXPEDIENTE INVÁLIDO"))</f>
        <v/>
      </c>
      <c r="H653" s="68" t="str">
        <f t="array" ref="H653">IF($A653="","",IFERROR(INDEX(MA_INDIVIDUALES!L$2:L923, MATCH($A653,MA_INDIVIDUALES!$B$2:$B923,0),1),"CÓDIGO DE EXPEDIENTE INVÁLIDO"))</f>
        <v/>
      </c>
      <c r="I653" s="76"/>
      <c r="J653" s="76"/>
      <c r="K653" s="75"/>
      <c r="L653" s="74" t="str">
        <f>IF(A653="","",IF(K653="","",_xlfn.WORKDAY.INTL(K653,5,1,FERIADOS)))</f>
        <v/>
      </c>
      <c r="M653" s="76"/>
      <c r="N653" s="75"/>
      <c r="O653" s="76"/>
      <c r="P653" s="77" t="str">
        <f t="shared" si="3"/>
        <v/>
      </c>
      <c r="Q653" s="75"/>
      <c r="R653" s="76"/>
      <c r="S653" s="75"/>
      <c r="T653" s="75"/>
      <c r="U653" s="76"/>
      <c r="V653" s="76"/>
      <c r="W653" s="75"/>
      <c r="X653" s="76"/>
      <c r="Y653" s="29" t="str">
        <f t="shared" si="4"/>
        <v/>
      </c>
      <c r="Z653" s="29" t="str">
        <f t="shared" si="5"/>
        <v/>
      </c>
      <c r="AA653" s="76"/>
      <c r="AB653" s="76"/>
      <c r="AC653" s="75"/>
      <c r="AD653" s="75"/>
      <c r="AE653" s="78" t="str">
        <f>IF(U653="","",IF(AD653="","",_xlfn.WORKDAY.INTL(AD653,7,1,FERIADOS)))</f>
        <v/>
      </c>
      <c r="AF653" s="104"/>
      <c r="AG653" s="80" t="str">
        <f t="array" ref="AG653">IF(A653="","",IF(AF653="","",AF653*INDEX(PARAMETROS!F$2:F1716,MATCH(YEAR(AC653),PARAMETROS!E$2:E1716,0),1)))</f>
        <v/>
      </c>
      <c r="AH653" s="81"/>
      <c r="AI653" s="82"/>
      <c r="AJ653" s="81"/>
      <c r="AK653" s="81"/>
      <c r="AL653" s="76"/>
      <c r="AM653" s="75"/>
      <c r="AN653" s="76"/>
      <c r="AO653" s="95"/>
      <c r="AP653" s="96"/>
      <c r="AQ653" s="85" t="str">
        <f t="shared" si="6"/>
        <v/>
      </c>
      <c r="AR653" s="86" t="str">
        <f t="array" ref="AR653">IF(A653="","",IFERROR(INDEX('2) Etapas'!L$3:L923,MATCH(B653,'2) Etapas'!$A$4:$A923,0),1),-1))</f>
        <v/>
      </c>
      <c r="AS653" s="87" t="str">
        <f t="shared" si="7"/>
        <v/>
      </c>
      <c r="AT653" s="87" t="str">
        <f t="shared" si="8"/>
        <v/>
      </c>
      <c r="AU653" s="87" t="str">
        <f t="shared" si="9"/>
        <v/>
      </c>
      <c r="AV653" s="89" t="str">
        <f t="array" ref="AV653">IF(OR($A653="",$AB653="", $AC653=""),"",MAXA(IF($A653=$A$4:$A923,$AC$4:$AC923)))</f>
        <v/>
      </c>
    </row>
    <row r="654" ht="22.5" customHeight="1">
      <c r="A654" s="76"/>
      <c r="B654" s="68" t="str">
        <f t="shared" si="1"/>
        <v/>
      </c>
      <c r="C654" s="110"/>
      <c r="D654" s="70" t="str">
        <f t="shared" si="2"/>
        <v/>
      </c>
      <c r="E654" s="76"/>
      <c r="F654" s="68" t="str">
        <f t="array" ref="F654">IF($A654="","",IFERROR(INDEX(MA_INDIVIDUALES!C$2:C923, MATCH($A654,MA_INDIVIDUALES!$B$2:$B923,0),1),"CÓDIGO DE EXPEDIENTE INVÁLIDO"))</f>
        <v/>
      </c>
      <c r="G654" s="68" t="str">
        <f t="array" ref="G654">IF($A654="","",IFERROR(INDEX(MA_INDIVIDUALES!K$2:K923, MATCH($A654,MA_INDIVIDUALES!$B$2:$B923,0),1),"CÓDIGO DE EXPEDIENTE INVÁLIDO"))</f>
        <v/>
      </c>
      <c r="H654" s="68" t="str">
        <f t="array" ref="H654">IF($A654="","",IFERROR(INDEX(MA_INDIVIDUALES!L$2:L923, MATCH($A654,MA_INDIVIDUALES!$B$2:$B923,0),1),"CÓDIGO DE EXPEDIENTE INVÁLIDO"))</f>
        <v/>
      </c>
      <c r="I654" s="76"/>
      <c r="J654" s="76"/>
      <c r="K654" s="75"/>
      <c r="L654" s="74" t="str">
        <f>IF(A654="","",IF(K654="","",_xlfn.WORKDAY.INTL(K654,5,1,FERIADOS)))</f>
        <v/>
      </c>
      <c r="M654" s="76"/>
      <c r="N654" s="75"/>
      <c r="O654" s="76"/>
      <c r="P654" s="77" t="str">
        <f t="shared" si="3"/>
        <v/>
      </c>
      <c r="Q654" s="75"/>
      <c r="R654" s="76"/>
      <c r="S654" s="75"/>
      <c r="T654" s="75"/>
      <c r="U654" s="76"/>
      <c r="V654" s="76"/>
      <c r="W654" s="75"/>
      <c r="X654" s="76"/>
      <c r="Y654" s="29" t="str">
        <f t="shared" si="4"/>
        <v/>
      </c>
      <c r="Z654" s="29" t="str">
        <f t="shared" si="5"/>
        <v/>
      </c>
      <c r="AA654" s="76"/>
      <c r="AB654" s="76"/>
      <c r="AC654" s="75"/>
      <c r="AD654" s="75"/>
      <c r="AE654" s="78" t="str">
        <f>IF(U654="","",IF(AD654="","",_xlfn.WORKDAY.INTL(AD654,7,1,FERIADOS)))</f>
        <v/>
      </c>
      <c r="AF654" s="104"/>
      <c r="AG654" s="80" t="str">
        <f t="array" ref="AG654">IF(A654="","",IF(AF654="","",AF654*INDEX(PARAMETROS!F$2:F1717,MATCH(YEAR(AC654),PARAMETROS!E$2:E1717,0),1)))</f>
        <v/>
      </c>
      <c r="AH654" s="81"/>
      <c r="AI654" s="82"/>
      <c r="AJ654" s="81"/>
      <c r="AK654" s="81"/>
      <c r="AL654" s="76"/>
      <c r="AM654" s="75"/>
      <c r="AN654" s="76"/>
      <c r="AO654" s="95"/>
      <c r="AP654" s="96"/>
      <c r="AQ654" s="85" t="str">
        <f t="shared" si="6"/>
        <v/>
      </c>
      <c r="AR654" s="86" t="str">
        <f t="array" ref="AR654">IF(A654="","",IFERROR(INDEX('2) Etapas'!L$3:L923,MATCH(B654,'2) Etapas'!$A$4:$A923,0),1),-1))</f>
        <v/>
      </c>
      <c r="AS654" s="87" t="str">
        <f t="shared" si="7"/>
        <v/>
      </c>
      <c r="AT654" s="87" t="str">
        <f t="shared" si="8"/>
        <v/>
      </c>
      <c r="AU654" s="87" t="str">
        <f t="shared" si="9"/>
        <v/>
      </c>
      <c r="AV654" s="89" t="str">
        <f t="array" ref="AV654">IF(OR($A654="",$AB654="", $AC654=""),"",MAXA(IF($A654=$A$4:$A923,$AC$4:$AC923)))</f>
        <v/>
      </c>
    </row>
    <row r="655" ht="22.5" customHeight="1">
      <c r="A655" s="76"/>
      <c r="B655" s="68" t="str">
        <f t="shared" si="1"/>
        <v/>
      </c>
      <c r="C655" s="110"/>
      <c r="D655" s="70" t="str">
        <f t="shared" si="2"/>
        <v/>
      </c>
      <c r="E655" s="76"/>
      <c r="F655" s="68" t="str">
        <f t="array" ref="F655">IF($A655="","",IFERROR(INDEX(MA_INDIVIDUALES!C$2:C923, MATCH($A655,MA_INDIVIDUALES!$B$2:$B923,0),1),"CÓDIGO DE EXPEDIENTE INVÁLIDO"))</f>
        <v/>
      </c>
      <c r="G655" s="68" t="str">
        <f t="array" ref="G655">IF($A655="","",IFERROR(INDEX(MA_INDIVIDUALES!K$2:K923, MATCH($A655,MA_INDIVIDUALES!$B$2:$B923,0),1),"CÓDIGO DE EXPEDIENTE INVÁLIDO"))</f>
        <v/>
      </c>
      <c r="H655" s="68" t="str">
        <f t="array" ref="H655">IF($A655="","",IFERROR(INDEX(MA_INDIVIDUALES!L$2:L923, MATCH($A655,MA_INDIVIDUALES!$B$2:$B923,0),1),"CÓDIGO DE EXPEDIENTE INVÁLIDO"))</f>
        <v/>
      </c>
      <c r="I655" s="76"/>
      <c r="J655" s="76"/>
      <c r="K655" s="75"/>
      <c r="L655" s="74" t="str">
        <f>IF(A655="","",IF(K655="","",_xlfn.WORKDAY.INTL(K655,5,1,FERIADOS)))</f>
        <v/>
      </c>
      <c r="M655" s="76"/>
      <c r="N655" s="75"/>
      <c r="O655" s="76"/>
      <c r="P655" s="77" t="str">
        <f t="shared" si="3"/>
        <v/>
      </c>
      <c r="Q655" s="75"/>
      <c r="R655" s="76"/>
      <c r="S655" s="75"/>
      <c r="T655" s="75"/>
      <c r="U655" s="76"/>
      <c r="V655" s="76"/>
      <c r="W655" s="75"/>
      <c r="X655" s="76"/>
      <c r="Y655" s="29" t="str">
        <f t="shared" si="4"/>
        <v/>
      </c>
      <c r="Z655" s="29" t="str">
        <f t="shared" si="5"/>
        <v/>
      </c>
      <c r="AA655" s="76"/>
      <c r="AB655" s="76"/>
      <c r="AC655" s="75"/>
      <c r="AD655" s="75"/>
      <c r="AE655" s="78" t="str">
        <f>IF(U655="","",IF(AD655="","",_xlfn.WORKDAY.INTL(AD655,7,1,FERIADOS)))</f>
        <v/>
      </c>
      <c r="AF655" s="104"/>
      <c r="AG655" s="80" t="str">
        <f t="array" ref="AG655">IF(A655="","",IF(AF655="","",AF655*INDEX(PARAMETROS!F$2:F1718,MATCH(YEAR(AC655),PARAMETROS!E$2:E1718,0),1)))</f>
        <v/>
      </c>
      <c r="AH655" s="81"/>
      <c r="AI655" s="82"/>
      <c r="AJ655" s="81"/>
      <c r="AK655" s="81"/>
      <c r="AL655" s="76"/>
      <c r="AM655" s="75"/>
      <c r="AN655" s="76"/>
      <c r="AO655" s="95"/>
      <c r="AP655" s="96"/>
      <c r="AQ655" s="85" t="str">
        <f t="shared" si="6"/>
        <v/>
      </c>
      <c r="AR655" s="86" t="str">
        <f t="array" ref="AR655">IF(A655="","",IFERROR(INDEX('2) Etapas'!L$3:L923,MATCH(B655,'2) Etapas'!$A$4:$A923,0),1),-1))</f>
        <v/>
      </c>
      <c r="AS655" s="87" t="str">
        <f t="shared" si="7"/>
        <v/>
      </c>
      <c r="AT655" s="87" t="str">
        <f t="shared" si="8"/>
        <v/>
      </c>
      <c r="AU655" s="87" t="str">
        <f t="shared" si="9"/>
        <v/>
      </c>
      <c r="AV655" s="89" t="str">
        <f t="array" ref="AV655">IF(OR($A655="",$AB655="", $AC655=""),"",MAXA(IF($A655=$A$4:$A923,$AC$4:$AC923)))</f>
        <v/>
      </c>
    </row>
    <row r="656" ht="22.5" customHeight="1">
      <c r="A656" s="76"/>
      <c r="B656" s="68" t="str">
        <f t="shared" si="1"/>
        <v/>
      </c>
      <c r="C656" s="110"/>
      <c r="D656" s="70" t="str">
        <f t="shared" si="2"/>
        <v/>
      </c>
      <c r="E656" s="76"/>
      <c r="F656" s="68" t="str">
        <f t="array" ref="F656">IF($A656="","",IFERROR(INDEX(MA_INDIVIDUALES!C$2:C923, MATCH($A656,MA_INDIVIDUALES!$B$2:$B923,0),1),"CÓDIGO DE EXPEDIENTE INVÁLIDO"))</f>
        <v/>
      </c>
      <c r="G656" s="68" t="str">
        <f t="array" ref="G656">IF($A656="","",IFERROR(INDEX(MA_INDIVIDUALES!K$2:K923, MATCH($A656,MA_INDIVIDUALES!$B$2:$B923,0),1),"CÓDIGO DE EXPEDIENTE INVÁLIDO"))</f>
        <v/>
      </c>
      <c r="H656" s="68" t="str">
        <f t="array" ref="H656">IF($A656="","",IFERROR(INDEX(MA_INDIVIDUALES!L$2:L923, MATCH($A656,MA_INDIVIDUALES!$B$2:$B923,0),1),"CÓDIGO DE EXPEDIENTE INVÁLIDO"))</f>
        <v/>
      </c>
      <c r="I656" s="76"/>
      <c r="J656" s="76"/>
      <c r="K656" s="75"/>
      <c r="L656" s="74" t="str">
        <f>IF(A656="","",IF(K656="","",_xlfn.WORKDAY.INTL(K656,5,1,FERIADOS)))</f>
        <v/>
      </c>
      <c r="M656" s="76"/>
      <c r="N656" s="75"/>
      <c r="O656" s="76"/>
      <c r="P656" s="77" t="str">
        <f t="shared" si="3"/>
        <v/>
      </c>
      <c r="Q656" s="75"/>
      <c r="R656" s="76"/>
      <c r="S656" s="75"/>
      <c r="T656" s="75"/>
      <c r="U656" s="76"/>
      <c r="V656" s="76"/>
      <c r="W656" s="75"/>
      <c r="X656" s="76"/>
      <c r="Y656" s="29" t="str">
        <f t="shared" si="4"/>
        <v/>
      </c>
      <c r="Z656" s="29" t="str">
        <f t="shared" si="5"/>
        <v/>
      </c>
      <c r="AA656" s="76"/>
      <c r="AB656" s="76"/>
      <c r="AC656" s="75"/>
      <c r="AD656" s="75"/>
      <c r="AE656" s="78" t="str">
        <f>IF(U656="","",IF(AD656="","",_xlfn.WORKDAY.INTL(AD656,7,1,FERIADOS)))</f>
        <v/>
      </c>
      <c r="AF656" s="104"/>
      <c r="AG656" s="80" t="str">
        <f t="array" ref="AG656">IF(A656="","",IF(AF656="","",AF656*INDEX(PARAMETROS!F$2:F1719,MATCH(YEAR(AC656),PARAMETROS!E$2:E1719,0),1)))</f>
        <v/>
      </c>
      <c r="AH656" s="81"/>
      <c r="AI656" s="82"/>
      <c r="AJ656" s="81"/>
      <c r="AK656" s="81"/>
      <c r="AL656" s="76"/>
      <c r="AM656" s="75"/>
      <c r="AN656" s="76"/>
      <c r="AO656" s="95"/>
      <c r="AP656" s="96"/>
      <c r="AQ656" s="85" t="str">
        <f t="shared" si="6"/>
        <v/>
      </c>
      <c r="AR656" s="86" t="str">
        <f t="array" ref="AR656">IF(A656="","",IFERROR(INDEX('2) Etapas'!L$3:L923,MATCH(B656,'2) Etapas'!$A$4:$A923,0),1),-1))</f>
        <v/>
      </c>
      <c r="AS656" s="87" t="str">
        <f t="shared" si="7"/>
        <v/>
      </c>
      <c r="AT656" s="87" t="str">
        <f t="shared" si="8"/>
        <v/>
      </c>
      <c r="AU656" s="87" t="str">
        <f t="shared" si="9"/>
        <v/>
      </c>
      <c r="AV656" s="89" t="str">
        <f t="array" ref="AV656">IF(OR($A656="",$AB656="", $AC656=""),"",MAXA(IF($A656=$A$4:$A923,$AC$4:$AC923)))</f>
        <v/>
      </c>
    </row>
    <row r="657" ht="22.5" customHeight="1">
      <c r="A657" s="76"/>
      <c r="B657" s="68" t="str">
        <f t="shared" si="1"/>
        <v/>
      </c>
      <c r="C657" s="110"/>
      <c r="D657" s="70" t="str">
        <f t="shared" si="2"/>
        <v/>
      </c>
      <c r="E657" s="76"/>
      <c r="F657" s="68" t="str">
        <f t="array" ref="F657">IF($A657="","",IFERROR(INDEX(MA_INDIVIDUALES!C$2:C923, MATCH($A657,MA_INDIVIDUALES!$B$2:$B923,0),1),"CÓDIGO DE EXPEDIENTE INVÁLIDO"))</f>
        <v/>
      </c>
      <c r="G657" s="68" t="str">
        <f t="array" ref="G657">IF($A657="","",IFERROR(INDEX(MA_INDIVIDUALES!K$2:K923, MATCH($A657,MA_INDIVIDUALES!$B$2:$B923,0),1),"CÓDIGO DE EXPEDIENTE INVÁLIDO"))</f>
        <v/>
      </c>
      <c r="H657" s="68" t="str">
        <f t="array" ref="H657">IF($A657="","",IFERROR(INDEX(MA_INDIVIDUALES!L$2:L923, MATCH($A657,MA_INDIVIDUALES!$B$2:$B923,0),1),"CÓDIGO DE EXPEDIENTE INVÁLIDO"))</f>
        <v/>
      </c>
      <c r="I657" s="76"/>
      <c r="J657" s="76"/>
      <c r="K657" s="75"/>
      <c r="L657" s="74" t="str">
        <f>IF(A657="","",IF(K657="","",_xlfn.WORKDAY.INTL(K657,5,1,FERIADOS)))</f>
        <v/>
      </c>
      <c r="M657" s="76"/>
      <c r="N657" s="75"/>
      <c r="O657" s="76"/>
      <c r="P657" s="77" t="str">
        <f t="shared" si="3"/>
        <v/>
      </c>
      <c r="Q657" s="75"/>
      <c r="R657" s="76"/>
      <c r="S657" s="75"/>
      <c r="T657" s="75"/>
      <c r="U657" s="76"/>
      <c r="V657" s="76"/>
      <c r="W657" s="75"/>
      <c r="X657" s="76"/>
      <c r="Y657" s="29" t="str">
        <f t="shared" si="4"/>
        <v/>
      </c>
      <c r="Z657" s="29" t="str">
        <f t="shared" si="5"/>
        <v/>
      </c>
      <c r="AA657" s="76"/>
      <c r="AB657" s="76"/>
      <c r="AC657" s="75"/>
      <c r="AD657" s="75"/>
      <c r="AE657" s="78" t="str">
        <f>IF(U657="","",IF(AD657="","",_xlfn.WORKDAY.INTL(AD657,7,1,FERIADOS)))</f>
        <v/>
      </c>
      <c r="AF657" s="104"/>
      <c r="AG657" s="80" t="str">
        <f t="array" ref="AG657">IF(A657="","",IF(AF657="","",AF657*INDEX(PARAMETROS!F$2:F1720,MATCH(YEAR(AC657),PARAMETROS!E$2:E1720,0),1)))</f>
        <v/>
      </c>
      <c r="AH657" s="81"/>
      <c r="AI657" s="82"/>
      <c r="AJ657" s="81"/>
      <c r="AK657" s="81"/>
      <c r="AL657" s="76"/>
      <c r="AM657" s="75"/>
      <c r="AN657" s="76"/>
      <c r="AO657" s="95"/>
      <c r="AP657" s="96"/>
      <c r="AQ657" s="85" t="str">
        <f t="shared" si="6"/>
        <v/>
      </c>
      <c r="AR657" s="86" t="str">
        <f t="array" ref="AR657">IF(A657="","",IFERROR(INDEX('2) Etapas'!L$3:L923,MATCH(B657,'2) Etapas'!$A$4:$A923,0),1),-1))</f>
        <v/>
      </c>
      <c r="AS657" s="87" t="str">
        <f t="shared" si="7"/>
        <v/>
      </c>
      <c r="AT657" s="87" t="str">
        <f t="shared" si="8"/>
        <v/>
      </c>
      <c r="AU657" s="87" t="str">
        <f t="shared" si="9"/>
        <v/>
      </c>
      <c r="AV657" s="89" t="str">
        <f t="array" ref="AV657">IF(OR($A657="",$AB657="", $AC657=""),"",MAXA(IF($A657=$A$4:$A923,$AC$4:$AC923)))</f>
        <v/>
      </c>
    </row>
    <row r="658" ht="22.5" customHeight="1">
      <c r="A658" s="76"/>
      <c r="B658" s="68" t="str">
        <f t="shared" si="1"/>
        <v/>
      </c>
      <c r="C658" s="110"/>
      <c r="D658" s="70" t="str">
        <f t="shared" si="2"/>
        <v/>
      </c>
      <c r="E658" s="76"/>
      <c r="F658" s="68" t="str">
        <f t="array" ref="F658">IF($A658="","",IFERROR(INDEX(MA_INDIVIDUALES!C$2:C923, MATCH($A658,MA_INDIVIDUALES!$B$2:$B923,0),1),"CÓDIGO DE EXPEDIENTE INVÁLIDO"))</f>
        <v/>
      </c>
      <c r="G658" s="68" t="str">
        <f t="array" ref="G658">IF($A658="","",IFERROR(INDEX(MA_INDIVIDUALES!K$2:K923, MATCH($A658,MA_INDIVIDUALES!$B$2:$B923,0),1),"CÓDIGO DE EXPEDIENTE INVÁLIDO"))</f>
        <v/>
      </c>
      <c r="H658" s="68" t="str">
        <f t="array" ref="H658">IF($A658="","",IFERROR(INDEX(MA_INDIVIDUALES!L$2:L923, MATCH($A658,MA_INDIVIDUALES!$B$2:$B923,0),1),"CÓDIGO DE EXPEDIENTE INVÁLIDO"))</f>
        <v/>
      </c>
      <c r="I658" s="76"/>
      <c r="J658" s="76"/>
      <c r="K658" s="75"/>
      <c r="L658" s="74" t="str">
        <f>IF(A658="","",IF(K658="","",_xlfn.WORKDAY.INTL(K658,5,1,FERIADOS)))</f>
        <v/>
      </c>
      <c r="M658" s="76"/>
      <c r="N658" s="75"/>
      <c r="O658" s="76"/>
      <c r="P658" s="77" t="str">
        <f t="shared" si="3"/>
        <v/>
      </c>
      <c r="Q658" s="75"/>
      <c r="R658" s="76"/>
      <c r="S658" s="75"/>
      <c r="T658" s="75"/>
      <c r="U658" s="76"/>
      <c r="V658" s="76"/>
      <c r="W658" s="75"/>
      <c r="X658" s="76"/>
      <c r="Y658" s="29" t="str">
        <f t="shared" si="4"/>
        <v/>
      </c>
      <c r="Z658" s="29" t="str">
        <f t="shared" si="5"/>
        <v/>
      </c>
      <c r="AA658" s="76"/>
      <c r="AB658" s="76"/>
      <c r="AC658" s="75"/>
      <c r="AD658" s="75"/>
      <c r="AE658" s="78" t="str">
        <f>IF(U658="","",IF(AD658="","",_xlfn.WORKDAY.INTL(AD658,7,1,FERIADOS)))</f>
        <v/>
      </c>
      <c r="AF658" s="104"/>
      <c r="AG658" s="80" t="str">
        <f t="array" ref="AG658">IF(A658="","",IF(AF658="","",AF658*INDEX(PARAMETROS!F$2:F1721,MATCH(YEAR(AC658),PARAMETROS!E$2:E1721,0),1)))</f>
        <v/>
      </c>
      <c r="AH658" s="81"/>
      <c r="AI658" s="82"/>
      <c r="AJ658" s="81"/>
      <c r="AK658" s="81"/>
      <c r="AL658" s="76"/>
      <c r="AM658" s="75"/>
      <c r="AN658" s="76"/>
      <c r="AO658" s="95"/>
      <c r="AP658" s="96"/>
      <c r="AQ658" s="85" t="str">
        <f t="shared" si="6"/>
        <v/>
      </c>
      <c r="AR658" s="86" t="str">
        <f t="array" ref="AR658">IF(A658="","",IFERROR(INDEX('2) Etapas'!L$3:L923,MATCH(B658,'2) Etapas'!$A$4:$A923,0),1),-1))</f>
        <v/>
      </c>
      <c r="AS658" s="87" t="str">
        <f t="shared" si="7"/>
        <v/>
      </c>
      <c r="AT658" s="87" t="str">
        <f t="shared" si="8"/>
        <v/>
      </c>
      <c r="AU658" s="87" t="str">
        <f t="shared" si="9"/>
        <v/>
      </c>
      <c r="AV658" s="89" t="str">
        <f t="array" ref="AV658">IF(OR($A658="",$AB658="", $AC658=""),"",MAXA(IF($A658=$A$4:$A923,$AC$4:$AC923)))</f>
        <v/>
      </c>
    </row>
    <row r="659" ht="22.5" customHeight="1">
      <c r="A659" s="76"/>
      <c r="B659" s="68" t="str">
        <f t="shared" si="1"/>
        <v/>
      </c>
      <c r="C659" s="110"/>
      <c r="D659" s="70" t="str">
        <f t="shared" si="2"/>
        <v/>
      </c>
      <c r="E659" s="76"/>
      <c r="F659" s="68" t="str">
        <f t="array" ref="F659">IF($A659="","",IFERROR(INDEX(MA_INDIVIDUALES!C$2:C923, MATCH($A659,MA_INDIVIDUALES!$B$2:$B923,0),1),"CÓDIGO DE EXPEDIENTE INVÁLIDO"))</f>
        <v/>
      </c>
      <c r="G659" s="68" t="str">
        <f t="array" ref="G659">IF($A659="","",IFERROR(INDEX(MA_INDIVIDUALES!K$2:K923, MATCH($A659,MA_INDIVIDUALES!$B$2:$B923,0),1),"CÓDIGO DE EXPEDIENTE INVÁLIDO"))</f>
        <v/>
      </c>
      <c r="H659" s="68" t="str">
        <f t="array" ref="H659">IF($A659="","",IFERROR(INDEX(MA_INDIVIDUALES!L$2:L923, MATCH($A659,MA_INDIVIDUALES!$B$2:$B923,0),1),"CÓDIGO DE EXPEDIENTE INVÁLIDO"))</f>
        <v/>
      </c>
      <c r="I659" s="76"/>
      <c r="J659" s="76"/>
      <c r="K659" s="75"/>
      <c r="L659" s="74" t="str">
        <f>IF(A659="","",IF(K659="","",_xlfn.WORKDAY.INTL(K659,5,1,FERIADOS)))</f>
        <v/>
      </c>
      <c r="M659" s="76"/>
      <c r="N659" s="75"/>
      <c r="O659" s="76"/>
      <c r="P659" s="77" t="str">
        <f t="shared" si="3"/>
        <v/>
      </c>
      <c r="Q659" s="75"/>
      <c r="R659" s="76"/>
      <c r="S659" s="75"/>
      <c r="T659" s="75"/>
      <c r="U659" s="76"/>
      <c r="V659" s="76"/>
      <c r="W659" s="75"/>
      <c r="X659" s="76"/>
      <c r="Y659" s="29" t="str">
        <f t="shared" si="4"/>
        <v/>
      </c>
      <c r="Z659" s="29" t="str">
        <f t="shared" si="5"/>
        <v/>
      </c>
      <c r="AA659" s="76"/>
      <c r="AB659" s="76"/>
      <c r="AC659" s="75"/>
      <c r="AD659" s="75"/>
      <c r="AE659" s="78" t="str">
        <f>IF(U659="","",IF(AD659="","",_xlfn.WORKDAY.INTL(AD659,7,1,FERIADOS)))</f>
        <v/>
      </c>
      <c r="AF659" s="104"/>
      <c r="AG659" s="80" t="str">
        <f t="array" ref="AG659">IF(A659="","",IF(AF659="","",AF659*INDEX(PARAMETROS!F$2:F1722,MATCH(YEAR(AC659),PARAMETROS!E$2:E1722,0),1)))</f>
        <v/>
      </c>
      <c r="AH659" s="81"/>
      <c r="AI659" s="82"/>
      <c r="AJ659" s="81"/>
      <c r="AK659" s="81"/>
      <c r="AL659" s="76"/>
      <c r="AM659" s="75"/>
      <c r="AN659" s="76"/>
      <c r="AO659" s="95"/>
      <c r="AP659" s="96"/>
      <c r="AQ659" s="85" t="str">
        <f t="shared" si="6"/>
        <v/>
      </c>
      <c r="AR659" s="86" t="str">
        <f t="array" ref="AR659">IF(A659="","",IFERROR(INDEX('2) Etapas'!L$3:L923,MATCH(B659,'2) Etapas'!$A$4:$A923,0),1),-1))</f>
        <v/>
      </c>
      <c r="AS659" s="87" t="str">
        <f t="shared" si="7"/>
        <v/>
      </c>
      <c r="AT659" s="87" t="str">
        <f t="shared" si="8"/>
        <v/>
      </c>
      <c r="AU659" s="87" t="str">
        <f t="shared" si="9"/>
        <v/>
      </c>
      <c r="AV659" s="89" t="str">
        <f t="array" ref="AV659">IF(OR($A659="",$AB659="", $AC659=""),"",MAXA(IF($A659=$A$4:$A923,$AC$4:$AC923)))</f>
        <v/>
      </c>
    </row>
    <row r="660" ht="22.5" customHeight="1">
      <c r="A660" s="76"/>
      <c r="B660" s="68" t="str">
        <f t="shared" si="1"/>
        <v/>
      </c>
      <c r="C660" s="110"/>
      <c r="D660" s="70" t="str">
        <f t="shared" si="2"/>
        <v/>
      </c>
      <c r="E660" s="76"/>
      <c r="F660" s="68" t="str">
        <f t="array" ref="F660">IF($A660="","",IFERROR(INDEX(MA_INDIVIDUALES!C$2:C923, MATCH($A660,MA_INDIVIDUALES!$B$2:$B923,0),1),"CÓDIGO DE EXPEDIENTE INVÁLIDO"))</f>
        <v/>
      </c>
      <c r="G660" s="68" t="str">
        <f t="array" ref="G660">IF($A660="","",IFERROR(INDEX(MA_INDIVIDUALES!K$2:K923, MATCH($A660,MA_INDIVIDUALES!$B$2:$B923,0),1),"CÓDIGO DE EXPEDIENTE INVÁLIDO"))</f>
        <v/>
      </c>
      <c r="H660" s="68" t="str">
        <f t="array" ref="H660">IF($A660="","",IFERROR(INDEX(MA_INDIVIDUALES!L$2:L923, MATCH($A660,MA_INDIVIDUALES!$B$2:$B923,0),1),"CÓDIGO DE EXPEDIENTE INVÁLIDO"))</f>
        <v/>
      </c>
      <c r="I660" s="76"/>
      <c r="J660" s="76"/>
      <c r="K660" s="75"/>
      <c r="L660" s="74" t="str">
        <f>IF(A660="","",IF(K660="","",_xlfn.WORKDAY.INTL(K660,5,1,FERIADOS)))</f>
        <v/>
      </c>
      <c r="M660" s="76"/>
      <c r="N660" s="75"/>
      <c r="O660" s="76"/>
      <c r="P660" s="77" t="str">
        <f t="shared" si="3"/>
        <v/>
      </c>
      <c r="Q660" s="75"/>
      <c r="R660" s="76"/>
      <c r="S660" s="75"/>
      <c r="T660" s="75"/>
      <c r="U660" s="76"/>
      <c r="V660" s="76"/>
      <c r="W660" s="75"/>
      <c r="X660" s="76"/>
      <c r="Y660" s="29" t="str">
        <f t="shared" si="4"/>
        <v/>
      </c>
      <c r="Z660" s="29" t="str">
        <f t="shared" si="5"/>
        <v/>
      </c>
      <c r="AA660" s="76"/>
      <c r="AB660" s="76"/>
      <c r="AC660" s="75"/>
      <c r="AD660" s="75"/>
      <c r="AE660" s="78" t="str">
        <f>IF(U660="","",IF(AD660="","",_xlfn.WORKDAY.INTL(AD660,7,1,FERIADOS)))</f>
        <v/>
      </c>
      <c r="AF660" s="104"/>
      <c r="AG660" s="80" t="str">
        <f t="array" ref="AG660">IF(A660="","",IF(AF660="","",AF660*INDEX(PARAMETROS!F$2:F1723,MATCH(YEAR(AC660),PARAMETROS!E$2:E1723,0),1)))</f>
        <v/>
      </c>
      <c r="AH660" s="81"/>
      <c r="AI660" s="82"/>
      <c r="AJ660" s="81"/>
      <c r="AK660" s="81"/>
      <c r="AL660" s="76"/>
      <c r="AM660" s="75"/>
      <c r="AN660" s="76"/>
      <c r="AO660" s="95"/>
      <c r="AP660" s="96"/>
      <c r="AQ660" s="85" t="str">
        <f t="shared" si="6"/>
        <v/>
      </c>
      <c r="AR660" s="86" t="str">
        <f t="array" ref="AR660">IF(A660="","",IFERROR(INDEX('2) Etapas'!L$3:L923,MATCH(B660,'2) Etapas'!$A$4:$A923,0),1),-1))</f>
        <v/>
      </c>
      <c r="AS660" s="87" t="str">
        <f t="shared" si="7"/>
        <v/>
      </c>
      <c r="AT660" s="87" t="str">
        <f t="shared" si="8"/>
        <v/>
      </c>
      <c r="AU660" s="87" t="str">
        <f t="shared" si="9"/>
        <v/>
      </c>
      <c r="AV660" s="89" t="str">
        <f t="array" ref="AV660">IF(OR($A660="",$AB660="", $AC660=""),"",MAXA(IF($A660=$A$4:$A923,$AC$4:$AC923)))</f>
        <v/>
      </c>
    </row>
    <row r="661" ht="22.5" customHeight="1">
      <c r="A661" s="76"/>
      <c r="B661" s="68" t="str">
        <f t="shared" si="1"/>
        <v/>
      </c>
      <c r="C661" s="110"/>
      <c r="D661" s="70" t="str">
        <f t="shared" si="2"/>
        <v/>
      </c>
      <c r="E661" s="76"/>
      <c r="F661" s="68" t="str">
        <f t="array" ref="F661">IF($A661="","",IFERROR(INDEX(MA_INDIVIDUALES!C$2:C923, MATCH($A661,MA_INDIVIDUALES!$B$2:$B923,0),1),"CÓDIGO DE EXPEDIENTE INVÁLIDO"))</f>
        <v/>
      </c>
      <c r="G661" s="68" t="str">
        <f t="array" ref="G661">IF($A661="","",IFERROR(INDEX(MA_INDIVIDUALES!K$2:K923, MATCH($A661,MA_INDIVIDUALES!$B$2:$B923,0),1),"CÓDIGO DE EXPEDIENTE INVÁLIDO"))</f>
        <v/>
      </c>
      <c r="H661" s="68" t="str">
        <f t="array" ref="H661">IF($A661="","",IFERROR(INDEX(MA_INDIVIDUALES!L$2:L923, MATCH($A661,MA_INDIVIDUALES!$B$2:$B923,0),1),"CÓDIGO DE EXPEDIENTE INVÁLIDO"))</f>
        <v/>
      </c>
      <c r="I661" s="76"/>
      <c r="J661" s="76"/>
      <c r="K661" s="75"/>
      <c r="L661" s="74" t="str">
        <f>IF(A661="","",IF(K661="","",_xlfn.WORKDAY.INTL(K661,5,1,FERIADOS)))</f>
        <v/>
      </c>
      <c r="M661" s="76"/>
      <c r="N661" s="75"/>
      <c r="O661" s="76"/>
      <c r="P661" s="77" t="str">
        <f t="shared" si="3"/>
        <v/>
      </c>
      <c r="Q661" s="75"/>
      <c r="R661" s="76"/>
      <c r="S661" s="75"/>
      <c r="T661" s="75"/>
      <c r="U661" s="76"/>
      <c r="V661" s="76"/>
      <c r="W661" s="75"/>
      <c r="X661" s="76"/>
      <c r="Y661" s="29" t="str">
        <f t="shared" si="4"/>
        <v/>
      </c>
      <c r="Z661" s="29" t="str">
        <f t="shared" si="5"/>
        <v/>
      </c>
      <c r="AA661" s="76"/>
      <c r="AB661" s="76"/>
      <c r="AC661" s="75"/>
      <c r="AD661" s="75"/>
      <c r="AE661" s="78" t="str">
        <f>IF(U661="","",IF(AD661="","",_xlfn.WORKDAY.INTL(AD661,7,1,FERIADOS)))</f>
        <v/>
      </c>
      <c r="AF661" s="104"/>
      <c r="AG661" s="80" t="str">
        <f t="array" ref="AG661">IF(A661="","",IF(AF661="","",AF661*INDEX(PARAMETROS!F$2:F1724,MATCH(YEAR(AC661),PARAMETROS!E$2:E1724,0),1)))</f>
        <v/>
      </c>
      <c r="AH661" s="81"/>
      <c r="AI661" s="82"/>
      <c r="AJ661" s="81"/>
      <c r="AK661" s="81"/>
      <c r="AL661" s="76"/>
      <c r="AM661" s="75"/>
      <c r="AN661" s="76"/>
      <c r="AO661" s="95"/>
      <c r="AP661" s="96"/>
      <c r="AQ661" s="85" t="str">
        <f t="shared" si="6"/>
        <v/>
      </c>
      <c r="AR661" s="86" t="str">
        <f t="array" ref="AR661">IF(A661="","",IFERROR(INDEX('2) Etapas'!L$3:L923,MATCH(B661,'2) Etapas'!$A$4:$A923,0),1),-1))</f>
        <v/>
      </c>
      <c r="AS661" s="87" t="str">
        <f t="shared" si="7"/>
        <v/>
      </c>
      <c r="AT661" s="87" t="str">
        <f t="shared" si="8"/>
        <v/>
      </c>
      <c r="AU661" s="87" t="str">
        <f t="shared" si="9"/>
        <v/>
      </c>
      <c r="AV661" s="89" t="str">
        <f t="array" ref="AV661">IF(OR($A661="",$AB661="", $AC661=""),"",MAXA(IF($A661=$A$4:$A923,$AC$4:$AC923)))</f>
        <v/>
      </c>
    </row>
    <row r="662" ht="22.5" customHeight="1">
      <c r="A662" s="76"/>
      <c r="B662" s="68" t="str">
        <f t="shared" si="1"/>
        <v/>
      </c>
      <c r="C662" s="110"/>
      <c r="D662" s="70" t="str">
        <f t="shared" si="2"/>
        <v/>
      </c>
      <c r="E662" s="76"/>
      <c r="F662" s="68" t="str">
        <f t="array" ref="F662">IF($A662="","",IFERROR(INDEX(MA_INDIVIDUALES!C$2:C923, MATCH($A662,MA_INDIVIDUALES!$B$2:$B923,0),1),"CÓDIGO DE EXPEDIENTE INVÁLIDO"))</f>
        <v/>
      </c>
      <c r="G662" s="68" t="str">
        <f t="array" ref="G662">IF($A662="","",IFERROR(INDEX(MA_INDIVIDUALES!K$2:K923, MATCH($A662,MA_INDIVIDUALES!$B$2:$B923,0),1),"CÓDIGO DE EXPEDIENTE INVÁLIDO"))</f>
        <v/>
      </c>
      <c r="H662" s="68" t="str">
        <f t="array" ref="H662">IF($A662="","",IFERROR(INDEX(MA_INDIVIDUALES!L$2:L923, MATCH($A662,MA_INDIVIDUALES!$B$2:$B923,0),1),"CÓDIGO DE EXPEDIENTE INVÁLIDO"))</f>
        <v/>
      </c>
      <c r="I662" s="76"/>
      <c r="J662" s="76"/>
      <c r="K662" s="75"/>
      <c r="L662" s="74" t="str">
        <f>IF(A662="","",IF(K662="","",_xlfn.WORKDAY.INTL(K662,5,1,FERIADOS)))</f>
        <v/>
      </c>
      <c r="M662" s="76"/>
      <c r="N662" s="75"/>
      <c r="O662" s="76"/>
      <c r="P662" s="77" t="str">
        <f t="shared" si="3"/>
        <v/>
      </c>
      <c r="Q662" s="75"/>
      <c r="R662" s="76"/>
      <c r="S662" s="75"/>
      <c r="T662" s="75"/>
      <c r="U662" s="76"/>
      <c r="V662" s="76"/>
      <c r="W662" s="75"/>
      <c r="X662" s="76"/>
      <c r="Y662" s="29" t="str">
        <f t="shared" si="4"/>
        <v/>
      </c>
      <c r="Z662" s="29" t="str">
        <f t="shared" si="5"/>
        <v/>
      </c>
      <c r="AA662" s="76"/>
      <c r="AB662" s="76"/>
      <c r="AC662" s="75"/>
      <c r="AD662" s="75"/>
      <c r="AE662" s="78" t="str">
        <f>IF(U662="","",IF(AD662="","",_xlfn.WORKDAY.INTL(AD662,7,1,FERIADOS)))</f>
        <v/>
      </c>
      <c r="AF662" s="104"/>
      <c r="AG662" s="80" t="str">
        <f t="array" ref="AG662">IF(A662="","",IF(AF662="","",AF662*INDEX(PARAMETROS!F$2:F1725,MATCH(YEAR(AC662),PARAMETROS!E$2:E1725,0),1)))</f>
        <v/>
      </c>
      <c r="AH662" s="81"/>
      <c r="AI662" s="82"/>
      <c r="AJ662" s="81"/>
      <c r="AK662" s="81"/>
      <c r="AL662" s="76"/>
      <c r="AM662" s="75"/>
      <c r="AN662" s="76"/>
      <c r="AO662" s="95"/>
      <c r="AP662" s="96"/>
      <c r="AQ662" s="85" t="str">
        <f t="shared" si="6"/>
        <v/>
      </c>
      <c r="AR662" s="86" t="str">
        <f t="array" ref="AR662">IF(A662="","",IFERROR(INDEX('2) Etapas'!L$3:L923,MATCH(B662,'2) Etapas'!$A$4:$A923,0),1),-1))</f>
        <v/>
      </c>
      <c r="AS662" s="87" t="str">
        <f t="shared" si="7"/>
        <v/>
      </c>
      <c r="AT662" s="87" t="str">
        <f t="shared" si="8"/>
        <v/>
      </c>
      <c r="AU662" s="87" t="str">
        <f t="shared" si="9"/>
        <v/>
      </c>
      <c r="AV662" s="89" t="str">
        <f t="array" ref="AV662">IF(OR($A662="",$AB662="", $AC662=""),"",MAXA(IF($A662=$A$4:$A923,$AC$4:$AC923)))</f>
        <v/>
      </c>
    </row>
    <row r="663" ht="22.5" customHeight="1">
      <c r="A663" s="76"/>
      <c r="B663" s="68" t="str">
        <f t="shared" si="1"/>
        <v/>
      </c>
      <c r="C663" s="110"/>
      <c r="D663" s="70" t="str">
        <f t="shared" si="2"/>
        <v/>
      </c>
      <c r="E663" s="76"/>
      <c r="F663" s="68" t="str">
        <f t="array" ref="F663">IF($A663="","",IFERROR(INDEX(MA_INDIVIDUALES!C$2:C923, MATCH($A663,MA_INDIVIDUALES!$B$2:$B923,0),1),"CÓDIGO DE EXPEDIENTE INVÁLIDO"))</f>
        <v/>
      </c>
      <c r="G663" s="68" t="str">
        <f t="array" ref="G663">IF($A663="","",IFERROR(INDEX(MA_INDIVIDUALES!K$2:K923, MATCH($A663,MA_INDIVIDUALES!$B$2:$B923,0),1),"CÓDIGO DE EXPEDIENTE INVÁLIDO"))</f>
        <v/>
      </c>
      <c r="H663" s="68" t="str">
        <f t="array" ref="H663">IF($A663="","",IFERROR(INDEX(MA_INDIVIDUALES!L$2:L923, MATCH($A663,MA_INDIVIDUALES!$B$2:$B923,0),1),"CÓDIGO DE EXPEDIENTE INVÁLIDO"))</f>
        <v/>
      </c>
      <c r="I663" s="76"/>
      <c r="J663" s="76"/>
      <c r="K663" s="75"/>
      <c r="L663" s="74" t="str">
        <f>IF(A663="","",IF(K663="","",_xlfn.WORKDAY.INTL(K663,5,1,FERIADOS)))</f>
        <v/>
      </c>
      <c r="M663" s="76"/>
      <c r="N663" s="75"/>
      <c r="O663" s="76"/>
      <c r="P663" s="77" t="str">
        <f t="shared" si="3"/>
        <v/>
      </c>
      <c r="Q663" s="75"/>
      <c r="R663" s="76"/>
      <c r="S663" s="75"/>
      <c r="T663" s="75"/>
      <c r="U663" s="76"/>
      <c r="V663" s="76"/>
      <c r="W663" s="75"/>
      <c r="X663" s="76"/>
      <c r="Y663" s="29" t="str">
        <f t="shared" si="4"/>
        <v/>
      </c>
      <c r="Z663" s="29" t="str">
        <f t="shared" si="5"/>
        <v/>
      </c>
      <c r="AA663" s="76"/>
      <c r="AB663" s="76"/>
      <c r="AC663" s="75"/>
      <c r="AD663" s="75"/>
      <c r="AE663" s="78" t="str">
        <f>IF(U663="","",IF(AD663="","",_xlfn.WORKDAY.INTL(AD663,7,1,FERIADOS)))</f>
        <v/>
      </c>
      <c r="AF663" s="104"/>
      <c r="AG663" s="80" t="str">
        <f t="array" ref="AG663">IF(A663="","",IF(AF663="","",AF663*INDEX(PARAMETROS!F$2:F1726,MATCH(YEAR(AC663),PARAMETROS!E$2:E1726,0),1)))</f>
        <v/>
      </c>
      <c r="AH663" s="81"/>
      <c r="AI663" s="82"/>
      <c r="AJ663" s="81"/>
      <c r="AK663" s="81"/>
      <c r="AL663" s="76"/>
      <c r="AM663" s="75"/>
      <c r="AN663" s="76"/>
      <c r="AO663" s="95"/>
      <c r="AP663" s="96"/>
      <c r="AQ663" s="85" t="str">
        <f t="shared" si="6"/>
        <v/>
      </c>
      <c r="AR663" s="86" t="str">
        <f t="array" ref="AR663">IF(A663="","",IFERROR(INDEX('2) Etapas'!L$3:L923,MATCH(B663,'2) Etapas'!$A$4:$A923,0),1),-1))</f>
        <v/>
      </c>
      <c r="AS663" s="87" t="str">
        <f t="shared" si="7"/>
        <v/>
      </c>
      <c r="AT663" s="87" t="str">
        <f t="shared" si="8"/>
        <v/>
      </c>
      <c r="AU663" s="87" t="str">
        <f t="shared" si="9"/>
        <v/>
      </c>
      <c r="AV663" s="89" t="str">
        <f t="array" ref="AV663">IF(OR($A663="",$AB663="", $AC663=""),"",MAXA(IF($A663=$A$4:$A923,$AC$4:$AC923)))</f>
        <v/>
      </c>
    </row>
    <row r="664" ht="22.5" customHeight="1">
      <c r="A664" s="76"/>
      <c r="B664" s="68" t="str">
        <f t="shared" si="1"/>
        <v/>
      </c>
      <c r="C664" s="110"/>
      <c r="D664" s="70" t="str">
        <f t="shared" si="2"/>
        <v/>
      </c>
      <c r="E664" s="76"/>
      <c r="F664" s="68" t="str">
        <f t="array" ref="F664">IF($A664="","",IFERROR(INDEX(MA_INDIVIDUALES!C$2:C923, MATCH($A664,MA_INDIVIDUALES!$B$2:$B923,0),1),"CÓDIGO DE EXPEDIENTE INVÁLIDO"))</f>
        <v/>
      </c>
      <c r="G664" s="68" t="str">
        <f t="array" ref="G664">IF($A664="","",IFERROR(INDEX(MA_INDIVIDUALES!K$2:K923, MATCH($A664,MA_INDIVIDUALES!$B$2:$B923,0),1),"CÓDIGO DE EXPEDIENTE INVÁLIDO"))</f>
        <v/>
      </c>
      <c r="H664" s="68" t="str">
        <f t="array" ref="H664">IF($A664="","",IFERROR(INDEX(MA_INDIVIDUALES!L$2:L923, MATCH($A664,MA_INDIVIDUALES!$B$2:$B923,0),1),"CÓDIGO DE EXPEDIENTE INVÁLIDO"))</f>
        <v/>
      </c>
      <c r="I664" s="76"/>
      <c r="J664" s="76"/>
      <c r="K664" s="75"/>
      <c r="L664" s="74" t="str">
        <f>IF(A664="","",IF(K664="","",_xlfn.WORKDAY.INTL(K664,5,1,FERIADOS)))</f>
        <v/>
      </c>
      <c r="M664" s="76"/>
      <c r="N664" s="75"/>
      <c r="O664" s="76"/>
      <c r="P664" s="77" t="str">
        <f t="shared" si="3"/>
        <v/>
      </c>
      <c r="Q664" s="75"/>
      <c r="R664" s="76"/>
      <c r="S664" s="75"/>
      <c r="T664" s="75"/>
      <c r="U664" s="76"/>
      <c r="V664" s="76"/>
      <c r="W664" s="75"/>
      <c r="X664" s="76"/>
      <c r="Y664" s="29" t="str">
        <f t="shared" si="4"/>
        <v/>
      </c>
      <c r="Z664" s="29" t="str">
        <f t="shared" si="5"/>
        <v/>
      </c>
      <c r="AA664" s="76"/>
      <c r="AB664" s="76"/>
      <c r="AC664" s="75"/>
      <c r="AD664" s="75"/>
      <c r="AE664" s="78" t="str">
        <f>IF(U664="","",IF(AD664="","",_xlfn.WORKDAY.INTL(AD664,7,1,FERIADOS)))</f>
        <v/>
      </c>
      <c r="AF664" s="104"/>
      <c r="AG664" s="80" t="str">
        <f t="array" ref="AG664">IF(A664="","",IF(AF664="","",AF664*INDEX(PARAMETROS!F$2:F1727,MATCH(YEAR(AC664),PARAMETROS!E$2:E1727,0),1)))</f>
        <v/>
      </c>
      <c r="AH664" s="81"/>
      <c r="AI664" s="82"/>
      <c r="AJ664" s="81"/>
      <c r="AK664" s="81"/>
      <c r="AL664" s="76"/>
      <c r="AM664" s="75"/>
      <c r="AN664" s="76"/>
      <c r="AO664" s="95"/>
      <c r="AP664" s="96"/>
      <c r="AQ664" s="85" t="str">
        <f t="shared" si="6"/>
        <v/>
      </c>
      <c r="AR664" s="86" t="str">
        <f t="array" ref="AR664">IF(A664="","",IFERROR(INDEX('2) Etapas'!L$3:L923,MATCH(B664,'2) Etapas'!$A$4:$A923,0),1),-1))</f>
        <v/>
      </c>
      <c r="AS664" s="87" t="str">
        <f t="shared" si="7"/>
        <v/>
      </c>
      <c r="AT664" s="87" t="str">
        <f t="shared" si="8"/>
        <v/>
      </c>
      <c r="AU664" s="87" t="str">
        <f t="shared" si="9"/>
        <v/>
      </c>
      <c r="AV664" s="89" t="str">
        <f t="array" ref="AV664">IF(OR($A664="",$AB664="", $AC664=""),"",MAXA(IF($A664=$A$4:$A923,$AC$4:$AC923)))</f>
        <v/>
      </c>
    </row>
    <row r="665" ht="22.5" customHeight="1">
      <c r="A665" s="76"/>
      <c r="B665" s="68" t="str">
        <f t="shared" si="1"/>
        <v/>
      </c>
      <c r="C665" s="110"/>
      <c r="D665" s="70" t="str">
        <f t="shared" si="2"/>
        <v/>
      </c>
      <c r="E665" s="76"/>
      <c r="F665" s="68" t="str">
        <f t="array" ref="F665">IF($A665="","",IFERROR(INDEX(MA_INDIVIDUALES!C$2:C923, MATCH($A665,MA_INDIVIDUALES!$B$2:$B923,0),1),"CÓDIGO DE EXPEDIENTE INVÁLIDO"))</f>
        <v/>
      </c>
      <c r="G665" s="68" t="str">
        <f t="array" ref="G665">IF($A665="","",IFERROR(INDEX(MA_INDIVIDUALES!K$2:K923, MATCH($A665,MA_INDIVIDUALES!$B$2:$B923,0),1),"CÓDIGO DE EXPEDIENTE INVÁLIDO"))</f>
        <v/>
      </c>
      <c r="H665" s="68" t="str">
        <f t="array" ref="H665">IF($A665="","",IFERROR(INDEX(MA_INDIVIDUALES!L$2:L923, MATCH($A665,MA_INDIVIDUALES!$B$2:$B923,0),1),"CÓDIGO DE EXPEDIENTE INVÁLIDO"))</f>
        <v/>
      </c>
      <c r="I665" s="76"/>
      <c r="J665" s="76"/>
      <c r="K665" s="75"/>
      <c r="L665" s="74" t="str">
        <f>IF(A665="","",IF(K665="","",_xlfn.WORKDAY.INTL(K665,5,1,FERIADOS)))</f>
        <v/>
      </c>
      <c r="M665" s="76"/>
      <c r="N665" s="75"/>
      <c r="O665" s="76"/>
      <c r="P665" s="77" t="str">
        <f t="shared" si="3"/>
        <v/>
      </c>
      <c r="Q665" s="75"/>
      <c r="R665" s="76"/>
      <c r="S665" s="75"/>
      <c r="T665" s="75"/>
      <c r="U665" s="76"/>
      <c r="V665" s="76"/>
      <c r="W665" s="75"/>
      <c r="X665" s="76"/>
      <c r="Y665" s="29" t="str">
        <f t="shared" si="4"/>
        <v/>
      </c>
      <c r="Z665" s="29" t="str">
        <f t="shared" si="5"/>
        <v/>
      </c>
      <c r="AA665" s="76"/>
      <c r="AB665" s="76"/>
      <c r="AC665" s="75"/>
      <c r="AD665" s="75"/>
      <c r="AE665" s="78" t="str">
        <f>IF(U665="","",IF(AD665="","",_xlfn.WORKDAY.INTL(AD665,7,1,FERIADOS)))</f>
        <v/>
      </c>
      <c r="AF665" s="104"/>
      <c r="AG665" s="80" t="str">
        <f t="array" ref="AG665">IF(A665="","",IF(AF665="","",AF665*INDEX(PARAMETROS!F$2:F1728,MATCH(YEAR(AC665),PARAMETROS!E$2:E1728,0),1)))</f>
        <v/>
      </c>
      <c r="AH665" s="81"/>
      <c r="AI665" s="82"/>
      <c r="AJ665" s="81"/>
      <c r="AK665" s="81"/>
      <c r="AL665" s="76"/>
      <c r="AM665" s="75"/>
      <c r="AN665" s="76"/>
      <c r="AO665" s="95"/>
      <c r="AP665" s="96"/>
      <c r="AQ665" s="85" t="str">
        <f t="shared" si="6"/>
        <v/>
      </c>
      <c r="AR665" s="86" t="str">
        <f t="array" ref="AR665">IF(A665="","",IFERROR(INDEX('2) Etapas'!L$3:L923,MATCH(B665,'2) Etapas'!$A$4:$A923,0),1),-1))</f>
        <v/>
      </c>
      <c r="AS665" s="87" t="str">
        <f t="shared" si="7"/>
        <v/>
      </c>
      <c r="AT665" s="87" t="str">
        <f t="shared" si="8"/>
        <v/>
      </c>
      <c r="AU665" s="87" t="str">
        <f t="shared" si="9"/>
        <v/>
      </c>
      <c r="AV665" s="89" t="str">
        <f t="array" ref="AV665">IF(OR($A665="",$AB665="", $AC665=""),"",MAXA(IF($A665=$A$4:$A923,$AC$4:$AC923)))</f>
        <v/>
      </c>
    </row>
    <row r="666" ht="22.5" customHeight="1">
      <c r="A666" s="76"/>
      <c r="B666" s="68" t="str">
        <f t="shared" si="1"/>
        <v/>
      </c>
      <c r="C666" s="110"/>
      <c r="D666" s="70" t="str">
        <f t="shared" si="2"/>
        <v/>
      </c>
      <c r="E666" s="76"/>
      <c r="F666" s="68" t="str">
        <f t="array" ref="F666">IF($A666="","",IFERROR(INDEX(MA_INDIVIDUALES!C$2:C923, MATCH($A666,MA_INDIVIDUALES!$B$2:$B923,0),1),"CÓDIGO DE EXPEDIENTE INVÁLIDO"))</f>
        <v/>
      </c>
      <c r="G666" s="68" t="str">
        <f t="array" ref="G666">IF($A666="","",IFERROR(INDEX(MA_INDIVIDUALES!K$2:K923, MATCH($A666,MA_INDIVIDUALES!$B$2:$B923,0),1),"CÓDIGO DE EXPEDIENTE INVÁLIDO"))</f>
        <v/>
      </c>
      <c r="H666" s="68" t="str">
        <f t="array" ref="H666">IF($A666="","",IFERROR(INDEX(MA_INDIVIDUALES!L$2:L923, MATCH($A666,MA_INDIVIDUALES!$B$2:$B923,0),1),"CÓDIGO DE EXPEDIENTE INVÁLIDO"))</f>
        <v/>
      </c>
      <c r="I666" s="76"/>
      <c r="J666" s="76"/>
      <c r="K666" s="75"/>
      <c r="L666" s="74" t="str">
        <f>IF(A666="","",IF(K666="","",_xlfn.WORKDAY.INTL(K666,5,1,FERIADOS)))</f>
        <v/>
      </c>
      <c r="M666" s="76"/>
      <c r="N666" s="75"/>
      <c r="O666" s="76"/>
      <c r="P666" s="77" t="str">
        <f t="shared" si="3"/>
        <v/>
      </c>
      <c r="Q666" s="75"/>
      <c r="R666" s="76"/>
      <c r="S666" s="75"/>
      <c r="T666" s="75"/>
      <c r="U666" s="76"/>
      <c r="V666" s="76"/>
      <c r="W666" s="75"/>
      <c r="X666" s="76"/>
      <c r="Y666" s="29" t="str">
        <f t="shared" si="4"/>
        <v/>
      </c>
      <c r="Z666" s="29" t="str">
        <f t="shared" si="5"/>
        <v/>
      </c>
      <c r="AA666" s="76"/>
      <c r="AB666" s="76"/>
      <c r="AC666" s="75"/>
      <c r="AD666" s="75"/>
      <c r="AE666" s="78" t="str">
        <f>IF(U666="","",IF(AD666="","",_xlfn.WORKDAY.INTL(AD666,7,1,FERIADOS)))</f>
        <v/>
      </c>
      <c r="AF666" s="104"/>
      <c r="AG666" s="80" t="str">
        <f t="array" ref="AG666">IF(A666="","",IF(AF666="","",AF666*INDEX(PARAMETROS!F$2:F1729,MATCH(YEAR(AC666),PARAMETROS!E$2:E1729,0),1)))</f>
        <v/>
      </c>
      <c r="AH666" s="81"/>
      <c r="AI666" s="82"/>
      <c r="AJ666" s="81"/>
      <c r="AK666" s="81"/>
      <c r="AL666" s="76"/>
      <c r="AM666" s="75"/>
      <c r="AN666" s="76"/>
      <c r="AO666" s="95"/>
      <c r="AP666" s="96"/>
      <c r="AQ666" s="85" t="str">
        <f t="shared" si="6"/>
        <v/>
      </c>
      <c r="AR666" s="86" t="str">
        <f t="array" ref="AR666">IF(A666="","",IFERROR(INDEX('2) Etapas'!L$3:L923,MATCH(B666,'2) Etapas'!$A$4:$A923,0),1),-1))</f>
        <v/>
      </c>
      <c r="AS666" s="87" t="str">
        <f t="shared" si="7"/>
        <v/>
      </c>
      <c r="AT666" s="87" t="str">
        <f t="shared" si="8"/>
        <v/>
      </c>
      <c r="AU666" s="87" t="str">
        <f t="shared" si="9"/>
        <v/>
      </c>
      <c r="AV666" s="89" t="str">
        <f t="array" ref="AV666">IF(OR($A666="",$AB666="", $AC666=""),"",MAXA(IF($A666=$A$4:$A923,$AC$4:$AC923)))</f>
        <v/>
      </c>
    </row>
    <row r="667" ht="22.5" customHeight="1">
      <c r="A667" s="76"/>
      <c r="B667" s="68" t="str">
        <f t="shared" si="1"/>
        <v/>
      </c>
      <c r="C667" s="110"/>
      <c r="D667" s="70" t="str">
        <f t="shared" si="2"/>
        <v/>
      </c>
      <c r="E667" s="76"/>
      <c r="F667" s="68" t="str">
        <f t="array" ref="F667">IF($A667="","",IFERROR(INDEX(MA_INDIVIDUALES!C$2:C923, MATCH($A667,MA_INDIVIDUALES!$B$2:$B923,0),1),"CÓDIGO DE EXPEDIENTE INVÁLIDO"))</f>
        <v/>
      </c>
      <c r="G667" s="68" t="str">
        <f t="array" ref="G667">IF($A667="","",IFERROR(INDEX(MA_INDIVIDUALES!K$2:K923, MATCH($A667,MA_INDIVIDUALES!$B$2:$B923,0),1),"CÓDIGO DE EXPEDIENTE INVÁLIDO"))</f>
        <v/>
      </c>
      <c r="H667" s="68" t="str">
        <f t="array" ref="H667">IF($A667="","",IFERROR(INDEX(MA_INDIVIDUALES!L$2:L923, MATCH($A667,MA_INDIVIDUALES!$B$2:$B923,0),1),"CÓDIGO DE EXPEDIENTE INVÁLIDO"))</f>
        <v/>
      </c>
      <c r="I667" s="76"/>
      <c r="J667" s="76"/>
      <c r="K667" s="75"/>
      <c r="L667" s="74" t="str">
        <f>IF(A667="","",IF(K667="","",_xlfn.WORKDAY.INTL(K667,5,1,FERIADOS)))</f>
        <v/>
      </c>
      <c r="M667" s="76"/>
      <c r="N667" s="75"/>
      <c r="O667" s="76"/>
      <c r="P667" s="77" t="str">
        <f t="shared" si="3"/>
        <v/>
      </c>
      <c r="Q667" s="75"/>
      <c r="R667" s="76"/>
      <c r="S667" s="75"/>
      <c r="T667" s="75"/>
      <c r="U667" s="76"/>
      <c r="V667" s="76"/>
      <c r="W667" s="75"/>
      <c r="X667" s="76"/>
      <c r="Y667" s="29" t="str">
        <f t="shared" si="4"/>
        <v/>
      </c>
      <c r="Z667" s="29" t="str">
        <f t="shared" si="5"/>
        <v/>
      </c>
      <c r="AA667" s="76"/>
      <c r="AB667" s="76"/>
      <c r="AC667" s="75"/>
      <c r="AD667" s="75"/>
      <c r="AE667" s="78" t="str">
        <f>IF(U667="","",IF(AD667="","",_xlfn.WORKDAY.INTL(AD667,7,1,FERIADOS)))</f>
        <v/>
      </c>
      <c r="AF667" s="104"/>
      <c r="AG667" s="80" t="str">
        <f t="array" ref="AG667">IF(A667="","",IF(AF667="","",AF667*INDEX(PARAMETROS!F$2:F1730,MATCH(YEAR(AC667),PARAMETROS!E$2:E1730,0),1)))</f>
        <v/>
      </c>
      <c r="AH667" s="81"/>
      <c r="AI667" s="82"/>
      <c r="AJ667" s="81"/>
      <c r="AK667" s="81"/>
      <c r="AL667" s="76"/>
      <c r="AM667" s="75"/>
      <c r="AN667" s="76"/>
      <c r="AO667" s="95"/>
      <c r="AP667" s="96"/>
      <c r="AQ667" s="85" t="str">
        <f t="shared" si="6"/>
        <v/>
      </c>
      <c r="AR667" s="86" t="str">
        <f t="array" ref="AR667">IF(A667="","",IFERROR(INDEX('2) Etapas'!L$3:L923,MATCH(B667,'2) Etapas'!$A$4:$A923,0),1),-1))</f>
        <v/>
      </c>
      <c r="AS667" s="87" t="str">
        <f t="shared" si="7"/>
        <v/>
      </c>
      <c r="AT667" s="87" t="str">
        <f t="shared" si="8"/>
        <v/>
      </c>
      <c r="AU667" s="87" t="str">
        <f t="shared" si="9"/>
        <v/>
      </c>
      <c r="AV667" s="89" t="str">
        <f t="array" ref="AV667">IF(OR($A667="",$AB667="", $AC667=""),"",MAXA(IF($A667=$A$4:$A923,$AC$4:$AC923)))</f>
        <v/>
      </c>
    </row>
    <row r="668" ht="22.5" customHeight="1">
      <c r="A668" s="76"/>
      <c r="B668" s="68" t="str">
        <f t="shared" si="1"/>
        <v/>
      </c>
      <c r="C668" s="110"/>
      <c r="D668" s="70" t="str">
        <f t="shared" si="2"/>
        <v/>
      </c>
      <c r="E668" s="76"/>
      <c r="F668" s="68" t="str">
        <f t="array" ref="F668">IF($A668="","",IFERROR(INDEX(MA_INDIVIDUALES!C$2:C923, MATCH($A668,MA_INDIVIDUALES!$B$2:$B923,0),1),"CÓDIGO DE EXPEDIENTE INVÁLIDO"))</f>
        <v/>
      </c>
      <c r="G668" s="68" t="str">
        <f t="array" ref="G668">IF($A668="","",IFERROR(INDEX(MA_INDIVIDUALES!K$2:K923, MATCH($A668,MA_INDIVIDUALES!$B$2:$B923,0),1),"CÓDIGO DE EXPEDIENTE INVÁLIDO"))</f>
        <v/>
      </c>
      <c r="H668" s="68" t="str">
        <f t="array" ref="H668">IF($A668="","",IFERROR(INDEX(MA_INDIVIDUALES!L$2:L923, MATCH($A668,MA_INDIVIDUALES!$B$2:$B923,0),1),"CÓDIGO DE EXPEDIENTE INVÁLIDO"))</f>
        <v/>
      </c>
      <c r="I668" s="76"/>
      <c r="J668" s="76"/>
      <c r="K668" s="75"/>
      <c r="L668" s="74" t="str">
        <f>IF(A668="","",IF(K668="","",_xlfn.WORKDAY.INTL(K668,5,1,FERIADOS)))</f>
        <v/>
      </c>
      <c r="M668" s="76"/>
      <c r="N668" s="75"/>
      <c r="O668" s="76"/>
      <c r="P668" s="77" t="str">
        <f t="shared" si="3"/>
        <v/>
      </c>
      <c r="Q668" s="75"/>
      <c r="R668" s="76"/>
      <c r="S668" s="75"/>
      <c r="T668" s="75"/>
      <c r="U668" s="76"/>
      <c r="V668" s="76"/>
      <c r="W668" s="75"/>
      <c r="X668" s="76"/>
      <c r="Y668" s="29" t="str">
        <f t="shared" si="4"/>
        <v/>
      </c>
      <c r="Z668" s="29" t="str">
        <f t="shared" si="5"/>
        <v/>
      </c>
      <c r="AA668" s="76"/>
      <c r="AB668" s="76"/>
      <c r="AC668" s="75"/>
      <c r="AD668" s="75"/>
      <c r="AE668" s="78" t="str">
        <f>IF(U668="","",IF(AD668="","",_xlfn.WORKDAY.INTL(AD668,7,1,FERIADOS)))</f>
        <v/>
      </c>
      <c r="AF668" s="104"/>
      <c r="AG668" s="80" t="str">
        <f t="array" ref="AG668">IF(A668="","",IF(AF668="","",AF668*INDEX(PARAMETROS!F$2:F1731,MATCH(YEAR(AC668),PARAMETROS!E$2:E1731,0),1)))</f>
        <v/>
      </c>
      <c r="AH668" s="81"/>
      <c r="AI668" s="82"/>
      <c r="AJ668" s="81"/>
      <c r="AK668" s="81"/>
      <c r="AL668" s="76"/>
      <c r="AM668" s="75"/>
      <c r="AN668" s="76"/>
      <c r="AO668" s="95"/>
      <c r="AP668" s="96"/>
      <c r="AQ668" s="85" t="str">
        <f t="shared" si="6"/>
        <v/>
      </c>
      <c r="AR668" s="86" t="str">
        <f t="array" ref="AR668">IF(A668="","",IFERROR(INDEX('2) Etapas'!L$3:L923,MATCH(B668,'2) Etapas'!$A$4:$A923,0),1),-1))</f>
        <v/>
      </c>
      <c r="AS668" s="87" t="str">
        <f t="shared" si="7"/>
        <v/>
      </c>
      <c r="AT668" s="87" t="str">
        <f t="shared" si="8"/>
        <v/>
      </c>
      <c r="AU668" s="87" t="str">
        <f t="shared" si="9"/>
        <v/>
      </c>
      <c r="AV668" s="89" t="str">
        <f t="array" ref="AV668">IF(OR($A668="",$AB668="", $AC668=""),"",MAXA(IF($A668=$A$4:$A923,$AC$4:$AC923)))</f>
        <v/>
      </c>
    </row>
    <row r="669" ht="22.5" customHeight="1">
      <c r="A669" s="76"/>
      <c r="B669" s="68" t="str">
        <f t="shared" si="1"/>
        <v/>
      </c>
      <c r="C669" s="110"/>
      <c r="D669" s="70" t="str">
        <f t="shared" si="2"/>
        <v/>
      </c>
      <c r="E669" s="76"/>
      <c r="F669" s="68" t="str">
        <f t="array" ref="F669">IF($A669="","",IFERROR(INDEX(MA_INDIVIDUALES!C$2:C923, MATCH($A669,MA_INDIVIDUALES!$B$2:$B923,0),1),"CÓDIGO DE EXPEDIENTE INVÁLIDO"))</f>
        <v/>
      </c>
      <c r="G669" s="68" t="str">
        <f t="array" ref="G669">IF($A669="","",IFERROR(INDEX(MA_INDIVIDUALES!K$2:K923, MATCH($A669,MA_INDIVIDUALES!$B$2:$B923,0),1),"CÓDIGO DE EXPEDIENTE INVÁLIDO"))</f>
        <v/>
      </c>
      <c r="H669" s="68" t="str">
        <f t="array" ref="H669">IF($A669="","",IFERROR(INDEX(MA_INDIVIDUALES!L$2:L923, MATCH($A669,MA_INDIVIDUALES!$B$2:$B923,0),1),"CÓDIGO DE EXPEDIENTE INVÁLIDO"))</f>
        <v/>
      </c>
      <c r="I669" s="76"/>
      <c r="J669" s="76"/>
      <c r="K669" s="75"/>
      <c r="L669" s="74" t="str">
        <f>IF(A669="","",IF(K669="","",_xlfn.WORKDAY.INTL(K669,5,1,FERIADOS)))</f>
        <v/>
      </c>
      <c r="M669" s="76"/>
      <c r="N669" s="75"/>
      <c r="O669" s="76"/>
      <c r="P669" s="77" t="str">
        <f t="shared" si="3"/>
        <v/>
      </c>
      <c r="Q669" s="75"/>
      <c r="R669" s="76"/>
      <c r="S669" s="75"/>
      <c r="T669" s="75"/>
      <c r="U669" s="76"/>
      <c r="V669" s="76"/>
      <c r="W669" s="75"/>
      <c r="X669" s="76"/>
      <c r="Y669" s="29" t="str">
        <f t="shared" si="4"/>
        <v/>
      </c>
      <c r="Z669" s="29" t="str">
        <f t="shared" si="5"/>
        <v/>
      </c>
      <c r="AA669" s="76"/>
      <c r="AB669" s="76"/>
      <c r="AC669" s="75"/>
      <c r="AD669" s="75"/>
      <c r="AE669" s="78" t="str">
        <f>IF(U669="","",IF(AD669="","",_xlfn.WORKDAY.INTL(AD669,7,1,FERIADOS)))</f>
        <v/>
      </c>
      <c r="AF669" s="104"/>
      <c r="AG669" s="80" t="str">
        <f t="array" ref="AG669">IF(A669="","",IF(AF669="","",AF669*INDEX(PARAMETROS!F$2:F1732,MATCH(YEAR(AC669),PARAMETROS!E$2:E1732,0),1)))</f>
        <v/>
      </c>
      <c r="AH669" s="81"/>
      <c r="AI669" s="82"/>
      <c r="AJ669" s="81"/>
      <c r="AK669" s="81"/>
      <c r="AL669" s="76"/>
      <c r="AM669" s="75"/>
      <c r="AN669" s="76"/>
      <c r="AO669" s="95"/>
      <c r="AP669" s="96"/>
      <c r="AQ669" s="85" t="str">
        <f t="shared" si="6"/>
        <v/>
      </c>
      <c r="AR669" s="86" t="str">
        <f t="array" ref="AR669">IF(A669="","",IFERROR(INDEX('2) Etapas'!L$3:L923,MATCH(B669,'2) Etapas'!$A$4:$A923,0),1),-1))</f>
        <v/>
      </c>
      <c r="AS669" s="87" t="str">
        <f t="shared" si="7"/>
        <v/>
      </c>
      <c r="AT669" s="87" t="str">
        <f t="shared" si="8"/>
        <v/>
      </c>
      <c r="AU669" s="87" t="str">
        <f t="shared" si="9"/>
        <v/>
      </c>
      <c r="AV669" s="89" t="str">
        <f t="array" ref="AV669">IF(OR($A669="",$AB669="", $AC669=""),"",MAXA(IF($A669=$A$4:$A923,$AC$4:$AC923)))</f>
        <v/>
      </c>
    </row>
    <row r="670" ht="22.5" customHeight="1">
      <c r="A670" s="76"/>
      <c r="B670" s="68" t="str">
        <f t="shared" si="1"/>
        <v/>
      </c>
      <c r="C670" s="110"/>
      <c r="D670" s="70" t="str">
        <f t="shared" si="2"/>
        <v/>
      </c>
      <c r="E670" s="76"/>
      <c r="F670" s="68" t="str">
        <f t="array" ref="F670">IF($A670="","",IFERROR(INDEX(MA_INDIVIDUALES!C$2:C923, MATCH($A670,MA_INDIVIDUALES!$B$2:$B923,0),1),"CÓDIGO DE EXPEDIENTE INVÁLIDO"))</f>
        <v/>
      </c>
      <c r="G670" s="68" t="str">
        <f t="array" ref="G670">IF($A670="","",IFERROR(INDEX(MA_INDIVIDUALES!K$2:K923, MATCH($A670,MA_INDIVIDUALES!$B$2:$B923,0),1),"CÓDIGO DE EXPEDIENTE INVÁLIDO"))</f>
        <v/>
      </c>
      <c r="H670" s="68" t="str">
        <f t="array" ref="H670">IF($A670="","",IFERROR(INDEX(MA_INDIVIDUALES!L$2:L923, MATCH($A670,MA_INDIVIDUALES!$B$2:$B923,0),1),"CÓDIGO DE EXPEDIENTE INVÁLIDO"))</f>
        <v/>
      </c>
      <c r="I670" s="76"/>
      <c r="J670" s="76"/>
      <c r="K670" s="75"/>
      <c r="L670" s="74" t="str">
        <f>IF(A670="","",IF(K670="","",_xlfn.WORKDAY.INTL(K670,5,1,FERIADOS)))</f>
        <v/>
      </c>
      <c r="M670" s="76"/>
      <c r="N670" s="75"/>
      <c r="O670" s="76"/>
      <c r="P670" s="77" t="str">
        <f t="shared" si="3"/>
        <v/>
      </c>
      <c r="Q670" s="75"/>
      <c r="R670" s="76"/>
      <c r="S670" s="75"/>
      <c r="T670" s="75"/>
      <c r="U670" s="76"/>
      <c r="V670" s="76"/>
      <c r="W670" s="75"/>
      <c r="X670" s="76"/>
      <c r="Y670" s="29" t="str">
        <f t="shared" si="4"/>
        <v/>
      </c>
      <c r="Z670" s="29" t="str">
        <f t="shared" si="5"/>
        <v/>
      </c>
      <c r="AA670" s="76"/>
      <c r="AB670" s="76"/>
      <c r="AC670" s="75"/>
      <c r="AD670" s="75"/>
      <c r="AE670" s="78" t="str">
        <f>IF(U670="","",IF(AD670="","",_xlfn.WORKDAY.INTL(AD670,7,1,FERIADOS)))</f>
        <v/>
      </c>
      <c r="AF670" s="104"/>
      <c r="AG670" s="80" t="str">
        <f t="array" ref="AG670">IF(A670="","",IF(AF670="","",AF670*INDEX(PARAMETROS!F$2:F1733,MATCH(YEAR(AC670),PARAMETROS!E$2:E1733,0),1)))</f>
        <v/>
      </c>
      <c r="AH670" s="81"/>
      <c r="AI670" s="82"/>
      <c r="AJ670" s="81"/>
      <c r="AK670" s="81"/>
      <c r="AL670" s="76"/>
      <c r="AM670" s="75"/>
      <c r="AN670" s="76"/>
      <c r="AO670" s="95"/>
      <c r="AP670" s="96"/>
      <c r="AQ670" s="85" t="str">
        <f t="shared" si="6"/>
        <v/>
      </c>
      <c r="AR670" s="86" t="str">
        <f t="array" ref="AR670">IF(A670="","",IFERROR(INDEX('2) Etapas'!L$3:L923,MATCH(B670,'2) Etapas'!$A$4:$A923,0),1),-1))</f>
        <v/>
      </c>
      <c r="AS670" s="87" t="str">
        <f t="shared" si="7"/>
        <v/>
      </c>
      <c r="AT670" s="87" t="str">
        <f t="shared" si="8"/>
        <v/>
      </c>
      <c r="AU670" s="87" t="str">
        <f t="shared" si="9"/>
        <v/>
      </c>
      <c r="AV670" s="89" t="str">
        <f t="array" ref="AV670">IF(OR($A670="",$AB670="", $AC670=""),"",MAXA(IF($A670=$A$4:$A923,$AC$4:$AC923)))</f>
        <v/>
      </c>
    </row>
    <row r="671" ht="22.5" customHeight="1">
      <c r="A671" s="76"/>
      <c r="B671" s="68" t="str">
        <f t="shared" si="1"/>
        <v/>
      </c>
      <c r="C671" s="110"/>
      <c r="D671" s="70" t="str">
        <f t="shared" si="2"/>
        <v/>
      </c>
      <c r="E671" s="76"/>
      <c r="F671" s="68" t="str">
        <f t="array" ref="F671">IF($A671="","",IFERROR(INDEX(MA_INDIVIDUALES!C$2:C923, MATCH($A671,MA_INDIVIDUALES!$B$2:$B923,0),1),"CÓDIGO DE EXPEDIENTE INVÁLIDO"))</f>
        <v/>
      </c>
      <c r="G671" s="68" t="str">
        <f t="array" ref="G671">IF($A671="","",IFERROR(INDEX(MA_INDIVIDUALES!K$2:K923, MATCH($A671,MA_INDIVIDUALES!$B$2:$B923,0),1),"CÓDIGO DE EXPEDIENTE INVÁLIDO"))</f>
        <v/>
      </c>
      <c r="H671" s="68" t="str">
        <f t="array" ref="H671">IF($A671="","",IFERROR(INDEX(MA_INDIVIDUALES!L$2:L923, MATCH($A671,MA_INDIVIDUALES!$B$2:$B923,0),1),"CÓDIGO DE EXPEDIENTE INVÁLIDO"))</f>
        <v/>
      </c>
      <c r="I671" s="76"/>
      <c r="J671" s="76"/>
      <c r="K671" s="75"/>
      <c r="L671" s="74" t="str">
        <f>IF(A671="","",IF(K671="","",_xlfn.WORKDAY.INTL(K671,5,1,FERIADOS)))</f>
        <v/>
      </c>
      <c r="M671" s="76"/>
      <c r="N671" s="75"/>
      <c r="O671" s="76"/>
      <c r="P671" s="77" t="str">
        <f t="shared" si="3"/>
        <v/>
      </c>
      <c r="Q671" s="75"/>
      <c r="R671" s="76"/>
      <c r="S671" s="75"/>
      <c r="T671" s="75"/>
      <c r="U671" s="76"/>
      <c r="V671" s="76"/>
      <c r="W671" s="75"/>
      <c r="X671" s="76"/>
      <c r="Y671" s="29" t="str">
        <f t="shared" si="4"/>
        <v/>
      </c>
      <c r="Z671" s="29" t="str">
        <f t="shared" si="5"/>
        <v/>
      </c>
      <c r="AA671" s="76"/>
      <c r="AB671" s="76"/>
      <c r="AC671" s="75"/>
      <c r="AD671" s="75"/>
      <c r="AE671" s="78" t="str">
        <f>IF(U671="","",IF(AD671="","",_xlfn.WORKDAY.INTL(AD671,7,1,FERIADOS)))</f>
        <v/>
      </c>
      <c r="AF671" s="104"/>
      <c r="AG671" s="80" t="str">
        <f t="array" ref="AG671">IF(A671="","",IF(AF671="","",AF671*INDEX(PARAMETROS!F$2:F1734,MATCH(YEAR(AC671),PARAMETROS!E$2:E1734,0),1)))</f>
        <v/>
      </c>
      <c r="AH671" s="81"/>
      <c r="AI671" s="82"/>
      <c r="AJ671" s="81"/>
      <c r="AK671" s="81"/>
      <c r="AL671" s="76"/>
      <c r="AM671" s="75"/>
      <c r="AN671" s="76"/>
      <c r="AO671" s="95"/>
      <c r="AP671" s="96"/>
      <c r="AQ671" s="85" t="str">
        <f t="shared" si="6"/>
        <v/>
      </c>
      <c r="AR671" s="86" t="str">
        <f t="array" ref="AR671">IF(A671="","",IFERROR(INDEX('2) Etapas'!L$3:L923,MATCH(B671,'2) Etapas'!$A$4:$A923,0),1),-1))</f>
        <v/>
      </c>
      <c r="AS671" s="87" t="str">
        <f t="shared" si="7"/>
        <v/>
      </c>
      <c r="AT671" s="87" t="str">
        <f t="shared" si="8"/>
        <v/>
      </c>
      <c r="AU671" s="87" t="str">
        <f t="shared" si="9"/>
        <v/>
      </c>
      <c r="AV671" s="89" t="str">
        <f t="array" ref="AV671">IF(OR($A671="",$AB671="", $AC671=""),"",MAXA(IF($A671=$A$4:$A923,$AC$4:$AC923)))</f>
        <v/>
      </c>
    </row>
    <row r="672" ht="22.5" customHeight="1">
      <c r="A672" s="76"/>
      <c r="B672" s="68" t="str">
        <f t="shared" si="1"/>
        <v/>
      </c>
      <c r="C672" s="110"/>
      <c r="D672" s="70" t="str">
        <f t="shared" si="2"/>
        <v/>
      </c>
      <c r="E672" s="76"/>
      <c r="F672" s="68" t="str">
        <f t="array" ref="F672">IF($A672="","",IFERROR(INDEX(MA_INDIVIDUALES!C$2:C923, MATCH($A672,MA_INDIVIDUALES!$B$2:$B923,0),1),"CÓDIGO DE EXPEDIENTE INVÁLIDO"))</f>
        <v/>
      </c>
      <c r="G672" s="68" t="str">
        <f t="array" ref="G672">IF($A672="","",IFERROR(INDEX(MA_INDIVIDUALES!K$2:K923, MATCH($A672,MA_INDIVIDUALES!$B$2:$B923,0),1),"CÓDIGO DE EXPEDIENTE INVÁLIDO"))</f>
        <v/>
      </c>
      <c r="H672" s="68" t="str">
        <f t="array" ref="H672">IF($A672="","",IFERROR(INDEX(MA_INDIVIDUALES!L$2:L923, MATCH($A672,MA_INDIVIDUALES!$B$2:$B923,0),1),"CÓDIGO DE EXPEDIENTE INVÁLIDO"))</f>
        <v/>
      </c>
      <c r="I672" s="76"/>
      <c r="J672" s="76"/>
      <c r="K672" s="75"/>
      <c r="L672" s="74" t="str">
        <f>IF(A672="","",IF(K672="","",_xlfn.WORKDAY.INTL(K672,5,1,FERIADOS)))</f>
        <v/>
      </c>
      <c r="M672" s="76"/>
      <c r="N672" s="75"/>
      <c r="O672" s="76"/>
      <c r="P672" s="77" t="str">
        <f t="shared" si="3"/>
        <v/>
      </c>
      <c r="Q672" s="75"/>
      <c r="R672" s="76"/>
      <c r="S672" s="75"/>
      <c r="T672" s="75"/>
      <c r="U672" s="76"/>
      <c r="V672" s="76"/>
      <c r="W672" s="75"/>
      <c r="X672" s="76"/>
      <c r="Y672" s="29" t="str">
        <f t="shared" si="4"/>
        <v/>
      </c>
      <c r="Z672" s="29" t="str">
        <f t="shared" si="5"/>
        <v/>
      </c>
      <c r="AA672" s="76"/>
      <c r="AB672" s="76"/>
      <c r="AC672" s="75"/>
      <c r="AD672" s="75"/>
      <c r="AE672" s="78" t="str">
        <f>IF(U672="","",IF(AD672="","",_xlfn.WORKDAY.INTL(AD672,7,1,FERIADOS)))</f>
        <v/>
      </c>
      <c r="AF672" s="104"/>
      <c r="AG672" s="80" t="str">
        <f t="array" ref="AG672">IF(A672="","",IF(AF672="","",AF672*INDEX(PARAMETROS!F$2:F1735,MATCH(YEAR(AC672),PARAMETROS!E$2:E1735,0),1)))</f>
        <v/>
      </c>
      <c r="AH672" s="81"/>
      <c r="AI672" s="82"/>
      <c r="AJ672" s="81"/>
      <c r="AK672" s="81"/>
      <c r="AL672" s="76"/>
      <c r="AM672" s="75"/>
      <c r="AN672" s="76"/>
      <c r="AO672" s="95"/>
      <c r="AP672" s="96"/>
      <c r="AQ672" s="85" t="str">
        <f t="shared" si="6"/>
        <v/>
      </c>
      <c r="AR672" s="86" t="str">
        <f t="array" ref="AR672">IF(A672="","",IFERROR(INDEX('2) Etapas'!L$3:L923,MATCH(B672,'2) Etapas'!$A$4:$A923,0),1),-1))</f>
        <v/>
      </c>
      <c r="AS672" s="87" t="str">
        <f t="shared" si="7"/>
        <v/>
      </c>
      <c r="AT672" s="87" t="str">
        <f t="shared" si="8"/>
        <v/>
      </c>
      <c r="AU672" s="87" t="str">
        <f t="shared" si="9"/>
        <v/>
      </c>
      <c r="AV672" s="89" t="str">
        <f t="array" ref="AV672">IF(OR($A672="",$AB672="", $AC672=""),"",MAXA(IF($A672=$A$4:$A923,$AC$4:$AC923)))</f>
        <v/>
      </c>
    </row>
    <row r="673" ht="22.5" customHeight="1">
      <c r="A673" s="76"/>
      <c r="B673" s="68" t="str">
        <f t="shared" si="1"/>
        <v/>
      </c>
      <c r="C673" s="110"/>
      <c r="D673" s="70" t="str">
        <f t="shared" si="2"/>
        <v/>
      </c>
      <c r="E673" s="76"/>
      <c r="F673" s="68" t="str">
        <f t="array" ref="F673">IF($A673="","",IFERROR(INDEX(MA_INDIVIDUALES!C$2:C923, MATCH($A673,MA_INDIVIDUALES!$B$2:$B923,0),1),"CÓDIGO DE EXPEDIENTE INVÁLIDO"))</f>
        <v/>
      </c>
      <c r="G673" s="68" t="str">
        <f t="array" ref="G673">IF($A673="","",IFERROR(INDEX(MA_INDIVIDUALES!K$2:K923, MATCH($A673,MA_INDIVIDUALES!$B$2:$B923,0),1),"CÓDIGO DE EXPEDIENTE INVÁLIDO"))</f>
        <v/>
      </c>
      <c r="H673" s="68" t="str">
        <f t="array" ref="H673">IF($A673="","",IFERROR(INDEX(MA_INDIVIDUALES!L$2:L923, MATCH($A673,MA_INDIVIDUALES!$B$2:$B923,0),1),"CÓDIGO DE EXPEDIENTE INVÁLIDO"))</f>
        <v/>
      </c>
      <c r="I673" s="76"/>
      <c r="J673" s="76"/>
      <c r="K673" s="75"/>
      <c r="L673" s="74" t="str">
        <f>IF(A673="","",IF(K673="","",_xlfn.WORKDAY.INTL(K673,5,1,FERIADOS)))</f>
        <v/>
      </c>
      <c r="M673" s="76"/>
      <c r="N673" s="75"/>
      <c r="O673" s="76"/>
      <c r="P673" s="77" t="str">
        <f t="shared" si="3"/>
        <v/>
      </c>
      <c r="Q673" s="75"/>
      <c r="R673" s="76"/>
      <c r="S673" s="75"/>
      <c r="T673" s="75"/>
      <c r="U673" s="76"/>
      <c r="V673" s="76"/>
      <c r="W673" s="75"/>
      <c r="X673" s="76"/>
      <c r="Y673" s="29" t="str">
        <f t="shared" si="4"/>
        <v/>
      </c>
      <c r="Z673" s="29" t="str">
        <f t="shared" si="5"/>
        <v/>
      </c>
      <c r="AA673" s="76"/>
      <c r="AB673" s="76"/>
      <c r="AC673" s="75"/>
      <c r="AD673" s="75"/>
      <c r="AE673" s="78" t="str">
        <f>IF(U673="","",IF(AD673="","",_xlfn.WORKDAY.INTL(AD673,7,1,FERIADOS)))</f>
        <v/>
      </c>
      <c r="AF673" s="104"/>
      <c r="AG673" s="80" t="str">
        <f t="array" ref="AG673">IF(A673="","",IF(AF673="","",AF673*INDEX(PARAMETROS!F$2:F1736,MATCH(YEAR(AC673),PARAMETROS!E$2:E1736,0),1)))</f>
        <v/>
      </c>
      <c r="AH673" s="81"/>
      <c r="AI673" s="82"/>
      <c r="AJ673" s="81"/>
      <c r="AK673" s="81"/>
      <c r="AL673" s="76"/>
      <c r="AM673" s="75"/>
      <c r="AN673" s="76"/>
      <c r="AO673" s="95"/>
      <c r="AP673" s="96"/>
      <c r="AQ673" s="85" t="str">
        <f t="shared" si="6"/>
        <v/>
      </c>
      <c r="AR673" s="86" t="str">
        <f t="array" ref="AR673">IF(A673="","",IFERROR(INDEX('2) Etapas'!L$3:L923,MATCH(B673,'2) Etapas'!$A$4:$A923,0),1),-1))</f>
        <v/>
      </c>
      <c r="AS673" s="87" t="str">
        <f t="shared" si="7"/>
        <v/>
      </c>
      <c r="AT673" s="87" t="str">
        <f t="shared" si="8"/>
        <v/>
      </c>
      <c r="AU673" s="87" t="str">
        <f t="shared" si="9"/>
        <v/>
      </c>
      <c r="AV673" s="89" t="str">
        <f t="array" ref="AV673">IF(OR($A673="",$AB673="", $AC673=""),"",MAXA(IF($A673=$A$4:$A923,$AC$4:$AC923)))</f>
        <v/>
      </c>
    </row>
    <row r="674" ht="22.5" customHeight="1">
      <c r="A674" s="76"/>
      <c r="B674" s="68" t="str">
        <f t="shared" si="1"/>
        <v/>
      </c>
      <c r="C674" s="110"/>
      <c r="D674" s="70" t="str">
        <f t="shared" si="2"/>
        <v/>
      </c>
      <c r="E674" s="76"/>
      <c r="F674" s="68" t="str">
        <f t="array" ref="F674">IF($A674="","",IFERROR(INDEX(MA_INDIVIDUALES!C$2:C923, MATCH($A674,MA_INDIVIDUALES!$B$2:$B923,0),1),"CÓDIGO DE EXPEDIENTE INVÁLIDO"))</f>
        <v/>
      </c>
      <c r="G674" s="68" t="str">
        <f t="array" ref="G674">IF($A674="","",IFERROR(INDEX(MA_INDIVIDUALES!K$2:K923, MATCH($A674,MA_INDIVIDUALES!$B$2:$B923,0),1),"CÓDIGO DE EXPEDIENTE INVÁLIDO"))</f>
        <v/>
      </c>
      <c r="H674" s="68" t="str">
        <f t="array" ref="H674">IF($A674="","",IFERROR(INDEX(MA_INDIVIDUALES!L$2:L923, MATCH($A674,MA_INDIVIDUALES!$B$2:$B923,0),1),"CÓDIGO DE EXPEDIENTE INVÁLIDO"))</f>
        <v/>
      </c>
      <c r="I674" s="76"/>
      <c r="J674" s="76"/>
      <c r="K674" s="75"/>
      <c r="L674" s="74" t="str">
        <f>IF(A674="","",IF(K674="","",_xlfn.WORKDAY.INTL(K674,5,1,FERIADOS)))</f>
        <v/>
      </c>
      <c r="M674" s="76"/>
      <c r="N674" s="75"/>
      <c r="O674" s="76"/>
      <c r="P674" s="77" t="str">
        <f t="shared" si="3"/>
        <v/>
      </c>
      <c r="Q674" s="75"/>
      <c r="R674" s="76"/>
      <c r="S674" s="75"/>
      <c r="T674" s="75"/>
      <c r="U674" s="76"/>
      <c r="V674" s="76"/>
      <c r="W674" s="75"/>
      <c r="X674" s="76"/>
      <c r="Y674" s="29" t="str">
        <f t="shared" si="4"/>
        <v/>
      </c>
      <c r="Z674" s="29" t="str">
        <f t="shared" si="5"/>
        <v/>
      </c>
      <c r="AA674" s="76"/>
      <c r="AB674" s="76"/>
      <c r="AC674" s="75"/>
      <c r="AD674" s="75"/>
      <c r="AE674" s="78" t="str">
        <f>IF(U674="","",IF(AD674="","",_xlfn.WORKDAY.INTL(AD674,7,1,FERIADOS)))</f>
        <v/>
      </c>
      <c r="AF674" s="104"/>
      <c r="AG674" s="80" t="str">
        <f t="array" ref="AG674">IF(A674="","",IF(AF674="","",AF674*INDEX(PARAMETROS!F$2:F1737,MATCH(YEAR(AC674),PARAMETROS!E$2:E1737,0),1)))</f>
        <v/>
      </c>
      <c r="AH674" s="81"/>
      <c r="AI674" s="82"/>
      <c r="AJ674" s="81"/>
      <c r="AK674" s="81"/>
      <c r="AL674" s="76"/>
      <c r="AM674" s="75"/>
      <c r="AN674" s="76"/>
      <c r="AO674" s="95"/>
      <c r="AP674" s="96"/>
      <c r="AQ674" s="85" t="str">
        <f t="shared" si="6"/>
        <v/>
      </c>
      <c r="AR674" s="86" t="str">
        <f t="array" ref="AR674">IF(A674="","",IFERROR(INDEX('2) Etapas'!L$3:L923,MATCH(B674,'2) Etapas'!$A$4:$A923,0),1),-1))</f>
        <v/>
      </c>
      <c r="AS674" s="87" t="str">
        <f t="shared" si="7"/>
        <v/>
      </c>
      <c r="AT674" s="87" t="str">
        <f t="shared" si="8"/>
        <v/>
      </c>
      <c r="AU674" s="87" t="str">
        <f t="shared" si="9"/>
        <v/>
      </c>
      <c r="AV674" s="89" t="str">
        <f t="array" ref="AV674">IF(OR($A674="",$AB674="", $AC674=""),"",MAXA(IF($A674=$A$4:$A923,$AC$4:$AC923)))</f>
        <v/>
      </c>
    </row>
    <row r="675" ht="22.5" customHeight="1">
      <c r="A675" s="76"/>
      <c r="B675" s="68" t="str">
        <f t="shared" si="1"/>
        <v/>
      </c>
      <c r="C675" s="110"/>
      <c r="D675" s="70" t="str">
        <f t="shared" si="2"/>
        <v/>
      </c>
      <c r="E675" s="76"/>
      <c r="F675" s="68" t="str">
        <f t="array" ref="F675">IF($A675="","",IFERROR(INDEX(MA_INDIVIDUALES!C$2:C923, MATCH($A675,MA_INDIVIDUALES!$B$2:$B923,0),1),"CÓDIGO DE EXPEDIENTE INVÁLIDO"))</f>
        <v/>
      </c>
      <c r="G675" s="68" t="str">
        <f t="array" ref="G675">IF($A675="","",IFERROR(INDEX(MA_INDIVIDUALES!K$2:K923, MATCH($A675,MA_INDIVIDUALES!$B$2:$B923,0),1),"CÓDIGO DE EXPEDIENTE INVÁLIDO"))</f>
        <v/>
      </c>
      <c r="H675" s="68" t="str">
        <f t="array" ref="H675">IF($A675="","",IFERROR(INDEX(MA_INDIVIDUALES!L$2:L923, MATCH($A675,MA_INDIVIDUALES!$B$2:$B923,0),1),"CÓDIGO DE EXPEDIENTE INVÁLIDO"))</f>
        <v/>
      </c>
      <c r="I675" s="76"/>
      <c r="J675" s="76"/>
      <c r="K675" s="75"/>
      <c r="L675" s="74" t="str">
        <f>IF(A675="","",IF(K675="","",_xlfn.WORKDAY.INTL(K675,5,1,FERIADOS)))</f>
        <v/>
      </c>
      <c r="M675" s="76"/>
      <c r="N675" s="75"/>
      <c r="O675" s="76"/>
      <c r="P675" s="77" t="str">
        <f t="shared" si="3"/>
        <v/>
      </c>
      <c r="Q675" s="75"/>
      <c r="R675" s="76"/>
      <c r="S675" s="75"/>
      <c r="T675" s="75"/>
      <c r="U675" s="76"/>
      <c r="V675" s="76"/>
      <c r="W675" s="75"/>
      <c r="X675" s="76"/>
      <c r="Y675" s="29" t="str">
        <f t="shared" si="4"/>
        <v/>
      </c>
      <c r="Z675" s="29" t="str">
        <f t="shared" si="5"/>
        <v/>
      </c>
      <c r="AA675" s="76"/>
      <c r="AB675" s="76"/>
      <c r="AC675" s="75"/>
      <c r="AD675" s="75"/>
      <c r="AE675" s="78" t="str">
        <f>IF(U675="","",IF(AD675="","",_xlfn.WORKDAY.INTL(AD675,7,1,FERIADOS)))</f>
        <v/>
      </c>
      <c r="AF675" s="104"/>
      <c r="AG675" s="80" t="str">
        <f t="array" ref="AG675">IF(A675="","",IF(AF675="","",AF675*INDEX(PARAMETROS!F$2:F1738,MATCH(YEAR(AC675),PARAMETROS!E$2:E1738,0),1)))</f>
        <v/>
      </c>
      <c r="AH675" s="81"/>
      <c r="AI675" s="82"/>
      <c r="AJ675" s="81"/>
      <c r="AK675" s="81"/>
      <c r="AL675" s="76"/>
      <c r="AM675" s="75"/>
      <c r="AN675" s="76"/>
      <c r="AO675" s="95"/>
      <c r="AP675" s="96"/>
      <c r="AQ675" s="85" t="str">
        <f t="shared" si="6"/>
        <v/>
      </c>
      <c r="AR675" s="86" t="str">
        <f t="array" ref="AR675">IF(A675="","",IFERROR(INDEX('2) Etapas'!L$3:L923,MATCH(B675,'2) Etapas'!$A$4:$A923,0),1),-1))</f>
        <v/>
      </c>
      <c r="AS675" s="87" t="str">
        <f t="shared" si="7"/>
        <v/>
      </c>
      <c r="AT675" s="87" t="str">
        <f t="shared" si="8"/>
        <v/>
      </c>
      <c r="AU675" s="87" t="str">
        <f t="shared" si="9"/>
        <v/>
      </c>
      <c r="AV675" s="89" t="str">
        <f t="array" ref="AV675">IF(OR($A675="",$AB675="", $AC675=""),"",MAXA(IF($A675=$A$4:$A923,$AC$4:$AC923)))</f>
        <v/>
      </c>
    </row>
    <row r="676" ht="22.5" customHeight="1">
      <c r="A676" s="76"/>
      <c r="B676" s="68" t="str">
        <f t="shared" si="1"/>
        <v/>
      </c>
      <c r="C676" s="110"/>
      <c r="D676" s="70" t="str">
        <f t="shared" si="2"/>
        <v/>
      </c>
      <c r="E676" s="76"/>
      <c r="F676" s="68" t="str">
        <f t="array" ref="F676">IF($A676="","",IFERROR(INDEX(MA_INDIVIDUALES!C$2:C923, MATCH($A676,MA_INDIVIDUALES!$B$2:$B923,0),1),"CÓDIGO DE EXPEDIENTE INVÁLIDO"))</f>
        <v/>
      </c>
      <c r="G676" s="68" t="str">
        <f t="array" ref="G676">IF($A676="","",IFERROR(INDEX(MA_INDIVIDUALES!K$2:K923, MATCH($A676,MA_INDIVIDUALES!$B$2:$B923,0),1),"CÓDIGO DE EXPEDIENTE INVÁLIDO"))</f>
        <v/>
      </c>
      <c r="H676" s="68" t="str">
        <f t="array" ref="H676">IF($A676="","",IFERROR(INDEX(MA_INDIVIDUALES!L$2:L923, MATCH($A676,MA_INDIVIDUALES!$B$2:$B923,0),1),"CÓDIGO DE EXPEDIENTE INVÁLIDO"))</f>
        <v/>
      </c>
      <c r="I676" s="76"/>
      <c r="J676" s="76"/>
      <c r="K676" s="75"/>
      <c r="L676" s="74" t="str">
        <f>IF(A676="","",IF(K676="","",_xlfn.WORKDAY.INTL(K676,5,1,FERIADOS)))</f>
        <v/>
      </c>
      <c r="M676" s="76"/>
      <c r="N676" s="75"/>
      <c r="O676" s="76"/>
      <c r="P676" s="77" t="str">
        <f t="shared" si="3"/>
        <v/>
      </c>
      <c r="Q676" s="75"/>
      <c r="R676" s="76"/>
      <c r="S676" s="75"/>
      <c r="T676" s="75"/>
      <c r="U676" s="76"/>
      <c r="V676" s="76"/>
      <c r="W676" s="75"/>
      <c r="X676" s="76"/>
      <c r="Y676" s="29" t="str">
        <f t="shared" si="4"/>
        <v/>
      </c>
      <c r="Z676" s="29" t="str">
        <f t="shared" si="5"/>
        <v/>
      </c>
      <c r="AA676" s="76"/>
      <c r="AB676" s="76"/>
      <c r="AC676" s="75"/>
      <c r="AD676" s="75"/>
      <c r="AE676" s="78" t="str">
        <f>IF(U676="","",IF(AD676="","",_xlfn.WORKDAY.INTL(AD676,7,1,FERIADOS)))</f>
        <v/>
      </c>
      <c r="AF676" s="104"/>
      <c r="AG676" s="80" t="str">
        <f t="array" ref="AG676">IF(A676="","",IF(AF676="","",AF676*INDEX(PARAMETROS!F$2:F1739,MATCH(YEAR(AC676),PARAMETROS!E$2:E1739,0),1)))</f>
        <v/>
      </c>
      <c r="AH676" s="81"/>
      <c r="AI676" s="82"/>
      <c r="AJ676" s="81"/>
      <c r="AK676" s="81"/>
      <c r="AL676" s="76"/>
      <c r="AM676" s="75"/>
      <c r="AN676" s="76"/>
      <c r="AO676" s="95"/>
      <c r="AP676" s="96"/>
      <c r="AQ676" s="85" t="str">
        <f t="shared" si="6"/>
        <v/>
      </c>
      <c r="AR676" s="86" t="str">
        <f t="array" ref="AR676">IF(A676="","",IFERROR(INDEX('2) Etapas'!L$3:L923,MATCH(B676,'2) Etapas'!$A$4:$A923,0),1),-1))</f>
        <v/>
      </c>
      <c r="AS676" s="87" t="str">
        <f t="shared" si="7"/>
        <v/>
      </c>
      <c r="AT676" s="87" t="str">
        <f t="shared" si="8"/>
        <v/>
      </c>
      <c r="AU676" s="87" t="str">
        <f t="shared" si="9"/>
        <v/>
      </c>
      <c r="AV676" s="89" t="str">
        <f t="array" ref="AV676">IF(OR($A676="",$AB676="", $AC676=""),"",MAXA(IF($A676=$A$4:$A923,$AC$4:$AC923)))</f>
        <v/>
      </c>
    </row>
    <row r="677" ht="22.5" customHeight="1">
      <c r="A677" s="76"/>
      <c r="B677" s="68" t="str">
        <f t="shared" si="1"/>
        <v/>
      </c>
      <c r="C677" s="110"/>
      <c r="D677" s="70" t="str">
        <f t="shared" si="2"/>
        <v/>
      </c>
      <c r="E677" s="76"/>
      <c r="F677" s="68" t="str">
        <f t="array" ref="F677">IF($A677="","",IFERROR(INDEX(MA_INDIVIDUALES!C$2:C923, MATCH($A677,MA_INDIVIDUALES!$B$2:$B923,0),1),"CÓDIGO DE EXPEDIENTE INVÁLIDO"))</f>
        <v/>
      </c>
      <c r="G677" s="68" t="str">
        <f t="array" ref="G677">IF($A677="","",IFERROR(INDEX(MA_INDIVIDUALES!K$2:K923, MATCH($A677,MA_INDIVIDUALES!$B$2:$B923,0),1),"CÓDIGO DE EXPEDIENTE INVÁLIDO"))</f>
        <v/>
      </c>
      <c r="H677" s="68" t="str">
        <f t="array" ref="H677">IF($A677="","",IFERROR(INDEX(MA_INDIVIDUALES!L$2:L923, MATCH($A677,MA_INDIVIDUALES!$B$2:$B923,0),1),"CÓDIGO DE EXPEDIENTE INVÁLIDO"))</f>
        <v/>
      </c>
      <c r="I677" s="76"/>
      <c r="J677" s="76"/>
      <c r="K677" s="75"/>
      <c r="L677" s="74" t="str">
        <f>IF(A677="","",IF(K677="","",_xlfn.WORKDAY.INTL(K677,5,1,FERIADOS)))</f>
        <v/>
      </c>
      <c r="M677" s="76"/>
      <c r="N677" s="75"/>
      <c r="O677" s="76"/>
      <c r="P677" s="77" t="str">
        <f t="shared" si="3"/>
        <v/>
      </c>
      <c r="Q677" s="75"/>
      <c r="R677" s="76"/>
      <c r="S677" s="75"/>
      <c r="T677" s="75"/>
      <c r="U677" s="76"/>
      <c r="V677" s="76"/>
      <c r="W677" s="75"/>
      <c r="X677" s="76"/>
      <c r="Y677" s="29" t="str">
        <f t="shared" si="4"/>
        <v/>
      </c>
      <c r="Z677" s="29" t="str">
        <f t="shared" si="5"/>
        <v/>
      </c>
      <c r="AA677" s="76"/>
      <c r="AB677" s="76"/>
      <c r="AC677" s="75"/>
      <c r="AD677" s="75"/>
      <c r="AE677" s="78" t="str">
        <f>IF(U677="","",IF(AD677="","",_xlfn.WORKDAY.INTL(AD677,7,1,FERIADOS)))</f>
        <v/>
      </c>
      <c r="AF677" s="104"/>
      <c r="AG677" s="80" t="str">
        <f t="array" ref="AG677">IF(A677="","",IF(AF677="","",AF677*INDEX(PARAMETROS!F$2:F1740,MATCH(YEAR(AC677),PARAMETROS!E$2:E1740,0),1)))</f>
        <v/>
      </c>
      <c r="AH677" s="81"/>
      <c r="AI677" s="82"/>
      <c r="AJ677" s="81"/>
      <c r="AK677" s="81"/>
      <c r="AL677" s="76"/>
      <c r="AM677" s="75"/>
      <c r="AN677" s="76"/>
      <c r="AO677" s="95"/>
      <c r="AP677" s="96"/>
      <c r="AQ677" s="85" t="str">
        <f t="shared" si="6"/>
        <v/>
      </c>
      <c r="AR677" s="86" t="str">
        <f t="array" ref="AR677">IF(A677="","",IFERROR(INDEX('2) Etapas'!L$3:L923,MATCH(B677,'2) Etapas'!$A$4:$A923,0),1),-1))</f>
        <v/>
      </c>
      <c r="AS677" s="87" t="str">
        <f t="shared" si="7"/>
        <v/>
      </c>
      <c r="AT677" s="87" t="str">
        <f t="shared" si="8"/>
        <v/>
      </c>
      <c r="AU677" s="87" t="str">
        <f t="shared" si="9"/>
        <v/>
      </c>
      <c r="AV677" s="89" t="str">
        <f t="array" ref="AV677">IF(OR($A677="",$AB677="", $AC677=""),"",MAXA(IF($A677=$A$4:$A923,$AC$4:$AC923)))</f>
        <v/>
      </c>
    </row>
    <row r="678" ht="22.5" customHeight="1">
      <c r="A678" s="76"/>
      <c r="B678" s="68" t="str">
        <f t="shared" si="1"/>
        <v/>
      </c>
      <c r="C678" s="110"/>
      <c r="D678" s="70" t="str">
        <f t="shared" si="2"/>
        <v/>
      </c>
      <c r="E678" s="76"/>
      <c r="F678" s="68" t="str">
        <f t="array" ref="F678">IF($A678="","",IFERROR(INDEX(MA_INDIVIDUALES!C$2:C923, MATCH($A678,MA_INDIVIDUALES!$B$2:$B923,0),1),"CÓDIGO DE EXPEDIENTE INVÁLIDO"))</f>
        <v/>
      </c>
      <c r="G678" s="68" t="str">
        <f t="array" ref="G678">IF($A678="","",IFERROR(INDEX(MA_INDIVIDUALES!K$2:K923, MATCH($A678,MA_INDIVIDUALES!$B$2:$B923,0),1),"CÓDIGO DE EXPEDIENTE INVÁLIDO"))</f>
        <v/>
      </c>
      <c r="H678" s="68" t="str">
        <f t="array" ref="H678">IF($A678="","",IFERROR(INDEX(MA_INDIVIDUALES!L$2:L923, MATCH($A678,MA_INDIVIDUALES!$B$2:$B923,0),1),"CÓDIGO DE EXPEDIENTE INVÁLIDO"))</f>
        <v/>
      </c>
      <c r="I678" s="76"/>
      <c r="J678" s="76"/>
      <c r="K678" s="75"/>
      <c r="L678" s="74" t="str">
        <f>IF(A678="","",IF(K678="","",_xlfn.WORKDAY.INTL(K678,5,1,FERIADOS)))</f>
        <v/>
      </c>
      <c r="M678" s="76"/>
      <c r="N678" s="75"/>
      <c r="O678" s="76"/>
      <c r="P678" s="77" t="str">
        <f t="shared" si="3"/>
        <v/>
      </c>
      <c r="Q678" s="75"/>
      <c r="R678" s="76"/>
      <c r="S678" s="75"/>
      <c r="T678" s="75"/>
      <c r="U678" s="76"/>
      <c r="V678" s="76"/>
      <c r="W678" s="75"/>
      <c r="X678" s="76"/>
      <c r="Y678" s="29" t="str">
        <f t="shared" si="4"/>
        <v/>
      </c>
      <c r="Z678" s="29" t="str">
        <f t="shared" si="5"/>
        <v/>
      </c>
      <c r="AA678" s="76"/>
      <c r="AB678" s="76"/>
      <c r="AC678" s="75"/>
      <c r="AD678" s="75"/>
      <c r="AE678" s="78" t="str">
        <f>IF(U678="","",IF(AD678="","",_xlfn.WORKDAY.INTL(AD678,7,1,FERIADOS)))</f>
        <v/>
      </c>
      <c r="AF678" s="104"/>
      <c r="AG678" s="80" t="str">
        <f t="array" ref="AG678">IF(A678="","",IF(AF678="","",AF678*INDEX(PARAMETROS!F$2:F1741,MATCH(YEAR(AC678),PARAMETROS!E$2:E1741,0),1)))</f>
        <v/>
      </c>
      <c r="AH678" s="81"/>
      <c r="AI678" s="82"/>
      <c r="AJ678" s="81"/>
      <c r="AK678" s="81"/>
      <c r="AL678" s="76"/>
      <c r="AM678" s="75"/>
      <c r="AN678" s="76"/>
      <c r="AO678" s="95"/>
      <c r="AP678" s="96"/>
      <c r="AQ678" s="85" t="str">
        <f t="shared" si="6"/>
        <v/>
      </c>
      <c r="AR678" s="86" t="str">
        <f t="array" ref="AR678">IF(A678="","",IFERROR(INDEX('2) Etapas'!L$3:L923,MATCH(B678,'2) Etapas'!$A$4:$A923,0),1),-1))</f>
        <v/>
      </c>
      <c r="AS678" s="87" t="str">
        <f t="shared" si="7"/>
        <v/>
      </c>
      <c r="AT678" s="87" t="str">
        <f t="shared" si="8"/>
        <v/>
      </c>
      <c r="AU678" s="87" t="str">
        <f t="shared" si="9"/>
        <v/>
      </c>
      <c r="AV678" s="89" t="str">
        <f t="array" ref="AV678">IF(OR($A678="",$AB678="", $AC678=""),"",MAXA(IF($A678=$A$4:$A923,$AC$4:$AC923)))</f>
        <v/>
      </c>
    </row>
    <row r="679" ht="22.5" customHeight="1">
      <c r="A679" s="76"/>
      <c r="B679" s="68" t="str">
        <f t="shared" si="1"/>
        <v/>
      </c>
      <c r="C679" s="110"/>
      <c r="D679" s="70" t="str">
        <f t="shared" si="2"/>
        <v/>
      </c>
      <c r="E679" s="76"/>
      <c r="F679" s="68" t="str">
        <f t="array" ref="F679">IF($A679="","",IFERROR(INDEX(MA_INDIVIDUALES!C$2:C923, MATCH($A679,MA_INDIVIDUALES!$B$2:$B923,0),1),"CÓDIGO DE EXPEDIENTE INVÁLIDO"))</f>
        <v/>
      </c>
      <c r="G679" s="68" t="str">
        <f t="array" ref="G679">IF($A679="","",IFERROR(INDEX(MA_INDIVIDUALES!K$2:K923, MATCH($A679,MA_INDIVIDUALES!$B$2:$B923,0),1),"CÓDIGO DE EXPEDIENTE INVÁLIDO"))</f>
        <v/>
      </c>
      <c r="H679" s="68" t="str">
        <f t="array" ref="H679">IF($A679="","",IFERROR(INDEX(MA_INDIVIDUALES!L$2:L923, MATCH($A679,MA_INDIVIDUALES!$B$2:$B923,0),1),"CÓDIGO DE EXPEDIENTE INVÁLIDO"))</f>
        <v/>
      </c>
      <c r="I679" s="76"/>
      <c r="J679" s="76"/>
      <c r="K679" s="75"/>
      <c r="L679" s="74" t="str">
        <f>IF(A679="","",IF(K679="","",_xlfn.WORKDAY.INTL(K679,5,1,FERIADOS)))</f>
        <v/>
      </c>
      <c r="M679" s="76"/>
      <c r="N679" s="75"/>
      <c r="O679" s="76"/>
      <c r="P679" s="77" t="str">
        <f t="shared" si="3"/>
        <v/>
      </c>
      <c r="Q679" s="75"/>
      <c r="R679" s="76"/>
      <c r="S679" s="75"/>
      <c r="T679" s="75"/>
      <c r="U679" s="76"/>
      <c r="V679" s="76"/>
      <c r="W679" s="75"/>
      <c r="X679" s="76"/>
      <c r="Y679" s="29" t="str">
        <f t="shared" si="4"/>
        <v/>
      </c>
      <c r="Z679" s="29" t="str">
        <f t="shared" si="5"/>
        <v/>
      </c>
      <c r="AA679" s="76"/>
      <c r="AB679" s="76"/>
      <c r="AC679" s="75"/>
      <c r="AD679" s="75"/>
      <c r="AE679" s="78" t="str">
        <f>IF(U679="","",IF(AD679="","",_xlfn.WORKDAY.INTL(AD679,7,1,FERIADOS)))</f>
        <v/>
      </c>
      <c r="AF679" s="104"/>
      <c r="AG679" s="80" t="str">
        <f t="array" ref="AG679">IF(A679="","",IF(AF679="","",AF679*INDEX(PARAMETROS!F$2:F1742,MATCH(YEAR(AC679),PARAMETROS!E$2:E1742,0),1)))</f>
        <v/>
      </c>
      <c r="AH679" s="81"/>
      <c r="AI679" s="82"/>
      <c r="AJ679" s="81"/>
      <c r="AK679" s="81"/>
      <c r="AL679" s="76"/>
      <c r="AM679" s="75"/>
      <c r="AN679" s="76"/>
      <c r="AO679" s="95"/>
      <c r="AP679" s="96"/>
      <c r="AQ679" s="85" t="str">
        <f t="shared" si="6"/>
        <v/>
      </c>
      <c r="AR679" s="86" t="str">
        <f t="array" ref="AR679">IF(A679="","",IFERROR(INDEX('2) Etapas'!L$3:L923,MATCH(B679,'2) Etapas'!$A$4:$A923,0),1),-1))</f>
        <v/>
      </c>
      <c r="AS679" s="87" t="str">
        <f t="shared" si="7"/>
        <v/>
      </c>
      <c r="AT679" s="87" t="str">
        <f t="shared" si="8"/>
        <v/>
      </c>
      <c r="AU679" s="87" t="str">
        <f t="shared" si="9"/>
        <v/>
      </c>
      <c r="AV679" s="89" t="str">
        <f t="array" ref="AV679">IF(OR($A679="",$AB679="", $AC679=""),"",MAXA(IF($A679=$A$4:$A923,$AC$4:$AC923)))</f>
        <v/>
      </c>
    </row>
    <row r="680" ht="22.5" customHeight="1">
      <c r="A680" s="76"/>
      <c r="B680" s="68" t="str">
        <f t="shared" si="1"/>
        <v/>
      </c>
      <c r="C680" s="110"/>
      <c r="D680" s="70" t="str">
        <f t="shared" si="2"/>
        <v/>
      </c>
      <c r="E680" s="76"/>
      <c r="F680" s="68" t="str">
        <f t="array" ref="F680">IF($A680="","",IFERROR(INDEX(MA_INDIVIDUALES!C$2:C923, MATCH($A680,MA_INDIVIDUALES!$B$2:$B923,0),1),"CÓDIGO DE EXPEDIENTE INVÁLIDO"))</f>
        <v/>
      </c>
      <c r="G680" s="68" t="str">
        <f t="array" ref="G680">IF($A680="","",IFERROR(INDEX(MA_INDIVIDUALES!K$2:K923, MATCH($A680,MA_INDIVIDUALES!$B$2:$B923,0),1),"CÓDIGO DE EXPEDIENTE INVÁLIDO"))</f>
        <v/>
      </c>
      <c r="H680" s="68" t="str">
        <f t="array" ref="H680">IF($A680="","",IFERROR(INDEX(MA_INDIVIDUALES!L$2:L923, MATCH($A680,MA_INDIVIDUALES!$B$2:$B923,0),1),"CÓDIGO DE EXPEDIENTE INVÁLIDO"))</f>
        <v/>
      </c>
      <c r="I680" s="76"/>
      <c r="J680" s="76"/>
      <c r="K680" s="75"/>
      <c r="L680" s="74" t="str">
        <f>IF(A680="","",IF(K680="","",_xlfn.WORKDAY.INTL(K680,5,1,FERIADOS)))</f>
        <v/>
      </c>
      <c r="M680" s="76"/>
      <c r="N680" s="75"/>
      <c r="O680" s="76"/>
      <c r="P680" s="77" t="str">
        <f t="shared" si="3"/>
        <v/>
      </c>
      <c r="Q680" s="75"/>
      <c r="R680" s="76"/>
      <c r="S680" s="75"/>
      <c r="T680" s="75"/>
      <c r="U680" s="76"/>
      <c r="V680" s="76"/>
      <c r="W680" s="75"/>
      <c r="X680" s="76"/>
      <c r="Y680" s="29" t="str">
        <f t="shared" si="4"/>
        <v/>
      </c>
      <c r="Z680" s="29" t="str">
        <f t="shared" si="5"/>
        <v/>
      </c>
      <c r="AA680" s="76"/>
      <c r="AB680" s="76"/>
      <c r="AC680" s="75"/>
      <c r="AD680" s="75"/>
      <c r="AE680" s="78" t="str">
        <f>IF(U680="","",IF(AD680="","",_xlfn.WORKDAY.INTL(AD680,7,1,FERIADOS)))</f>
        <v/>
      </c>
      <c r="AF680" s="104"/>
      <c r="AG680" s="80" t="str">
        <f t="array" ref="AG680">IF(A680="","",IF(AF680="","",AF680*INDEX(PARAMETROS!F$2:F1743,MATCH(YEAR(AC680),PARAMETROS!E$2:E1743,0),1)))</f>
        <v/>
      </c>
      <c r="AH680" s="81"/>
      <c r="AI680" s="82"/>
      <c r="AJ680" s="81"/>
      <c r="AK680" s="81"/>
      <c r="AL680" s="76"/>
      <c r="AM680" s="75"/>
      <c r="AN680" s="76"/>
      <c r="AO680" s="95"/>
      <c r="AP680" s="96"/>
      <c r="AQ680" s="85" t="str">
        <f t="shared" si="6"/>
        <v/>
      </c>
      <c r="AR680" s="86" t="str">
        <f t="array" ref="AR680">IF(A680="","",IFERROR(INDEX('2) Etapas'!L$3:L923,MATCH(B680,'2) Etapas'!$A$4:$A923,0),1),-1))</f>
        <v/>
      </c>
      <c r="AS680" s="87" t="str">
        <f t="shared" si="7"/>
        <v/>
      </c>
      <c r="AT680" s="87" t="str">
        <f t="shared" si="8"/>
        <v/>
      </c>
      <c r="AU680" s="87" t="str">
        <f t="shared" si="9"/>
        <v/>
      </c>
      <c r="AV680" s="89" t="str">
        <f t="array" ref="AV680">IF(OR($A680="",$AB680="", $AC680=""),"",MAXA(IF($A680=$A$4:$A923,$AC$4:$AC923)))</f>
        <v/>
      </c>
    </row>
    <row r="681" ht="22.5" customHeight="1">
      <c r="A681" s="76"/>
      <c r="B681" s="68" t="str">
        <f t="shared" si="1"/>
        <v/>
      </c>
      <c r="C681" s="110"/>
      <c r="D681" s="70" t="str">
        <f t="shared" si="2"/>
        <v/>
      </c>
      <c r="E681" s="76"/>
      <c r="F681" s="68" t="str">
        <f t="array" ref="F681">IF($A681="","",IFERROR(INDEX(MA_INDIVIDUALES!C$2:C923, MATCH($A681,MA_INDIVIDUALES!$B$2:$B923,0),1),"CÓDIGO DE EXPEDIENTE INVÁLIDO"))</f>
        <v/>
      </c>
      <c r="G681" s="68" t="str">
        <f t="array" ref="G681">IF($A681="","",IFERROR(INDEX(MA_INDIVIDUALES!K$2:K923, MATCH($A681,MA_INDIVIDUALES!$B$2:$B923,0),1),"CÓDIGO DE EXPEDIENTE INVÁLIDO"))</f>
        <v/>
      </c>
      <c r="H681" s="68" t="str">
        <f t="array" ref="H681">IF($A681="","",IFERROR(INDEX(MA_INDIVIDUALES!L$2:L923, MATCH($A681,MA_INDIVIDUALES!$B$2:$B923,0),1),"CÓDIGO DE EXPEDIENTE INVÁLIDO"))</f>
        <v/>
      </c>
      <c r="I681" s="76"/>
      <c r="J681" s="76"/>
      <c r="K681" s="75"/>
      <c r="L681" s="74" t="str">
        <f>IF(A681="","",IF(K681="","",_xlfn.WORKDAY.INTL(K681,5,1,FERIADOS)))</f>
        <v/>
      </c>
      <c r="M681" s="76"/>
      <c r="N681" s="75"/>
      <c r="O681" s="76"/>
      <c r="P681" s="77" t="str">
        <f t="shared" si="3"/>
        <v/>
      </c>
      <c r="Q681" s="75"/>
      <c r="R681" s="76"/>
      <c r="S681" s="75"/>
      <c r="T681" s="75"/>
      <c r="U681" s="76"/>
      <c r="V681" s="76"/>
      <c r="W681" s="75"/>
      <c r="X681" s="76"/>
      <c r="Y681" s="29" t="str">
        <f t="shared" si="4"/>
        <v/>
      </c>
      <c r="Z681" s="29" t="str">
        <f t="shared" si="5"/>
        <v/>
      </c>
      <c r="AA681" s="76"/>
      <c r="AB681" s="76"/>
      <c r="AC681" s="75"/>
      <c r="AD681" s="75"/>
      <c r="AE681" s="78" t="str">
        <f>IF(U681="","",IF(AD681="","",_xlfn.WORKDAY.INTL(AD681,7,1,FERIADOS)))</f>
        <v/>
      </c>
      <c r="AF681" s="104"/>
      <c r="AG681" s="80" t="str">
        <f t="array" ref="AG681">IF(A681="","",IF(AF681="","",AF681*INDEX(PARAMETROS!F$2:F1744,MATCH(YEAR(AC681),PARAMETROS!E$2:E1744,0),1)))</f>
        <v/>
      </c>
      <c r="AH681" s="81"/>
      <c r="AI681" s="82"/>
      <c r="AJ681" s="81"/>
      <c r="AK681" s="81"/>
      <c r="AL681" s="76"/>
      <c r="AM681" s="75"/>
      <c r="AN681" s="76"/>
      <c r="AO681" s="95"/>
      <c r="AP681" s="96"/>
      <c r="AQ681" s="85" t="str">
        <f t="shared" si="6"/>
        <v/>
      </c>
      <c r="AR681" s="86" t="str">
        <f t="array" ref="AR681">IF(A681="","",IFERROR(INDEX('2) Etapas'!L$3:L923,MATCH(B681,'2) Etapas'!$A$4:$A923,0),1),-1))</f>
        <v/>
      </c>
      <c r="AS681" s="87" t="str">
        <f t="shared" si="7"/>
        <v/>
      </c>
      <c r="AT681" s="87" t="str">
        <f t="shared" si="8"/>
        <v/>
      </c>
      <c r="AU681" s="87" t="str">
        <f t="shared" si="9"/>
        <v/>
      </c>
      <c r="AV681" s="89" t="str">
        <f t="array" ref="AV681">IF(OR($A681="",$AB681="", $AC681=""),"",MAXA(IF($A681=$A$4:$A923,$AC$4:$AC923)))</f>
        <v/>
      </c>
    </row>
    <row r="682" ht="22.5" customHeight="1">
      <c r="A682" s="76"/>
      <c r="B682" s="68" t="str">
        <f t="shared" si="1"/>
        <v/>
      </c>
      <c r="C682" s="110"/>
      <c r="D682" s="70" t="str">
        <f t="shared" si="2"/>
        <v/>
      </c>
      <c r="E682" s="76"/>
      <c r="F682" s="68" t="str">
        <f t="array" ref="F682">IF($A682="","",IFERROR(INDEX(MA_INDIVIDUALES!C$2:C923, MATCH($A682,MA_INDIVIDUALES!$B$2:$B923,0),1),"CÓDIGO DE EXPEDIENTE INVÁLIDO"))</f>
        <v/>
      </c>
      <c r="G682" s="68" t="str">
        <f t="array" ref="G682">IF($A682="","",IFERROR(INDEX(MA_INDIVIDUALES!K$2:K923, MATCH($A682,MA_INDIVIDUALES!$B$2:$B923,0),1),"CÓDIGO DE EXPEDIENTE INVÁLIDO"))</f>
        <v/>
      </c>
      <c r="H682" s="68" t="str">
        <f t="array" ref="H682">IF($A682="","",IFERROR(INDEX(MA_INDIVIDUALES!L$2:L923, MATCH($A682,MA_INDIVIDUALES!$B$2:$B923,0),1),"CÓDIGO DE EXPEDIENTE INVÁLIDO"))</f>
        <v/>
      </c>
      <c r="I682" s="76"/>
      <c r="J682" s="76"/>
      <c r="K682" s="75"/>
      <c r="L682" s="74" t="str">
        <f>IF(A682="","",IF(K682="","",_xlfn.WORKDAY.INTL(K682,5,1,FERIADOS)))</f>
        <v/>
      </c>
      <c r="M682" s="76"/>
      <c r="N682" s="75"/>
      <c r="O682" s="76"/>
      <c r="P682" s="77" t="str">
        <f t="shared" si="3"/>
        <v/>
      </c>
      <c r="Q682" s="75"/>
      <c r="R682" s="76"/>
      <c r="S682" s="75"/>
      <c r="T682" s="75"/>
      <c r="U682" s="76"/>
      <c r="V682" s="76"/>
      <c r="W682" s="75"/>
      <c r="X682" s="76"/>
      <c r="Y682" s="29" t="str">
        <f t="shared" si="4"/>
        <v/>
      </c>
      <c r="Z682" s="29" t="str">
        <f t="shared" si="5"/>
        <v/>
      </c>
      <c r="AA682" s="76"/>
      <c r="AB682" s="76"/>
      <c r="AC682" s="75"/>
      <c r="AD682" s="75"/>
      <c r="AE682" s="78" t="str">
        <f>IF(U682="","",IF(AD682="","",_xlfn.WORKDAY.INTL(AD682,7,1,FERIADOS)))</f>
        <v/>
      </c>
      <c r="AF682" s="104"/>
      <c r="AG682" s="80" t="str">
        <f t="array" ref="AG682">IF(A682="","",IF(AF682="","",AF682*INDEX(PARAMETROS!F$2:F1745,MATCH(YEAR(AC682),PARAMETROS!E$2:E1745,0),1)))</f>
        <v/>
      </c>
      <c r="AH682" s="81"/>
      <c r="AI682" s="82"/>
      <c r="AJ682" s="81"/>
      <c r="AK682" s="81"/>
      <c r="AL682" s="76"/>
      <c r="AM682" s="75"/>
      <c r="AN682" s="76"/>
      <c r="AO682" s="95"/>
      <c r="AP682" s="96"/>
      <c r="AQ682" s="85" t="str">
        <f t="shared" si="6"/>
        <v/>
      </c>
      <c r="AR682" s="86" t="str">
        <f t="array" ref="AR682">IF(A682="","",IFERROR(INDEX('2) Etapas'!L$3:L923,MATCH(B682,'2) Etapas'!$A$4:$A923,0),1),-1))</f>
        <v/>
      </c>
      <c r="AS682" s="87" t="str">
        <f t="shared" si="7"/>
        <v/>
      </c>
      <c r="AT682" s="87" t="str">
        <f t="shared" si="8"/>
        <v/>
      </c>
      <c r="AU682" s="87" t="str">
        <f t="shared" si="9"/>
        <v/>
      </c>
      <c r="AV682" s="89" t="str">
        <f t="array" ref="AV682">IF(OR($A682="",$AB682="", $AC682=""),"",MAXA(IF($A682=$A$4:$A923,$AC$4:$AC923)))</f>
        <v/>
      </c>
    </row>
    <row r="683" ht="22.5" customHeight="1">
      <c r="A683" s="76"/>
      <c r="B683" s="68" t="str">
        <f t="shared" si="1"/>
        <v/>
      </c>
      <c r="C683" s="110"/>
      <c r="D683" s="70" t="str">
        <f t="shared" si="2"/>
        <v/>
      </c>
      <c r="E683" s="76"/>
      <c r="F683" s="68" t="str">
        <f t="array" ref="F683">IF($A683="","",IFERROR(INDEX(MA_INDIVIDUALES!C$2:C923, MATCH($A683,MA_INDIVIDUALES!$B$2:$B923,0),1),"CÓDIGO DE EXPEDIENTE INVÁLIDO"))</f>
        <v/>
      </c>
      <c r="G683" s="68" t="str">
        <f t="array" ref="G683">IF($A683="","",IFERROR(INDEX(MA_INDIVIDUALES!K$2:K923, MATCH($A683,MA_INDIVIDUALES!$B$2:$B923,0),1),"CÓDIGO DE EXPEDIENTE INVÁLIDO"))</f>
        <v/>
      </c>
      <c r="H683" s="68" t="str">
        <f t="array" ref="H683">IF($A683="","",IFERROR(INDEX(MA_INDIVIDUALES!L$2:L923, MATCH($A683,MA_INDIVIDUALES!$B$2:$B923,0),1),"CÓDIGO DE EXPEDIENTE INVÁLIDO"))</f>
        <v/>
      </c>
      <c r="I683" s="76"/>
      <c r="J683" s="76"/>
      <c r="K683" s="75"/>
      <c r="L683" s="74" t="str">
        <f>IF(A683="","",IF(K683="","",_xlfn.WORKDAY.INTL(K683,5,1,FERIADOS)))</f>
        <v/>
      </c>
      <c r="M683" s="76"/>
      <c r="N683" s="75"/>
      <c r="O683" s="76"/>
      <c r="P683" s="77" t="str">
        <f t="shared" si="3"/>
        <v/>
      </c>
      <c r="Q683" s="75"/>
      <c r="R683" s="76"/>
      <c r="S683" s="75"/>
      <c r="T683" s="75"/>
      <c r="U683" s="76"/>
      <c r="V683" s="76"/>
      <c r="W683" s="75"/>
      <c r="X683" s="76"/>
      <c r="Y683" s="29" t="str">
        <f t="shared" si="4"/>
        <v/>
      </c>
      <c r="Z683" s="29" t="str">
        <f t="shared" si="5"/>
        <v/>
      </c>
      <c r="AA683" s="76"/>
      <c r="AB683" s="76"/>
      <c r="AC683" s="75"/>
      <c r="AD683" s="75"/>
      <c r="AE683" s="78" t="str">
        <f>IF(U683="","",IF(AD683="","",_xlfn.WORKDAY.INTL(AD683,7,1,FERIADOS)))</f>
        <v/>
      </c>
      <c r="AF683" s="104"/>
      <c r="AG683" s="80" t="str">
        <f t="array" ref="AG683">IF(A683="","",IF(AF683="","",AF683*INDEX(PARAMETROS!F$2:F1746,MATCH(YEAR(AC683),PARAMETROS!E$2:E1746,0),1)))</f>
        <v/>
      </c>
      <c r="AH683" s="81"/>
      <c r="AI683" s="82"/>
      <c r="AJ683" s="81"/>
      <c r="AK683" s="81"/>
      <c r="AL683" s="76"/>
      <c r="AM683" s="75"/>
      <c r="AN683" s="76"/>
      <c r="AO683" s="95"/>
      <c r="AP683" s="96"/>
      <c r="AQ683" s="85" t="str">
        <f t="shared" si="6"/>
        <v/>
      </c>
      <c r="AR683" s="86" t="str">
        <f t="array" ref="AR683">IF(A683="","",IFERROR(INDEX('2) Etapas'!L$3:L923,MATCH(B683,'2) Etapas'!$A$4:$A923,0),1),-1))</f>
        <v/>
      </c>
      <c r="AS683" s="87" t="str">
        <f t="shared" si="7"/>
        <v/>
      </c>
      <c r="AT683" s="87" t="str">
        <f t="shared" si="8"/>
        <v/>
      </c>
      <c r="AU683" s="87" t="str">
        <f t="shared" si="9"/>
        <v/>
      </c>
      <c r="AV683" s="89" t="str">
        <f t="array" ref="AV683">IF(OR($A683="",$AB683="", $AC683=""),"",MAXA(IF($A683=$A$4:$A923,$AC$4:$AC923)))</f>
        <v/>
      </c>
    </row>
    <row r="684" ht="22.5" customHeight="1">
      <c r="A684" s="76"/>
      <c r="B684" s="68" t="str">
        <f t="shared" si="1"/>
        <v/>
      </c>
      <c r="C684" s="110"/>
      <c r="D684" s="70" t="str">
        <f t="shared" si="2"/>
        <v/>
      </c>
      <c r="E684" s="76"/>
      <c r="F684" s="68" t="str">
        <f t="array" ref="F684">IF($A684="","",IFERROR(INDEX(MA_INDIVIDUALES!C$2:C923, MATCH($A684,MA_INDIVIDUALES!$B$2:$B923,0),1),"CÓDIGO DE EXPEDIENTE INVÁLIDO"))</f>
        <v/>
      </c>
      <c r="G684" s="68" t="str">
        <f t="array" ref="G684">IF($A684="","",IFERROR(INDEX(MA_INDIVIDUALES!K$2:K923, MATCH($A684,MA_INDIVIDUALES!$B$2:$B923,0),1),"CÓDIGO DE EXPEDIENTE INVÁLIDO"))</f>
        <v/>
      </c>
      <c r="H684" s="68" t="str">
        <f t="array" ref="H684">IF($A684="","",IFERROR(INDEX(MA_INDIVIDUALES!L$2:L923, MATCH($A684,MA_INDIVIDUALES!$B$2:$B923,0),1),"CÓDIGO DE EXPEDIENTE INVÁLIDO"))</f>
        <v/>
      </c>
      <c r="I684" s="76"/>
      <c r="J684" s="76"/>
      <c r="K684" s="75"/>
      <c r="L684" s="74" t="str">
        <f>IF(A684="","",IF(K684="","",_xlfn.WORKDAY.INTL(K684,5,1,FERIADOS)))</f>
        <v/>
      </c>
      <c r="M684" s="76"/>
      <c r="N684" s="75"/>
      <c r="O684" s="76"/>
      <c r="P684" s="77" t="str">
        <f t="shared" si="3"/>
        <v/>
      </c>
      <c r="Q684" s="75"/>
      <c r="R684" s="76"/>
      <c r="S684" s="75"/>
      <c r="T684" s="75"/>
      <c r="U684" s="76"/>
      <c r="V684" s="76"/>
      <c r="W684" s="75"/>
      <c r="X684" s="76"/>
      <c r="Y684" s="29" t="str">
        <f t="shared" si="4"/>
        <v/>
      </c>
      <c r="Z684" s="29" t="str">
        <f t="shared" si="5"/>
        <v/>
      </c>
      <c r="AA684" s="76"/>
      <c r="AB684" s="76"/>
      <c r="AC684" s="75"/>
      <c r="AD684" s="75"/>
      <c r="AE684" s="78" t="str">
        <f>IF(U684="","",IF(AD684="","",_xlfn.WORKDAY.INTL(AD684,7,1,FERIADOS)))</f>
        <v/>
      </c>
      <c r="AF684" s="104"/>
      <c r="AG684" s="80" t="str">
        <f t="array" ref="AG684">IF(A684="","",IF(AF684="","",AF684*INDEX(PARAMETROS!F$2:F1747,MATCH(YEAR(AC684),PARAMETROS!E$2:E1747,0),1)))</f>
        <v/>
      </c>
      <c r="AH684" s="81"/>
      <c r="AI684" s="82"/>
      <c r="AJ684" s="81"/>
      <c r="AK684" s="81"/>
      <c r="AL684" s="76"/>
      <c r="AM684" s="75"/>
      <c r="AN684" s="76"/>
      <c r="AO684" s="95"/>
      <c r="AP684" s="96"/>
      <c r="AQ684" s="85" t="str">
        <f t="shared" si="6"/>
        <v/>
      </c>
      <c r="AR684" s="86" t="str">
        <f t="array" ref="AR684">IF(A684="","",IFERROR(INDEX('2) Etapas'!L$3:L923,MATCH(B684,'2) Etapas'!$A$4:$A923,0),1),-1))</f>
        <v/>
      </c>
      <c r="AS684" s="87" t="str">
        <f t="shared" si="7"/>
        <v/>
      </c>
      <c r="AT684" s="87" t="str">
        <f t="shared" si="8"/>
        <v/>
      </c>
      <c r="AU684" s="87" t="str">
        <f t="shared" si="9"/>
        <v/>
      </c>
      <c r="AV684" s="89" t="str">
        <f t="array" ref="AV684">IF(OR($A684="",$AB684="", $AC684=""),"",MAXA(IF($A684=$A$4:$A923,$AC$4:$AC923)))</f>
        <v/>
      </c>
    </row>
    <row r="685" ht="22.5" customHeight="1">
      <c r="A685" s="76"/>
      <c r="B685" s="68" t="str">
        <f t="shared" si="1"/>
        <v/>
      </c>
      <c r="C685" s="110"/>
      <c r="D685" s="70" t="str">
        <f t="shared" si="2"/>
        <v/>
      </c>
      <c r="E685" s="76"/>
      <c r="F685" s="68" t="str">
        <f t="array" ref="F685">IF($A685="","",IFERROR(INDEX(MA_INDIVIDUALES!C$2:C923, MATCH($A685,MA_INDIVIDUALES!$B$2:$B923,0),1),"CÓDIGO DE EXPEDIENTE INVÁLIDO"))</f>
        <v/>
      </c>
      <c r="G685" s="68" t="str">
        <f t="array" ref="G685">IF($A685="","",IFERROR(INDEX(MA_INDIVIDUALES!K$2:K923, MATCH($A685,MA_INDIVIDUALES!$B$2:$B923,0),1),"CÓDIGO DE EXPEDIENTE INVÁLIDO"))</f>
        <v/>
      </c>
      <c r="H685" s="68" t="str">
        <f t="array" ref="H685">IF($A685="","",IFERROR(INDEX(MA_INDIVIDUALES!L$2:L923, MATCH($A685,MA_INDIVIDUALES!$B$2:$B923,0),1),"CÓDIGO DE EXPEDIENTE INVÁLIDO"))</f>
        <v/>
      </c>
      <c r="I685" s="76"/>
      <c r="J685" s="76"/>
      <c r="K685" s="75"/>
      <c r="L685" s="74" t="str">
        <f>IF(A685="","",IF(K685="","",_xlfn.WORKDAY.INTL(K685,5,1,FERIADOS)))</f>
        <v/>
      </c>
      <c r="M685" s="76"/>
      <c r="N685" s="75"/>
      <c r="O685" s="76"/>
      <c r="P685" s="77" t="str">
        <f t="shared" si="3"/>
        <v/>
      </c>
      <c r="Q685" s="75"/>
      <c r="R685" s="76"/>
      <c r="S685" s="75"/>
      <c r="T685" s="75"/>
      <c r="U685" s="76"/>
      <c r="V685" s="76"/>
      <c r="W685" s="75"/>
      <c r="X685" s="76"/>
      <c r="Y685" s="29" t="str">
        <f t="shared" si="4"/>
        <v/>
      </c>
      <c r="Z685" s="29" t="str">
        <f t="shared" si="5"/>
        <v/>
      </c>
      <c r="AA685" s="76"/>
      <c r="AB685" s="76"/>
      <c r="AC685" s="75"/>
      <c r="AD685" s="75"/>
      <c r="AE685" s="78" t="str">
        <f>IF(U685="","",IF(AD685="","",_xlfn.WORKDAY.INTL(AD685,7,1,FERIADOS)))</f>
        <v/>
      </c>
      <c r="AF685" s="104"/>
      <c r="AG685" s="80" t="str">
        <f t="array" ref="AG685">IF(A685="","",IF(AF685="","",AF685*INDEX(PARAMETROS!F$2:F1748,MATCH(YEAR(AC685),PARAMETROS!E$2:E1748,0),1)))</f>
        <v/>
      </c>
      <c r="AH685" s="81"/>
      <c r="AI685" s="82"/>
      <c r="AJ685" s="81"/>
      <c r="AK685" s="81"/>
      <c r="AL685" s="76"/>
      <c r="AM685" s="75"/>
      <c r="AN685" s="76"/>
      <c r="AO685" s="95"/>
      <c r="AP685" s="96"/>
      <c r="AQ685" s="85" t="str">
        <f t="shared" si="6"/>
        <v/>
      </c>
      <c r="AR685" s="86" t="str">
        <f t="array" ref="AR685">IF(A685="","",IFERROR(INDEX('2) Etapas'!L$3:L923,MATCH(B685,'2) Etapas'!$A$4:$A923,0),1),-1))</f>
        <v/>
      </c>
      <c r="AS685" s="87" t="str">
        <f t="shared" si="7"/>
        <v/>
      </c>
      <c r="AT685" s="87" t="str">
        <f t="shared" si="8"/>
        <v/>
      </c>
      <c r="AU685" s="87" t="str">
        <f t="shared" si="9"/>
        <v/>
      </c>
      <c r="AV685" s="89" t="str">
        <f t="array" ref="AV685">IF(OR($A685="",$AB685="", $AC685=""),"",MAXA(IF($A685=$A$4:$A923,$AC$4:$AC923)))</f>
        <v/>
      </c>
    </row>
    <row r="686" ht="22.5" customHeight="1">
      <c r="A686" s="76"/>
      <c r="B686" s="68" t="str">
        <f t="shared" si="1"/>
        <v/>
      </c>
      <c r="C686" s="110"/>
      <c r="D686" s="70" t="str">
        <f t="shared" si="2"/>
        <v/>
      </c>
      <c r="E686" s="76"/>
      <c r="F686" s="68" t="str">
        <f t="array" ref="F686">IF($A686="","",IFERROR(INDEX(MA_INDIVIDUALES!C$2:C923, MATCH($A686,MA_INDIVIDUALES!$B$2:$B923,0),1),"CÓDIGO DE EXPEDIENTE INVÁLIDO"))</f>
        <v/>
      </c>
      <c r="G686" s="68" t="str">
        <f t="array" ref="G686">IF($A686="","",IFERROR(INDEX(MA_INDIVIDUALES!K$2:K923, MATCH($A686,MA_INDIVIDUALES!$B$2:$B923,0),1),"CÓDIGO DE EXPEDIENTE INVÁLIDO"))</f>
        <v/>
      </c>
      <c r="H686" s="68" t="str">
        <f t="array" ref="H686">IF($A686="","",IFERROR(INDEX(MA_INDIVIDUALES!L$2:L923, MATCH($A686,MA_INDIVIDUALES!$B$2:$B923,0),1),"CÓDIGO DE EXPEDIENTE INVÁLIDO"))</f>
        <v/>
      </c>
      <c r="I686" s="76"/>
      <c r="J686" s="76"/>
      <c r="K686" s="75"/>
      <c r="L686" s="74" t="str">
        <f>IF(A686="","",IF(K686="","",_xlfn.WORKDAY.INTL(K686,5,1,FERIADOS)))</f>
        <v/>
      </c>
      <c r="M686" s="76"/>
      <c r="N686" s="75"/>
      <c r="O686" s="76"/>
      <c r="P686" s="77" t="str">
        <f t="shared" si="3"/>
        <v/>
      </c>
      <c r="Q686" s="75"/>
      <c r="R686" s="76"/>
      <c r="S686" s="75"/>
      <c r="T686" s="75"/>
      <c r="U686" s="76"/>
      <c r="V686" s="76"/>
      <c r="W686" s="75"/>
      <c r="X686" s="76"/>
      <c r="Y686" s="29" t="str">
        <f t="shared" si="4"/>
        <v/>
      </c>
      <c r="Z686" s="29" t="str">
        <f t="shared" si="5"/>
        <v/>
      </c>
      <c r="AA686" s="76"/>
      <c r="AB686" s="76"/>
      <c r="AC686" s="75"/>
      <c r="AD686" s="75"/>
      <c r="AE686" s="78" t="str">
        <f>IF(U686="","",IF(AD686="","",_xlfn.WORKDAY.INTL(AD686,7,1,FERIADOS)))</f>
        <v/>
      </c>
      <c r="AF686" s="104"/>
      <c r="AG686" s="80" t="str">
        <f t="array" ref="AG686">IF(A686="","",IF(AF686="","",AF686*INDEX(PARAMETROS!F$2:F1749,MATCH(YEAR(AC686),PARAMETROS!E$2:E1749,0),1)))</f>
        <v/>
      </c>
      <c r="AH686" s="81"/>
      <c r="AI686" s="82"/>
      <c r="AJ686" s="81"/>
      <c r="AK686" s="81"/>
      <c r="AL686" s="76"/>
      <c r="AM686" s="75"/>
      <c r="AN686" s="76"/>
      <c r="AO686" s="95"/>
      <c r="AP686" s="96"/>
      <c r="AQ686" s="85" t="str">
        <f t="shared" si="6"/>
        <v/>
      </c>
      <c r="AR686" s="86" t="str">
        <f t="array" ref="AR686">IF(A686="","",IFERROR(INDEX('2) Etapas'!L$3:L923,MATCH(B686,'2) Etapas'!$A$4:$A923,0),1),-1))</f>
        <v/>
      </c>
      <c r="AS686" s="87" t="str">
        <f t="shared" si="7"/>
        <v/>
      </c>
      <c r="AT686" s="87" t="str">
        <f t="shared" si="8"/>
        <v/>
      </c>
      <c r="AU686" s="87" t="str">
        <f t="shared" si="9"/>
        <v/>
      </c>
      <c r="AV686" s="89" t="str">
        <f t="array" ref="AV686">IF(OR($A686="",$AB686="", $AC686=""),"",MAXA(IF($A686=$A$4:$A923,$AC$4:$AC923)))</f>
        <v/>
      </c>
    </row>
    <row r="687" ht="22.5" customHeight="1">
      <c r="A687" s="76"/>
      <c r="B687" s="68" t="str">
        <f t="shared" si="1"/>
        <v/>
      </c>
      <c r="C687" s="110"/>
      <c r="D687" s="70" t="str">
        <f t="shared" si="2"/>
        <v/>
      </c>
      <c r="E687" s="76"/>
      <c r="F687" s="68" t="str">
        <f t="array" ref="F687">IF($A687="","",IFERROR(INDEX(MA_INDIVIDUALES!C$2:C923, MATCH($A687,MA_INDIVIDUALES!$B$2:$B923,0),1),"CÓDIGO DE EXPEDIENTE INVÁLIDO"))</f>
        <v/>
      </c>
      <c r="G687" s="68" t="str">
        <f t="array" ref="G687">IF($A687="","",IFERROR(INDEX(MA_INDIVIDUALES!K$2:K923, MATCH($A687,MA_INDIVIDUALES!$B$2:$B923,0),1),"CÓDIGO DE EXPEDIENTE INVÁLIDO"))</f>
        <v/>
      </c>
      <c r="H687" s="68" t="str">
        <f t="array" ref="H687">IF($A687="","",IFERROR(INDEX(MA_INDIVIDUALES!L$2:L923, MATCH($A687,MA_INDIVIDUALES!$B$2:$B923,0),1),"CÓDIGO DE EXPEDIENTE INVÁLIDO"))</f>
        <v/>
      </c>
      <c r="I687" s="76"/>
      <c r="J687" s="76"/>
      <c r="K687" s="75"/>
      <c r="L687" s="74" t="str">
        <f>IF(A687="","",IF(K687="","",_xlfn.WORKDAY.INTL(K687,5,1,FERIADOS)))</f>
        <v/>
      </c>
      <c r="M687" s="76"/>
      <c r="N687" s="75"/>
      <c r="O687" s="76"/>
      <c r="P687" s="77" t="str">
        <f t="shared" si="3"/>
        <v/>
      </c>
      <c r="Q687" s="75"/>
      <c r="R687" s="76"/>
      <c r="S687" s="75"/>
      <c r="T687" s="75"/>
      <c r="U687" s="76"/>
      <c r="V687" s="76"/>
      <c r="W687" s="75"/>
      <c r="X687" s="76"/>
      <c r="Y687" s="29" t="str">
        <f t="shared" si="4"/>
        <v/>
      </c>
      <c r="Z687" s="29" t="str">
        <f t="shared" si="5"/>
        <v/>
      </c>
      <c r="AA687" s="76"/>
      <c r="AB687" s="76"/>
      <c r="AC687" s="75"/>
      <c r="AD687" s="75"/>
      <c r="AE687" s="78" t="str">
        <f>IF(U687="","",IF(AD687="","",_xlfn.WORKDAY.INTL(AD687,7,1,FERIADOS)))</f>
        <v/>
      </c>
      <c r="AF687" s="104"/>
      <c r="AG687" s="80" t="str">
        <f t="array" ref="AG687">IF(A687="","",IF(AF687="","",AF687*INDEX(PARAMETROS!F$2:F1750,MATCH(YEAR(AC687),PARAMETROS!E$2:E1750,0),1)))</f>
        <v/>
      </c>
      <c r="AH687" s="81"/>
      <c r="AI687" s="82"/>
      <c r="AJ687" s="81"/>
      <c r="AK687" s="81"/>
      <c r="AL687" s="76"/>
      <c r="AM687" s="75"/>
      <c r="AN687" s="76"/>
      <c r="AO687" s="95"/>
      <c r="AP687" s="96"/>
      <c r="AQ687" s="85" t="str">
        <f t="shared" si="6"/>
        <v/>
      </c>
      <c r="AR687" s="86" t="str">
        <f t="array" ref="AR687">IF(A687="","",IFERROR(INDEX('2) Etapas'!L$3:L923,MATCH(B687,'2) Etapas'!$A$4:$A923,0),1),-1))</f>
        <v/>
      </c>
      <c r="AS687" s="87" t="str">
        <f t="shared" si="7"/>
        <v/>
      </c>
      <c r="AT687" s="87" t="str">
        <f t="shared" si="8"/>
        <v/>
      </c>
      <c r="AU687" s="87" t="str">
        <f t="shared" si="9"/>
        <v/>
      </c>
      <c r="AV687" s="89" t="str">
        <f t="array" ref="AV687">IF(OR($A687="",$AB687="", $AC687=""),"",MAXA(IF($A687=$A$4:$A923,$AC$4:$AC923)))</f>
        <v/>
      </c>
    </row>
    <row r="688" ht="22.5" customHeight="1">
      <c r="A688" s="76"/>
      <c r="B688" s="68" t="str">
        <f t="shared" si="1"/>
        <v/>
      </c>
      <c r="C688" s="110"/>
      <c r="D688" s="70" t="str">
        <f t="shared" si="2"/>
        <v/>
      </c>
      <c r="E688" s="76"/>
      <c r="F688" s="68" t="str">
        <f t="array" ref="F688">IF($A688="","",IFERROR(INDEX(MA_INDIVIDUALES!C$2:C923, MATCH($A688,MA_INDIVIDUALES!$B$2:$B923,0),1),"CÓDIGO DE EXPEDIENTE INVÁLIDO"))</f>
        <v/>
      </c>
      <c r="G688" s="68" t="str">
        <f t="array" ref="G688">IF($A688="","",IFERROR(INDEX(MA_INDIVIDUALES!K$2:K923, MATCH($A688,MA_INDIVIDUALES!$B$2:$B923,0),1),"CÓDIGO DE EXPEDIENTE INVÁLIDO"))</f>
        <v/>
      </c>
      <c r="H688" s="68" t="str">
        <f t="array" ref="H688">IF($A688="","",IFERROR(INDEX(MA_INDIVIDUALES!L$2:L923, MATCH($A688,MA_INDIVIDUALES!$B$2:$B923,0),1),"CÓDIGO DE EXPEDIENTE INVÁLIDO"))</f>
        <v/>
      </c>
      <c r="I688" s="76"/>
      <c r="J688" s="76"/>
      <c r="K688" s="75"/>
      <c r="L688" s="74" t="str">
        <f>IF(A688="","",IF(K688="","",_xlfn.WORKDAY.INTL(K688,5,1,FERIADOS)))</f>
        <v/>
      </c>
      <c r="M688" s="76"/>
      <c r="N688" s="75"/>
      <c r="O688" s="76"/>
      <c r="P688" s="77" t="str">
        <f t="shared" si="3"/>
        <v/>
      </c>
      <c r="Q688" s="75"/>
      <c r="R688" s="76"/>
      <c r="S688" s="75"/>
      <c r="T688" s="75"/>
      <c r="U688" s="76"/>
      <c r="V688" s="76"/>
      <c r="W688" s="75"/>
      <c r="X688" s="76"/>
      <c r="Y688" s="29" t="str">
        <f t="shared" si="4"/>
        <v/>
      </c>
      <c r="Z688" s="29" t="str">
        <f t="shared" si="5"/>
        <v/>
      </c>
      <c r="AA688" s="76"/>
      <c r="AB688" s="76"/>
      <c r="AC688" s="75"/>
      <c r="AD688" s="75"/>
      <c r="AE688" s="78" t="str">
        <f>IF(U688="","",IF(AD688="","",_xlfn.WORKDAY.INTL(AD688,7,1,FERIADOS)))</f>
        <v/>
      </c>
      <c r="AF688" s="104"/>
      <c r="AG688" s="80" t="str">
        <f t="array" ref="AG688">IF(A688="","",IF(AF688="","",AF688*INDEX(PARAMETROS!F$2:F1751,MATCH(YEAR(AC688),PARAMETROS!E$2:E1751,0),1)))</f>
        <v/>
      </c>
      <c r="AH688" s="81"/>
      <c r="AI688" s="82"/>
      <c r="AJ688" s="81"/>
      <c r="AK688" s="81"/>
      <c r="AL688" s="76"/>
      <c r="AM688" s="75"/>
      <c r="AN688" s="76"/>
      <c r="AO688" s="95"/>
      <c r="AP688" s="96"/>
      <c r="AQ688" s="85" t="str">
        <f t="shared" si="6"/>
        <v/>
      </c>
      <c r="AR688" s="86" t="str">
        <f t="array" ref="AR688">IF(A688="","",IFERROR(INDEX('2) Etapas'!L$3:L923,MATCH(B688,'2) Etapas'!$A$4:$A923,0),1),-1))</f>
        <v/>
      </c>
      <c r="AS688" s="87" t="str">
        <f t="shared" si="7"/>
        <v/>
      </c>
      <c r="AT688" s="87" t="str">
        <f t="shared" si="8"/>
        <v/>
      </c>
      <c r="AU688" s="87" t="str">
        <f t="shared" si="9"/>
        <v/>
      </c>
      <c r="AV688" s="89" t="str">
        <f t="array" ref="AV688">IF(OR($A688="",$AB688="", $AC688=""),"",MAXA(IF($A688=$A$4:$A923,$AC$4:$AC923)))</f>
        <v/>
      </c>
    </row>
    <row r="689" ht="22.5" customHeight="1">
      <c r="A689" s="76"/>
      <c r="B689" s="68" t="str">
        <f t="shared" si="1"/>
        <v/>
      </c>
      <c r="C689" s="110"/>
      <c r="D689" s="70" t="str">
        <f t="shared" si="2"/>
        <v/>
      </c>
      <c r="E689" s="76"/>
      <c r="F689" s="68" t="str">
        <f t="array" ref="F689">IF($A689="","",IFERROR(INDEX(MA_INDIVIDUALES!C$2:C923, MATCH($A689,MA_INDIVIDUALES!$B$2:$B923,0),1),"CÓDIGO DE EXPEDIENTE INVÁLIDO"))</f>
        <v/>
      </c>
      <c r="G689" s="68" t="str">
        <f t="array" ref="G689">IF($A689="","",IFERROR(INDEX(MA_INDIVIDUALES!K$2:K923, MATCH($A689,MA_INDIVIDUALES!$B$2:$B923,0),1),"CÓDIGO DE EXPEDIENTE INVÁLIDO"))</f>
        <v/>
      </c>
      <c r="H689" s="68" t="str">
        <f t="array" ref="H689">IF($A689="","",IFERROR(INDEX(MA_INDIVIDUALES!L$2:L923, MATCH($A689,MA_INDIVIDUALES!$B$2:$B923,0),1),"CÓDIGO DE EXPEDIENTE INVÁLIDO"))</f>
        <v/>
      </c>
      <c r="I689" s="76"/>
      <c r="J689" s="76"/>
      <c r="K689" s="75"/>
      <c r="L689" s="74" t="str">
        <f>IF(A689="","",IF(K689="","",_xlfn.WORKDAY.INTL(K689,5,1,FERIADOS)))</f>
        <v/>
      </c>
      <c r="M689" s="76"/>
      <c r="N689" s="75"/>
      <c r="O689" s="76"/>
      <c r="P689" s="77" t="str">
        <f t="shared" si="3"/>
        <v/>
      </c>
      <c r="Q689" s="75"/>
      <c r="R689" s="76"/>
      <c r="S689" s="75"/>
      <c r="T689" s="75"/>
      <c r="U689" s="76"/>
      <c r="V689" s="76"/>
      <c r="W689" s="75"/>
      <c r="X689" s="76"/>
      <c r="Y689" s="29" t="str">
        <f t="shared" si="4"/>
        <v/>
      </c>
      <c r="Z689" s="29" t="str">
        <f t="shared" si="5"/>
        <v/>
      </c>
      <c r="AA689" s="76"/>
      <c r="AB689" s="76"/>
      <c r="AC689" s="75"/>
      <c r="AD689" s="75"/>
      <c r="AE689" s="78" t="str">
        <f>IF(U689="","",IF(AD689="","",_xlfn.WORKDAY.INTL(AD689,7,1,FERIADOS)))</f>
        <v/>
      </c>
      <c r="AF689" s="104"/>
      <c r="AG689" s="80" t="str">
        <f t="array" ref="AG689">IF(A689="","",IF(AF689="","",AF689*INDEX(PARAMETROS!F$2:F1752,MATCH(YEAR(AC689),PARAMETROS!E$2:E1752,0),1)))</f>
        <v/>
      </c>
      <c r="AH689" s="81"/>
      <c r="AI689" s="82"/>
      <c r="AJ689" s="81"/>
      <c r="AK689" s="81"/>
      <c r="AL689" s="76"/>
      <c r="AM689" s="75"/>
      <c r="AN689" s="76"/>
      <c r="AO689" s="95"/>
      <c r="AP689" s="96"/>
      <c r="AQ689" s="85" t="str">
        <f t="shared" si="6"/>
        <v/>
      </c>
      <c r="AR689" s="86" t="str">
        <f t="array" ref="AR689">IF(A689="","",IFERROR(INDEX('2) Etapas'!L$3:L923,MATCH(B689,'2) Etapas'!$A$4:$A923,0),1),-1))</f>
        <v/>
      </c>
      <c r="AS689" s="87" t="str">
        <f t="shared" si="7"/>
        <v/>
      </c>
      <c r="AT689" s="87" t="str">
        <f t="shared" si="8"/>
        <v/>
      </c>
      <c r="AU689" s="87" t="str">
        <f t="shared" si="9"/>
        <v/>
      </c>
      <c r="AV689" s="89" t="str">
        <f t="array" ref="AV689">IF(OR($A689="",$AB689="", $AC689=""),"",MAXA(IF($A689=$A$4:$A923,$AC$4:$AC923)))</f>
        <v/>
      </c>
    </row>
    <row r="690" ht="22.5" customHeight="1">
      <c r="A690" s="76"/>
      <c r="B690" s="68" t="str">
        <f t="shared" si="1"/>
        <v/>
      </c>
      <c r="C690" s="110"/>
      <c r="D690" s="70" t="str">
        <f t="shared" si="2"/>
        <v/>
      </c>
      <c r="E690" s="76"/>
      <c r="F690" s="68" t="str">
        <f t="array" ref="F690">IF($A690="","",IFERROR(INDEX(MA_INDIVIDUALES!C$2:C923, MATCH($A690,MA_INDIVIDUALES!$B$2:$B923,0),1),"CÓDIGO DE EXPEDIENTE INVÁLIDO"))</f>
        <v/>
      </c>
      <c r="G690" s="68" t="str">
        <f t="array" ref="G690">IF($A690="","",IFERROR(INDEX(MA_INDIVIDUALES!K$2:K923, MATCH($A690,MA_INDIVIDUALES!$B$2:$B923,0),1),"CÓDIGO DE EXPEDIENTE INVÁLIDO"))</f>
        <v/>
      </c>
      <c r="H690" s="68" t="str">
        <f t="array" ref="H690">IF($A690="","",IFERROR(INDEX(MA_INDIVIDUALES!L$2:L923, MATCH($A690,MA_INDIVIDUALES!$B$2:$B923,0),1),"CÓDIGO DE EXPEDIENTE INVÁLIDO"))</f>
        <v/>
      </c>
      <c r="I690" s="76"/>
      <c r="J690" s="76"/>
      <c r="K690" s="75"/>
      <c r="L690" s="74" t="str">
        <f>IF(A690="","",IF(K690="","",_xlfn.WORKDAY.INTL(K690,5,1,FERIADOS)))</f>
        <v/>
      </c>
      <c r="M690" s="76"/>
      <c r="N690" s="75"/>
      <c r="O690" s="76"/>
      <c r="P690" s="77" t="str">
        <f t="shared" si="3"/>
        <v/>
      </c>
      <c r="Q690" s="75"/>
      <c r="R690" s="76"/>
      <c r="S690" s="75"/>
      <c r="T690" s="75"/>
      <c r="U690" s="76"/>
      <c r="V690" s="76"/>
      <c r="W690" s="75"/>
      <c r="X690" s="76"/>
      <c r="Y690" s="29" t="str">
        <f t="shared" si="4"/>
        <v/>
      </c>
      <c r="Z690" s="29" t="str">
        <f t="shared" si="5"/>
        <v/>
      </c>
      <c r="AA690" s="76"/>
      <c r="AB690" s="76"/>
      <c r="AC690" s="75"/>
      <c r="AD690" s="75"/>
      <c r="AE690" s="78" t="str">
        <f>IF(U690="","",IF(AD690="","",_xlfn.WORKDAY.INTL(AD690,7,1,FERIADOS)))</f>
        <v/>
      </c>
      <c r="AF690" s="104"/>
      <c r="AG690" s="80" t="str">
        <f t="array" ref="AG690">IF(A690="","",IF(AF690="","",AF690*INDEX(PARAMETROS!F$2:F1753,MATCH(YEAR(AC690),PARAMETROS!E$2:E1753,0),1)))</f>
        <v/>
      </c>
      <c r="AH690" s="81"/>
      <c r="AI690" s="82"/>
      <c r="AJ690" s="81"/>
      <c r="AK690" s="81"/>
      <c r="AL690" s="76"/>
      <c r="AM690" s="75"/>
      <c r="AN690" s="76"/>
      <c r="AO690" s="95"/>
      <c r="AP690" s="96"/>
      <c r="AQ690" s="85" t="str">
        <f t="shared" si="6"/>
        <v/>
      </c>
      <c r="AR690" s="86" t="str">
        <f t="array" ref="AR690">IF(A690="","",IFERROR(INDEX('2) Etapas'!L$3:L923,MATCH(B690,'2) Etapas'!$A$4:$A923,0),1),-1))</f>
        <v/>
      </c>
      <c r="AS690" s="87" t="str">
        <f t="shared" si="7"/>
        <v/>
      </c>
      <c r="AT690" s="87" t="str">
        <f t="shared" si="8"/>
        <v/>
      </c>
      <c r="AU690" s="87" t="str">
        <f t="shared" si="9"/>
        <v/>
      </c>
      <c r="AV690" s="89" t="str">
        <f t="array" ref="AV690">IF(OR($A690="",$AB690="", $AC690=""),"",MAXA(IF($A690=$A$4:$A923,$AC$4:$AC923)))</f>
        <v/>
      </c>
    </row>
    <row r="691" ht="22.5" customHeight="1">
      <c r="A691" s="76"/>
      <c r="B691" s="68" t="str">
        <f t="shared" si="1"/>
        <v/>
      </c>
      <c r="C691" s="110"/>
      <c r="D691" s="70" t="str">
        <f t="shared" si="2"/>
        <v/>
      </c>
      <c r="E691" s="76"/>
      <c r="F691" s="68" t="str">
        <f t="array" ref="F691">IF($A691="","",IFERROR(INDEX(MA_INDIVIDUALES!C$2:C923, MATCH($A691,MA_INDIVIDUALES!$B$2:$B923,0),1),"CÓDIGO DE EXPEDIENTE INVÁLIDO"))</f>
        <v/>
      </c>
      <c r="G691" s="68" t="str">
        <f t="array" ref="G691">IF($A691="","",IFERROR(INDEX(MA_INDIVIDUALES!K$2:K923, MATCH($A691,MA_INDIVIDUALES!$B$2:$B923,0),1),"CÓDIGO DE EXPEDIENTE INVÁLIDO"))</f>
        <v/>
      </c>
      <c r="H691" s="68" t="str">
        <f t="array" ref="H691">IF($A691="","",IFERROR(INDEX(MA_INDIVIDUALES!L$2:L923, MATCH($A691,MA_INDIVIDUALES!$B$2:$B923,0),1),"CÓDIGO DE EXPEDIENTE INVÁLIDO"))</f>
        <v/>
      </c>
      <c r="I691" s="76"/>
      <c r="J691" s="76"/>
      <c r="K691" s="75"/>
      <c r="L691" s="74" t="str">
        <f>IF(A691="","",IF(K691="","",_xlfn.WORKDAY.INTL(K691,5,1,FERIADOS)))</f>
        <v/>
      </c>
      <c r="M691" s="76"/>
      <c r="N691" s="75"/>
      <c r="O691" s="76"/>
      <c r="P691" s="77" t="str">
        <f t="shared" si="3"/>
        <v/>
      </c>
      <c r="Q691" s="75"/>
      <c r="R691" s="76"/>
      <c r="S691" s="75"/>
      <c r="T691" s="75"/>
      <c r="U691" s="76"/>
      <c r="V691" s="76"/>
      <c r="W691" s="75"/>
      <c r="X691" s="76"/>
      <c r="Y691" s="29" t="str">
        <f t="shared" si="4"/>
        <v/>
      </c>
      <c r="Z691" s="29" t="str">
        <f t="shared" si="5"/>
        <v/>
      </c>
      <c r="AA691" s="76"/>
      <c r="AB691" s="76"/>
      <c r="AC691" s="75"/>
      <c r="AD691" s="75"/>
      <c r="AE691" s="78" t="str">
        <f>IF(U691="","",IF(AD691="","",_xlfn.WORKDAY.INTL(AD691,7,1,FERIADOS)))</f>
        <v/>
      </c>
      <c r="AF691" s="104"/>
      <c r="AG691" s="80" t="str">
        <f t="array" ref="AG691">IF(A691="","",IF(AF691="","",AF691*INDEX(PARAMETROS!F$2:F1754,MATCH(YEAR(AC691),PARAMETROS!E$2:E1754,0),1)))</f>
        <v/>
      </c>
      <c r="AH691" s="81"/>
      <c r="AI691" s="82"/>
      <c r="AJ691" s="81"/>
      <c r="AK691" s="81"/>
      <c r="AL691" s="76"/>
      <c r="AM691" s="75"/>
      <c r="AN691" s="76"/>
      <c r="AO691" s="95"/>
      <c r="AP691" s="96"/>
      <c r="AQ691" s="85" t="str">
        <f t="shared" si="6"/>
        <v/>
      </c>
      <c r="AR691" s="86" t="str">
        <f t="array" ref="AR691">IF(A691="","",IFERROR(INDEX('2) Etapas'!L$3:L923,MATCH(B691,'2) Etapas'!$A$4:$A923,0),1),-1))</f>
        <v/>
      </c>
      <c r="AS691" s="87" t="str">
        <f t="shared" si="7"/>
        <v/>
      </c>
      <c r="AT691" s="87" t="str">
        <f t="shared" si="8"/>
        <v/>
      </c>
      <c r="AU691" s="87" t="str">
        <f t="shared" si="9"/>
        <v/>
      </c>
      <c r="AV691" s="89" t="str">
        <f t="array" ref="AV691">IF(OR($A691="",$AB691="", $AC691=""),"",MAXA(IF($A691=$A$4:$A923,$AC$4:$AC923)))</f>
        <v/>
      </c>
    </row>
    <row r="692" ht="22.5" customHeight="1">
      <c r="A692" s="76"/>
      <c r="B692" s="68" t="str">
        <f t="shared" si="1"/>
        <v/>
      </c>
      <c r="C692" s="110"/>
      <c r="D692" s="70" t="str">
        <f t="shared" si="2"/>
        <v/>
      </c>
      <c r="E692" s="76"/>
      <c r="F692" s="68" t="str">
        <f t="array" ref="F692">IF($A692="","",IFERROR(INDEX(MA_INDIVIDUALES!C$2:C923, MATCH($A692,MA_INDIVIDUALES!$B$2:$B923,0),1),"CÓDIGO DE EXPEDIENTE INVÁLIDO"))</f>
        <v/>
      </c>
      <c r="G692" s="68" t="str">
        <f t="array" ref="G692">IF($A692="","",IFERROR(INDEX(MA_INDIVIDUALES!K$2:K923, MATCH($A692,MA_INDIVIDUALES!$B$2:$B923,0),1),"CÓDIGO DE EXPEDIENTE INVÁLIDO"))</f>
        <v/>
      </c>
      <c r="H692" s="68" t="str">
        <f t="array" ref="H692">IF($A692="","",IFERROR(INDEX(MA_INDIVIDUALES!L$2:L923, MATCH($A692,MA_INDIVIDUALES!$B$2:$B923,0),1),"CÓDIGO DE EXPEDIENTE INVÁLIDO"))</f>
        <v/>
      </c>
      <c r="I692" s="76"/>
      <c r="J692" s="76"/>
      <c r="K692" s="75"/>
      <c r="L692" s="74" t="str">
        <f>IF(A692="","",IF(K692="","",_xlfn.WORKDAY.INTL(K692,5,1,FERIADOS)))</f>
        <v/>
      </c>
      <c r="M692" s="76"/>
      <c r="N692" s="75"/>
      <c r="O692" s="76"/>
      <c r="P692" s="77" t="str">
        <f t="shared" si="3"/>
        <v/>
      </c>
      <c r="Q692" s="75"/>
      <c r="R692" s="76"/>
      <c r="S692" s="75"/>
      <c r="T692" s="75"/>
      <c r="U692" s="76"/>
      <c r="V692" s="76"/>
      <c r="W692" s="75"/>
      <c r="X692" s="76"/>
      <c r="Y692" s="29" t="str">
        <f t="shared" si="4"/>
        <v/>
      </c>
      <c r="Z692" s="29" t="str">
        <f t="shared" si="5"/>
        <v/>
      </c>
      <c r="AA692" s="76"/>
      <c r="AB692" s="76"/>
      <c r="AC692" s="75"/>
      <c r="AD692" s="75"/>
      <c r="AE692" s="78" t="str">
        <f>IF(U692="","",IF(AD692="","",_xlfn.WORKDAY.INTL(AD692,7,1,FERIADOS)))</f>
        <v/>
      </c>
      <c r="AF692" s="104"/>
      <c r="AG692" s="80" t="str">
        <f t="array" ref="AG692">IF(A692="","",IF(AF692="","",AF692*INDEX(PARAMETROS!F$2:F1755,MATCH(YEAR(AC692),PARAMETROS!E$2:E1755,0),1)))</f>
        <v/>
      </c>
      <c r="AH692" s="81"/>
      <c r="AI692" s="82"/>
      <c r="AJ692" s="81"/>
      <c r="AK692" s="81"/>
      <c r="AL692" s="76"/>
      <c r="AM692" s="75"/>
      <c r="AN692" s="76"/>
      <c r="AO692" s="95"/>
      <c r="AP692" s="96"/>
      <c r="AQ692" s="85" t="str">
        <f t="shared" si="6"/>
        <v/>
      </c>
      <c r="AR692" s="86" t="str">
        <f t="array" ref="AR692">IF(A692="","",IFERROR(INDEX('2) Etapas'!L$3:L923,MATCH(B692,'2) Etapas'!$A$4:$A923,0),1),-1))</f>
        <v/>
      </c>
      <c r="AS692" s="87" t="str">
        <f t="shared" si="7"/>
        <v/>
      </c>
      <c r="AT692" s="87" t="str">
        <f t="shared" si="8"/>
        <v/>
      </c>
      <c r="AU692" s="87" t="str">
        <f t="shared" si="9"/>
        <v/>
      </c>
      <c r="AV692" s="89" t="str">
        <f t="array" ref="AV692">IF(OR($A692="",$AB692="", $AC692=""),"",MAXA(IF($A692=$A$4:$A923,$AC$4:$AC923)))</f>
        <v/>
      </c>
    </row>
    <row r="693" ht="22.5" customHeight="1">
      <c r="A693" s="76"/>
      <c r="B693" s="68" t="str">
        <f t="shared" si="1"/>
        <v/>
      </c>
      <c r="C693" s="110"/>
      <c r="D693" s="70" t="str">
        <f t="shared" si="2"/>
        <v/>
      </c>
      <c r="E693" s="76"/>
      <c r="F693" s="68" t="str">
        <f t="array" ref="F693">IF($A693="","",IFERROR(INDEX(MA_INDIVIDUALES!C$2:C923, MATCH($A693,MA_INDIVIDUALES!$B$2:$B923,0),1),"CÓDIGO DE EXPEDIENTE INVÁLIDO"))</f>
        <v/>
      </c>
      <c r="G693" s="68" t="str">
        <f t="array" ref="G693">IF($A693="","",IFERROR(INDEX(MA_INDIVIDUALES!K$2:K923, MATCH($A693,MA_INDIVIDUALES!$B$2:$B923,0),1),"CÓDIGO DE EXPEDIENTE INVÁLIDO"))</f>
        <v/>
      </c>
      <c r="H693" s="68" t="str">
        <f t="array" ref="H693">IF($A693="","",IFERROR(INDEX(MA_INDIVIDUALES!L$2:L923, MATCH($A693,MA_INDIVIDUALES!$B$2:$B923,0),1),"CÓDIGO DE EXPEDIENTE INVÁLIDO"))</f>
        <v/>
      </c>
      <c r="I693" s="76"/>
      <c r="J693" s="76"/>
      <c r="K693" s="75"/>
      <c r="L693" s="74" t="str">
        <f>IF(A693="","",IF(K693="","",_xlfn.WORKDAY.INTL(K693,5,1,FERIADOS)))</f>
        <v/>
      </c>
      <c r="M693" s="76"/>
      <c r="N693" s="75"/>
      <c r="O693" s="76"/>
      <c r="P693" s="77" t="str">
        <f t="shared" si="3"/>
        <v/>
      </c>
      <c r="Q693" s="75"/>
      <c r="R693" s="76"/>
      <c r="S693" s="75"/>
      <c r="T693" s="75"/>
      <c r="U693" s="76"/>
      <c r="V693" s="76"/>
      <c r="W693" s="75"/>
      <c r="X693" s="76"/>
      <c r="Y693" s="29" t="str">
        <f t="shared" si="4"/>
        <v/>
      </c>
      <c r="Z693" s="29" t="str">
        <f t="shared" si="5"/>
        <v/>
      </c>
      <c r="AA693" s="76"/>
      <c r="AB693" s="76"/>
      <c r="AC693" s="75"/>
      <c r="AD693" s="75"/>
      <c r="AE693" s="78" t="str">
        <f>IF(U693="","",IF(AD693="","",_xlfn.WORKDAY.INTL(AD693,7,1,FERIADOS)))</f>
        <v/>
      </c>
      <c r="AF693" s="104"/>
      <c r="AG693" s="80" t="str">
        <f t="array" ref="AG693">IF(A693="","",IF(AF693="","",AF693*INDEX(PARAMETROS!F$2:F1756,MATCH(YEAR(AC693),PARAMETROS!E$2:E1756,0),1)))</f>
        <v/>
      </c>
      <c r="AH693" s="81"/>
      <c r="AI693" s="82"/>
      <c r="AJ693" s="81"/>
      <c r="AK693" s="81"/>
      <c r="AL693" s="76"/>
      <c r="AM693" s="75"/>
      <c r="AN693" s="76"/>
      <c r="AO693" s="95"/>
      <c r="AP693" s="96"/>
      <c r="AQ693" s="85" t="str">
        <f t="shared" si="6"/>
        <v/>
      </c>
      <c r="AR693" s="86" t="str">
        <f t="array" ref="AR693">IF(A693="","",IFERROR(INDEX('2) Etapas'!L$3:L923,MATCH(B693,'2) Etapas'!$A$4:$A923,0),1),-1))</f>
        <v/>
      </c>
      <c r="AS693" s="87" t="str">
        <f t="shared" si="7"/>
        <v/>
      </c>
      <c r="AT693" s="87" t="str">
        <f t="shared" si="8"/>
        <v/>
      </c>
      <c r="AU693" s="87" t="str">
        <f t="shared" si="9"/>
        <v/>
      </c>
      <c r="AV693" s="89" t="str">
        <f t="array" ref="AV693">IF(OR($A693="",$AB693="", $AC693=""),"",MAXA(IF($A693=$A$4:$A923,$AC$4:$AC923)))</f>
        <v/>
      </c>
    </row>
    <row r="694" ht="22.5" customHeight="1">
      <c r="A694" s="76"/>
      <c r="B694" s="68" t="str">
        <f t="shared" si="1"/>
        <v/>
      </c>
      <c r="C694" s="110"/>
      <c r="D694" s="70" t="str">
        <f t="shared" si="2"/>
        <v/>
      </c>
      <c r="E694" s="76"/>
      <c r="F694" s="68" t="str">
        <f t="array" ref="F694">IF($A694="","",IFERROR(INDEX(MA_INDIVIDUALES!C$2:C923, MATCH($A694,MA_INDIVIDUALES!$B$2:$B923,0),1),"CÓDIGO DE EXPEDIENTE INVÁLIDO"))</f>
        <v/>
      </c>
      <c r="G694" s="68" t="str">
        <f t="array" ref="G694">IF($A694="","",IFERROR(INDEX(MA_INDIVIDUALES!K$2:K923, MATCH($A694,MA_INDIVIDUALES!$B$2:$B923,0),1),"CÓDIGO DE EXPEDIENTE INVÁLIDO"))</f>
        <v/>
      </c>
      <c r="H694" s="68" t="str">
        <f t="array" ref="H694">IF($A694="","",IFERROR(INDEX(MA_INDIVIDUALES!L$2:L923, MATCH($A694,MA_INDIVIDUALES!$B$2:$B923,0),1),"CÓDIGO DE EXPEDIENTE INVÁLIDO"))</f>
        <v/>
      </c>
      <c r="I694" s="76"/>
      <c r="J694" s="76"/>
      <c r="K694" s="75"/>
      <c r="L694" s="74" t="str">
        <f>IF(A694="","",IF(K694="","",_xlfn.WORKDAY.INTL(K694,5,1,FERIADOS)))</f>
        <v/>
      </c>
      <c r="M694" s="76"/>
      <c r="N694" s="75"/>
      <c r="O694" s="76"/>
      <c r="P694" s="77" t="str">
        <f t="shared" si="3"/>
        <v/>
      </c>
      <c r="Q694" s="75"/>
      <c r="R694" s="76"/>
      <c r="S694" s="75"/>
      <c r="T694" s="75"/>
      <c r="U694" s="76"/>
      <c r="V694" s="76"/>
      <c r="W694" s="75"/>
      <c r="X694" s="76"/>
      <c r="Y694" s="29" t="str">
        <f t="shared" si="4"/>
        <v/>
      </c>
      <c r="Z694" s="29" t="str">
        <f t="shared" si="5"/>
        <v/>
      </c>
      <c r="AA694" s="76"/>
      <c r="AB694" s="76"/>
      <c r="AC694" s="75"/>
      <c r="AD694" s="75"/>
      <c r="AE694" s="78" t="str">
        <f>IF(U694="","",IF(AD694="","",_xlfn.WORKDAY.INTL(AD694,7,1,FERIADOS)))</f>
        <v/>
      </c>
      <c r="AF694" s="104"/>
      <c r="AG694" s="80" t="str">
        <f t="array" ref="AG694">IF(A694="","",IF(AF694="","",AF694*INDEX(PARAMETROS!F$2:F1757,MATCH(YEAR(AC694),PARAMETROS!E$2:E1757,0),1)))</f>
        <v/>
      </c>
      <c r="AH694" s="81"/>
      <c r="AI694" s="82"/>
      <c r="AJ694" s="81"/>
      <c r="AK694" s="81"/>
      <c r="AL694" s="76"/>
      <c r="AM694" s="75"/>
      <c r="AN694" s="76"/>
      <c r="AO694" s="95"/>
      <c r="AP694" s="96"/>
      <c r="AQ694" s="85" t="str">
        <f t="shared" si="6"/>
        <v/>
      </c>
      <c r="AR694" s="86" t="str">
        <f t="array" ref="AR694">IF(A694="","",IFERROR(INDEX('2) Etapas'!L$3:L923,MATCH(B694,'2) Etapas'!$A$4:$A923,0),1),-1))</f>
        <v/>
      </c>
      <c r="AS694" s="87" t="str">
        <f t="shared" si="7"/>
        <v/>
      </c>
      <c r="AT694" s="87" t="str">
        <f t="shared" si="8"/>
        <v/>
      </c>
      <c r="AU694" s="87" t="str">
        <f t="shared" si="9"/>
        <v/>
      </c>
      <c r="AV694" s="89" t="str">
        <f t="array" ref="AV694">IF(OR($A694="",$AB694="", $AC694=""),"",MAXA(IF($A694=$A$4:$A923,$AC$4:$AC923)))</f>
        <v/>
      </c>
    </row>
    <row r="695" ht="22.5" customHeight="1">
      <c r="A695" s="76"/>
      <c r="B695" s="68" t="str">
        <f t="shared" si="1"/>
        <v/>
      </c>
      <c r="C695" s="110"/>
      <c r="D695" s="70" t="str">
        <f t="shared" si="2"/>
        <v/>
      </c>
      <c r="E695" s="76"/>
      <c r="F695" s="68" t="str">
        <f t="array" ref="F695">IF($A695="","",IFERROR(INDEX(MA_INDIVIDUALES!C$2:C923, MATCH($A695,MA_INDIVIDUALES!$B$2:$B923,0),1),"CÓDIGO DE EXPEDIENTE INVÁLIDO"))</f>
        <v/>
      </c>
      <c r="G695" s="68" t="str">
        <f t="array" ref="G695">IF($A695="","",IFERROR(INDEX(MA_INDIVIDUALES!K$2:K923, MATCH($A695,MA_INDIVIDUALES!$B$2:$B923,0),1),"CÓDIGO DE EXPEDIENTE INVÁLIDO"))</f>
        <v/>
      </c>
      <c r="H695" s="68" t="str">
        <f t="array" ref="H695">IF($A695="","",IFERROR(INDEX(MA_INDIVIDUALES!L$2:L923, MATCH($A695,MA_INDIVIDUALES!$B$2:$B923,0),1),"CÓDIGO DE EXPEDIENTE INVÁLIDO"))</f>
        <v/>
      </c>
      <c r="I695" s="76"/>
      <c r="J695" s="76"/>
      <c r="K695" s="75"/>
      <c r="L695" s="74" t="str">
        <f>IF(A695="","",IF(K695="","",_xlfn.WORKDAY.INTL(K695,5,1,FERIADOS)))</f>
        <v/>
      </c>
      <c r="M695" s="76"/>
      <c r="N695" s="75"/>
      <c r="O695" s="76"/>
      <c r="P695" s="77" t="str">
        <f t="shared" si="3"/>
        <v/>
      </c>
      <c r="Q695" s="75"/>
      <c r="R695" s="76"/>
      <c r="S695" s="75"/>
      <c r="T695" s="75"/>
      <c r="U695" s="76"/>
      <c r="V695" s="76"/>
      <c r="W695" s="75"/>
      <c r="X695" s="76"/>
      <c r="Y695" s="29" t="str">
        <f t="shared" si="4"/>
        <v/>
      </c>
      <c r="Z695" s="29" t="str">
        <f t="shared" si="5"/>
        <v/>
      </c>
      <c r="AA695" s="76"/>
      <c r="AB695" s="76"/>
      <c r="AC695" s="75"/>
      <c r="AD695" s="75"/>
      <c r="AE695" s="78" t="str">
        <f>IF(U695="","",IF(AD695="","",_xlfn.WORKDAY.INTL(AD695,7,1,FERIADOS)))</f>
        <v/>
      </c>
      <c r="AF695" s="104"/>
      <c r="AG695" s="80" t="str">
        <f t="array" ref="AG695">IF(A695="","",IF(AF695="","",AF695*INDEX(PARAMETROS!F$2:F1758,MATCH(YEAR(AC695),PARAMETROS!E$2:E1758,0),1)))</f>
        <v/>
      </c>
      <c r="AH695" s="81"/>
      <c r="AI695" s="82"/>
      <c r="AJ695" s="81"/>
      <c r="AK695" s="81"/>
      <c r="AL695" s="76"/>
      <c r="AM695" s="75"/>
      <c r="AN695" s="76"/>
      <c r="AO695" s="95"/>
      <c r="AP695" s="96"/>
      <c r="AQ695" s="85" t="str">
        <f t="shared" si="6"/>
        <v/>
      </c>
      <c r="AR695" s="86" t="str">
        <f t="array" ref="AR695">IF(A695="","",IFERROR(INDEX('2) Etapas'!L$3:L923,MATCH(B695,'2) Etapas'!$A$4:$A923,0),1),-1))</f>
        <v/>
      </c>
      <c r="AS695" s="87" t="str">
        <f t="shared" si="7"/>
        <v/>
      </c>
      <c r="AT695" s="87" t="str">
        <f t="shared" si="8"/>
        <v/>
      </c>
      <c r="AU695" s="87" t="str">
        <f t="shared" si="9"/>
        <v/>
      </c>
      <c r="AV695" s="89" t="str">
        <f t="array" ref="AV695">IF(OR($A695="",$AB695="", $AC695=""),"",MAXA(IF($A695=$A$4:$A923,$AC$4:$AC923)))</f>
        <v/>
      </c>
    </row>
    <row r="696" ht="22.5" customHeight="1">
      <c r="A696" s="76"/>
      <c r="B696" s="68" t="str">
        <f t="shared" si="1"/>
        <v/>
      </c>
      <c r="C696" s="110"/>
      <c r="D696" s="70" t="str">
        <f t="shared" si="2"/>
        <v/>
      </c>
      <c r="E696" s="76"/>
      <c r="F696" s="68" t="str">
        <f t="array" ref="F696">IF($A696="","",IFERROR(INDEX(MA_INDIVIDUALES!C$2:C923, MATCH($A696,MA_INDIVIDUALES!$B$2:$B923,0),1),"CÓDIGO DE EXPEDIENTE INVÁLIDO"))</f>
        <v/>
      </c>
      <c r="G696" s="68" t="str">
        <f t="array" ref="G696">IF($A696="","",IFERROR(INDEX(MA_INDIVIDUALES!K$2:K923, MATCH($A696,MA_INDIVIDUALES!$B$2:$B923,0),1),"CÓDIGO DE EXPEDIENTE INVÁLIDO"))</f>
        <v/>
      </c>
      <c r="H696" s="68" t="str">
        <f t="array" ref="H696">IF($A696="","",IFERROR(INDEX(MA_INDIVIDUALES!L$2:L923, MATCH($A696,MA_INDIVIDUALES!$B$2:$B923,0),1),"CÓDIGO DE EXPEDIENTE INVÁLIDO"))</f>
        <v/>
      </c>
      <c r="I696" s="76"/>
      <c r="J696" s="76"/>
      <c r="K696" s="75"/>
      <c r="L696" s="74" t="str">
        <f>IF(A696="","",IF(K696="","",_xlfn.WORKDAY.INTL(K696,5,1,FERIADOS)))</f>
        <v/>
      </c>
      <c r="M696" s="76"/>
      <c r="N696" s="75"/>
      <c r="O696" s="76"/>
      <c r="P696" s="77" t="str">
        <f t="shared" si="3"/>
        <v/>
      </c>
      <c r="Q696" s="75"/>
      <c r="R696" s="76"/>
      <c r="S696" s="75"/>
      <c r="T696" s="75"/>
      <c r="U696" s="76"/>
      <c r="V696" s="76"/>
      <c r="W696" s="75"/>
      <c r="X696" s="76"/>
      <c r="Y696" s="29" t="str">
        <f t="shared" si="4"/>
        <v/>
      </c>
      <c r="Z696" s="29" t="str">
        <f t="shared" si="5"/>
        <v/>
      </c>
      <c r="AA696" s="76"/>
      <c r="AB696" s="76"/>
      <c r="AC696" s="75"/>
      <c r="AD696" s="75"/>
      <c r="AE696" s="78" t="str">
        <f>IF(U696="","",IF(AD696="","",_xlfn.WORKDAY.INTL(AD696,7,1,FERIADOS)))</f>
        <v/>
      </c>
      <c r="AF696" s="104"/>
      <c r="AG696" s="80" t="str">
        <f t="array" ref="AG696">IF(A696="","",IF(AF696="","",AF696*INDEX(PARAMETROS!F$2:F1759,MATCH(YEAR(AC696),PARAMETROS!E$2:E1759,0),1)))</f>
        <v/>
      </c>
      <c r="AH696" s="81"/>
      <c r="AI696" s="82"/>
      <c r="AJ696" s="81"/>
      <c r="AK696" s="81"/>
      <c r="AL696" s="76"/>
      <c r="AM696" s="75"/>
      <c r="AN696" s="76"/>
      <c r="AO696" s="95"/>
      <c r="AP696" s="96"/>
      <c r="AQ696" s="85" t="str">
        <f t="shared" si="6"/>
        <v/>
      </c>
      <c r="AR696" s="86" t="str">
        <f t="array" ref="AR696">IF(A696="","",IFERROR(INDEX('2) Etapas'!L$3:L923,MATCH(B696,'2) Etapas'!$A$4:$A923,0),1),-1))</f>
        <v/>
      </c>
      <c r="AS696" s="87" t="str">
        <f t="shared" si="7"/>
        <v/>
      </c>
      <c r="AT696" s="87" t="str">
        <f t="shared" si="8"/>
        <v/>
      </c>
      <c r="AU696" s="87" t="str">
        <f t="shared" si="9"/>
        <v/>
      </c>
      <c r="AV696" s="89" t="str">
        <f t="array" ref="AV696">IF(OR($A696="",$AB696="", $AC696=""),"",MAXA(IF($A696=$A$4:$A923,$AC$4:$AC923)))</f>
        <v/>
      </c>
    </row>
    <row r="697" ht="22.5" customHeight="1">
      <c r="A697" s="76"/>
      <c r="B697" s="68" t="str">
        <f t="shared" si="1"/>
        <v/>
      </c>
      <c r="C697" s="110"/>
      <c r="D697" s="70" t="str">
        <f t="shared" si="2"/>
        <v/>
      </c>
      <c r="E697" s="76"/>
      <c r="F697" s="68" t="str">
        <f t="array" ref="F697">IF($A697="","",IFERROR(INDEX(MA_INDIVIDUALES!C$2:C923, MATCH($A697,MA_INDIVIDUALES!$B$2:$B923,0),1),"CÓDIGO DE EXPEDIENTE INVÁLIDO"))</f>
        <v/>
      </c>
      <c r="G697" s="68" t="str">
        <f t="array" ref="G697">IF($A697="","",IFERROR(INDEX(MA_INDIVIDUALES!K$2:K923, MATCH($A697,MA_INDIVIDUALES!$B$2:$B923,0),1),"CÓDIGO DE EXPEDIENTE INVÁLIDO"))</f>
        <v/>
      </c>
      <c r="H697" s="68" t="str">
        <f t="array" ref="H697">IF($A697="","",IFERROR(INDEX(MA_INDIVIDUALES!L$2:L923, MATCH($A697,MA_INDIVIDUALES!$B$2:$B923,0),1),"CÓDIGO DE EXPEDIENTE INVÁLIDO"))</f>
        <v/>
      </c>
      <c r="I697" s="76"/>
      <c r="J697" s="76"/>
      <c r="K697" s="75"/>
      <c r="L697" s="74" t="str">
        <f>IF(A697="","",IF(K697="","",_xlfn.WORKDAY.INTL(K697,5,1,FERIADOS)))</f>
        <v/>
      </c>
      <c r="M697" s="76"/>
      <c r="N697" s="75"/>
      <c r="O697" s="76"/>
      <c r="P697" s="77" t="str">
        <f t="shared" si="3"/>
        <v/>
      </c>
      <c r="Q697" s="75"/>
      <c r="R697" s="76"/>
      <c r="S697" s="75"/>
      <c r="T697" s="75"/>
      <c r="U697" s="76"/>
      <c r="V697" s="76"/>
      <c r="W697" s="75"/>
      <c r="X697" s="76"/>
      <c r="Y697" s="29" t="str">
        <f t="shared" si="4"/>
        <v/>
      </c>
      <c r="Z697" s="29" t="str">
        <f t="shared" si="5"/>
        <v/>
      </c>
      <c r="AA697" s="76"/>
      <c r="AB697" s="76"/>
      <c r="AC697" s="75"/>
      <c r="AD697" s="75"/>
      <c r="AE697" s="78" t="str">
        <f>IF(U697="","",IF(AD697="","",_xlfn.WORKDAY.INTL(AD697,7,1,FERIADOS)))</f>
        <v/>
      </c>
      <c r="AF697" s="104"/>
      <c r="AG697" s="80" t="str">
        <f t="array" ref="AG697">IF(A697="","",IF(AF697="","",AF697*INDEX(PARAMETROS!F$2:F1760,MATCH(YEAR(AC697),PARAMETROS!E$2:E1760,0),1)))</f>
        <v/>
      </c>
      <c r="AH697" s="81"/>
      <c r="AI697" s="82"/>
      <c r="AJ697" s="81"/>
      <c r="AK697" s="81"/>
      <c r="AL697" s="76"/>
      <c r="AM697" s="75"/>
      <c r="AN697" s="76"/>
      <c r="AO697" s="95"/>
      <c r="AP697" s="96"/>
      <c r="AQ697" s="85" t="str">
        <f t="shared" si="6"/>
        <v/>
      </c>
      <c r="AR697" s="86" t="str">
        <f t="array" ref="AR697">IF(A697="","",IFERROR(INDEX('2) Etapas'!L$3:L923,MATCH(B697,'2) Etapas'!$A$4:$A923,0),1),-1))</f>
        <v/>
      </c>
      <c r="AS697" s="87" t="str">
        <f t="shared" si="7"/>
        <v/>
      </c>
      <c r="AT697" s="87" t="str">
        <f t="shared" si="8"/>
        <v/>
      </c>
      <c r="AU697" s="87" t="str">
        <f t="shared" si="9"/>
        <v/>
      </c>
      <c r="AV697" s="89" t="str">
        <f t="array" ref="AV697">IF(OR($A697="",$AB697="", $AC697=""),"",MAXA(IF($A697=$A$4:$A923,$AC$4:$AC923)))</f>
        <v/>
      </c>
    </row>
    <row r="698" ht="22.5" customHeight="1">
      <c r="A698" s="76"/>
      <c r="B698" s="68" t="str">
        <f t="shared" si="1"/>
        <v/>
      </c>
      <c r="C698" s="110"/>
      <c r="D698" s="70" t="str">
        <f t="shared" si="2"/>
        <v/>
      </c>
      <c r="E698" s="76"/>
      <c r="F698" s="68" t="str">
        <f t="array" ref="F698">IF($A698="","",IFERROR(INDEX(MA_INDIVIDUALES!C$2:C923, MATCH($A698,MA_INDIVIDUALES!$B$2:$B923,0),1),"CÓDIGO DE EXPEDIENTE INVÁLIDO"))</f>
        <v/>
      </c>
      <c r="G698" s="68" t="str">
        <f t="array" ref="G698">IF($A698="","",IFERROR(INDEX(MA_INDIVIDUALES!K$2:K923, MATCH($A698,MA_INDIVIDUALES!$B$2:$B923,0),1),"CÓDIGO DE EXPEDIENTE INVÁLIDO"))</f>
        <v/>
      </c>
      <c r="H698" s="68" t="str">
        <f t="array" ref="H698">IF($A698="","",IFERROR(INDEX(MA_INDIVIDUALES!L$2:L923, MATCH($A698,MA_INDIVIDUALES!$B$2:$B923,0),1),"CÓDIGO DE EXPEDIENTE INVÁLIDO"))</f>
        <v/>
      </c>
      <c r="I698" s="76"/>
      <c r="J698" s="76"/>
      <c r="K698" s="75"/>
      <c r="L698" s="74" t="str">
        <f>IF(A698="","",IF(K698="","",_xlfn.WORKDAY.INTL(K698,5,1,FERIADOS)))</f>
        <v/>
      </c>
      <c r="M698" s="76"/>
      <c r="N698" s="75"/>
      <c r="O698" s="76"/>
      <c r="P698" s="77" t="str">
        <f t="shared" si="3"/>
        <v/>
      </c>
      <c r="Q698" s="75"/>
      <c r="R698" s="76"/>
      <c r="S698" s="75"/>
      <c r="T698" s="75"/>
      <c r="U698" s="76"/>
      <c r="V698" s="76"/>
      <c r="W698" s="75"/>
      <c r="X698" s="76"/>
      <c r="Y698" s="29" t="str">
        <f t="shared" si="4"/>
        <v/>
      </c>
      <c r="Z698" s="29" t="str">
        <f t="shared" si="5"/>
        <v/>
      </c>
      <c r="AA698" s="76"/>
      <c r="AB698" s="76"/>
      <c r="AC698" s="75"/>
      <c r="AD698" s="75"/>
      <c r="AE698" s="78" t="str">
        <f>IF(U698="","",IF(AD698="","",_xlfn.WORKDAY.INTL(AD698,7,1,FERIADOS)))</f>
        <v/>
      </c>
      <c r="AF698" s="104"/>
      <c r="AG698" s="80" t="str">
        <f t="array" ref="AG698">IF(A698="","",IF(AF698="","",AF698*INDEX(PARAMETROS!F$2:F1761,MATCH(YEAR(AC698),PARAMETROS!E$2:E1761,0),1)))</f>
        <v/>
      </c>
      <c r="AH698" s="81"/>
      <c r="AI698" s="82"/>
      <c r="AJ698" s="81"/>
      <c r="AK698" s="81"/>
      <c r="AL698" s="76"/>
      <c r="AM698" s="75"/>
      <c r="AN698" s="76"/>
      <c r="AO698" s="95"/>
      <c r="AP698" s="96"/>
      <c r="AQ698" s="85" t="str">
        <f t="shared" si="6"/>
        <v/>
      </c>
      <c r="AR698" s="86" t="str">
        <f t="array" ref="AR698">IF(A698="","",IFERROR(INDEX('2) Etapas'!L$3:L923,MATCH(B698,'2) Etapas'!$A$4:$A923,0),1),-1))</f>
        <v/>
      </c>
      <c r="AS698" s="87" t="str">
        <f t="shared" si="7"/>
        <v/>
      </c>
      <c r="AT698" s="87" t="str">
        <f t="shared" si="8"/>
        <v/>
      </c>
      <c r="AU698" s="87" t="str">
        <f t="shared" si="9"/>
        <v/>
      </c>
      <c r="AV698" s="89" t="str">
        <f t="array" ref="AV698">IF(OR($A698="",$AB698="", $AC698=""),"",MAXA(IF($A698=$A$4:$A923,$AC$4:$AC923)))</f>
        <v/>
      </c>
    </row>
    <row r="699" ht="22.5" customHeight="1">
      <c r="A699" s="76"/>
      <c r="B699" s="68" t="str">
        <f t="shared" si="1"/>
        <v/>
      </c>
      <c r="C699" s="110"/>
      <c r="D699" s="70" t="str">
        <f t="shared" si="2"/>
        <v/>
      </c>
      <c r="E699" s="76"/>
      <c r="F699" s="68" t="str">
        <f t="array" ref="F699">IF($A699="","",IFERROR(INDEX(MA_INDIVIDUALES!C$2:C923, MATCH($A699,MA_INDIVIDUALES!$B$2:$B923,0),1),"CÓDIGO DE EXPEDIENTE INVÁLIDO"))</f>
        <v/>
      </c>
      <c r="G699" s="68" t="str">
        <f t="array" ref="G699">IF($A699="","",IFERROR(INDEX(MA_INDIVIDUALES!K$2:K923, MATCH($A699,MA_INDIVIDUALES!$B$2:$B923,0),1),"CÓDIGO DE EXPEDIENTE INVÁLIDO"))</f>
        <v/>
      </c>
      <c r="H699" s="68" t="str">
        <f t="array" ref="H699">IF($A699="","",IFERROR(INDEX(MA_INDIVIDUALES!L$2:L923, MATCH($A699,MA_INDIVIDUALES!$B$2:$B923,0),1),"CÓDIGO DE EXPEDIENTE INVÁLIDO"))</f>
        <v/>
      </c>
      <c r="I699" s="76"/>
      <c r="J699" s="76"/>
      <c r="K699" s="75"/>
      <c r="L699" s="74" t="str">
        <f>IF(A699="","",IF(K699="","",_xlfn.WORKDAY.INTL(K699,5,1,FERIADOS)))</f>
        <v/>
      </c>
      <c r="M699" s="76"/>
      <c r="N699" s="75"/>
      <c r="O699" s="76"/>
      <c r="P699" s="77" t="str">
        <f t="shared" si="3"/>
        <v/>
      </c>
      <c r="Q699" s="75"/>
      <c r="R699" s="76"/>
      <c r="S699" s="75"/>
      <c r="T699" s="75"/>
      <c r="U699" s="76"/>
      <c r="V699" s="76"/>
      <c r="W699" s="75"/>
      <c r="X699" s="76"/>
      <c r="Y699" s="29" t="str">
        <f t="shared" si="4"/>
        <v/>
      </c>
      <c r="Z699" s="29" t="str">
        <f t="shared" si="5"/>
        <v/>
      </c>
      <c r="AA699" s="76"/>
      <c r="AB699" s="76"/>
      <c r="AC699" s="75"/>
      <c r="AD699" s="75"/>
      <c r="AE699" s="78" t="str">
        <f>IF(U699="","",IF(AD699="","",_xlfn.WORKDAY.INTL(AD699,7,1,FERIADOS)))</f>
        <v/>
      </c>
      <c r="AF699" s="104"/>
      <c r="AG699" s="80" t="str">
        <f t="array" ref="AG699">IF(A699="","",IF(AF699="","",AF699*INDEX(PARAMETROS!F$2:F1762,MATCH(YEAR(AC699),PARAMETROS!E$2:E1762,0),1)))</f>
        <v/>
      </c>
      <c r="AH699" s="81"/>
      <c r="AI699" s="82"/>
      <c r="AJ699" s="81"/>
      <c r="AK699" s="81"/>
      <c r="AL699" s="76"/>
      <c r="AM699" s="75"/>
      <c r="AN699" s="76"/>
      <c r="AO699" s="95"/>
      <c r="AP699" s="96"/>
      <c r="AQ699" s="85" t="str">
        <f t="shared" si="6"/>
        <v/>
      </c>
      <c r="AR699" s="86" t="str">
        <f t="array" ref="AR699">IF(A699="","",IFERROR(INDEX('2) Etapas'!L$3:L923,MATCH(B699,'2) Etapas'!$A$4:$A923,0),1),-1))</f>
        <v/>
      </c>
      <c r="AS699" s="87" t="str">
        <f t="shared" si="7"/>
        <v/>
      </c>
      <c r="AT699" s="87" t="str">
        <f t="shared" si="8"/>
        <v/>
      </c>
      <c r="AU699" s="87" t="str">
        <f t="shared" si="9"/>
        <v/>
      </c>
      <c r="AV699" s="89" t="str">
        <f t="array" ref="AV699">IF(OR($A699="",$AB699="", $AC699=""),"",MAXA(IF($A699=$A$4:$A923,$AC$4:$AC923)))</f>
        <v/>
      </c>
    </row>
    <row r="700" ht="22.5" customHeight="1">
      <c r="A700" s="76"/>
      <c r="B700" s="68" t="str">
        <f t="shared" si="1"/>
        <v/>
      </c>
      <c r="C700" s="110"/>
      <c r="D700" s="70" t="str">
        <f t="shared" si="2"/>
        <v/>
      </c>
      <c r="E700" s="76"/>
      <c r="F700" s="68" t="str">
        <f t="array" ref="F700">IF($A700="","",IFERROR(INDEX(MA_INDIVIDUALES!C$2:C923, MATCH($A700,MA_INDIVIDUALES!$B$2:$B923,0),1),"CÓDIGO DE EXPEDIENTE INVÁLIDO"))</f>
        <v/>
      </c>
      <c r="G700" s="68" t="str">
        <f t="array" ref="G700">IF($A700="","",IFERROR(INDEX(MA_INDIVIDUALES!K$2:K923, MATCH($A700,MA_INDIVIDUALES!$B$2:$B923,0),1),"CÓDIGO DE EXPEDIENTE INVÁLIDO"))</f>
        <v/>
      </c>
      <c r="H700" s="68" t="str">
        <f t="array" ref="H700">IF($A700="","",IFERROR(INDEX(MA_INDIVIDUALES!L$2:L923, MATCH($A700,MA_INDIVIDUALES!$B$2:$B923,0),1),"CÓDIGO DE EXPEDIENTE INVÁLIDO"))</f>
        <v/>
      </c>
      <c r="I700" s="76"/>
      <c r="J700" s="76"/>
      <c r="K700" s="75"/>
      <c r="L700" s="74" t="str">
        <f>IF(A700="","",IF(K700="","",_xlfn.WORKDAY.INTL(K700,5,1,FERIADOS)))</f>
        <v/>
      </c>
      <c r="M700" s="76"/>
      <c r="N700" s="75"/>
      <c r="O700" s="76"/>
      <c r="P700" s="77" t="str">
        <f t="shared" si="3"/>
        <v/>
      </c>
      <c r="Q700" s="75"/>
      <c r="R700" s="76"/>
      <c r="S700" s="75"/>
      <c r="T700" s="75"/>
      <c r="U700" s="76"/>
      <c r="V700" s="76"/>
      <c r="W700" s="75"/>
      <c r="X700" s="76"/>
      <c r="Y700" s="29" t="str">
        <f t="shared" si="4"/>
        <v/>
      </c>
      <c r="Z700" s="29" t="str">
        <f t="shared" si="5"/>
        <v/>
      </c>
      <c r="AA700" s="76"/>
      <c r="AB700" s="76"/>
      <c r="AC700" s="75"/>
      <c r="AD700" s="75"/>
      <c r="AE700" s="78" t="str">
        <f>IF(U700="","",IF(AD700="","",_xlfn.WORKDAY.INTL(AD700,7,1,FERIADOS)))</f>
        <v/>
      </c>
      <c r="AF700" s="104"/>
      <c r="AG700" s="80" t="str">
        <f t="array" ref="AG700">IF(A700="","",IF(AF700="","",AF700*INDEX(PARAMETROS!F$2:F1763,MATCH(YEAR(AC700),PARAMETROS!E$2:E1763,0),1)))</f>
        <v/>
      </c>
      <c r="AH700" s="81"/>
      <c r="AI700" s="82"/>
      <c r="AJ700" s="81"/>
      <c r="AK700" s="81"/>
      <c r="AL700" s="76"/>
      <c r="AM700" s="75"/>
      <c r="AN700" s="76"/>
      <c r="AO700" s="95"/>
      <c r="AP700" s="96"/>
      <c r="AQ700" s="85" t="str">
        <f t="shared" si="6"/>
        <v/>
      </c>
      <c r="AR700" s="86" t="str">
        <f t="array" ref="AR700">IF(A700="","",IFERROR(INDEX('2) Etapas'!L$3:L923,MATCH(B700,'2) Etapas'!$A$4:$A923,0),1),-1))</f>
        <v/>
      </c>
      <c r="AS700" s="87" t="str">
        <f t="shared" si="7"/>
        <v/>
      </c>
      <c r="AT700" s="87" t="str">
        <f t="shared" si="8"/>
        <v/>
      </c>
      <c r="AU700" s="87" t="str">
        <f t="shared" si="9"/>
        <v/>
      </c>
      <c r="AV700" s="89" t="str">
        <f t="array" ref="AV700">IF(OR($A700="",$AB700="", $AC700=""),"",MAXA(IF($A700=$A$4:$A923,$AC$4:$AC923)))</f>
        <v/>
      </c>
    </row>
    <row r="701" ht="22.5" customHeight="1">
      <c r="A701" s="76"/>
      <c r="B701" s="68" t="str">
        <f t="shared" si="1"/>
        <v/>
      </c>
      <c r="C701" s="110"/>
      <c r="D701" s="70" t="str">
        <f t="shared" si="2"/>
        <v/>
      </c>
      <c r="E701" s="76"/>
      <c r="F701" s="68" t="str">
        <f t="array" ref="F701">IF($A701="","",IFERROR(INDEX(MA_INDIVIDUALES!C$2:C923, MATCH($A701,MA_INDIVIDUALES!$B$2:$B923,0),1),"CÓDIGO DE EXPEDIENTE INVÁLIDO"))</f>
        <v/>
      </c>
      <c r="G701" s="68" t="str">
        <f t="array" ref="G701">IF($A701="","",IFERROR(INDEX(MA_INDIVIDUALES!K$2:K923, MATCH($A701,MA_INDIVIDUALES!$B$2:$B923,0),1),"CÓDIGO DE EXPEDIENTE INVÁLIDO"))</f>
        <v/>
      </c>
      <c r="H701" s="68" t="str">
        <f t="array" ref="H701">IF($A701="","",IFERROR(INDEX(MA_INDIVIDUALES!L$2:L923, MATCH($A701,MA_INDIVIDUALES!$B$2:$B923,0),1),"CÓDIGO DE EXPEDIENTE INVÁLIDO"))</f>
        <v/>
      </c>
      <c r="I701" s="76"/>
      <c r="J701" s="76"/>
      <c r="K701" s="75"/>
      <c r="L701" s="74" t="str">
        <f>IF(A701="","",IF(K701="","",_xlfn.WORKDAY.INTL(K701,5,1,FERIADOS)))</f>
        <v/>
      </c>
      <c r="M701" s="76"/>
      <c r="N701" s="75"/>
      <c r="O701" s="76"/>
      <c r="P701" s="77" t="str">
        <f t="shared" si="3"/>
        <v/>
      </c>
      <c r="Q701" s="75"/>
      <c r="R701" s="76"/>
      <c r="S701" s="75"/>
      <c r="T701" s="75"/>
      <c r="U701" s="76"/>
      <c r="V701" s="76"/>
      <c r="W701" s="75"/>
      <c r="X701" s="76"/>
      <c r="Y701" s="29" t="str">
        <f t="shared" si="4"/>
        <v/>
      </c>
      <c r="Z701" s="29" t="str">
        <f t="shared" si="5"/>
        <v/>
      </c>
      <c r="AA701" s="76"/>
      <c r="AB701" s="76"/>
      <c r="AC701" s="75"/>
      <c r="AD701" s="75"/>
      <c r="AE701" s="78" t="str">
        <f>IF(U701="","",IF(AD701="","",_xlfn.WORKDAY.INTL(AD701,7,1,FERIADOS)))</f>
        <v/>
      </c>
      <c r="AF701" s="104"/>
      <c r="AG701" s="80" t="str">
        <f t="array" ref="AG701">IF(A701="","",IF(AF701="","",AF701*INDEX(PARAMETROS!F$2:F1764,MATCH(YEAR(AC701),PARAMETROS!E$2:E1764,0),1)))</f>
        <v/>
      </c>
      <c r="AH701" s="81"/>
      <c r="AI701" s="82"/>
      <c r="AJ701" s="81"/>
      <c r="AK701" s="81"/>
      <c r="AL701" s="76"/>
      <c r="AM701" s="75"/>
      <c r="AN701" s="76"/>
      <c r="AO701" s="95"/>
      <c r="AP701" s="96"/>
      <c r="AQ701" s="85" t="str">
        <f t="shared" si="6"/>
        <v/>
      </c>
      <c r="AR701" s="86" t="str">
        <f t="array" ref="AR701">IF(A701="","",IFERROR(INDEX('2) Etapas'!L$3:L923,MATCH(B701,'2) Etapas'!$A$4:$A923,0),1),-1))</f>
        <v/>
      </c>
      <c r="AS701" s="87" t="str">
        <f t="shared" si="7"/>
        <v/>
      </c>
      <c r="AT701" s="87" t="str">
        <f t="shared" si="8"/>
        <v/>
      </c>
      <c r="AU701" s="87" t="str">
        <f t="shared" si="9"/>
        <v/>
      </c>
      <c r="AV701" s="89" t="str">
        <f t="array" ref="AV701">IF(OR($A701="",$AB701="", $AC701=""),"",MAXA(IF($A701=$A$4:$A923,$AC$4:$AC923)))</f>
        <v/>
      </c>
    </row>
    <row r="702" ht="22.5" customHeight="1">
      <c r="A702" s="76"/>
      <c r="B702" s="68" t="str">
        <f t="shared" si="1"/>
        <v/>
      </c>
      <c r="C702" s="110"/>
      <c r="D702" s="70" t="str">
        <f t="shared" si="2"/>
        <v/>
      </c>
      <c r="E702" s="76"/>
      <c r="F702" s="68" t="str">
        <f t="array" ref="F702">IF($A702="","",IFERROR(INDEX(MA_INDIVIDUALES!C$2:C923, MATCH($A702,MA_INDIVIDUALES!$B$2:$B923,0),1),"CÓDIGO DE EXPEDIENTE INVÁLIDO"))</f>
        <v/>
      </c>
      <c r="G702" s="68" t="str">
        <f t="array" ref="G702">IF($A702="","",IFERROR(INDEX(MA_INDIVIDUALES!K$2:K923, MATCH($A702,MA_INDIVIDUALES!$B$2:$B923,0),1),"CÓDIGO DE EXPEDIENTE INVÁLIDO"))</f>
        <v/>
      </c>
      <c r="H702" s="68" t="str">
        <f t="array" ref="H702">IF($A702="","",IFERROR(INDEX(MA_INDIVIDUALES!L$2:L923, MATCH($A702,MA_INDIVIDUALES!$B$2:$B923,0),1),"CÓDIGO DE EXPEDIENTE INVÁLIDO"))</f>
        <v/>
      </c>
      <c r="I702" s="76"/>
      <c r="J702" s="76"/>
      <c r="K702" s="75"/>
      <c r="L702" s="74" t="str">
        <f>IF(A702="","",IF(K702="","",_xlfn.WORKDAY.INTL(K702,5,1,FERIADOS)))</f>
        <v/>
      </c>
      <c r="M702" s="76"/>
      <c r="N702" s="75"/>
      <c r="O702" s="76"/>
      <c r="P702" s="77" t="str">
        <f t="shared" si="3"/>
        <v/>
      </c>
      <c r="Q702" s="75"/>
      <c r="R702" s="76"/>
      <c r="S702" s="75"/>
      <c r="T702" s="75"/>
      <c r="U702" s="76"/>
      <c r="V702" s="76"/>
      <c r="W702" s="75"/>
      <c r="X702" s="76"/>
      <c r="Y702" s="29" t="str">
        <f t="shared" si="4"/>
        <v/>
      </c>
      <c r="Z702" s="29" t="str">
        <f t="shared" si="5"/>
        <v/>
      </c>
      <c r="AA702" s="76"/>
      <c r="AB702" s="76"/>
      <c r="AC702" s="75"/>
      <c r="AD702" s="75"/>
      <c r="AE702" s="78" t="str">
        <f>IF(U702="","",IF(AD702="","",_xlfn.WORKDAY.INTL(AD702,7,1,FERIADOS)))</f>
        <v/>
      </c>
      <c r="AF702" s="104"/>
      <c r="AG702" s="80" t="str">
        <f t="array" ref="AG702">IF(A702="","",IF(AF702="","",AF702*INDEX(PARAMETROS!F$2:F1765,MATCH(YEAR(AC702),PARAMETROS!E$2:E1765,0),1)))</f>
        <v/>
      </c>
      <c r="AH702" s="81"/>
      <c r="AI702" s="82"/>
      <c r="AJ702" s="81"/>
      <c r="AK702" s="81"/>
      <c r="AL702" s="76"/>
      <c r="AM702" s="75"/>
      <c r="AN702" s="76"/>
      <c r="AO702" s="95"/>
      <c r="AP702" s="96"/>
      <c r="AQ702" s="85" t="str">
        <f t="shared" si="6"/>
        <v/>
      </c>
      <c r="AR702" s="86" t="str">
        <f t="array" ref="AR702">IF(A702="","",IFERROR(INDEX('2) Etapas'!L$3:L923,MATCH(B702,'2) Etapas'!$A$4:$A923,0),1),-1))</f>
        <v/>
      </c>
      <c r="AS702" s="87" t="str">
        <f t="shared" si="7"/>
        <v/>
      </c>
      <c r="AT702" s="87" t="str">
        <f t="shared" si="8"/>
        <v/>
      </c>
      <c r="AU702" s="87" t="str">
        <f t="shared" si="9"/>
        <v/>
      </c>
      <c r="AV702" s="89" t="str">
        <f t="array" ref="AV702">IF(OR($A702="",$AB702="", $AC702=""),"",MAXA(IF($A702=$A$4:$A923,$AC$4:$AC923)))</f>
        <v/>
      </c>
    </row>
    <row r="703" ht="22.5" customHeight="1">
      <c r="A703" s="76"/>
      <c r="B703" s="68" t="str">
        <f t="shared" si="1"/>
        <v/>
      </c>
      <c r="C703" s="110"/>
      <c r="D703" s="70" t="str">
        <f t="shared" si="2"/>
        <v/>
      </c>
      <c r="E703" s="76"/>
      <c r="F703" s="68" t="str">
        <f t="array" ref="F703">IF($A703="","",IFERROR(INDEX(MA_INDIVIDUALES!C$2:C923, MATCH($A703,MA_INDIVIDUALES!$B$2:$B923,0),1),"CÓDIGO DE EXPEDIENTE INVÁLIDO"))</f>
        <v/>
      </c>
      <c r="G703" s="68" t="str">
        <f t="array" ref="G703">IF($A703="","",IFERROR(INDEX(MA_INDIVIDUALES!K$2:K923, MATCH($A703,MA_INDIVIDUALES!$B$2:$B923,0),1),"CÓDIGO DE EXPEDIENTE INVÁLIDO"))</f>
        <v/>
      </c>
      <c r="H703" s="68" t="str">
        <f t="array" ref="H703">IF($A703="","",IFERROR(INDEX(MA_INDIVIDUALES!L$2:L923, MATCH($A703,MA_INDIVIDUALES!$B$2:$B923,0),1),"CÓDIGO DE EXPEDIENTE INVÁLIDO"))</f>
        <v/>
      </c>
      <c r="I703" s="76"/>
      <c r="J703" s="76"/>
      <c r="K703" s="75"/>
      <c r="L703" s="74" t="str">
        <f>IF(A703="","",IF(K703="","",_xlfn.WORKDAY.INTL(K703,5,1,FERIADOS)))</f>
        <v/>
      </c>
      <c r="M703" s="76"/>
      <c r="N703" s="75"/>
      <c r="O703" s="76"/>
      <c r="P703" s="77" t="str">
        <f t="shared" si="3"/>
        <v/>
      </c>
      <c r="Q703" s="75"/>
      <c r="R703" s="76"/>
      <c r="S703" s="75"/>
      <c r="T703" s="75"/>
      <c r="U703" s="76"/>
      <c r="V703" s="76"/>
      <c r="W703" s="75"/>
      <c r="X703" s="76"/>
      <c r="Y703" s="29" t="str">
        <f t="shared" si="4"/>
        <v/>
      </c>
      <c r="Z703" s="29" t="str">
        <f t="shared" si="5"/>
        <v/>
      </c>
      <c r="AA703" s="76"/>
      <c r="AB703" s="76"/>
      <c r="AC703" s="75"/>
      <c r="AD703" s="75"/>
      <c r="AE703" s="78" t="str">
        <f>IF(U703="","",IF(AD703="","",_xlfn.WORKDAY.INTL(AD703,7,1,FERIADOS)))</f>
        <v/>
      </c>
      <c r="AF703" s="104"/>
      <c r="AG703" s="80" t="str">
        <f t="array" ref="AG703">IF(A703="","",IF(AF703="","",AF703*INDEX(PARAMETROS!F$2:F1766,MATCH(YEAR(AC703),PARAMETROS!E$2:E1766,0),1)))</f>
        <v/>
      </c>
      <c r="AH703" s="81"/>
      <c r="AI703" s="82"/>
      <c r="AJ703" s="81"/>
      <c r="AK703" s="81"/>
      <c r="AL703" s="76"/>
      <c r="AM703" s="75"/>
      <c r="AN703" s="76"/>
      <c r="AO703" s="95"/>
      <c r="AP703" s="96"/>
      <c r="AQ703" s="85" t="str">
        <f t="shared" si="6"/>
        <v/>
      </c>
      <c r="AR703" s="86" t="str">
        <f t="array" ref="AR703">IF(A703="","",IFERROR(INDEX('2) Etapas'!L$3:L923,MATCH(B703,'2) Etapas'!$A$4:$A923,0),1),-1))</f>
        <v/>
      </c>
      <c r="AS703" s="87" t="str">
        <f t="shared" si="7"/>
        <v/>
      </c>
      <c r="AT703" s="87" t="str">
        <f t="shared" si="8"/>
        <v/>
      </c>
      <c r="AU703" s="87" t="str">
        <f t="shared" si="9"/>
        <v/>
      </c>
      <c r="AV703" s="89" t="str">
        <f t="array" ref="AV703">IF(OR($A703="",$AB703="", $AC703=""),"",MAXA(IF($A703=$A$4:$A923,$AC$4:$AC923)))</f>
        <v/>
      </c>
    </row>
    <row r="704" ht="22.5" customHeight="1">
      <c r="A704" s="76"/>
      <c r="B704" s="68" t="str">
        <f t="shared" si="1"/>
        <v/>
      </c>
      <c r="C704" s="110"/>
      <c r="D704" s="70" t="str">
        <f t="shared" si="2"/>
        <v/>
      </c>
      <c r="E704" s="76"/>
      <c r="F704" s="68" t="str">
        <f t="array" ref="F704">IF($A704="","",IFERROR(INDEX(MA_INDIVIDUALES!C$2:C923, MATCH($A704,MA_INDIVIDUALES!$B$2:$B923,0),1),"CÓDIGO DE EXPEDIENTE INVÁLIDO"))</f>
        <v/>
      </c>
      <c r="G704" s="68" t="str">
        <f t="array" ref="G704">IF($A704="","",IFERROR(INDEX(MA_INDIVIDUALES!K$2:K923, MATCH($A704,MA_INDIVIDUALES!$B$2:$B923,0),1),"CÓDIGO DE EXPEDIENTE INVÁLIDO"))</f>
        <v/>
      </c>
      <c r="H704" s="68" t="str">
        <f t="array" ref="H704">IF($A704="","",IFERROR(INDEX(MA_INDIVIDUALES!L$2:L923, MATCH($A704,MA_INDIVIDUALES!$B$2:$B923,0),1),"CÓDIGO DE EXPEDIENTE INVÁLIDO"))</f>
        <v/>
      </c>
      <c r="I704" s="76"/>
      <c r="J704" s="76"/>
      <c r="K704" s="75"/>
      <c r="L704" s="74" t="str">
        <f>IF(A704="","",IF(K704="","",_xlfn.WORKDAY.INTL(K704,5,1,FERIADOS)))</f>
        <v/>
      </c>
      <c r="M704" s="76"/>
      <c r="N704" s="75"/>
      <c r="O704" s="76"/>
      <c r="P704" s="77" t="str">
        <f t="shared" si="3"/>
        <v/>
      </c>
      <c r="Q704" s="75"/>
      <c r="R704" s="76"/>
      <c r="S704" s="75"/>
      <c r="T704" s="75"/>
      <c r="U704" s="76"/>
      <c r="V704" s="76"/>
      <c r="W704" s="75"/>
      <c r="X704" s="76"/>
      <c r="Y704" s="29" t="str">
        <f t="shared" si="4"/>
        <v/>
      </c>
      <c r="Z704" s="29" t="str">
        <f t="shared" si="5"/>
        <v/>
      </c>
      <c r="AA704" s="76"/>
      <c r="AB704" s="76"/>
      <c r="AC704" s="75"/>
      <c r="AD704" s="75"/>
      <c r="AE704" s="78" t="str">
        <f>IF(U704="","",IF(AD704="","",_xlfn.WORKDAY.INTL(AD704,7,1,FERIADOS)))</f>
        <v/>
      </c>
      <c r="AF704" s="104"/>
      <c r="AG704" s="80" t="str">
        <f t="array" ref="AG704">IF(A704="","",IF(AF704="","",AF704*INDEX(PARAMETROS!F$2:F1767,MATCH(YEAR(AC704),PARAMETROS!E$2:E1767,0),1)))</f>
        <v/>
      </c>
      <c r="AH704" s="81"/>
      <c r="AI704" s="82"/>
      <c r="AJ704" s="81"/>
      <c r="AK704" s="81"/>
      <c r="AL704" s="76"/>
      <c r="AM704" s="75"/>
      <c r="AN704" s="76"/>
      <c r="AO704" s="95"/>
      <c r="AP704" s="96"/>
      <c r="AQ704" s="85" t="str">
        <f t="shared" si="6"/>
        <v/>
      </c>
      <c r="AR704" s="86" t="str">
        <f t="array" ref="AR704">IF(A704="","",IFERROR(INDEX('2) Etapas'!L$3:L923,MATCH(B704,'2) Etapas'!$A$4:$A923,0),1),-1))</f>
        <v/>
      </c>
      <c r="AS704" s="87" t="str">
        <f t="shared" si="7"/>
        <v/>
      </c>
      <c r="AT704" s="87" t="str">
        <f t="shared" si="8"/>
        <v/>
      </c>
      <c r="AU704" s="87" t="str">
        <f t="shared" si="9"/>
        <v/>
      </c>
      <c r="AV704" s="89" t="str">
        <f t="array" ref="AV704">IF(OR($A704="",$AB704="", $AC704=""),"",MAXA(IF($A704=$A$4:$A923,$AC$4:$AC923)))</f>
        <v/>
      </c>
    </row>
    <row r="705" ht="22.5" customHeight="1">
      <c r="A705" s="76"/>
      <c r="B705" s="68" t="str">
        <f t="shared" si="1"/>
        <v/>
      </c>
      <c r="C705" s="110"/>
      <c r="D705" s="70" t="str">
        <f t="shared" si="2"/>
        <v/>
      </c>
      <c r="E705" s="76"/>
      <c r="F705" s="68" t="str">
        <f t="array" ref="F705">IF($A705="","",IFERROR(INDEX(MA_INDIVIDUALES!C$2:C923, MATCH($A705,MA_INDIVIDUALES!$B$2:$B923,0),1),"CÓDIGO DE EXPEDIENTE INVÁLIDO"))</f>
        <v/>
      </c>
      <c r="G705" s="68" t="str">
        <f t="array" ref="G705">IF($A705="","",IFERROR(INDEX(MA_INDIVIDUALES!K$2:K923, MATCH($A705,MA_INDIVIDUALES!$B$2:$B923,0),1),"CÓDIGO DE EXPEDIENTE INVÁLIDO"))</f>
        <v/>
      </c>
      <c r="H705" s="68" t="str">
        <f t="array" ref="H705">IF($A705="","",IFERROR(INDEX(MA_INDIVIDUALES!L$2:L923, MATCH($A705,MA_INDIVIDUALES!$B$2:$B923,0),1),"CÓDIGO DE EXPEDIENTE INVÁLIDO"))</f>
        <v/>
      </c>
      <c r="I705" s="76"/>
      <c r="J705" s="76"/>
      <c r="K705" s="75"/>
      <c r="L705" s="74" t="str">
        <f>IF(A705="","",IF(K705="","",_xlfn.WORKDAY.INTL(K705,5,1,FERIADOS)))</f>
        <v/>
      </c>
      <c r="M705" s="76"/>
      <c r="N705" s="75"/>
      <c r="O705" s="76"/>
      <c r="P705" s="77" t="str">
        <f t="shared" si="3"/>
        <v/>
      </c>
      <c r="Q705" s="75"/>
      <c r="R705" s="76"/>
      <c r="S705" s="75"/>
      <c r="T705" s="75"/>
      <c r="U705" s="76"/>
      <c r="V705" s="76"/>
      <c r="W705" s="75"/>
      <c r="X705" s="76"/>
      <c r="Y705" s="29" t="str">
        <f t="shared" si="4"/>
        <v/>
      </c>
      <c r="Z705" s="29" t="str">
        <f t="shared" si="5"/>
        <v/>
      </c>
      <c r="AA705" s="76"/>
      <c r="AB705" s="76"/>
      <c r="AC705" s="75"/>
      <c r="AD705" s="75"/>
      <c r="AE705" s="78" t="str">
        <f>IF(U705="","",IF(AD705="","",_xlfn.WORKDAY.INTL(AD705,7,1,FERIADOS)))</f>
        <v/>
      </c>
      <c r="AF705" s="104"/>
      <c r="AG705" s="80" t="str">
        <f t="array" ref="AG705">IF(A705="","",IF(AF705="","",AF705*INDEX(PARAMETROS!F$2:F1768,MATCH(YEAR(AC705),PARAMETROS!E$2:E1768,0),1)))</f>
        <v/>
      </c>
      <c r="AH705" s="81"/>
      <c r="AI705" s="82"/>
      <c r="AJ705" s="81"/>
      <c r="AK705" s="81"/>
      <c r="AL705" s="76"/>
      <c r="AM705" s="75"/>
      <c r="AN705" s="76"/>
      <c r="AO705" s="95"/>
      <c r="AP705" s="96"/>
      <c r="AQ705" s="85" t="str">
        <f t="shared" si="6"/>
        <v/>
      </c>
      <c r="AR705" s="86" t="str">
        <f t="array" ref="AR705">IF(A705="","",IFERROR(INDEX('2) Etapas'!L$3:L923,MATCH(B705,'2) Etapas'!$A$4:$A923,0),1),-1))</f>
        <v/>
      </c>
      <c r="AS705" s="87" t="str">
        <f t="shared" si="7"/>
        <v/>
      </c>
      <c r="AT705" s="87" t="str">
        <f t="shared" si="8"/>
        <v/>
      </c>
      <c r="AU705" s="87" t="str">
        <f t="shared" si="9"/>
        <v/>
      </c>
      <c r="AV705" s="89" t="str">
        <f t="array" ref="AV705">IF(OR($A705="",$AB705="", $AC705=""),"",MAXA(IF($A705=$A$4:$A923,$AC$4:$AC923)))</f>
        <v/>
      </c>
    </row>
    <row r="706" ht="22.5" customHeight="1">
      <c r="A706" s="76"/>
      <c r="B706" s="68" t="str">
        <f t="shared" si="1"/>
        <v/>
      </c>
      <c r="C706" s="110"/>
      <c r="D706" s="70" t="str">
        <f t="shared" si="2"/>
        <v/>
      </c>
      <c r="E706" s="76"/>
      <c r="F706" s="68" t="str">
        <f t="array" ref="F706">IF($A706="","",IFERROR(INDEX(MA_INDIVIDUALES!C$2:C923, MATCH($A706,MA_INDIVIDUALES!$B$2:$B923,0),1),"CÓDIGO DE EXPEDIENTE INVÁLIDO"))</f>
        <v/>
      </c>
      <c r="G706" s="68" t="str">
        <f t="array" ref="G706">IF($A706="","",IFERROR(INDEX(MA_INDIVIDUALES!K$2:K923, MATCH($A706,MA_INDIVIDUALES!$B$2:$B923,0),1),"CÓDIGO DE EXPEDIENTE INVÁLIDO"))</f>
        <v/>
      </c>
      <c r="H706" s="68" t="str">
        <f t="array" ref="H706">IF($A706="","",IFERROR(INDEX(MA_INDIVIDUALES!L$2:L923, MATCH($A706,MA_INDIVIDUALES!$B$2:$B923,0),1),"CÓDIGO DE EXPEDIENTE INVÁLIDO"))</f>
        <v/>
      </c>
      <c r="I706" s="76"/>
      <c r="J706" s="76"/>
      <c r="K706" s="75"/>
      <c r="L706" s="74" t="str">
        <f>IF(A706="","",IF(K706="","",_xlfn.WORKDAY.INTL(K706,5,1,FERIADOS)))</f>
        <v/>
      </c>
      <c r="M706" s="76"/>
      <c r="N706" s="75"/>
      <c r="O706" s="76"/>
      <c r="P706" s="77" t="str">
        <f t="shared" si="3"/>
        <v/>
      </c>
      <c r="Q706" s="75"/>
      <c r="R706" s="76"/>
      <c r="S706" s="75"/>
      <c r="T706" s="75"/>
      <c r="U706" s="76"/>
      <c r="V706" s="76"/>
      <c r="W706" s="75"/>
      <c r="X706" s="76"/>
      <c r="Y706" s="29" t="str">
        <f t="shared" si="4"/>
        <v/>
      </c>
      <c r="Z706" s="29" t="str">
        <f t="shared" si="5"/>
        <v/>
      </c>
      <c r="AA706" s="76"/>
      <c r="AB706" s="76"/>
      <c r="AC706" s="75"/>
      <c r="AD706" s="75"/>
      <c r="AE706" s="78" t="str">
        <f>IF(U706="","",IF(AD706="","",_xlfn.WORKDAY.INTL(AD706,7,1,FERIADOS)))</f>
        <v/>
      </c>
      <c r="AF706" s="104"/>
      <c r="AG706" s="80" t="str">
        <f t="array" ref="AG706">IF(A706="","",IF(AF706="","",AF706*INDEX(PARAMETROS!F$2:F1769,MATCH(YEAR(AC706),PARAMETROS!E$2:E1769,0),1)))</f>
        <v/>
      </c>
      <c r="AH706" s="81"/>
      <c r="AI706" s="82"/>
      <c r="AJ706" s="81"/>
      <c r="AK706" s="81"/>
      <c r="AL706" s="76"/>
      <c r="AM706" s="75"/>
      <c r="AN706" s="76"/>
      <c r="AO706" s="95"/>
      <c r="AP706" s="96"/>
      <c r="AQ706" s="85" t="str">
        <f t="shared" si="6"/>
        <v/>
      </c>
      <c r="AR706" s="86" t="str">
        <f t="array" ref="AR706">IF(A706="","",IFERROR(INDEX('2) Etapas'!L$3:L923,MATCH(B706,'2) Etapas'!$A$4:$A923,0),1),-1))</f>
        <v/>
      </c>
      <c r="AS706" s="87" t="str">
        <f t="shared" si="7"/>
        <v/>
      </c>
      <c r="AT706" s="87" t="str">
        <f t="shared" si="8"/>
        <v/>
      </c>
      <c r="AU706" s="87" t="str">
        <f t="shared" si="9"/>
        <v/>
      </c>
      <c r="AV706" s="89" t="str">
        <f t="array" ref="AV706">IF(OR($A706="",$AB706="", $AC706=""),"",MAXA(IF($A706=$A$4:$A923,$AC$4:$AC923)))</f>
        <v/>
      </c>
    </row>
    <row r="707" ht="22.5" customHeight="1">
      <c r="A707" s="76"/>
      <c r="B707" s="68" t="str">
        <f t="shared" si="1"/>
        <v/>
      </c>
      <c r="C707" s="110"/>
      <c r="D707" s="70" t="str">
        <f t="shared" si="2"/>
        <v/>
      </c>
      <c r="E707" s="76"/>
      <c r="F707" s="68" t="str">
        <f t="array" ref="F707">IF($A707="","",IFERROR(INDEX(MA_INDIVIDUALES!C$2:C923, MATCH($A707,MA_INDIVIDUALES!$B$2:$B923,0),1),"CÓDIGO DE EXPEDIENTE INVÁLIDO"))</f>
        <v/>
      </c>
      <c r="G707" s="68" t="str">
        <f t="array" ref="G707">IF($A707="","",IFERROR(INDEX(MA_INDIVIDUALES!K$2:K923, MATCH($A707,MA_INDIVIDUALES!$B$2:$B923,0),1),"CÓDIGO DE EXPEDIENTE INVÁLIDO"))</f>
        <v/>
      </c>
      <c r="H707" s="68" t="str">
        <f t="array" ref="H707">IF($A707="","",IFERROR(INDEX(MA_INDIVIDUALES!L$2:L923, MATCH($A707,MA_INDIVIDUALES!$B$2:$B923,0),1),"CÓDIGO DE EXPEDIENTE INVÁLIDO"))</f>
        <v/>
      </c>
      <c r="I707" s="76"/>
      <c r="J707" s="76"/>
      <c r="K707" s="75"/>
      <c r="L707" s="74" t="str">
        <f>IF(A707="","",IF(K707="","",_xlfn.WORKDAY.INTL(K707,5,1,FERIADOS)))</f>
        <v/>
      </c>
      <c r="M707" s="76"/>
      <c r="N707" s="75"/>
      <c r="O707" s="76"/>
      <c r="P707" s="77" t="str">
        <f t="shared" si="3"/>
        <v/>
      </c>
      <c r="Q707" s="75"/>
      <c r="R707" s="76"/>
      <c r="S707" s="75"/>
      <c r="T707" s="75"/>
      <c r="U707" s="76"/>
      <c r="V707" s="76"/>
      <c r="W707" s="75"/>
      <c r="X707" s="76"/>
      <c r="Y707" s="29" t="str">
        <f t="shared" si="4"/>
        <v/>
      </c>
      <c r="Z707" s="29" t="str">
        <f t="shared" si="5"/>
        <v/>
      </c>
      <c r="AA707" s="76"/>
      <c r="AB707" s="76"/>
      <c r="AC707" s="75"/>
      <c r="AD707" s="75"/>
      <c r="AE707" s="78" t="str">
        <f>IF(U707="","",IF(AD707="","",_xlfn.WORKDAY.INTL(AD707,7,1,FERIADOS)))</f>
        <v/>
      </c>
      <c r="AF707" s="104"/>
      <c r="AG707" s="80" t="str">
        <f t="array" ref="AG707">IF(A707="","",IF(AF707="","",AF707*INDEX(PARAMETROS!F$2:F1770,MATCH(YEAR(AC707),PARAMETROS!E$2:E1770,0),1)))</f>
        <v/>
      </c>
      <c r="AH707" s="81"/>
      <c r="AI707" s="82"/>
      <c r="AJ707" s="81"/>
      <c r="AK707" s="81"/>
      <c r="AL707" s="76"/>
      <c r="AM707" s="75"/>
      <c r="AN707" s="76"/>
      <c r="AO707" s="95"/>
      <c r="AP707" s="96"/>
      <c r="AQ707" s="85" t="str">
        <f t="shared" si="6"/>
        <v/>
      </c>
      <c r="AR707" s="86" t="str">
        <f t="array" ref="AR707">IF(A707="","",IFERROR(INDEX('2) Etapas'!L$3:L923,MATCH(B707,'2) Etapas'!$A$4:$A923,0),1),-1))</f>
        <v/>
      </c>
      <c r="AS707" s="87" t="str">
        <f t="shared" si="7"/>
        <v/>
      </c>
      <c r="AT707" s="87" t="str">
        <f t="shared" si="8"/>
        <v/>
      </c>
      <c r="AU707" s="87" t="str">
        <f t="shared" si="9"/>
        <v/>
      </c>
      <c r="AV707" s="89" t="str">
        <f t="array" ref="AV707">IF(OR($A707="",$AB707="", $AC707=""),"",MAXA(IF($A707=$A$4:$A923,$AC$4:$AC923)))</f>
        <v/>
      </c>
    </row>
    <row r="708" ht="22.5" customHeight="1">
      <c r="A708" s="76"/>
      <c r="B708" s="68" t="str">
        <f t="shared" si="1"/>
        <v/>
      </c>
      <c r="C708" s="110"/>
      <c r="D708" s="70" t="str">
        <f t="shared" si="2"/>
        <v/>
      </c>
      <c r="E708" s="76"/>
      <c r="F708" s="68" t="str">
        <f t="array" ref="F708">IF($A708="","",IFERROR(INDEX(MA_INDIVIDUALES!C$2:C923, MATCH($A708,MA_INDIVIDUALES!$B$2:$B923,0),1),"CÓDIGO DE EXPEDIENTE INVÁLIDO"))</f>
        <v/>
      </c>
      <c r="G708" s="68" t="str">
        <f t="array" ref="G708">IF($A708="","",IFERROR(INDEX(MA_INDIVIDUALES!K$2:K923, MATCH($A708,MA_INDIVIDUALES!$B$2:$B923,0),1),"CÓDIGO DE EXPEDIENTE INVÁLIDO"))</f>
        <v/>
      </c>
      <c r="H708" s="68" t="str">
        <f t="array" ref="H708">IF($A708="","",IFERROR(INDEX(MA_INDIVIDUALES!L$2:L923, MATCH($A708,MA_INDIVIDUALES!$B$2:$B923,0),1),"CÓDIGO DE EXPEDIENTE INVÁLIDO"))</f>
        <v/>
      </c>
      <c r="I708" s="76"/>
      <c r="J708" s="76"/>
      <c r="K708" s="75"/>
      <c r="L708" s="74" t="str">
        <f>IF(A708="","",IF(K708="","",_xlfn.WORKDAY.INTL(K708,5,1,FERIADOS)))</f>
        <v/>
      </c>
      <c r="M708" s="76"/>
      <c r="N708" s="75"/>
      <c r="O708" s="76"/>
      <c r="P708" s="77" t="str">
        <f t="shared" si="3"/>
        <v/>
      </c>
      <c r="Q708" s="75"/>
      <c r="R708" s="76"/>
      <c r="S708" s="75"/>
      <c r="T708" s="75"/>
      <c r="U708" s="76"/>
      <c r="V708" s="76"/>
      <c r="W708" s="75"/>
      <c r="X708" s="76"/>
      <c r="Y708" s="29" t="str">
        <f t="shared" si="4"/>
        <v/>
      </c>
      <c r="Z708" s="29" t="str">
        <f t="shared" si="5"/>
        <v/>
      </c>
      <c r="AA708" s="76"/>
      <c r="AB708" s="76"/>
      <c r="AC708" s="75"/>
      <c r="AD708" s="75"/>
      <c r="AE708" s="78" t="str">
        <f>IF(U708="","",IF(AD708="","",_xlfn.WORKDAY.INTL(AD708,7,1,FERIADOS)))</f>
        <v/>
      </c>
      <c r="AF708" s="104"/>
      <c r="AG708" s="80" t="str">
        <f t="array" ref="AG708">IF(A708="","",IF(AF708="","",AF708*INDEX(PARAMETROS!F$2:F1771,MATCH(YEAR(AC708),PARAMETROS!E$2:E1771,0),1)))</f>
        <v/>
      </c>
      <c r="AH708" s="81"/>
      <c r="AI708" s="82"/>
      <c r="AJ708" s="81"/>
      <c r="AK708" s="81"/>
      <c r="AL708" s="76"/>
      <c r="AM708" s="75"/>
      <c r="AN708" s="76"/>
      <c r="AO708" s="95"/>
      <c r="AP708" s="96"/>
      <c r="AQ708" s="85" t="str">
        <f t="shared" si="6"/>
        <v/>
      </c>
      <c r="AR708" s="86" t="str">
        <f t="array" ref="AR708">IF(A708="","",IFERROR(INDEX('2) Etapas'!L$3:L923,MATCH(B708,'2) Etapas'!$A$4:$A923,0),1),-1))</f>
        <v/>
      </c>
      <c r="AS708" s="87" t="str">
        <f t="shared" si="7"/>
        <v/>
      </c>
      <c r="AT708" s="87" t="str">
        <f t="shared" si="8"/>
        <v/>
      </c>
      <c r="AU708" s="87" t="str">
        <f t="shared" si="9"/>
        <v/>
      </c>
      <c r="AV708" s="89" t="str">
        <f t="array" ref="AV708">IF(OR($A708="",$AB708="", $AC708=""),"",MAXA(IF($A708=$A$4:$A923,$AC$4:$AC923)))</f>
        <v/>
      </c>
    </row>
    <row r="709" ht="22.5" customHeight="1">
      <c r="A709" s="76"/>
      <c r="B709" s="68" t="str">
        <f t="shared" si="1"/>
        <v/>
      </c>
      <c r="C709" s="110"/>
      <c r="D709" s="70" t="str">
        <f t="shared" si="2"/>
        <v/>
      </c>
      <c r="E709" s="76"/>
      <c r="F709" s="68" t="str">
        <f t="array" ref="F709">IF($A709="","",IFERROR(INDEX(MA_INDIVIDUALES!C$2:C923, MATCH($A709,MA_INDIVIDUALES!$B$2:$B923,0),1),"CÓDIGO DE EXPEDIENTE INVÁLIDO"))</f>
        <v/>
      </c>
      <c r="G709" s="68" t="str">
        <f t="array" ref="G709">IF($A709="","",IFERROR(INDEX(MA_INDIVIDUALES!K$2:K923, MATCH($A709,MA_INDIVIDUALES!$B$2:$B923,0),1),"CÓDIGO DE EXPEDIENTE INVÁLIDO"))</f>
        <v/>
      </c>
      <c r="H709" s="68" t="str">
        <f t="array" ref="H709">IF($A709="","",IFERROR(INDEX(MA_INDIVIDUALES!L$2:L923, MATCH($A709,MA_INDIVIDUALES!$B$2:$B923,0),1),"CÓDIGO DE EXPEDIENTE INVÁLIDO"))</f>
        <v/>
      </c>
      <c r="I709" s="76"/>
      <c r="J709" s="76"/>
      <c r="K709" s="75"/>
      <c r="L709" s="74" t="str">
        <f>IF(A709="","",IF(K709="","",_xlfn.WORKDAY.INTL(K709,5,1,FERIADOS)))</f>
        <v/>
      </c>
      <c r="M709" s="76"/>
      <c r="N709" s="75"/>
      <c r="O709" s="76"/>
      <c r="P709" s="77" t="str">
        <f t="shared" si="3"/>
        <v/>
      </c>
      <c r="Q709" s="75"/>
      <c r="R709" s="76"/>
      <c r="S709" s="75"/>
      <c r="T709" s="75"/>
      <c r="U709" s="76"/>
      <c r="V709" s="76"/>
      <c r="W709" s="75"/>
      <c r="X709" s="76"/>
      <c r="Y709" s="29" t="str">
        <f t="shared" si="4"/>
        <v/>
      </c>
      <c r="Z709" s="29" t="str">
        <f t="shared" si="5"/>
        <v/>
      </c>
      <c r="AA709" s="76"/>
      <c r="AB709" s="76"/>
      <c r="AC709" s="75"/>
      <c r="AD709" s="75"/>
      <c r="AE709" s="78" t="str">
        <f>IF(U709="","",IF(AD709="","",_xlfn.WORKDAY.INTL(AD709,7,1,FERIADOS)))</f>
        <v/>
      </c>
      <c r="AF709" s="104"/>
      <c r="AG709" s="80" t="str">
        <f t="array" ref="AG709">IF(A709="","",IF(AF709="","",AF709*INDEX(PARAMETROS!F$2:F1772,MATCH(YEAR(AC709),PARAMETROS!E$2:E1772,0),1)))</f>
        <v/>
      </c>
      <c r="AH709" s="81"/>
      <c r="AI709" s="82"/>
      <c r="AJ709" s="81"/>
      <c r="AK709" s="81"/>
      <c r="AL709" s="76"/>
      <c r="AM709" s="75"/>
      <c r="AN709" s="76"/>
      <c r="AO709" s="95"/>
      <c r="AP709" s="96"/>
      <c r="AQ709" s="85" t="str">
        <f t="shared" si="6"/>
        <v/>
      </c>
      <c r="AR709" s="86" t="str">
        <f t="array" ref="AR709">IF(A709="","",IFERROR(INDEX('2) Etapas'!L$3:L923,MATCH(B709,'2) Etapas'!$A$4:$A923,0),1),-1))</f>
        <v/>
      </c>
      <c r="AS709" s="87" t="str">
        <f t="shared" si="7"/>
        <v/>
      </c>
      <c r="AT709" s="87" t="str">
        <f t="shared" si="8"/>
        <v/>
      </c>
      <c r="AU709" s="87" t="str">
        <f t="shared" si="9"/>
        <v/>
      </c>
      <c r="AV709" s="89" t="str">
        <f t="array" ref="AV709">IF(OR($A709="",$AB709="", $AC709=""),"",MAXA(IF($A709=$A$4:$A923,$AC$4:$AC923)))</f>
        <v/>
      </c>
    </row>
    <row r="710" ht="22.5" customHeight="1">
      <c r="A710" s="76"/>
      <c r="B710" s="68" t="str">
        <f t="shared" si="1"/>
        <v/>
      </c>
      <c r="C710" s="110"/>
      <c r="D710" s="70" t="str">
        <f t="shared" si="2"/>
        <v/>
      </c>
      <c r="E710" s="76"/>
      <c r="F710" s="68" t="str">
        <f t="array" ref="F710">IF($A710="","",IFERROR(INDEX(MA_INDIVIDUALES!C$2:C923, MATCH($A710,MA_INDIVIDUALES!$B$2:$B923,0),1),"CÓDIGO DE EXPEDIENTE INVÁLIDO"))</f>
        <v/>
      </c>
      <c r="G710" s="68" t="str">
        <f t="array" ref="G710">IF($A710="","",IFERROR(INDEX(MA_INDIVIDUALES!K$2:K923, MATCH($A710,MA_INDIVIDUALES!$B$2:$B923,0),1),"CÓDIGO DE EXPEDIENTE INVÁLIDO"))</f>
        <v/>
      </c>
      <c r="H710" s="68" t="str">
        <f t="array" ref="H710">IF($A710="","",IFERROR(INDEX(MA_INDIVIDUALES!L$2:L923, MATCH($A710,MA_INDIVIDUALES!$B$2:$B923,0),1),"CÓDIGO DE EXPEDIENTE INVÁLIDO"))</f>
        <v/>
      </c>
      <c r="I710" s="76"/>
      <c r="J710" s="76"/>
      <c r="K710" s="75"/>
      <c r="L710" s="74" t="str">
        <f>IF(A710="","",IF(K710="","",_xlfn.WORKDAY.INTL(K710,5,1,FERIADOS)))</f>
        <v/>
      </c>
      <c r="M710" s="76"/>
      <c r="N710" s="75"/>
      <c r="O710" s="76"/>
      <c r="P710" s="77" t="str">
        <f t="shared" si="3"/>
        <v/>
      </c>
      <c r="Q710" s="75"/>
      <c r="R710" s="76"/>
      <c r="S710" s="75"/>
      <c r="T710" s="75"/>
      <c r="U710" s="76"/>
      <c r="V710" s="76"/>
      <c r="W710" s="75"/>
      <c r="X710" s="76"/>
      <c r="Y710" s="29" t="str">
        <f t="shared" si="4"/>
        <v/>
      </c>
      <c r="Z710" s="29" t="str">
        <f t="shared" si="5"/>
        <v/>
      </c>
      <c r="AA710" s="76"/>
      <c r="AB710" s="76"/>
      <c r="AC710" s="75"/>
      <c r="AD710" s="75"/>
      <c r="AE710" s="78" t="str">
        <f>IF(U710="","",IF(AD710="","",_xlfn.WORKDAY.INTL(AD710,7,1,FERIADOS)))</f>
        <v/>
      </c>
      <c r="AF710" s="104"/>
      <c r="AG710" s="80" t="str">
        <f t="array" ref="AG710">IF(A710="","",IF(AF710="","",AF710*INDEX(PARAMETROS!F$2:F1773,MATCH(YEAR(AC710),PARAMETROS!E$2:E1773,0),1)))</f>
        <v/>
      </c>
      <c r="AH710" s="81"/>
      <c r="AI710" s="82"/>
      <c r="AJ710" s="81"/>
      <c r="AK710" s="81"/>
      <c r="AL710" s="76"/>
      <c r="AM710" s="75"/>
      <c r="AN710" s="76"/>
      <c r="AO710" s="95"/>
      <c r="AP710" s="96"/>
      <c r="AQ710" s="85" t="str">
        <f t="shared" si="6"/>
        <v/>
      </c>
      <c r="AR710" s="86" t="str">
        <f t="array" ref="AR710">IF(A710="","",IFERROR(INDEX('2) Etapas'!L$3:L923,MATCH(B710,'2) Etapas'!$A$4:$A923,0),1),-1))</f>
        <v/>
      </c>
      <c r="AS710" s="87" t="str">
        <f t="shared" si="7"/>
        <v/>
      </c>
      <c r="AT710" s="87" t="str">
        <f t="shared" si="8"/>
        <v/>
      </c>
      <c r="AU710" s="87" t="str">
        <f t="shared" si="9"/>
        <v/>
      </c>
      <c r="AV710" s="89" t="str">
        <f t="array" ref="AV710">IF(OR($A710="",$AB710="", $AC710=""),"",MAXA(IF($A710=$A$4:$A923,$AC$4:$AC923)))</f>
        <v/>
      </c>
    </row>
    <row r="711" ht="22.5" customHeight="1">
      <c r="A711" s="76"/>
      <c r="B711" s="68" t="str">
        <f t="shared" si="1"/>
        <v/>
      </c>
      <c r="C711" s="110"/>
      <c r="D711" s="70" t="str">
        <f t="shared" si="2"/>
        <v/>
      </c>
      <c r="E711" s="76"/>
      <c r="F711" s="68" t="str">
        <f t="array" ref="F711">IF($A711="","",IFERROR(INDEX(MA_INDIVIDUALES!C$2:C923, MATCH($A711,MA_INDIVIDUALES!$B$2:$B923,0),1),"CÓDIGO DE EXPEDIENTE INVÁLIDO"))</f>
        <v/>
      </c>
      <c r="G711" s="68" t="str">
        <f t="array" ref="G711">IF($A711="","",IFERROR(INDEX(MA_INDIVIDUALES!K$2:K923, MATCH($A711,MA_INDIVIDUALES!$B$2:$B923,0),1),"CÓDIGO DE EXPEDIENTE INVÁLIDO"))</f>
        <v/>
      </c>
      <c r="H711" s="68" t="str">
        <f t="array" ref="H711">IF($A711="","",IFERROR(INDEX(MA_INDIVIDUALES!L$2:L923, MATCH($A711,MA_INDIVIDUALES!$B$2:$B923,0),1),"CÓDIGO DE EXPEDIENTE INVÁLIDO"))</f>
        <v/>
      </c>
      <c r="I711" s="76"/>
      <c r="J711" s="76"/>
      <c r="K711" s="75"/>
      <c r="L711" s="74" t="str">
        <f>IF(A711="","",IF(K711="","",_xlfn.WORKDAY.INTL(K711,5,1,FERIADOS)))</f>
        <v/>
      </c>
      <c r="M711" s="76"/>
      <c r="N711" s="75"/>
      <c r="O711" s="76"/>
      <c r="P711" s="77" t="str">
        <f t="shared" si="3"/>
        <v/>
      </c>
      <c r="Q711" s="75"/>
      <c r="R711" s="76"/>
      <c r="S711" s="75"/>
      <c r="T711" s="75"/>
      <c r="U711" s="76"/>
      <c r="V711" s="76"/>
      <c r="W711" s="75"/>
      <c r="X711" s="76"/>
      <c r="Y711" s="29" t="str">
        <f t="shared" si="4"/>
        <v/>
      </c>
      <c r="Z711" s="29" t="str">
        <f t="shared" si="5"/>
        <v/>
      </c>
      <c r="AA711" s="76"/>
      <c r="AB711" s="76"/>
      <c r="AC711" s="75"/>
      <c r="AD711" s="75"/>
      <c r="AE711" s="78" t="str">
        <f>IF(U711="","",IF(AD711="","",_xlfn.WORKDAY.INTL(AD711,7,1,FERIADOS)))</f>
        <v/>
      </c>
      <c r="AF711" s="104"/>
      <c r="AG711" s="80" t="str">
        <f t="array" ref="AG711">IF(A711="","",IF(AF711="","",AF711*INDEX(PARAMETROS!F$2:F1774,MATCH(YEAR(AC711),PARAMETROS!E$2:E1774,0),1)))</f>
        <v/>
      </c>
      <c r="AH711" s="81"/>
      <c r="AI711" s="82"/>
      <c r="AJ711" s="81"/>
      <c r="AK711" s="81"/>
      <c r="AL711" s="76"/>
      <c r="AM711" s="75"/>
      <c r="AN711" s="76"/>
      <c r="AO711" s="95"/>
      <c r="AP711" s="96"/>
      <c r="AQ711" s="85" t="str">
        <f t="shared" si="6"/>
        <v/>
      </c>
      <c r="AR711" s="86" t="str">
        <f t="array" ref="AR711">IF(A711="","",IFERROR(INDEX('2) Etapas'!L$3:L923,MATCH(B711,'2) Etapas'!$A$4:$A923,0),1),-1))</f>
        <v/>
      </c>
      <c r="AS711" s="87" t="str">
        <f t="shared" si="7"/>
        <v/>
      </c>
      <c r="AT711" s="87" t="str">
        <f t="shared" si="8"/>
        <v/>
      </c>
      <c r="AU711" s="87" t="str">
        <f t="shared" si="9"/>
        <v/>
      </c>
      <c r="AV711" s="89" t="str">
        <f t="array" ref="AV711">IF(OR($A711="",$AB711="", $AC711=""),"",MAXA(IF($A711=$A$4:$A923,$AC$4:$AC923)))</f>
        <v/>
      </c>
    </row>
    <row r="712" ht="22.5" customHeight="1">
      <c r="A712" s="76"/>
      <c r="B712" s="68" t="str">
        <f t="shared" si="1"/>
        <v/>
      </c>
      <c r="C712" s="110"/>
      <c r="D712" s="70" t="str">
        <f t="shared" si="2"/>
        <v/>
      </c>
      <c r="E712" s="76"/>
      <c r="F712" s="68" t="str">
        <f t="array" ref="F712">IF($A712="","",IFERROR(INDEX(MA_INDIVIDUALES!C$2:C923, MATCH($A712,MA_INDIVIDUALES!$B$2:$B923,0),1),"CÓDIGO DE EXPEDIENTE INVÁLIDO"))</f>
        <v/>
      </c>
      <c r="G712" s="68" t="str">
        <f t="array" ref="G712">IF($A712="","",IFERROR(INDEX(MA_INDIVIDUALES!K$2:K923, MATCH($A712,MA_INDIVIDUALES!$B$2:$B923,0),1),"CÓDIGO DE EXPEDIENTE INVÁLIDO"))</f>
        <v/>
      </c>
      <c r="H712" s="68" t="str">
        <f t="array" ref="H712">IF($A712="","",IFERROR(INDEX(MA_INDIVIDUALES!L$2:L923, MATCH($A712,MA_INDIVIDUALES!$B$2:$B923,0),1),"CÓDIGO DE EXPEDIENTE INVÁLIDO"))</f>
        <v/>
      </c>
      <c r="I712" s="76"/>
      <c r="J712" s="76"/>
      <c r="K712" s="75"/>
      <c r="L712" s="74" t="str">
        <f>IF(A712="","",IF(K712="","",_xlfn.WORKDAY.INTL(K712,5,1,FERIADOS)))</f>
        <v/>
      </c>
      <c r="M712" s="76"/>
      <c r="N712" s="75"/>
      <c r="O712" s="76"/>
      <c r="P712" s="77" t="str">
        <f t="shared" si="3"/>
        <v/>
      </c>
      <c r="Q712" s="75"/>
      <c r="R712" s="76"/>
      <c r="S712" s="75"/>
      <c r="T712" s="75"/>
      <c r="U712" s="76"/>
      <c r="V712" s="76"/>
      <c r="W712" s="75"/>
      <c r="X712" s="76"/>
      <c r="Y712" s="29" t="str">
        <f t="shared" si="4"/>
        <v/>
      </c>
      <c r="Z712" s="29" t="str">
        <f t="shared" si="5"/>
        <v/>
      </c>
      <c r="AA712" s="76"/>
      <c r="AB712" s="76"/>
      <c r="AC712" s="75"/>
      <c r="AD712" s="75"/>
      <c r="AE712" s="78" t="str">
        <f>IF(U712="","",IF(AD712="","",_xlfn.WORKDAY.INTL(AD712,7,1,FERIADOS)))</f>
        <v/>
      </c>
      <c r="AF712" s="104"/>
      <c r="AG712" s="80" t="str">
        <f t="array" ref="AG712">IF(A712="","",IF(AF712="","",AF712*INDEX(PARAMETROS!F$2:F1775,MATCH(YEAR(AC712),PARAMETROS!E$2:E1775,0),1)))</f>
        <v/>
      </c>
      <c r="AH712" s="81"/>
      <c r="AI712" s="82"/>
      <c r="AJ712" s="81"/>
      <c r="AK712" s="81"/>
      <c r="AL712" s="76"/>
      <c r="AM712" s="75"/>
      <c r="AN712" s="76"/>
      <c r="AO712" s="95"/>
      <c r="AP712" s="96"/>
      <c r="AQ712" s="85" t="str">
        <f t="shared" si="6"/>
        <v/>
      </c>
      <c r="AR712" s="86" t="str">
        <f t="array" ref="AR712">IF(A712="","",IFERROR(INDEX('2) Etapas'!L$3:L923,MATCH(B712,'2) Etapas'!$A$4:$A923,0),1),-1))</f>
        <v/>
      </c>
      <c r="AS712" s="87" t="str">
        <f t="shared" si="7"/>
        <v/>
      </c>
      <c r="AT712" s="87" t="str">
        <f t="shared" si="8"/>
        <v/>
      </c>
      <c r="AU712" s="87" t="str">
        <f t="shared" si="9"/>
        <v/>
      </c>
      <c r="AV712" s="89" t="str">
        <f t="array" ref="AV712">IF(OR($A712="",$AB712="", $AC712=""),"",MAXA(IF($A712=$A$4:$A923,$AC$4:$AC923)))</f>
        <v/>
      </c>
    </row>
    <row r="713" ht="22.5" customHeight="1">
      <c r="A713" s="76"/>
      <c r="B713" s="68" t="str">
        <f t="shared" si="1"/>
        <v/>
      </c>
      <c r="C713" s="110"/>
      <c r="D713" s="70" t="str">
        <f t="shared" si="2"/>
        <v/>
      </c>
      <c r="E713" s="76"/>
      <c r="F713" s="68" t="str">
        <f t="array" ref="F713">IF($A713="","",IFERROR(INDEX(MA_INDIVIDUALES!C$2:C923, MATCH($A713,MA_INDIVIDUALES!$B$2:$B923,0),1),"CÓDIGO DE EXPEDIENTE INVÁLIDO"))</f>
        <v/>
      </c>
      <c r="G713" s="68" t="str">
        <f t="array" ref="G713">IF($A713="","",IFERROR(INDEX(MA_INDIVIDUALES!K$2:K923, MATCH($A713,MA_INDIVIDUALES!$B$2:$B923,0),1),"CÓDIGO DE EXPEDIENTE INVÁLIDO"))</f>
        <v/>
      </c>
      <c r="H713" s="68" t="str">
        <f t="array" ref="H713">IF($A713="","",IFERROR(INDEX(MA_INDIVIDUALES!L$2:L923, MATCH($A713,MA_INDIVIDUALES!$B$2:$B923,0),1),"CÓDIGO DE EXPEDIENTE INVÁLIDO"))</f>
        <v/>
      </c>
      <c r="I713" s="76"/>
      <c r="J713" s="76"/>
      <c r="K713" s="75"/>
      <c r="L713" s="74" t="str">
        <f>IF(A713="","",IF(K713="","",_xlfn.WORKDAY.INTL(K713,5,1,FERIADOS)))</f>
        <v/>
      </c>
      <c r="M713" s="76"/>
      <c r="N713" s="75"/>
      <c r="O713" s="76"/>
      <c r="P713" s="77" t="str">
        <f t="shared" si="3"/>
        <v/>
      </c>
      <c r="Q713" s="75"/>
      <c r="R713" s="76"/>
      <c r="S713" s="75"/>
      <c r="T713" s="75"/>
      <c r="U713" s="76"/>
      <c r="V713" s="76"/>
      <c r="W713" s="75"/>
      <c r="X713" s="76"/>
      <c r="Y713" s="29" t="str">
        <f t="shared" si="4"/>
        <v/>
      </c>
      <c r="Z713" s="29" t="str">
        <f t="shared" si="5"/>
        <v/>
      </c>
      <c r="AA713" s="76"/>
      <c r="AB713" s="76"/>
      <c r="AC713" s="75"/>
      <c r="AD713" s="75"/>
      <c r="AE713" s="78" t="str">
        <f>IF(U713="","",IF(AD713="","",_xlfn.WORKDAY.INTL(AD713,7,1,FERIADOS)))</f>
        <v/>
      </c>
      <c r="AF713" s="104"/>
      <c r="AG713" s="80" t="str">
        <f t="array" ref="AG713">IF(A713="","",IF(AF713="","",AF713*INDEX(PARAMETROS!F$2:F1776,MATCH(YEAR(AC713),PARAMETROS!E$2:E1776,0),1)))</f>
        <v/>
      </c>
      <c r="AH713" s="81"/>
      <c r="AI713" s="82"/>
      <c r="AJ713" s="81"/>
      <c r="AK713" s="81"/>
      <c r="AL713" s="76"/>
      <c r="AM713" s="75"/>
      <c r="AN713" s="76"/>
      <c r="AO713" s="95"/>
      <c r="AP713" s="96"/>
      <c r="AQ713" s="85" t="str">
        <f t="shared" si="6"/>
        <v/>
      </c>
      <c r="AR713" s="86" t="str">
        <f t="array" ref="AR713">IF(A713="","",IFERROR(INDEX('2) Etapas'!L$3:L923,MATCH(B713,'2) Etapas'!$A$4:$A923,0),1),-1))</f>
        <v/>
      </c>
      <c r="AS713" s="87" t="str">
        <f t="shared" si="7"/>
        <v/>
      </c>
      <c r="AT713" s="87" t="str">
        <f t="shared" si="8"/>
        <v/>
      </c>
      <c r="AU713" s="87" t="str">
        <f t="shared" si="9"/>
        <v/>
      </c>
      <c r="AV713" s="89" t="str">
        <f t="array" ref="AV713">IF(OR($A713="",$AB713="", $AC713=""),"",MAXA(IF($A713=$A$4:$A923,$AC$4:$AC923)))</f>
        <v/>
      </c>
    </row>
    <row r="714" ht="22.5" customHeight="1">
      <c r="A714" s="76"/>
      <c r="B714" s="68" t="str">
        <f t="shared" si="1"/>
        <v/>
      </c>
      <c r="C714" s="110"/>
      <c r="D714" s="70" t="str">
        <f t="shared" si="2"/>
        <v/>
      </c>
      <c r="E714" s="76"/>
      <c r="F714" s="68" t="str">
        <f t="array" ref="F714">IF($A714="","",IFERROR(INDEX(MA_INDIVIDUALES!C$2:C923, MATCH($A714,MA_INDIVIDUALES!$B$2:$B923,0),1),"CÓDIGO DE EXPEDIENTE INVÁLIDO"))</f>
        <v/>
      </c>
      <c r="G714" s="68" t="str">
        <f t="array" ref="G714">IF($A714="","",IFERROR(INDEX(MA_INDIVIDUALES!K$2:K923, MATCH($A714,MA_INDIVIDUALES!$B$2:$B923,0),1),"CÓDIGO DE EXPEDIENTE INVÁLIDO"))</f>
        <v/>
      </c>
      <c r="H714" s="68" t="str">
        <f t="array" ref="H714">IF($A714="","",IFERROR(INDEX(MA_INDIVIDUALES!L$2:L923, MATCH($A714,MA_INDIVIDUALES!$B$2:$B923,0),1),"CÓDIGO DE EXPEDIENTE INVÁLIDO"))</f>
        <v/>
      </c>
      <c r="I714" s="76"/>
      <c r="J714" s="76"/>
      <c r="K714" s="75"/>
      <c r="L714" s="74" t="str">
        <f>IF(A714="","",IF(K714="","",_xlfn.WORKDAY.INTL(K714,5,1,FERIADOS)))</f>
        <v/>
      </c>
      <c r="M714" s="76"/>
      <c r="N714" s="75"/>
      <c r="O714" s="76"/>
      <c r="P714" s="77" t="str">
        <f t="shared" si="3"/>
        <v/>
      </c>
      <c r="Q714" s="75"/>
      <c r="R714" s="76"/>
      <c r="S714" s="75"/>
      <c r="T714" s="75"/>
      <c r="U714" s="76"/>
      <c r="V714" s="76"/>
      <c r="W714" s="75"/>
      <c r="X714" s="76"/>
      <c r="Y714" s="29" t="str">
        <f t="shared" si="4"/>
        <v/>
      </c>
      <c r="Z714" s="29" t="str">
        <f t="shared" si="5"/>
        <v/>
      </c>
      <c r="AA714" s="76"/>
      <c r="AB714" s="76"/>
      <c r="AC714" s="75"/>
      <c r="AD714" s="75"/>
      <c r="AE714" s="78" t="str">
        <f>IF(U714="","",IF(AD714="","",_xlfn.WORKDAY.INTL(AD714,7,1,FERIADOS)))</f>
        <v/>
      </c>
      <c r="AF714" s="104"/>
      <c r="AG714" s="80" t="str">
        <f t="array" ref="AG714">IF(A714="","",IF(AF714="","",AF714*INDEX(PARAMETROS!F$2:F1777,MATCH(YEAR(AC714),PARAMETROS!E$2:E1777,0),1)))</f>
        <v/>
      </c>
      <c r="AH714" s="81"/>
      <c r="AI714" s="82"/>
      <c r="AJ714" s="81"/>
      <c r="AK714" s="81"/>
      <c r="AL714" s="76"/>
      <c r="AM714" s="75"/>
      <c r="AN714" s="76"/>
      <c r="AO714" s="95"/>
      <c r="AP714" s="96"/>
      <c r="AQ714" s="85" t="str">
        <f t="shared" si="6"/>
        <v/>
      </c>
      <c r="AR714" s="86" t="str">
        <f t="array" ref="AR714">IF(A714="","",IFERROR(INDEX('2) Etapas'!L$3:L923,MATCH(B714,'2) Etapas'!$A$4:$A923,0),1),-1))</f>
        <v/>
      </c>
      <c r="AS714" s="87" t="str">
        <f t="shared" si="7"/>
        <v/>
      </c>
      <c r="AT714" s="87" t="str">
        <f t="shared" si="8"/>
        <v/>
      </c>
      <c r="AU714" s="87" t="str">
        <f t="shared" si="9"/>
        <v/>
      </c>
      <c r="AV714" s="89" t="str">
        <f t="array" ref="AV714">IF(OR($A714="",$AB714="", $AC714=""),"",MAXA(IF($A714=$A$4:$A923,$AC$4:$AC923)))</f>
        <v/>
      </c>
    </row>
    <row r="715" ht="22.5" customHeight="1">
      <c r="A715" s="76"/>
      <c r="B715" s="68" t="str">
        <f t="shared" si="1"/>
        <v/>
      </c>
      <c r="C715" s="110"/>
      <c r="D715" s="70" t="str">
        <f t="shared" si="2"/>
        <v/>
      </c>
      <c r="E715" s="76"/>
      <c r="F715" s="68" t="str">
        <f t="array" ref="F715">IF($A715="","",IFERROR(INDEX(MA_INDIVIDUALES!C$2:C923, MATCH($A715,MA_INDIVIDUALES!$B$2:$B923,0),1),"CÓDIGO DE EXPEDIENTE INVÁLIDO"))</f>
        <v/>
      </c>
      <c r="G715" s="68" t="str">
        <f t="array" ref="G715">IF($A715="","",IFERROR(INDEX(MA_INDIVIDUALES!K$2:K923, MATCH($A715,MA_INDIVIDUALES!$B$2:$B923,0),1),"CÓDIGO DE EXPEDIENTE INVÁLIDO"))</f>
        <v/>
      </c>
      <c r="H715" s="68" t="str">
        <f t="array" ref="H715">IF($A715="","",IFERROR(INDEX(MA_INDIVIDUALES!L$2:L923, MATCH($A715,MA_INDIVIDUALES!$B$2:$B923,0),1),"CÓDIGO DE EXPEDIENTE INVÁLIDO"))</f>
        <v/>
      </c>
      <c r="I715" s="76"/>
      <c r="J715" s="76"/>
      <c r="K715" s="75"/>
      <c r="L715" s="74" t="str">
        <f>IF(A715="","",IF(K715="","",_xlfn.WORKDAY.INTL(K715,5,1,FERIADOS)))</f>
        <v/>
      </c>
      <c r="M715" s="76"/>
      <c r="N715" s="75"/>
      <c r="O715" s="76"/>
      <c r="P715" s="77" t="str">
        <f t="shared" si="3"/>
        <v/>
      </c>
      <c r="Q715" s="75"/>
      <c r="R715" s="76"/>
      <c r="S715" s="75"/>
      <c r="T715" s="75"/>
      <c r="U715" s="76"/>
      <c r="V715" s="76"/>
      <c r="W715" s="75"/>
      <c r="X715" s="76"/>
      <c r="Y715" s="29" t="str">
        <f t="shared" si="4"/>
        <v/>
      </c>
      <c r="Z715" s="29" t="str">
        <f t="shared" si="5"/>
        <v/>
      </c>
      <c r="AA715" s="76"/>
      <c r="AB715" s="76"/>
      <c r="AC715" s="75"/>
      <c r="AD715" s="75"/>
      <c r="AE715" s="78" t="str">
        <f>IF(U715="","",IF(AD715="","",_xlfn.WORKDAY.INTL(AD715,7,1,FERIADOS)))</f>
        <v/>
      </c>
      <c r="AF715" s="104"/>
      <c r="AG715" s="80" t="str">
        <f t="array" ref="AG715">IF(A715="","",IF(AF715="","",AF715*INDEX(PARAMETROS!F$2:F1778,MATCH(YEAR(AC715),PARAMETROS!E$2:E1778,0),1)))</f>
        <v/>
      </c>
      <c r="AH715" s="81"/>
      <c r="AI715" s="82"/>
      <c r="AJ715" s="81"/>
      <c r="AK715" s="81"/>
      <c r="AL715" s="76"/>
      <c r="AM715" s="75"/>
      <c r="AN715" s="76"/>
      <c r="AO715" s="95"/>
      <c r="AP715" s="96"/>
      <c r="AQ715" s="85" t="str">
        <f t="shared" si="6"/>
        <v/>
      </c>
      <c r="AR715" s="86" t="str">
        <f t="array" ref="AR715">IF(A715="","",IFERROR(INDEX('2) Etapas'!L$3:L923,MATCH(B715,'2) Etapas'!$A$4:$A923,0),1),-1))</f>
        <v/>
      </c>
      <c r="AS715" s="87" t="str">
        <f t="shared" si="7"/>
        <v/>
      </c>
      <c r="AT715" s="87" t="str">
        <f t="shared" si="8"/>
        <v/>
      </c>
      <c r="AU715" s="87" t="str">
        <f t="shared" si="9"/>
        <v/>
      </c>
      <c r="AV715" s="89" t="str">
        <f t="array" ref="AV715">IF(OR($A715="",$AB715="", $AC715=""),"",MAXA(IF($A715=$A$4:$A923,$AC$4:$AC923)))</f>
        <v/>
      </c>
    </row>
    <row r="716" ht="22.5" customHeight="1">
      <c r="A716" s="76"/>
      <c r="B716" s="68" t="str">
        <f t="shared" si="1"/>
        <v/>
      </c>
      <c r="C716" s="110"/>
      <c r="D716" s="70" t="str">
        <f t="shared" si="2"/>
        <v/>
      </c>
      <c r="E716" s="76"/>
      <c r="F716" s="68" t="str">
        <f t="array" ref="F716">IF($A716="","",IFERROR(INDEX(MA_INDIVIDUALES!C$2:C923, MATCH($A716,MA_INDIVIDUALES!$B$2:$B923,0),1),"CÓDIGO DE EXPEDIENTE INVÁLIDO"))</f>
        <v/>
      </c>
      <c r="G716" s="68" t="str">
        <f t="array" ref="G716">IF($A716="","",IFERROR(INDEX(MA_INDIVIDUALES!K$2:K923, MATCH($A716,MA_INDIVIDUALES!$B$2:$B923,0),1),"CÓDIGO DE EXPEDIENTE INVÁLIDO"))</f>
        <v/>
      </c>
      <c r="H716" s="68" t="str">
        <f t="array" ref="H716">IF($A716="","",IFERROR(INDEX(MA_INDIVIDUALES!L$2:L923, MATCH($A716,MA_INDIVIDUALES!$B$2:$B923,0),1),"CÓDIGO DE EXPEDIENTE INVÁLIDO"))</f>
        <v/>
      </c>
      <c r="I716" s="76"/>
      <c r="J716" s="76"/>
      <c r="K716" s="75"/>
      <c r="L716" s="74" t="str">
        <f>IF(A716="","",IF(K716="","",_xlfn.WORKDAY.INTL(K716,5,1,FERIADOS)))</f>
        <v/>
      </c>
      <c r="M716" s="76"/>
      <c r="N716" s="75"/>
      <c r="O716" s="76"/>
      <c r="P716" s="77" t="str">
        <f t="shared" si="3"/>
        <v/>
      </c>
      <c r="Q716" s="75"/>
      <c r="R716" s="76"/>
      <c r="S716" s="75"/>
      <c r="T716" s="75"/>
      <c r="U716" s="76"/>
      <c r="V716" s="76"/>
      <c r="W716" s="75"/>
      <c r="X716" s="76"/>
      <c r="Y716" s="29" t="str">
        <f t="shared" si="4"/>
        <v/>
      </c>
      <c r="Z716" s="29" t="str">
        <f t="shared" si="5"/>
        <v/>
      </c>
      <c r="AA716" s="76"/>
      <c r="AB716" s="76"/>
      <c r="AC716" s="75"/>
      <c r="AD716" s="75"/>
      <c r="AE716" s="78" t="str">
        <f>IF(U716="","",IF(AD716="","",_xlfn.WORKDAY.INTL(AD716,7,1,FERIADOS)))</f>
        <v/>
      </c>
      <c r="AF716" s="104"/>
      <c r="AG716" s="80" t="str">
        <f t="array" ref="AG716">IF(A716="","",IF(AF716="","",AF716*INDEX(PARAMETROS!F$2:F1779,MATCH(YEAR(AC716),PARAMETROS!E$2:E1779,0),1)))</f>
        <v/>
      </c>
      <c r="AH716" s="81"/>
      <c r="AI716" s="82"/>
      <c r="AJ716" s="81"/>
      <c r="AK716" s="81"/>
      <c r="AL716" s="76"/>
      <c r="AM716" s="75"/>
      <c r="AN716" s="76"/>
      <c r="AO716" s="95"/>
      <c r="AP716" s="96"/>
      <c r="AQ716" s="85" t="str">
        <f t="shared" si="6"/>
        <v/>
      </c>
      <c r="AR716" s="86" t="str">
        <f t="array" ref="AR716">IF(A716="","",IFERROR(INDEX('2) Etapas'!L$3:L923,MATCH(B716,'2) Etapas'!$A$4:$A923,0),1),-1))</f>
        <v/>
      </c>
      <c r="AS716" s="87" t="str">
        <f t="shared" si="7"/>
        <v/>
      </c>
      <c r="AT716" s="87" t="str">
        <f t="shared" si="8"/>
        <v/>
      </c>
      <c r="AU716" s="87" t="str">
        <f t="shared" si="9"/>
        <v/>
      </c>
      <c r="AV716" s="89" t="str">
        <f t="array" ref="AV716">IF(OR($A716="",$AB716="", $AC716=""),"",MAXA(IF($A716=$A$4:$A923,$AC$4:$AC923)))</f>
        <v/>
      </c>
    </row>
    <row r="717" ht="22.5" customHeight="1">
      <c r="A717" s="76"/>
      <c r="B717" s="68" t="str">
        <f t="shared" si="1"/>
        <v/>
      </c>
      <c r="C717" s="110"/>
      <c r="D717" s="70" t="str">
        <f t="shared" si="2"/>
        <v/>
      </c>
      <c r="E717" s="76"/>
      <c r="F717" s="68" t="str">
        <f t="array" ref="F717">IF($A717="","",IFERROR(INDEX(MA_INDIVIDUALES!C$2:C923, MATCH($A717,MA_INDIVIDUALES!$B$2:$B923,0),1),"CÓDIGO DE EXPEDIENTE INVÁLIDO"))</f>
        <v/>
      </c>
      <c r="G717" s="68" t="str">
        <f t="array" ref="G717">IF($A717="","",IFERROR(INDEX(MA_INDIVIDUALES!K$2:K923, MATCH($A717,MA_INDIVIDUALES!$B$2:$B923,0),1),"CÓDIGO DE EXPEDIENTE INVÁLIDO"))</f>
        <v/>
      </c>
      <c r="H717" s="68" t="str">
        <f t="array" ref="H717">IF($A717="","",IFERROR(INDEX(MA_INDIVIDUALES!L$2:L923, MATCH($A717,MA_INDIVIDUALES!$B$2:$B923,0),1),"CÓDIGO DE EXPEDIENTE INVÁLIDO"))</f>
        <v/>
      </c>
      <c r="I717" s="76"/>
      <c r="J717" s="76"/>
      <c r="K717" s="75"/>
      <c r="L717" s="74" t="str">
        <f>IF(A717="","",IF(K717="","",_xlfn.WORKDAY.INTL(K717,5,1,FERIADOS)))</f>
        <v/>
      </c>
      <c r="M717" s="76"/>
      <c r="N717" s="75"/>
      <c r="O717" s="76"/>
      <c r="P717" s="77" t="str">
        <f t="shared" si="3"/>
        <v/>
      </c>
      <c r="Q717" s="75"/>
      <c r="R717" s="76"/>
      <c r="S717" s="75"/>
      <c r="T717" s="75"/>
      <c r="U717" s="76"/>
      <c r="V717" s="76"/>
      <c r="W717" s="75"/>
      <c r="X717" s="76"/>
      <c r="Y717" s="29" t="str">
        <f t="shared" si="4"/>
        <v/>
      </c>
      <c r="Z717" s="29" t="str">
        <f t="shared" si="5"/>
        <v/>
      </c>
      <c r="AA717" s="76"/>
      <c r="AB717" s="76"/>
      <c r="AC717" s="75"/>
      <c r="AD717" s="75"/>
      <c r="AE717" s="78" t="str">
        <f>IF(U717="","",IF(AD717="","",_xlfn.WORKDAY.INTL(AD717,7,1,FERIADOS)))</f>
        <v/>
      </c>
      <c r="AF717" s="104"/>
      <c r="AG717" s="80" t="str">
        <f t="array" ref="AG717">IF(A717="","",IF(AF717="","",AF717*INDEX(PARAMETROS!F$2:F1780,MATCH(YEAR(AC717),PARAMETROS!E$2:E1780,0),1)))</f>
        <v/>
      </c>
      <c r="AH717" s="81"/>
      <c r="AI717" s="82"/>
      <c r="AJ717" s="81"/>
      <c r="AK717" s="81"/>
      <c r="AL717" s="76"/>
      <c r="AM717" s="75"/>
      <c r="AN717" s="76"/>
      <c r="AO717" s="95"/>
      <c r="AP717" s="96"/>
      <c r="AQ717" s="85" t="str">
        <f t="shared" si="6"/>
        <v/>
      </c>
      <c r="AR717" s="86" t="str">
        <f t="array" ref="AR717">IF(A717="","",IFERROR(INDEX('2) Etapas'!L$3:L923,MATCH(B717,'2) Etapas'!$A$4:$A923,0),1),-1))</f>
        <v/>
      </c>
      <c r="AS717" s="87" t="str">
        <f t="shared" si="7"/>
        <v/>
      </c>
      <c r="AT717" s="87" t="str">
        <f t="shared" si="8"/>
        <v/>
      </c>
      <c r="AU717" s="87" t="str">
        <f t="shared" si="9"/>
        <v/>
      </c>
      <c r="AV717" s="89" t="str">
        <f t="array" ref="AV717">IF(OR($A717="",$AB717="", $AC717=""),"",MAXA(IF($A717=$A$4:$A923,$AC$4:$AC923)))</f>
        <v/>
      </c>
    </row>
    <row r="718" ht="22.5" customHeight="1">
      <c r="A718" s="76"/>
      <c r="B718" s="68" t="str">
        <f t="shared" si="1"/>
        <v/>
      </c>
      <c r="C718" s="110"/>
      <c r="D718" s="70" t="str">
        <f t="shared" si="2"/>
        <v/>
      </c>
      <c r="E718" s="76"/>
      <c r="F718" s="68" t="str">
        <f t="array" ref="F718">IF($A718="","",IFERROR(INDEX(MA_INDIVIDUALES!C$2:C923, MATCH($A718,MA_INDIVIDUALES!$B$2:$B923,0),1),"CÓDIGO DE EXPEDIENTE INVÁLIDO"))</f>
        <v/>
      </c>
      <c r="G718" s="68" t="str">
        <f t="array" ref="G718">IF($A718="","",IFERROR(INDEX(MA_INDIVIDUALES!K$2:K923, MATCH($A718,MA_INDIVIDUALES!$B$2:$B923,0),1),"CÓDIGO DE EXPEDIENTE INVÁLIDO"))</f>
        <v/>
      </c>
      <c r="H718" s="68" t="str">
        <f t="array" ref="H718">IF($A718="","",IFERROR(INDEX(MA_INDIVIDUALES!L$2:L923, MATCH($A718,MA_INDIVIDUALES!$B$2:$B923,0),1),"CÓDIGO DE EXPEDIENTE INVÁLIDO"))</f>
        <v/>
      </c>
      <c r="I718" s="76"/>
      <c r="J718" s="76"/>
      <c r="K718" s="75"/>
      <c r="L718" s="74" t="str">
        <f>IF(A718="","",IF(K718="","",_xlfn.WORKDAY.INTL(K718,5,1,FERIADOS)))</f>
        <v/>
      </c>
      <c r="M718" s="76"/>
      <c r="N718" s="75"/>
      <c r="O718" s="76"/>
      <c r="P718" s="77" t="str">
        <f t="shared" si="3"/>
        <v/>
      </c>
      <c r="Q718" s="75"/>
      <c r="R718" s="76"/>
      <c r="S718" s="75"/>
      <c r="T718" s="75"/>
      <c r="U718" s="76"/>
      <c r="V718" s="76"/>
      <c r="W718" s="75"/>
      <c r="X718" s="76"/>
      <c r="Y718" s="29" t="str">
        <f t="shared" si="4"/>
        <v/>
      </c>
      <c r="Z718" s="29" t="str">
        <f t="shared" si="5"/>
        <v/>
      </c>
      <c r="AA718" s="76"/>
      <c r="AB718" s="76"/>
      <c r="AC718" s="75"/>
      <c r="AD718" s="75"/>
      <c r="AE718" s="78" t="str">
        <f>IF(U718="","",IF(AD718="","",_xlfn.WORKDAY.INTL(AD718,7,1,FERIADOS)))</f>
        <v/>
      </c>
      <c r="AF718" s="104"/>
      <c r="AG718" s="80" t="str">
        <f t="array" ref="AG718">IF(A718="","",IF(AF718="","",AF718*INDEX(PARAMETROS!F$2:F1781,MATCH(YEAR(AC718),PARAMETROS!E$2:E1781,0),1)))</f>
        <v/>
      </c>
      <c r="AH718" s="81"/>
      <c r="AI718" s="82"/>
      <c r="AJ718" s="81"/>
      <c r="AK718" s="81"/>
      <c r="AL718" s="76"/>
      <c r="AM718" s="75"/>
      <c r="AN718" s="76"/>
      <c r="AO718" s="95"/>
      <c r="AP718" s="96"/>
      <c r="AQ718" s="85" t="str">
        <f t="shared" si="6"/>
        <v/>
      </c>
      <c r="AR718" s="86" t="str">
        <f t="array" ref="AR718">IF(A718="","",IFERROR(INDEX('2) Etapas'!L$3:L923,MATCH(B718,'2) Etapas'!$A$4:$A923,0),1),-1))</f>
        <v/>
      </c>
      <c r="AS718" s="87" t="str">
        <f t="shared" si="7"/>
        <v/>
      </c>
      <c r="AT718" s="87" t="str">
        <f t="shared" si="8"/>
        <v/>
      </c>
      <c r="AU718" s="87" t="str">
        <f t="shared" si="9"/>
        <v/>
      </c>
      <c r="AV718" s="89" t="str">
        <f t="array" ref="AV718">IF(OR($A718="",$AB718="", $AC718=""),"",MAXA(IF($A718=$A$4:$A923,$AC$4:$AC923)))</f>
        <v/>
      </c>
    </row>
    <row r="719" ht="22.5" customHeight="1">
      <c r="A719" s="76"/>
      <c r="B719" s="68" t="str">
        <f t="shared" si="1"/>
        <v/>
      </c>
      <c r="C719" s="110"/>
      <c r="D719" s="70" t="str">
        <f t="shared" si="2"/>
        <v/>
      </c>
      <c r="E719" s="76"/>
      <c r="F719" s="68" t="str">
        <f t="array" ref="F719">IF($A719="","",IFERROR(INDEX(MA_INDIVIDUALES!C$2:C923, MATCH($A719,MA_INDIVIDUALES!$B$2:$B923,0),1),"CÓDIGO DE EXPEDIENTE INVÁLIDO"))</f>
        <v/>
      </c>
      <c r="G719" s="68" t="str">
        <f t="array" ref="G719">IF($A719="","",IFERROR(INDEX(MA_INDIVIDUALES!K$2:K923, MATCH($A719,MA_INDIVIDUALES!$B$2:$B923,0),1),"CÓDIGO DE EXPEDIENTE INVÁLIDO"))</f>
        <v/>
      </c>
      <c r="H719" s="68" t="str">
        <f t="array" ref="H719">IF($A719="","",IFERROR(INDEX(MA_INDIVIDUALES!L$2:L923, MATCH($A719,MA_INDIVIDUALES!$B$2:$B923,0),1),"CÓDIGO DE EXPEDIENTE INVÁLIDO"))</f>
        <v/>
      </c>
      <c r="I719" s="76"/>
      <c r="J719" s="76"/>
      <c r="K719" s="75"/>
      <c r="L719" s="74" t="str">
        <f>IF(A719="","",IF(K719="","",_xlfn.WORKDAY.INTL(K719,5,1,FERIADOS)))</f>
        <v/>
      </c>
      <c r="M719" s="76"/>
      <c r="N719" s="75"/>
      <c r="O719" s="76"/>
      <c r="P719" s="77" t="str">
        <f t="shared" si="3"/>
        <v/>
      </c>
      <c r="Q719" s="75"/>
      <c r="R719" s="76"/>
      <c r="S719" s="75"/>
      <c r="T719" s="75"/>
      <c r="U719" s="76"/>
      <c r="V719" s="76"/>
      <c r="W719" s="75"/>
      <c r="X719" s="76"/>
      <c r="Y719" s="29" t="str">
        <f t="shared" si="4"/>
        <v/>
      </c>
      <c r="Z719" s="29" t="str">
        <f t="shared" si="5"/>
        <v/>
      </c>
      <c r="AA719" s="76"/>
      <c r="AB719" s="76"/>
      <c r="AC719" s="75"/>
      <c r="AD719" s="75"/>
      <c r="AE719" s="78" t="str">
        <f>IF(U719="","",IF(AD719="","",_xlfn.WORKDAY.INTL(AD719,7,1,FERIADOS)))</f>
        <v/>
      </c>
      <c r="AF719" s="104"/>
      <c r="AG719" s="80" t="str">
        <f t="array" ref="AG719">IF(A719="","",IF(AF719="","",AF719*INDEX(PARAMETROS!F$2:F1782,MATCH(YEAR(AC719),PARAMETROS!E$2:E1782,0),1)))</f>
        <v/>
      </c>
      <c r="AH719" s="81"/>
      <c r="AI719" s="82"/>
      <c r="AJ719" s="81"/>
      <c r="AK719" s="81"/>
      <c r="AL719" s="76"/>
      <c r="AM719" s="75"/>
      <c r="AN719" s="76"/>
      <c r="AO719" s="95"/>
      <c r="AP719" s="96"/>
      <c r="AQ719" s="85" t="str">
        <f t="shared" si="6"/>
        <v/>
      </c>
      <c r="AR719" s="86" t="str">
        <f t="array" ref="AR719">IF(A719="","",IFERROR(INDEX('2) Etapas'!L$3:L923,MATCH(B719,'2) Etapas'!$A$4:$A923,0),1),-1))</f>
        <v/>
      </c>
      <c r="AS719" s="87" t="str">
        <f t="shared" si="7"/>
        <v/>
      </c>
      <c r="AT719" s="87" t="str">
        <f t="shared" si="8"/>
        <v/>
      </c>
      <c r="AU719" s="87" t="str">
        <f t="shared" si="9"/>
        <v/>
      </c>
      <c r="AV719" s="89" t="str">
        <f t="array" ref="AV719">IF(OR($A719="",$AB719="", $AC719=""),"",MAXA(IF($A719=$A$4:$A923,$AC$4:$AC923)))</f>
        <v/>
      </c>
    </row>
    <row r="720" ht="22.5" customHeight="1">
      <c r="A720" s="76"/>
      <c r="B720" s="68" t="str">
        <f t="shared" si="1"/>
        <v/>
      </c>
      <c r="C720" s="110"/>
      <c r="D720" s="70" t="str">
        <f t="shared" si="2"/>
        <v/>
      </c>
      <c r="E720" s="76"/>
      <c r="F720" s="68" t="str">
        <f t="array" ref="F720">IF($A720="","",IFERROR(INDEX(MA_INDIVIDUALES!C$2:C923, MATCH($A720,MA_INDIVIDUALES!$B$2:$B923,0),1),"CÓDIGO DE EXPEDIENTE INVÁLIDO"))</f>
        <v/>
      </c>
      <c r="G720" s="68" t="str">
        <f t="array" ref="G720">IF($A720="","",IFERROR(INDEX(MA_INDIVIDUALES!K$2:K923, MATCH($A720,MA_INDIVIDUALES!$B$2:$B923,0),1),"CÓDIGO DE EXPEDIENTE INVÁLIDO"))</f>
        <v/>
      </c>
      <c r="H720" s="68" t="str">
        <f t="array" ref="H720">IF($A720="","",IFERROR(INDEX(MA_INDIVIDUALES!L$2:L923, MATCH($A720,MA_INDIVIDUALES!$B$2:$B923,0),1),"CÓDIGO DE EXPEDIENTE INVÁLIDO"))</f>
        <v/>
      </c>
      <c r="I720" s="76"/>
      <c r="J720" s="76"/>
      <c r="K720" s="75"/>
      <c r="L720" s="74" t="str">
        <f>IF(A720="","",IF(K720="","",_xlfn.WORKDAY.INTL(K720,5,1,FERIADOS)))</f>
        <v/>
      </c>
      <c r="M720" s="76"/>
      <c r="N720" s="75"/>
      <c r="O720" s="76"/>
      <c r="P720" s="77" t="str">
        <f t="shared" si="3"/>
        <v/>
      </c>
      <c r="Q720" s="75"/>
      <c r="R720" s="76"/>
      <c r="S720" s="75"/>
      <c r="T720" s="75"/>
      <c r="U720" s="76"/>
      <c r="V720" s="76"/>
      <c r="W720" s="75"/>
      <c r="X720" s="76"/>
      <c r="Y720" s="29" t="str">
        <f t="shared" si="4"/>
        <v/>
      </c>
      <c r="Z720" s="29" t="str">
        <f t="shared" si="5"/>
        <v/>
      </c>
      <c r="AA720" s="76"/>
      <c r="AB720" s="76"/>
      <c r="AC720" s="75"/>
      <c r="AD720" s="75"/>
      <c r="AE720" s="78" t="str">
        <f>IF(U720="","",IF(AD720="","",_xlfn.WORKDAY.INTL(AD720,7,1,FERIADOS)))</f>
        <v/>
      </c>
      <c r="AF720" s="104"/>
      <c r="AG720" s="80" t="str">
        <f t="array" ref="AG720">IF(A720="","",IF(AF720="","",AF720*INDEX(PARAMETROS!F$2:F1783,MATCH(YEAR(AC720),PARAMETROS!E$2:E1783,0),1)))</f>
        <v/>
      </c>
      <c r="AH720" s="81"/>
      <c r="AI720" s="82"/>
      <c r="AJ720" s="81"/>
      <c r="AK720" s="81"/>
      <c r="AL720" s="76"/>
      <c r="AM720" s="75"/>
      <c r="AN720" s="76"/>
      <c r="AO720" s="95"/>
      <c r="AP720" s="96"/>
      <c r="AQ720" s="85" t="str">
        <f t="shared" si="6"/>
        <v/>
      </c>
      <c r="AR720" s="86" t="str">
        <f t="array" ref="AR720">IF(A720="","",IFERROR(INDEX('2) Etapas'!L$3:L923,MATCH(B720,'2) Etapas'!$A$4:$A923,0),1),-1))</f>
        <v/>
      </c>
      <c r="AS720" s="87" t="str">
        <f t="shared" si="7"/>
        <v/>
      </c>
      <c r="AT720" s="87" t="str">
        <f t="shared" si="8"/>
        <v/>
      </c>
      <c r="AU720" s="87" t="str">
        <f t="shared" si="9"/>
        <v/>
      </c>
      <c r="AV720" s="89" t="str">
        <f t="array" ref="AV720">IF(OR($A720="",$AB720="", $AC720=""),"",MAXA(IF($A720=$A$4:$A923,$AC$4:$AC923)))</f>
        <v/>
      </c>
    </row>
    <row r="721" ht="22.5" customHeight="1">
      <c r="A721" s="76"/>
      <c r="B721" s="68" t="str">
        <f t="shared" si="1"/>
        <v/>
      </c>
      <c r="C721" s="110"/>
      <c r="D721" s="70" t="str">
        <f t="shared" si="2"/>
        <v/>
      </c>
      <c r="E721" s="76"/>
      <c r="F721" s="68" t="str">
        <f t="array" ref="F721">IF($A721="","",IFERROR(INDEX(MA_INDIVIDUALES!C$2:C923, MATCH($A721,MA_INDIVIDUALES!$B$2:$B923,0),1),"CÓDIGO DE EXPEDIENTE INVÁLIDO"))</f>
        <v/>
      </c>
      <c r="G721" s="68" t="str">
        <f t="array" ref="G721">IF($A721="","",IFERROR(INDEX(MA_INDIVIDUALES!K$2:K923, MATCH($A721,MA_INDIVIDUALES!$B$2:$B923,0),1),"CÓDIGO DE EXPEDIENTE INVÁLIDO"))</f>
        <v/>
      </c>
      <c r="H721" s="68" t="str">
        <f t="array" ref="H721">IF($A721="","",IFERROR(INDEX(MA_INDIVIDUALES!L$2:L923, MATCH($A721,MA_INDIVIDUALES!$B$2:$B923,0),1),"CÓDIGO DE EXPEDIENTE INVÁLIDO"))</f>
        <v/>
      </c>
      <c r="I721" s="76"/>
      <c r="J721" s="76"/>
      <c r="K721" s="75"/>
      <c r="L721" s="74" t="str">
        <f>IF(A721="","",IF(K721="","",_xlfn.WORKDAY.INTL(K721,5,1,FERIADOS)))</f>
        <v/>
      </c>
      <c r="M721" s="76"/>
      <c r="N721" s="75"/>
      <c r="O721" s="76"/>
      <c r="P721" s="77" t="str">
        <f t="shared" si="3"/>
        <v/>
      </c>
      <c r="Q721" s="75"/>
      <c r="R721" s="76"/>
      <c r="S721" s="75"/>
      <c r="T721" s="75"/>
      <c r="U721" s="76"/>
      <c r="V721" s="76"/>
      <c r="W721" s="75"/>
      <c r="X721" s="76"/>
      <c r="Y721" s="29" t="str">
        <f t="shared" si="4"/>
        <v/>
      </c>
      <c r="Z721" s="29" t="str">
        <f t="shared" si="5"/>
        <v/>
      </c>
      <c r="AA721" s="76"/>
      <c r="AB721" s="76"/>
      <c r="AC721" s="75"/>
      <c r="AD721" s="75"/>
      <c r="AE721" s="78" t="str">
        <f>IF(U721="","",IF(AD721="","",_xlfn.WORKDAY.INTL(AD721,7,1,FERIADOS)))</f>
        <v/>
      </c>
      <c r="AF721" s="104"/>
      <c r="AG721" s="80" t="str">
        <f t="array" ref="AG721">IF(A721="","",IF(AF721="","",AF721*INDEX(PARAMETROS!F$2:F1784,MATCH(YEAR(AC721),PARAMETROS!E$2:E1784,0),1)))</f>
        <v/>
      </c>
      <c r="AH721" s="81"/>
      <c r="AI721" s="82"/>
      <c r="AJ721" s="81"/>
      <c r="AK721" s="81"/>
      <c r="AL721" s="76"/>
      <c r="AM721" s="75"/>
      <c r="AN721" s="76"/>
      <c r="AO721" s="95"/>
      <c r="AP721" s="96"/>
      <c r="AQ721" s="85" t="str">
        <f t="shared" si="6"/>
        <v/>
      </c>
      <c r="AR721" s="86" t="str">
        <f t="array" ref="AR721">IF(A721="","",IFERROR(INDEX('2) Etapas'!L$3:L923,MATCH(B721,'2) Etapas'!$A$4:$A923,0),1),-1))</f>
        <v/>
      </c>
      <c r="AS721" s="87" t="str">
        <f t="shared" si="7"/>
        <v/>
      </c>
      <c r="AT721" s="87" t="str">
        <f t="shared" si="8"/>
        <v/>
      </c>
      <c r="AU721" s="87" t="str">
        <f t="shared" si="9"/>
        <v/>
      </c>
      <c r="AV721" s="89" t="str">
        <f t="array" ref="AV721">IF(OR($A721="",$AB721="", $AC721=""),"",MAXA(IF($A721=$A$4:$A923,$AC$4:$AC923)))</f>
        <v/>
      </c>
    </row>
    <row r="722" ht="22.5" customHeight="1">
      <c r="A722" s="76"/>
      <c r="B722" s="68" t="str">
        <f t="shared" si="1"/>
        <v/>
      </c>
      <c r="C722" s="110"/>
      <c r="D722" s="70" t="str">
        <f t="shared" si="2"/>
        <v/>
      </c>
      <c r="E722" s="76"/>
      <c r="F722" s="68" t="str">
        <f t="array" ref="F722">IF($A722="","",IFERROR(INDEX(MA_INDIVIDUALES!C$2:C923, MATCH($A722,MA_INDIVIDUALES!$B$2:$B923,0),1),"CÓDIGO DE EXPEDIENTE INVÁLIDO"))</f>
        <v/>
      </c>
      <c r="G722" s="68" t="str">
        <f t="array" ref="G722">IF($A722="","",IFERROR(INDEX(MA_INDIVIDUALES!K$2:K923, MATCH($A722,MA_INDIVIDUALES!$B$2:$B923,0),1),"CÓDIGO DE EXPEDIENTE INVÁLIDO"))</f>
        <v/>
      </c>
      <c r="H722" s="68" t="str">
        <f t="array" ref="H722">IF($A722="","",IFERROR(INDEX(MA_INDIVIDUALES!L$2:L923, MATCH($A722,MA_INDIVIDUALES!$B$2:$B923,0),1),"CÓDIGO DE EXPEDIENTE INVÁLIDO"))</f>
        <v/>
      </c>
      <c r="I722" s="76"/>
      <c r="J722" s="76"/>
      <c r="K722" s="75"/>
      <c r="L722" s="74" t="str">
        <f>IF(A722="","",IF(K722="","",_xlfn.WORKDAY.INTL(K722,5,1,FERIADOS)))</f>
        <v/>
      </c>
      <c r="M722" s="76"/>
      <c r="N722" s="75"/>
      <c r="O722" s="76"/>
      <c r="P722" s="77" t="str">
        <f t="shared" si="3"/>
        <v/>
      </c>
      <c r="Q722" s="75"/>
      <c r="R722" s="76"/>
      <c r="S722" s="75"/>
      <c r="T722" s="75"/>
      <c r="U722" s="76"/>
      <c r="V722" s="76"/>
      <c r="W722" s="75"/>
      <c r="X722" s="76"/>
      <c r="Y722" s="29" t="str">
        <f t="shared" si="4"/>
        <v/>
      </c>
      <c r="Z722" s="29" t="str">
        <f t="shared" si="5"/>
        <v/>
      </c>
      <c r="AA722" s="76"/>
      <c r="AB722" s="76"/>
      <c r="AC722" s="75"/>
      <c r="AD722" s="75"/>
      <c r="AE722" s="78" t="str">
        <f>IF(U722="","",IF(AD722="","",_xlfn.WORKDAY.INTL(AD722,7,1,FERIADOS)))</f>
        <v/>
      </c>
      <c r="AF722" s="104"/>
      <c r="AG722" s="80" t="str">
        <f t="array" ref="AG722">IF(A722="","",IF(AF722="","",AF722*INDEX(PARAMETROS!F$2:F1785,MATCH(YEAR(AC722),PARAMETROS!E$2:E1785,0),1)))</f>
        <v/>
      </c>
      <c r="AH722" s="81"/>
      <c r="AI722" s="82"/>
      <c r="AJ722" s="81"/>
      <c r="AK722" s="81"/>
      <c r="AL722" s="76"/>
      <c r="AM722" s="75"/>
      <c r="AN722" s="76"/>
      <c r="AO722" s="95"/>
      <c r="AP722" s="96"/>
      <c r="AQ722" s="85" t="str">
        <f t="shared" si="6"/>
        <v/>
      </c>
      <c r="AR722" s="86" t="str">
        <f t="array" ref="AR722">IF(A722="","",IFERROR(INDEX('2) Etapas'!L$3:L923,MATCH(B722,'2) Etapas'!$A$4:$A923,0),1),-1))</f>
        <v/>
      </c>
      <c r="AS722" s="87" t="str">
        <f t="shared" si="7"/>
        <v/>
      </c>
      <c r="AT722" s="87" t="str">
        <f t="shared" si="8"/>
        <v/>
      </c>
      <c r="AU722" s="87" t="str">
        <f t="shared" si="9"/>
        <v/>
      </c>
      <c r="AV722" s="89" t="str">
        <f t="array" ref="AV722">IF(OR($A722="",$AB722="", $AC722=""),"",MAXA(IF($A722=$A$4:$A923,$AC$4:$AC923)))</f>
        <v/>
      </c>
    </row>
    <row r="723" ht="22.5" customHeight="1">
      <c r="A723" s="76"/>
      <c r="B723" s="68" t="str">
        <f t="shared" si="1"/>
        <v/>
      </c>
      <c r="C723" s="110"/>
      <c r="D723" s="70" t="str">
        <f t="shared" si="2"/>
        <v/>
      </c>
      <c r="E723" s="76"/>
      <c r="F723" s="68" t="str">
        <f t="array" ref="F723">IF($A723="","",IFERROR(INDEX(MA_INDIVIDUALES!C$2:C923, MATCH($A723,MA_INDIVIDUALES!$B$2:$B923,0),1),"CÓDIGO DE EXPEDIENTE INVÁLIDO"))</f>
        <v/>
      </c>
      <c r="G723" s="68" t="str">
        <f t="array" ref="G723">IF($A723="","",IFERROR(INDEX(MA_INDIVIDUALES!K$2:K923, MATCH($A723,MA_INDIVIDUALES!$B$2:$B923,0),1),"CÓDIGO DE EXPEDIENTE INVÁLIDO"))</f>
        <v/>
      </c>
      <c r="H723" s="68" t="str">
        <f t="array" ref="H723">IF($A723="","",IFERROR(INDEX(MA_INDIVIDUALES!L$2:L923, MATCH($A723,MA_INDIVIDUALES!$B$2:$B923,0),1),"CÓDIGO DE EXPEDIENTE INVÁLIDO"))</f>
        <v/>
      </c>
      <c r="I723" s="76"/>
      <c r="J723" s="76"/>
      <c r="K723" s="75"/>
      <c r="L723" s="74" t="str">
        <f>IF(A723="","",IF(K723="","",_xlfn.WORKDAY.INTL(K723,5,1,FERIADOS)))</f>
        <v/>
      </c>
      <c r="M723" s="76"/>
      <c r="N723" s="75"/>
      <c r="O723" s="76"/>
      <c r="P723" s="77" t="str">
        <f t="shared" si="3"/>
        <v/>
      </c>
      <c r="Q723" s="75"/>
      <c r="R723" s="76"/>
      <c r="S723" s="75"/>
      <c r="T723" s="75"/>
      <c r="U723" s="76"/>
      <c r="V723" s="76"/>
      <c r="W723" s="75"/>
      <c r="X723" s="76"/>
      <c r="Y723" s="29" t="str">
        <f t="shared" si="4"/>
        <v/>
      </c>
      <c r="Z723" s="29" t="str">
        <f t="shared" si="5"/>
        <v/>
      </c>
      <c r="AA723" s="76"/>
      <c r="AB723" s="76"/>
      <c r="AC723" s="75"/>
      <c r="AD723" s="75"/>
      <c r="AE723" s="78" t="str">
        <f>IF(U723="","",IF(AD723="","",_xlfn.WORKDAY.INTL(AD723,7,1,FERIADOS)))</f>
        <v/>
      </c>
      <c r="AF723" s="104"/>
      <c r="AG723" s="80" t="str">
        <f t="array" ref="AG723">IF(A723="","",IF(AF723="","",AF723*INDEX(PARAMETROS!F$2:F1786,MATCH(YEAR(AC723),PARAMETROS!E$2:E1786,0),1)))</f>
        <v/>
      </c>
      <c r="AH723" s="81"/>
      <c r="AI723" s="82"/>
      <c r="AJ723" s="81"/>
      <c r="AK723" s="81"/>
      <c r="AL723" s="76"/>
      <c r="AM723" s="75"/>
      <c r="AN723" s="76"/>
      <c r="AO723" s="95"/>
      <c r="AP723" s="96"/>
      <c r="AQ723" s="85" t="str">
        <f t="shared" si="6"/>
        <v/>
      </c>
      <c r="AR723" s="86" t="str">
        <f t="array" ref="AR723">IF(A723="","",IFERROR(INDEX('2) Etapas'!L$3:L923,MATCH(B723,'2) Etapas'!$A$4:$A923,0),1),-1))</f>
        <v/>
      </c>
      <c r="AS723" s="87" t="str">
        <f t="shared" si="7"/>
        <v/>
      </c>
      <c r="AT723" s="87" t="str">
        <f t="shared" si="8"/>
        <v/>
      </c>
      <c r="AU723" s="87" t="str">
        <f t="shared" si="9"/>
        <v/>
      </c>
      <c r="AV723" s="89" t="str">
        <f t="array" ref="AV723">IF(OR($A723="",$AB723="", $AC723=""),"",MAXA(IF($A723=$A$4:$A923,$AC$4:$AC923)))</f>
        <v/>
      </c>
    </row>
    <row r="724" ht="22.5" customHeight="1">
      <c r="A724" s="76"/>
      <c r="B724" s="68" t="str">
        <f t="shared" si="1"/>
        <v/>
      </c>
      <c r="C724" s="110"/>
      <c r="D724" s="70" t="str">
        <f t="shared" si="2"/>
        <v/>
      </c>
      <c r="E724" s="76"/>
      <c r="F724" s="68" t="str">
        <f t="array" ref="F724">IF($A724="","",IFERROR(INDEX(MA_INDIVIDUALES!C$2:C923, MATCH($A724,MA_INDIVIDUALES!$B$2:$B923,0),1),"CÓDIGO DE EXPEDIENTE INVÁLIDO"))</f>
        <v/>
      </c>
      <c r="G724" s="68" t="str">
        <f t="array" ref="G724">IF($A724="","",IFERROR(INDEX(MA_INDIVIDUALES!K$2:K923, MATCH($A724,MA_INDIVIDUALES!$B$2:$B923,0),1),"CÓDIGO DE EXPEDIENTE INVÁLIDO"))</f>
        <v/>
      </c>
      <c r="H724" s="68" t="str">
        <f t="array" ref="H724">IF($A724="","",IFERROR(INDEX(MA_INDIVIDUALES!L$2:L923, MATCH($A724,MA_INDIVIDUALES!$B$2:$B923,0),1),"CÓDIGO DE EXPEDIENTE INVÁLIDO"))</f>
        <v/>
      </c>
      <c r="I724" s="76"/>
      <c r="J724" s="76"/>
      <c r="K724" s="75"/>
      <c r="L724" s="74" t="str">
        <f>IF(A724="","",IF(K724="","",_xlfn.WORKDAY.INTL(K724,5,1,FERIADOS)))</f>
        <v/>
      </c>
      <c r="M724" s="76"/>
      <c r="N724" s="75"/>
      <c r="O724" s="76"/>
      <c r="P724" s="77" t="str">
        <f t="shared" si="3"/>
        <v/>
      </c>
      <c r="Q724" s="75"/>
      <c r="R724" s="76"/>
      <c r="S724" s="75"/>
      <c r="T724" s="75"/>
      <c r="U724" s="76"/>
      <c r="V724" s="76"/>
      <c r="W724" s="75"/>
      <c r="X724" s="76"/>
      <c r="Y724" s="29" t="str">
        <f t="shared" si="4"/>
        <v/>
      </c>
      <c r="Z724" s="29" t="str">
        <f t="shared" si="5"/>
        <v/>
      </c>
      <c r="AA724" s="76"/>
      <c r="AB724" s="76"/>
      <c r="AC724" s="75"/>
      <c r="AD724" s="75"/>
      <c r="AE724" s="78" t="str">
        <f>IF(U724="","",IF(AD724="","",_xlfn.WORKDAY.INTL(AD724,7,1,FERIADOS)))</f>
        <v/>
      </c>
      <c r="AF724" s="104"/>
      <c r="AG724" s="80" t="str">
        <f t="array" ref="AG724">IF(A724="","",IF(AF724="","",AF724*INDEX(PARAMETROS!F$2:F1787,MATCH(YEAR(AC724),PARAMETROS!E$2:E1787,0),1)))</f>
        <v/>
      </c>
      <c r="AH724" s="81"/>
      <c r="AI724" s="82"/>
      <c r="AJ724" s="81"/>
      <c r="AK724" s="81"/>
      <c r="AL724" s="76"/>
      <c r="AM724" s="75"/>
      <c r="AN724" s="76"/>
      <c r="AO724" s="95"/>
      <c r="AP724" s="96"/>
      <c r="AQ724" s="85" t="str">
        <f t="shared" si="6"/>
        <v/>
      </c>
      <c r="AR724" s="86" t="str">
        <f t="array" ref="AR724">IF(A724="","",IFERROR(INDEX('2) Etapas'!L$3:L923,MATCH(B724,'2) Etapas'!$A$4:$A923,0),1),-1))</f>
        <v/>
      </c>
      <c r="AS724" s="87" t="str">
        <f t="shared" si="7"/>
        <v/>
      </c>
      <c r="AT724" s="87" t="str">
        <f t="shared" si="8"/>
        <v/>
      </c>
      <c r="AU724" s="87" t="str">
        <f t="shared" si="9"/>
        <v/>
      </c>
      <c r="AV724" s="89" t="str">
        <f t="array" ref="AV724">IF(OR($A724="",$AB724="", $AC724=""),"",MAXA(IF($A724=$A$4:$A923,$AC$4:$AC923)))</f>
        <v/>
      </c>
    </row>
    <row r="725" ht="22.5" customHeight="1">
      <c r="A725" s="76"/>
      <c r="B725" s="68" t="str">
        <f t="shared" si="1"/>
        <v/>
      </c>
      <c r="C725" s="110"/>
      <c r="D725" s="70" t="str">
        <f t="shared" si="2"/>
        <v/>
      </c>
      <c r="E725" s="76"/>
      <c r="F725" s="68" t="str">
        <f t="array" ref="F725">IF($A725="","",IFERROR(INDEX(MA_INDIVIDUALES!C$2:C923, MATCH($A725,MA_INDIVIDUALES!$B$2:$B923,0),1),"CÓDIGO DE EXPEDIENTE INVÁLIDO"))</f>
        <v/>
      </c>
      <c r="G725" s="68" t="str">
        <f t="array" ref="G725">IF($A725="","",IFERROR(INDEX(MA_INDIVIDUALES!K$2:K923, MATCH($A725,MA_INDIVIDUALES!$B$2:$B923,0),1),"CÓDIGO DE EXPEDIENTE INVÁLIDO"))</f>
        <v/>
      </c>
      <c r="H725" s="68" t="str">
        <f t="array" ref="H725">IF($A725="","",IFERROR(INDEX(MA_INDIVIDUALES!L$2:L923, MATCH($A725,MA_INDIVIDUALES!$B$2:$B923,0),1),"CÓDIGO DE EXPEDIENTE INVÁLIDO"))</f>
        <v/>
      </c>
      <c r="I725" s="76"/>
      <c r="J725" s="76"/>
      <c r="K725" s="75"/>
      <c r="L725" s="74" t="str">
        <f>IF(A725="","",IF(K725="","",_xlfn.WORKDAY.INTL(K725,5,1,FERIADOS)))</f>
        <v/>
      </c>
      <c r="M725" s="76"/>
      <c r="N725" s="75"/>
      <c r="O725" s="76"/>
      <c r="P725" s="77" t="str">
        <f t="shared" si="3"/>
        <v/>
      </c>
      <c r="Q725" s="75"/>
      <c r="R725" s="76"/>
      <c r="S725" s="75"/>
      <c r="T725" s="75"/>
      <c r="U725" s="76"/>
      <c r="V725" s="76"/>
      <c r="W725" s="75"/>
      <c r="X725" s="76"/>
      <c r="Y725" s="29" t="str">
        <f t="shared" si="4"/>
        <v/>
      </c>
      <c r="Z725" s="29" t="str">
        <f t="shared" si="5"/>
        <v/>
      </c>
      <c r="AA725" s="76"/>
      <c r="AB725" s="76"/>
      <c r="AC725" s="75"/>
      <c r="AD725" s="75"/>
      <c r="AE725" s="78" t="str">
        <f>IF(U725="","",IF(AD725="","",_xlfn.WORKDAY.INTL(AD725,7,1,FERIADOS)))</f>
        <v/>
      </c>
      <c r="AF725" s="104"/>
      <c r="AG725" s="80" t="str">
        <f t="array" ref="AG725">IF(A725="","",IF(AF725="","",AF725*INDEX(PARAMETROS!F$2:F1788,MATCH(YEAR(AC725),PARAMETROS!E$2:E1788,0),1)))</f>
        <v/>
      </c>
      <c r="AH725" s="81"/>
      <c r="AI725" s="82"/>
      <c r="AJ725" s="81"/>
      <c r="AK725" s="81"/>
      <c r="AL725" s="76"/>
      <c r="AM725" s="75"/>
      <c r="AN725" s="76"/>
      <c r="AO725" s="95"/>
      <c r="AP725" s="96"/>
      <c r="AQ725" s="85" t="str">
        <f t="shared" si="6"/>
        <v/>
      </c>
      <c r="AR725" s="86" t="str">
        <f t="array" ref="AR725">IF(A725="","",IFERROR(INDEX('2) Etapas'!L$3:L923,MATCH(B725,'2) Etapas'!$A$4:$A923,0),1),-1))</f>
        <v/>
      </c>
      <c r="AS725" s="87" t="str">
        <f t="shared" si="7"/>
        <v/>
      </c>
      <c r="AT725" s="87" t="str">
        <f t="shared" si="8"/>
        <v/>
      </c>
      <c r="AU725" s="87" t="str">
        <f t="shared" si="9"/>
        <v/>
      </c>
      <c r="AV725" s="89" t="str">
        <f t="array" ref="AV725">IF(OR($A725="",$AB725="", $AC725=""),"",MAXA(IF($A725=$A$4:$A923,$AC$4:$AC923)))</f>
        <v/>
      </c>
    </row>
    <row r="726" ht="22.5" customHeight="1">
      <c r="A726" s="76"/>
      <c r="B726" s="68" t="str">
        <f t="shared" si="1"/>
        <v/>
      </c>
      <c r="C726" s="110"/>
      <c r="D726" s="70" t="str">
        <f t="shared" si="2"/>
        <v/>
      </c>
      <c r="E726" s="76"/>
      <c r="F726" s="68" t="str">
        <f t="array" ref="F726">IF($A726="","",IFERROR(INDEX(MA_INDIVIDUALES!C$2:C923, MATCH($A726,MA_INDIVIDUALES!$B$2:$B923,0),1),"CÓDIGO DE EXPEDIENTE INVÁLIDO"))</f>
        <v/>
      </c>
      <c r="G726" s="68" t="str">
        <f t="array" ref="G726">IF($A726="","",IFERROR(INDEX(MA_INDIVIDUALES!K$2:K923, MATCH($A726,MA_INDIVIDUALES!$B$2:$B923,0),1),"CÓDIGO DE EXPEDIENTE INVÁLIDO"))</f>
        <v/>
      </c>
      <c r="H726" s="68" t="str">
        <f t="array" ref="H726">IF($A726="","",IFERROR(INDEX(MA_INDIVIDUALES!L$2:L923, MATCH($A726,MA_INDIVIDUALES!$B$2:$B923,0),1),"CÓDIGO DE EXPEDIENTE INVÁLIDO"))</f>
        <v/>
      </c>
      <c r="I726" s="76"/>
      <c r="J726" s="76"/>
      <c r="K726" s="75"/>
      <c r="L726" s="74" t="str">
        <f>IF(A726="","",IF(K726="","",_xlfn.WORKDAY.INTL(K726,5,1,FERIADOS)))</f>
        <v/>
      </c>
      <c r="M726" s="76"/>
      <c r="N726" s="75"/>
      <c r="O726" s="76"/>
      <c r="P726" s="77" t="str">
        <f t="shared" si="3"/>
        <v/>
      </c>
      <c r="Q726" s="75"/>
      <c r="R726" s="76"/>
      <c r="S726" s="75"/>
      <c r="T726" s="75"/>
      <c r="U726" s="76"/>
      <c r="V726" s="76"/>
      <c r="W726" s="75"/>
      <c r="X726" s="76"/>
      <c r="Y726" s="29" t="str">
        <f t="shared" si="4"/>
        <v/>
      </c>
      <c r="Z726" s="29" t="str">
        <f t="shared" si="5"/>
        <v/>
      </c>
      <c r="AA726" s="76"/>
      <c r="AB726" s="76"/>
      <c r="AC726" s="75"/>
      <c r="AD726" s="75"/>
      <c r="AE726" s="78" t="str">
        <f>IF(U726="","",IF(AD726="","",_xlfn.WORKDAY.INTL(AD726,7,1,FERIADOS)))</f>
        <v/>
      </c>
      <c r="AF726" s="104"/>
      <c r="AG726" s="80" t="str">
        <f t="array" ref="AG726">IF(A726="","",IF(AF726="","",AF726*INDEX(PARAMETROS!F$2:F1789,MATCH(YEAR(AC726),PARAMETROS!E$2:E1789,0),1)))</f>
        <v/>
      </c>
      <c r="AH726" s="81"/>
      <c r="AI726" s="82"/>
      <c r="AJ726" s="81"/>
      <c r="AK726" s="81"/>
      <c r="AL726" s="76"/>
      <c r="AM726" s="75"/>
      <c r="AN726" s="76"/>
      <c r="AO726" s="95"/>
      <c r="AP726" s="96"/>
      <c r="AQ726" s="85" t="str">
        <f t="shared" si="6"/>
        <v/>
      </c>
      <c r="AR726" s="86" t="str">
        <f t="array" ref="AR726">IF(A726="","",IFERROR(INDEX('2) Etapas'!L$3:L923,MATCH(B726,'2) Etapas'!$A$4:$A923,0),1),-1))</f>
        <v/>
      </c>
      <c r="AS726" s="87" t="str">
        <f t="shared" si="7"/>
        <v/>
      </c>
      <c r="AT726" s="87" t="str">
        <f t="shared" si="8"/>
        <v/>
      </c>
      <c r="AU726" s="87" t="str">
        <f t="shared" si="9"/>
        <v/>
      </c>
      <c r="AV726" s="89" t="str">
        <f t="array" ref="AV726">IF(OR($A726="",$AB726="", $AC726=""),"",MAXA(IF($A726=$A$4:$A923,$AC$4:$AC923)))</f>
        <v/>
      </c>
    </row>
    <row r="727" ht="22.5" customHeight="1">
      <c r="A727" s="76"/>
      <c r="B727" s="68" t="str">
        <f t="shared" si="1"/>
        <v/>
      </c>
      <c r="C727" s="110"/>
      <c r="D727" s="70" t="str">
        <f t="shared" si="2"/>
        <v/>
      </c>
      <c r="E727" s="76"/>
      <c r="F727" s="68" t="str">
        <f t="array" ref="F727">IF($A727="","",IFERROR(INDEX(MA_INDIVIDUALES!C$2:C923, MATCH($A727,MA_INDIVIDUALES!$B$2:$B923,0),1),"CÓDIGO DE EXPEDIENTE INVÁLIDO"))</f>
        <v/>
      </c>
      <c r="G727" s="68" t="str">
        <f t="array" ref="G727">IF($A727="","",IFERROR(INDEX(MA_INDIVIDUALES!K$2:K923, MATCH($A727,MA_INDIVIDUALES!$B$2:$B923,0),1),"CÓDIGO DE EXPEDIENTE INVÁLIDO"))</f>
        <v/>
      </c>
      <c r="H727" s="68" t="str">
        <f t="array" ref="H727">IF($A727="","",IFERROR(INDEX(MA_INDIVIDUALES!L$2:L923, MATCH($A727,MA_INDIVIDUALES!$B$2:$B923,0),1),"CÓDIGO DE EXPEDIENTE INVÁLIDO"))</f>
        <v/>
      </c>
      <c r="I727" s="76"/>
      <c r="J727" s="76"/>
      <c r="K727" s="75"/>
      <c r="L727" s="74" t="str">
        <f>IF(A727="","",IF(K727="","",_xlfn.WORKDAY.INTL(K727,5,1,FERIADOS)))</f>
        <v/>
      </c>
      <c r="M727" s="76"/>
      <c r="N727" s="75"/>
      <c r="O727" s="76"/>
      <c r="P727" s="77" t="str">
        <f t="shared" si="3"/>
        <v/>
      </c>
      <c r="Q727" s="75"/>
      <c r="R727" s="76"/>
      <c r="S727" s="75"/>
      <c r="T727" s="75"/>
      <c r="U727" s="76"/>
      <c r="V727" s="76"/>
      <c r="W727" s="75"/>
      <c r="X727" s="76"/>
      <c r="Y727" s="29" t="str">
        <f t="shared" si="4"/>
        <v/>
      </c>
      <c r="Z727" s="29" t="str">
        <f t="shared" si="5"/>
        <v/>
      </c>
      <c r="AA727" s="76"/>
      <c r="AB727" s="76"/>
      <c r="AC727" s="75"/>
      <c r="AD727" s="75"/>
      <c r="AE727" s="78" t="str">
        <f>IF(U727="","",IF(AD727="","",_xlfn.WORKDAY.INTL(AD727,7,1,FERIADOS)))</f>
        <v/>
      </c>
      <c r="AF727" s="104"/>
      <c r="AG727" s="80" t="str">
        <f t="array" ref="AG727">IF(A727="","",IF(AF727="","",AF727*INDEX(PARAMETROS!F$2:F1790,MATCH(YEAR(AC727),PARAMETROS!E$2:E1790,0),1)))</f>
        <v/>
      </c>
      <c r="AH727" s="81"/>
      <c r="AI727" s="82"/>
      <c r="AJ727" s="81"/>
      <c r="AK727" s="81"/>
      <c r="AL727" s="76"/>
      <c r="AM727" s="75"/>
      <c r="AN727" s="76"/>
      <c r="AO727" s="95"/>
      <c r="AP727" s="96"/>
      <c r="AQ727" s="85" t="str">
        <f t="shared" si="6"/>
        <v/>
      </c>
      <c r="AR727" s="86" t="str">
        <f t="array" ref="AR727">IF(A727="","",IFERROR(INDEX('2) Etapas'!L$3:L923,MATCH(B727,'2) Etapas'!$A$4:$A923,0),1),-1))</f>
        <v/>
      </c>
      <c r="AS727" s="87" t="str">
        <f t="shared" si="7"/>
        <v/>
      </c>
      <c r="AT727" s="87" t="str">
        <f t="shared" si="8"/>
        <v/>
      </c>
      <c r="AU727" s="87" t="str">
        <f t="shared" si="9"/>
        <v/>
      </c>
      <c r="AV727" s="89" t="str">
        <f t="array" ref="AV727">IF(OR($A727="",$AB727="", $AC727=""),"",MAXA(IF($A727=$A$4:$A923,$AC$4:$AC923)))</f>
        <v/>
      </c>
    </row>
    <row r="728" ht="22.5" customHeight="1">
      <c r="A728" s="76"/>
      <c r="B728" s="68" t="str">
        <f t="shared" si="1"/>
        <v/>
      </c>
      <c r="C728" s="110"/>
      <c r="D728" s="70" t="str">
        <f t="shared" si="2"/>
        <v/>
      </c>
      <c r="E728" s="76"/>
      <c r="F728" s="68" t="str">
        <f t="array" ref="F728">IF($A728="","",IFERROR(INDEX(MA_INDIVIDUALES!C$2:C923, MATCH($A728,MA_INDIVIDUALES!$B$2:$B923,0),1),"CÓDIGO DE EXPEDIENTE INVÁLIDO"))</f>
        <v/>
      </c>
      <c r="G728" s="68" t="str">
        <f t="array" ref="G728">IF($A728="","",IFERROR(INDEX(MA_INDIVIDUALES!K$2:K923, MATCH($A728,MA_INDIVIDUALES!$B$2:$B923,0),1),"CÓDIGO DE EXPEDIENTE INVÁLIDO"))</f>
        <v/>
      </c>
      <c r="H728" s="68" t="str">
        <f t="array" ref="H728">IF($A728="","",IFERROR(INDEX(MA_INDIVIDUALES!L$2:L923, MATCH($A728,MA_INDIVIDUALES!$B$2:$B923,0),1),"CÓDIGO DE EXPEDIENTE INVÁLIDO"))</f>
        <v/>
      </c>
      <c r="I728" s="76"/>
      <c r="J728" s="76"/>
      <c r="K728" s="75"/>
      <c r="L728" s="74" t="str">
        <f>IF(A728="","",IF(K728="","",_xlfn.WORKDAY.INTL(K728,5,1,FERIADOS)))</f>
        <v/>
      </c>
      <c r="M728" s="76"/>
      <c r="N728" s="75"/>
      <c r="O728" s="76"/>
      <c r="P728" s="77" t="str">
        <f t="shared" si="3"/>
        <v/>
      </c>
      <c r="Q728" s="75"/>
      <c r="R728" s="76"/>
      <c r="S728" s="75"/>
      <c r="T728" s="75"/>
      <c r="U728" s="76"/>
      <c r="V728" s="76"/>
      <c r="W728" s="75"/>
      <c r="X728" s="76"/>
      <c r="Y728" s="29" t="str">
        <f t="shared" si="4"/>
        <v/>
      </c>
      <c r="Z728" s="29" t="str">
        <f t="shared" si="5"/>
        <v/>
      </c>
      <c r="AA728" s="76"/>
      <c r="AB728" s="76"/>
      <c r="AC728" s="75"/>
      <c r="AD728" s="75"/>
      <c r="AE728" s="78" t="str">
        <f>IF(U728="","",IF(AD728="","",_xlfn.WORKDAY.INTL(AD728,7,1,FERIADOS)))</f>
        <v/>
      </c>
      <c r="AF728" s="104"/>
      <c r="AG728" s="80" t="str">
        <f t="array" ref="AG728">IF(A728="","",IF(AF728="","",AF728*INDEX(PARAMETROS!F$2:F1791,MATCH(YEAR(AC728),PARAMETROS!E$2:E1791,0),1)))</f>
        <v/>
      </c>
      <c r="AH728" s="81"/>
      <c r="AI728" s="82"/>
      <c r="AJ728" s="81"/>
      <c r="AK728" s="81"/>
      <c r="AL728" s="76"/>
      <c r="AM728" s="75"/>
      <c r="AN728" s="76"/>
      <c r="AO728" s="95"/>
      <c r="AP728" s="96"/>
      <c r="AQ728" s="85" t="str">
        <f t="shared" si="6"/>
        <v/>
      </c>
      <c r="AR728" s="86" t="str">
        <f t="array" ref="AR728">IF(A728="","",IFERROR(INDEX('2) Etapas'!L$3:L923,MATCH(B728,'2) Etapas'!$A$4:$A923,0),1),-1))</f>
        <v/>
      </c>
      <c r="AS728" s="87" t="str">
        <f t="shared" si="7"/>
        <v/>
      </c>
      <c r="AT728" s="87" t="str">
        <f t="shared" si="8"/>
        <v/>
      </c>
      <c r="AU728" s="87" t="str">
        <f t="shared" si="9"/>
        <v/>
      </c>
      <c r="AV728" s="89" t="str">
        <f t="array" ref="AV728">IF(OR($A728="",$AB728="", $AC728=""),"",MAXA(IF($A728=$A$4:$A923,$AC$4:$AC923)))</f>
        <v/>
      </c>
    </row>
    <row r="729" ht="22.5" customHeight="1">
      <c r="A729" s="76"/>
      <c r="B729" s="68" t="str">
        <f t="shared" si="1"/>
        <v/>
      </c>
      <c r="C729" s="110"/>
      <c r="D729" s="70" t="str">
        <f t="shared" si="2"/>
        <v/>
      </c>
      <c r="E729" s="76"/>
      <c r="F729" s="68" t="str">
        <f t="array" ref="F729">IF($A729="","",IFERROR(INDEX(MA_INDIVIDUALES!C$2:C923, MATCH($A729,MA_INDIVIDUALES!$B$2:$B923,0),1),"CÓDIGO DE EXPEDIENTE INVÁLIDO"))</f>
        <v/>
      </c>
      <c r="G729" s="68" t="str">
        <f t="array" ref="G729">IF($A729="","",IFERROR(INDEX(MA_INDIVIDUALES!K$2:K923, MATCH($A729,MA_INDIVIDUALES!$B$2:$B923,0),1),"CÓDIGO DE EXPEDIENTE INVÁLIDO"))</f>
        <v/>
      </c>
      <c r="H729" s="68" t="str">
        <f t="array" ref="H729">IF($A729="","",IFERROR(INDEX(MA_INDIVIDUALES!L$2:L923, MATCH($A729,MA_INDIVIDUALES!$B$2:$B923,0),1),"CÓDIGO DE EXPEDIENTE INVÁLIDO"))</f>
        <v/>
      </c>
      <c r="I729" s="76"/>
      <c r="J729" s="76"/>
      <c r="K729" s="75"/>
      <c r="L729" s="74" t="str">
        <f>IF(A729="","",IF(K729="","",_xlfn.WORKDAY.INTL(K729,5,1,FERIADOS)))</f>
        <v/>
      </c>
      <c r="M729" s="76"/>
      <c r="N729" s="75"/>
      <c r="O729" s="76"/>
      <c r="P729" s="77" t="str">
        <f t="shared" si="3"/>
        <v/>
      </c>
      <c r="Q729" s="75"/>
      <c r="R729" s="76"/>
      <c r="S729" s="75"/>
      <c r="T729" s="75"/>
      <c r="U729" s="76"/>
      <c r="V729" s="76"/>
      <c r="W729" s="75"/>
      <c r="X729" s="76"/>
      <c r="Y729" s="29" t="str">
        <f t="shared" si="4"/>
        <v/>
      </c>
      <c r="Z729" s="29" t="str">
        <f t="shared" si="5"/>
        <v/>
      </c>
      <c r="AA729" s="76"/>
      <c r="AB729" s="76"/>
      <c r="AC729" s="75"/>
      <c r="AD729" s="75"/>
      <c r="AE729" s="78" t="str">
        <f>IF(U729="","",IF(AD729="","",_xlfn.WORKDAY.INTL(AD729,7,1,FERIADOS)))</f>
        <v/>
      </c>
      <c r="AF729" s="104"/>
      <c r="AG729" s="80" t="str">
        <f t="array" ref="AG729">IF(A729="","",IF(AF729="","",AF729*INDEX(PARAMETROS!F$2:F1792,MATCH(YEAR(AC729),PARAMETROS!E$2:E1792,0),1)))</f>
        <v/>
      </c>
      <c r="AH729" s="81"/>
      <c r="AI729" s="82"/>
      <c r="AJ729" s="81"/>
      <c r="AK729" s="81"/>
      <c r="AL729" s="76"/>
      <c r="AM729" s="75"/>
      <c r="AN729" s="76"/>
      <c r="AO729" s="95"/>
      <c r="AP729" s="96"/>
      <c r="AQ729" s="85" t="str">
        <f t="shared" si="6"/>
        <v/>
      </c>
      <c r="AR729" s="86" t="str">
        <f t="array" ref="AR729">IF(A729="","",IFERROR(INDEX('2) Etapas'!L$3:L923,MATCH(B729,'2) Etapas'!$A$4:$A923,0),1),-1))</f>
        <v/>
      </c>
      <c r="AS729" s="87" t="str">
        <f t="shared" si="7"/>
        <v/>
      </c>
      <c r="AT729" s="87" t="str">
        <f t="shared" si="8"/>
        <v/>
      </c>
      <c r="AU729" s="87" t="str">
        <f t="shared" si="9"/>
        <v/>
      </c>
      <c r="AV729" s="89" t="str">
        <f t="array" ref="AV729">IF(OR($A729="",$AB729="", $AC729=""),"",MAXA(IF($A729=$A$4:$A923,$AC$4:$AC923)))</f>
        <v/>
      </c>
    </row>
    <row r="730" ht="22.5" customHeight="1">
      <c r="A730" s="76"/>
      <c r="B730" s="68" t="str">
        <f t="shared" si="1"/>
        <v/>
      </c>
      <c r="C730" s="110"/>
      <c r="D730" s="70" t="str">
        <f t="shared" si="2"/>
        <v/>
      </c>
      <c r="E730" s="76"/>
      <c r="F730" s="68" t="str">
        <f t="array" ref="F730">IF($A730="","",IFERROR(INDEX(MA_INDIVIDUALES!C$2:C923, MATCH($A730,MA_INDIVIDUALES!$B$2:$B923,0),1),"CÓDIGO DE EXPEDIENTE INVÁLIDO"))</f>
        <v/>
      </c>
      <c r="G730" s="68" t="str">
        <f t="array" ref="G730">IF($A730="","",IFERROR(INDEX(MA_INDIVIDUALES!K$2:K923, MATCH($A730,MA_INDIVIDUALES!$B$2:$B923,0),1),"CÓDIGO DE EXPEDIENTE INVÁLIDO"))</f>
        <v/>
      </c>
      <c r="H730" s="68" t="str">
        <f t="array" ref="H730">IF($A730="","",IFERROR(INDEX(MA_INDIVIDUALES!L$2:L923, MATCH($A730,MA_INDIVIDUALES!$B$2:$B923,0),1),"CÓDIGO DE EXPEDIENTE INVÁLIDO"))</f>
        <v/>
      </c>
      <c r="I730" s="76"/>
      <c r="J730" s="76"/>
      <c r="K730" s="75"/>
      <c r="L730" s="74" t="str">
        <f>IF(A730="","",IF(K730="","",_xlfn.WORKDAY.INTL(K730,5,1,FERIADOS)))</f>
        <v/>
      </c>
      <c r="M730" s="76"/>
      <c r="N730" s="75"/>
      <c r="O730" s="76"/>
      <c r="P730" s="77" t="str">
        <f t="shared" si="3"/>
        <v/>
      </c>
      <c r="Q730" s="75"/>
      <c r="R730" s="76"/>
      <c r="S730" s="75"/>
      <c r="T730" s="75"/>
      <c r="U730" s="76"/>
      <c r="V730" s="76"/>
      <c r="W730" s="75"/>
      <c r="X730" s="76"/>
      <c r="Y730" s="29" t="str">
        <f t="shared" si="4"/>
        <v/>
      </c>
      <c r="Z730" s="29" t="str">
        <f t="shared" si="5"/>
        <v/>
      </c>
      <c r="AA730" s="76"/>
      <c r="AB730" s="76"/>
      <c r="AC730" s="75"/>
      <c r="AD730" s="75"/>
      <c r="AE730" s="78" t="str">
        <f>IF(U730="","",IF(AD730="","",_xlfn.WORKDAY.INTL(AD730,7,1,FERIADOS)))</f>
        <v/>
      </c>
      <c r="AF730" s="104"/>
      <c r="AG730" s="80" t="str">
        <f t="array" ref="AG730">IF(A730="","",IF(AF730="","",AF730*INDEX(PARAMETROS!F$2:F1793,MATCH(YEAR(AC730),PARAMETROS!E$2:E1793,0),1)))</f>
        <v/>
      </c>
      <c r="AH730" s="81"/>
      <c r="AI730" s="82"/>
      <c r="AJ730" s="81"/>
      <c r="AK730" s="81"/>
      <c r="AL730" s="76"/>
      <c r="AM730" s="75"/>
      <c r="AN730" s="76"/>
      <c r="AO730" s="95"/>
      <c r="AP730" s="96"/>
      <c r="AQ730" s="85" t="str">
        <f t="shared" si="6"/>
        <v/>
      </c>
      <c r="AR730" s="86" t="str">
        <f t="array" ref="AR730">IF(A730="","",IFERROR(INDEX('2) Etapas'!L$3:L923,MATCH(B730,'2) Etapas'!$A$4:$A923,0),1),-1))</f>
        <v/>
      </c>
      <c r="AS730" s="87" t="str">
        <f t="shared" si="7"/>
        <v/>
      </c>
      <c r="AT730" s="87" t="str">
        <f t="shared" si="8"/>
        <v/>
      </c>
      <c r="AU730" s="87" t="str">
        <f t="shared" si="9"/>
        <v/>
      </c>
      <c r="AV730" s="89" t="str">
        <f t="array" ref="AV730">IF(OR($A730="",$AB730="", $AC730=""),"",MAXA(IF($A730=$A$4:$A923,$AC$4:$AC923)))</f>
        <v/>
      </c>
    </row>
    <row r="731" ht="22.5" customHeight="1">
      <c r="A731" s="76"/>
      <c r="B731" s="68" t="str">
        <f t="shared" si="1"/>
        <v/>
      </c>
      <c r="C731" s="110"/>
      <c r="D731" s="70" t="str">
        <f t="shared" si="2"/>
        <v/>
      </c>
      <c r="E731" s="76"/>
      <c r="F731" s="68" t="str">
        <f t="array" ref="F731">IF($A731="","",IFERROR(INDEX(MA_INDIVIDUALES!C$2:C923, MATCH($A731,MA_INDIVIDUALES!$B$2:$B923,0),1),"CÓDIGO DE EXPEDIENTE INVÁLIDO"))</f>
        <v/>
      </c>
      <c r="G731" s="68" t="str">
        <f t="array" ref="G731">IF($A731="","",IFERROR(INDEX(MA_INDIVIDUALES!K$2:K923, MATCH($A731,MA_INDIVIDUALES!$B$2:$B923,0),1),"CÓDIGO DE EXPEDIENTE INVÁLIDO"))</f>
        <v/>
      </c>
      <c r="H731" s="68" t="str">
        <f t="array" ref="H731">IF($A731="","",IFERROR(INDEX(MA_INDIVIDUALES!L$2:L923, MATCH($A731,MA_INDIVIDUALES!$B$2:$B923,0),1),"CÓDIGO DE EXPEDIENTE INVÁLIDO"))</f>
        <v/>
      </c>
      <c r="I731" s="76"/>
      <c r="J731" s="76"/>
      <c r="K731" s="75"/>
      <c r="L731" s="74" t="str">
        <f>IF(A731="","",IF(K731="","",_xlfn.WORKDAY.INTL(K731,5,1,FERIADOS)))</f>
        <v/>
      </c>
      <c r="M731" s="76"/>
      <c r="N731" s="75"/>
      <c r="O731" s="76"/>
      <c r="P731" s="77" t="str">
        <f t="shared" si="3"/>
        <v/>
      </c>
      <c r="Q731" s="75"/>
      <c r="R731" s="76"/>
      <c r="S731" s="75"/>
      <c r="T731" s="75"/>
      <c r="U731" s="76"/>
      <c r="V731" s="76"/>
      <c r="W731" s="75"/>
      <c r="X731" s="76"/>
      <c r="Y731" s="29" t="str">
        <f t="shared" si="4"/>
        <v/>
      </c>
      <c r="Z731" s="29" t="str">
        <f t="shared" si="5"/>
        <v/>
      </c>
      <c r="AA731" s="76"/>
      <c r="AB731" s="76"/>
      <c r="AC731" s="75"/>
      <c r="AD731" s="75"/>
      <c r="AE731" s="78" t="str">
        <f>IF(U731="","",IF(AD731="","",_xlfn.WORKDAY.INTL(AD731,7,1,FERIADOS)))</f>
        <v/>
      </c>
      <c r="AF731" s="104"/>
      <c r="AG731" s="80" t="str">
        <f t="array" ref="AG731">IF(A731="","",IF(AF731="","",AF731*INDEX(PARAMETROS!F$2:F1794,MATCH(YEAR(AC731),PARAMETROS!E$2:E1794,0),1)))</f>
        <v/>
      </c>
      <c r="AH731" s="81"/>
      <c r="AI731" s="82"/>
      <c r="AJ731" s="81"/>
      <c r="AK731" s="81"/>
      <c r="AL731" s="76"/>
      <c r="AM731" s="75"/>
      <c r="AN731" s="76"/>
      <c r="AO731" s="95"/>
      <c r="AP731" s="96"/>
      <c r="AQ731" s="85" t="str">
        <f t="shared" si="6"/>
        <v/>
      </c>
      <c r="AR731" s="86" t="str">
        <f t="array" ref="AR731">IF(A731="","",IFERROR(INDEX('2) Etapas'!L$3:L923,MATCH(B731,'2) Etapas'!$A$4:$A923,0),1),-1))</f>
        <v/>
      </c>
      <c r="AS731" s="87" t="str">
        <f t="shared" si="7"/>
        <v/>
      </c>
      <c r="AT731" s="87" t="str">
        <f t="shared" si="8"/>
        <v/>
      </c>
      <c r="AU731" s="87" t="str">
        <f t="shared" si="9"/>
        <v/>
      </c>
      <c r="AV731" s="89" t="str">
        <f t="array" ref="AV731">IF(OR($A731="",$AB731="", $AC731=""),"",MAXA(IF($A731=$A$4:$A923,$AC$4:$AC923)))</f>
        <v/>
      </c>
    </row>
    <row r="732" ht="22.5" customHeight="1">
      <c r="A732" s="76"/>
      <c r="B732" s="68" t="str">
        <f t="shared" si="1"/>
        <v/>
      </c>
      <c r="C732" s="110"/>
      <c r="D732" s="70" t="str">
        <f t="shared" si="2"/>
        <v/>
      </c>
      <c r="E732" s="76"/>
      <c r="F732" s="68" t="str">
        <f t="array" ref="F732">IF($A732="","",IFERROR(INDEX(MA_INDIVIDUALES!C$2:C923, MATCH($A732,MA_INDIVIDUALES!$B$2:$B923,0),1),"CÓDIGO DE EXPEDIENTE INVÁLIDO"))</f>
        <v/>
      </c>
      <c r="G732" s="68" t="str">
        <f t="array" ref="G732">IF($A732="","",IFERROR(INDEX(MA_INDIVIDUALES!K$2:K923, MATCH($A732,MA_INDIVIDUALES!$B$2:$B923,0),1),"CÓDIGO DE EXPEDIENTE INVÁLIDO"))</f>
        <v/>
      </c>
      <c r="H732" s="68" t="str">
        <f t="array" ref="H732">IF($A732="","",IFERROR(INDEX(MA_INDIVIDUALES!L$2:L923, MATCH($A732,MA_INDIVIDUALES!$B$2:$B923,0),1),"CÓDIGO DE EXPEDIENTE INVÁLIDO"))</f>
        <v/>
      </c>
      <c r="I732" s="76"/>
      <c r="J732" s="76"/>
      <c r="K732" s="75"/>
      <c r="L732" s="74" t="str">
        <f>IF(A732="","",IF(K732="","",_xlfn.WORKDAY.INTL(K732,5,1,FERIADOS)))</f>
        <v/>
      </c>
      <c r="M732" s="76"/>
      <c r="N732" s="75"/>
      <c r="O732" s="76"/>
      <c r="P732" s="77" t="str">
        <f t="shared" si="3"/>
        <v/>
      </c>
      <c r="Q732" s="75"/>
      <c r="R732" s="76"/>
      <c r="S732" s="75"/>
      <c r="T732" s="75"/>
      <c r="U732" s="76"/>
      <c r="V732" s="76"/>
      <c r="W732" s="75"/>
      <c r="X732" s="76"/>
      <c r="Y732" s="29" t="str">
        <f t="shared" si="4"/>
        <v/>
      </c>
      <c r="Z732" s="29" t="str">
        <f t="shared" si="5"/>
        <v/>
      </c>
      <c r="AA732" s="76"/>
      <c r="AB732" s="76"/>
      <c r="AC732" s="75"/>
      <c r="AD732" s="75"/>
      <c r="AE732" s="78" t="str">
        <f>IF(U732="","",IF(AD732="","",_xlfn.WORKDAY.INTL(AD732,7,1,FERIADOS)))</f>
        <v/>
      </c>
      <c r="AF732" s="104"/>
      <c r="AG732" s="80" t="str">
        <f t="array" ref="AG732">IF(A732="","",IF(AF732="","",AF732*INDEX(PARAMETROS!F$2:F1795,MATCH(YEAR(AC732),PARAMETROS!E$2:E1795,0),1)))</f>
        <v/>
      </c>
      <c r="AH732" s="81"/>
      <c r="AI732" s="82"/>
      <c r="AJ732" s="81"/>
      <c r="AK732" s="81"/>
      <c r="AL732" s="76"/>
      <c r="AM732" s="75"/>
      <c r="AN732" s="76"/>
      <c r="AO732" s="95"/>
      <c r="AP732" s="96"/>
      <c r="AQ732" s="85" t="str">
        <f t="shared" si="6"/>
        <v/>
      </c>
      <c r="AR732" s="86" t="str">
        <f t="array" ref="AR732">IF(A732="","",IFERROR(INDEX('2) Etapas'!L$3:L923,MATCH(B732,'2) Etapas'!$A$4:$A923,0),1),-1))</f>
        <v/>
      </c>
      <c r="AS732" s="87" t="str">
        <f t="shared" si="7"/>
        <v/>
      </c>
      <c r="AT732" s="87" t="str">
        <f t="shared" si="8"/>
        <v/>
      </c>
      <c r="AU732" s="87" t="str">
        <f t="shared" si="9"/>
        <v/>
      </c>
      <c r="AV732" s="89" t="str">
        <f t="array" ref="AV732">IF(OR($A732="",$AB732="", $AC732=""),"",MAXA(IF($A732=$A$4:$A923,$AC$4:$AC923)))</f>
        <v/>
      </c>
    </row>
    <row r="733" ht="22.5" customHeight="1">
      <c r="A733" s="76"/>
      <c r="B733" s="68" t="str">
        <f t="shared" si="1"/>
        <v/>
      </c>
      <c r="C733" s="110"/>
      <c r="D733" s="70" t="str">
        <f t="shared" si="2"/>
        <v/>
      </c>
      <c r="E733" s="76"/>
      <c r="F733" s="68" t="str">
        <f t="array" ref="F733">IF($A733="","",IFERROR(INDEX(MA_INDIVIDUALES!C$2:C923, MATCH($A733,MA_INDIVIDUALES!$B$2:$B923,0),1),"CÓDIGO DE EXPEDIENTE INVÁLIDO"))</f>
        <v/>
      </c>
      <c r="G733" s="68" t="str">
        <f t="array" ref="G733">IF($A733="","",IFERROR(INDEX(MA_INDIVIDUALES!K$2:K923, MATCH($A733,MA_INDIVIDUALES!$B$2:$B923,0),1),"CÓDIGO DE EXPEDIENTE INVÁLIDO"))</f>
        <v/>
      </c>
      <c r="H733" s="68" t="str">
        <f t="array" ref="H733">IF($A733="","",IFERROR(INDEX(MA_INDIVIDUALES!L$2:L923, MATCH($A733,MA_INDIVIDUALES!$B$2:$B923,0),1),"CÓDIGO DE EXPEDIENTE INVÁLIDO"))</f>
        <v/>
      </c>
      <c r="I733" s="76"/>
      <c r="J733" s="76"/>
      <c r="K733" s="75"/>
      <c r="L733" s="74" t="str">
        <f>IF(A733="","",IF(K733="","",_xlfn.WORKDAY.INTL(K733,5,1,FERIADOS)))</f>
        <v/>
      </c>
      <c r="M733" s="76"/>
      <c r="N733" s="75"/>
      <c r="O733" s="76"/>
      <c r="P733" s="77" t="str">
        <f t="shared" si="3"/>
        <v/>
      </c>
      <c r="Q733" s="75"/>
      <c r="R733" s="76"/>
      <c r="S733" s="75"/>
      <c r="T733" s="75"/>
      <c r="U733" s="76"/>
      <c r="V733" s="76"/>
      <c r="W733" s="75"/>
      <c r="X733" s="76"/>
      <c r="Y733" s="29" t="str">
        <f t="shared" si="4"/>
        <v/>
      </c>
      <c r="Z733" s="29" t="str">
        <f t="shared" si="5"/>
        <v/>
      </c>
      <c r="AA733" s="76"/>
      <c r="AB733" s="76"/>
      <c r="AC733" s="75"/>
      <c r="AD733" s="75"/>
      <c r="AE733" s="78" t="str">
        <f>IF(U733="","",IF(AD733="","",_xlfn.WORKDAY.INTL(AD733,7,1,FERIADOS)))</f>
        <v/>
      </c>
      <c r="AF733" s="104"/>
      <c r="AG733" s="80" t="str">
        <f t="array" ref="AG733">IF(A733="","",IF(AF733="","",AF733*INDEX(PARAMETROS!F$2:F1796,MATCH(YEAR(AC733),PARAMETROS!E$2:E1796,0),1)))</f>
        <v/>
      </c>
      <c r="AH733" s="81"/>
      <c r="AI733" s="82"/>
      <c r="AJ733" s="81"/>
      <c r="AK733" s="81"/>
      <c r="AL733" s="76"/>
      <c r="AM733" s="75"/>
      <c r="AN733" s="76"/>
      <c r="AO733" s="95"/>
      <c r="AP733" s="96"/>
      <c r="AQ733" s="85" t="str">
        <f t="shared" si="6"/>
        <v/>
      </c>
      <c r="AR733" s="86" t="str">
        <f t="array" ref="AR733">IF(A733="","",IFERROR(INDEX('2) Etapas'!L$3:L923,MATCH(B733,'2) Etapas'!$A$4:$A923,0),1),-1))</f>
        <v/>
      </c>
      <c r="AS733" s="87" t="str">
        <f t="shared" si="7"/>
        <v/>
      </c>
      <c r="AT733" s="87" t="str">
        <f t="shared" si="8"/>
        <v/>
      </c>
      <c r="AU733" s="87" t="str">
        <f t="shared" si="9"/>
        <v/>
      </c>
      <c r="AV733" s="89" t="str">
        <f t="array" ref="AV733">IF(OR($A733="",$AB733="", $AC733=""),"",MAXA(IF($A733=$A$4:$A923,$AC$4:$AC923)))</f>
        <v/>
      </c>
    </row>
    <row r="734" ht="22.5" customHeight="1">
      <c r="A734" s="76"/>
      <c r="B734" s="68" t="str">
        <f t="shared" si="1"/>
        <v/>
      </c>
      <c r="C734" s="110"/>
      <c r="D734" s="70" t="str">
        <f t="shared" si="2"/>
        <v/>
      </c>
      <c r="E734" s="76"/>
      <c r="F734" s="68" t="str">
        <f t="array" ref="F734">IF($A734="","",IFERROR(INDEX(MA_INDIVIDUALES!C$2:C923, MATCH($A734,MA_INDIVIDUALES!$B$2:$B923,0),1),"CÓDIGO DE EXPEDIENTE INVÁLIDO"))</f>
        <v/>
      </c>
      <c r="G734" s="68" t="str">
        <f t="array" ref="G734">IF($A734="","",IFERROR(INDEX(MA_INDIVIDUALES!K$2:K923, MATCH($A734,MA_INDIVIDUALES!$B$2:$B923,0),1),"CÓDIGO DE EXPEDIENTE INVÁLIDO"))</f>
        <v/>
      </c>
      <c r="H734" s="68" t="str">
        <f t="array" ref="H734">IF($A734="","",IFERROR(INDEX(MA_INDIVIDUALES!L$2:L923, MATCH($A734,MA_INDIVIDUALES!$B$2:$B923,0),1),"CÓDIGO DE EXPEDIENTE INVÁLIDO"))</f>
        <v/>
      </c>
      <c r="I734" s="76"/>
      <c r="J734" s="76"/>
      <c r="K734" s="75"/>
      <c r="L734" s="74" t="str">
        <f>IF(A734="","",IF(K734="","",_xlfn.WORKDAY.INTL(K734,5,1,FERIADOS)))</f>
        <v/>
      </c>
      <c r="M734" s="76"/>
      <c r="N734" s="75"/>
      <c r="O734" s="76"/>
      <c r="P734" s="77" t="str">
        <f t="shared" si="3"/>
        <v/>
      </c>
      <c r="Q734" s="75"/>
      <c r="R734" s="76"/>
      <c r="S734" s="75"/>
      <c r="T734" s="75"/>
      <c r="U734" s="76"/>
      <c r="V734" s="76"/>
      <c r="W734" s="75"/>
      <c r="X734" s="76"/>
      <c r="Y734" s="29" t="str">
        <f t="shared" si="4"/>
        <v/>
      </c>
      <c r="Z734" s="29" t="str">
        <f t="shared" si="5"/>
        <v/>
      </c>
      <c r="AA734" s="76"/>
      <c r="AB734" s="76"/>
      <c r="AC734" s="75"/>
      <c r="AD734" s="75"/>
      <c r="AE734" s="78" t="str">
        <f>IF(U734="","",IF(AD734="","",_xlfn.WORKDAY.INTL(AD734,7,1,FERIADOS)))</f>
        <v/>
      </c>
      <c r="AF734" s="104"/>
      <c r="AG734" s="80" t="str">
        <f t="array" ref="AG734">IF(A734="","",IF(AF734="","",AF734*INDEX(PARAMETROS!F$2:F1797,MATCH(YEAR(AC734),PARAMETROS!E$2:E1797,0),1)))</f>
        <v/>
      </c>
      <c r="AH734" s="81"/>
      <c r="AI734" s="82"/>
      <c r="AJ734" s="81"/>
      <c r="AK734" s="81"/>
      <c r="AL734" s="76"/>
      <c r="AM734" s="75"/>
      <c r="AN734" s="76"/>
      <c r="AO734" s="95"/>
      <c r="AP734" s="96"/>
      <c r="AQ734" s="85" t="str">
        <f t="shared" si="6"/>
        <v/>
      </c>
      <c r="AR734" s="86" t="str">
        <f t="array" ref="AR734">IF(A734="","",IFERROR(INDEX('2) Etapas'!L$3:L923,MATCH(B734,'2) Etapas'!$A$4:$A923,0),1),-1))</f>
        <v/>
      </c>
      <c r="AS734" s="87" t="str">
        <f t="shared" si="7"/>
        <v/>
      </c>
      <c r="AT734" s="87" t="str">
        <f t="shared" si="8"/>
        <v/>
      </c>
      <c r="AU734" s="87" t="str">
        <f t="shared" si="9"/>
        <v/>
      </c>
      <c r="AV734" s="89" t="str">
        <f t="array" ref="AV734">IF(OR($A734="",$AB734="", $AC734=""),"",MAXA(IF($A734=$A$4:$A923,$AC$4:$AC923)))</f>
        <v/>
      </c>
    </row>
    <row r="735" ht="22.5" customHeight="1">
      <c r="A735" s="76"/>
      <c r="B735" s="68" t="str">
        <f t="shared" si="1"/>
        <v/>
      </c>
      <c r="C735" s="110"/>
      <c r="D735" s="70" t="str">
        <f t="shared" si="2"/>
        <v/>
      </c>
      <c r="E735" s="76"/>
      <c r="F735" s="68" t="str">
        <f t="array" ref="F735">IF($A735="","",IFERROR(INDEX(MA_INDIVIDUALES!C$2:C923, MATCH($A735,MA_INDIVIDUALES!$B$2:$B923,0),1),"CÓDIGO DE EXPEDIENTE INVÁLIDO"))</f>
        <v/>
      </c>
      <c r="G735" s="68" t="str">
        <f t="array" ref="G735">IF($A735="","",IFERROR(INDEX(MA_INDIVIDUALES!K$2:K923, MATCH($A735,MA_INDIVIDUALES!$B$2:$B923,0),1),"CÓDIGO DE EXPEDIENTE INVÁLIDO"))</f>
        <v/>
      </c>
      <c r="H735" s="68" t="str">
        <f t="array" ref="H735">IF($A735="","",IFERROR(INDEX(MA_INDIVIDUALES!L$2:L923, MATCH($A735,MA_INDIVIDUALES!$B$2:$B923,0),1),"CÓDIGO DE EXPEDIENTE INVÁLIDO"))</f>
        <v/>
      </c>
      <c r="I735" s="76"/>
      <c r="J735" s="76"/>
      <c r="K735" s="75"/>
      <c r="L735" s="74" t="str">
        <f>IF(A735="","",IF(K735="","",_xlfn.WORKDAY.INTL(K735,5,1,FERIADOS)))</f>
        <v/>
      </c>
      <c r="M735" s="76"/>
      <c r="N735" s="75"/>
      <c r="O735" s="76"/>
      <c r="P735" s="77" t="str">
        <f t="shared" si="3"/>
        <v/>
      </c>
      <c r="Q735" s="75"/>
      <c r="R735" s="76"/>
      <c r="S735" s="75"/>
      <c r="T735" s="75"/>
      <c r="U735" s="76"/>
      <c r="V735" s="76"/>
      <c r="W735" s="75"/>
      <c r="X735" s="76"/>
      <c r="Y735" s="29" t="str">
        <f t="shared" si="4"/>
        <v/>
      </c>
      <c r="Z735" s="29" t="str">
        <f t="shared" si="5"/>
        <v/>
      </c>
      <c r="AA735" s="76"/>
      <c r="AB735" s="76"/>
      <c r="AC735" s="75"/>
      <c r="AD735" s="75"/>
      <c r="AE735" s="78" t="str">
        <f>IF(U735="","",IF(AD735="","",_xlfn.WORKDAY.INTL(AD735,7,1,FERIADOS)))</f>
        <v/>
      </c>
      <c r="AF735" s="104"/>
      <c r="AG735" s="80" t="str">
        <f t="array" ref="AG735">IF(A735="","",IF(AF735="","",AF735*INDEX(PARAMETROS!F$2:F1798,MATCH(YEAR(AC735),PARAMETROS!E$2:E1798,0),1)))</f>
        <v/>
      </c>
      <c r="AH735" s="81"/>
      <c r="AI735" s="82"/>
      <c r="AJ735" s="81"/>
      <c r="AK735" s="81"/>
      <c r="AL735" s="76"/>
      <c r="AM735" s="75"/>
      <c r="AN735" s="76"/>
      <c r="AO735" s="95"/>
      <c r="AP735" s="96"/>
      <c r="AQ735" s="85" t="str">
        <f t="shared" si="6"/>
        <v/>
      </c>
      <c r="AR735" s="86" t="str">
        <f t="array" ref="AR735">IF(A735="","",IFERROR(INDEX('2) Etapas'!L$3:L923,MATCH(B735,'2) Etapas'!$A$4:$A923,0),1),-1))</f>
        <v/>
      </c>
      <c r="AS735" s="87" t="str">
        <f t="shared" si="7"/>
        <v/>
      </c>
      <c r="AT735" s="87" t="str">
        <f t="shared" si="8"/>
        <v/>
      </c>
      <c r="AU735" s="87" t="str">
        <f t="shared" si="9"/>
        <v/>
      </c>
      <c r="AV735" s="89" t="str">
        <f t="array" ref="AV735">IF(OR($A735="",$AB735="", $AC735=""),"",MAXA(IF($A735=$A$4:$A923,$AC$4:$AC923)))</f>
        <v/>
      </c>
    </row>
    <row r="736" ht="22.5" customHeight="1">
      <c r="A736" s="76"/>
      <c r="B736" s="68" t="str">
        <f t="shared" si="1"/>
        <v/>
      </c>
      <c r="C736" s="110"/>
      <c r="D736" s="70" t="str">
        <f t="shared" si="2"/>
        <v/>
      </c>
      <c r="E736" s="76"/>
      <c r="F736" s="68" t="str">
        <f t="array" ref="F736">IF($A736="","",IFERROR(INDEX(MA_INDIVIDUALES!C$2:C923, MATCH($A736,MA_INDIVIDUALES!$B$2:$B923,0),1),"CÓDIGO DE EXPEDIENTE INVÁLIDO"))</f>
        <v/>
      </c>
      <c r="G736" s="68" t="str">
        <f t="array" ref="G736">IF($A736="","",IFERROR(INDEX(MA_INDIVIDUALES!K$2:K923, MATCH($A736,MA_INDIVIDUALES!$B$2:$B923,0),1),"CÓDIGO DE EXPEDIENTE INVÁLIDO"))</f>
        <v/>
      </c>
      <c r="H736" s="68" t="str">
        <f t="array" ref="H736">IF($A736="","",IFERROR(INDEX(MA_INDIVIDUALES!L$2:L923, MATCH($A736,MA_INDIVIDUALES!$B$2:$B923,0),1),"CÓDIGO DE EXPEDIENTE INVÁLIDO"))</f>
        <v/>
      </c>
      <c r="I736" s="76"/>
      <c r="J736" s="76"/>
      <c r="K736" s="75"/>
      <c r="L736" s="74" t="str">
        <f>IF(A736="","",IF(K736="","",_xlfn.WORKDAY.INTL(K736,5,1,FERIADOS)))</f>
        <v/>
      </c>
      <c r="M736" s="76"/>
      <c r="N736" s="75"/>
      <c r="O736" s="76"/>
      <c r="P736" s="77" t="str">
        <f t="shared" si="3"/>
        <v/>
      </c>
      <c r="Q736" s="75"/>
      <c r="R736" s="76"/>
      <c r="S736" s="75"/>
      <c r="T736" s="75"/>
      <c r="U736" s="76"/>
      <c r="V736" s="76"/>
      <c r="W736" s="75"/>
      <c r="X736" s="76"/>
      <c r="Y736" s="29" t="str">
        <f t="shared" si="4"/>
        <v/>
      </c>
      <c r="Z736" s="29" t="str">
        <f t="shared" si="5"/>
        <v/>
      </c>
      <c r="AA736" s="76"/>
      <c r="AB736" s="76"/>
      <c r="AC736" s="75"/>
      <c r="AD736" s="75"/>
      <c r="AE736" s="78" t="str">
        <f>IF(U736="","",IF(AD736="","",_xlfn.WORKDAY.INTL(AD736,7,1,FERIADOS)))</f>
        <v/>
      </c>
      <c r="AF736" s="104"/>
      <c r="AG736" s="80" t="str">
        <f t="array" ref="AG736">IF(A736="","",IF(AF736="","",AF736*INDEX(PARAMETROS!F$2:F1799,MATCH(YEAR(AC736),PARAMETROS!E$2:E1799,0),1)))</f>
        <v/>
      </c>
      <c r="AH736" s="81"/>
      <c r="AI736" s="82"/>
      <c r="AJ736" s="81"/>
      <c r="AK736" s="81"/>
      <c r="AL736" s="76"/>
      <c r="AM736" s="75"/>
      <c r="AN736" s="76"/>
      <c r="AO736" s="95"/>
      <c r="AP736" s="96"/>
      <c r="AQ736" s="85" t="str">
        <f t="shared" si="6"/>
        <v/>
      </c>
      <c r="AR736" s="86" t="str">
        <f t="array" ref="AR736">IF(A736="","",IFERROR(INDEX('2) Etapas'!L$3:L923,MATCH(B736,'2) Etapas'!$A$4:$A923,0),1),-1))</f>
        <v/>
      </c>
      <c r="AS736" s="87" t="str">
        <f t="shared" si="7"/>
        <v/>
      </c>
      <c r="AT736" s="87" t="str">
        <f t="shared" si="8"/>
        <v/>
      </c>
      <c r="AU736" s="87" t="str">
        <f t="shared" si="9"/>
        <v/>
      </c>
      <c r="AV736" s="89" t="str">
        <f t="array" ref="AV736">IF(OR($A736="",$AB736="", $AC736=""),"",MAXA(IF($A736=$A$4:$A923,$AC$4:$AC923)))</f>
        <v/>
      </c>
    </row>
    <row r="737" ht="22.5" customHeight="1">
      <c r="A737" s="76"/>
      <c r="B737" s="68" t="str">
        <f t="shared" si="1"/>
        <v/>
      </c>
      <c r="C737" s="110"/>
      <c r="D737" s="70" t="str">
        <f t="shared" si="2"/>
        <v/>
      </c>
      <c r="E737" s="76"/>
      <c r="F737" s="68" t="str">
        <f t="array" ref="F737">IF($A737="","",IFERROR(INDEX(MA_INDIVIDUALES!C$2:C923, MATCH($A737,MA_INDIVIDUALES!$B$2:$B923,0),1),"CÓDIGO DE EXPEDIENTE INVÁLIDO"))</f>
        <v/>
      </c>
      <c r="G737" s="68" t="str">
        <f t="array" ref="G737">IF($A737="","",IFERROR(INDEX(MA_INDIVIDUALES!K$2:K923, MATCH($A737,MA_INDIVIDUALES!$B$2:$B923,0),1),"CÓDIGO DE EXPEDIENTE INVÁLIDO"))</f>
        <v/>
      </c>
      <c r="H737" s="68" t="str">
        <f t="array" ref="H737">IF($A737="","",IFERROR(INDEX(MA_INDIVIDUALES!L$2:L923, MATCH($A737,MA_INDIVIDUALES!$B$2:$B923,0),1),"CÓDIGO DE EXPEDIENTE INVÁLIDO"))</f>
        <v/>
      </c>
      <c r="I737" s="76"/>
      <c r="J737" s="76"/>
      <c r="K737" s="75"/>
      <c r="L737" s="74" t="str">
        <f>IF(A737="","",IF(K737="","",_xlfn.WORKDAY.INTL(K737,5,1,FERIADOS)))</f>
        <v/>
      </c>
      <c r="M737" s="76"/>
      <c r="N737" s="75"/>
      <c r="O737" s="76"/>
      <c r="P737" s="77" t="str">
        <f t="shared" si="3"/>
        <v/>
      </c>
      <c r="Q737" s="75"/>
      <c r="R737" s="76"/>
      <c r="S737" s="75"/>
      <c r="T737" s="75"/>
      <c r="U737" s="76"/>
      <c r="V737" s="76"/>
      <c r="W737" s="75"/>
      <c r="X737" s="76"/>
      <c r="Y737" s="29" t="str">
        <f t="shared" si="4"/>
        <v/>
      </c>
      <c r="Z737" s="29" t="str">
        <f t="shared" si="5"/>
        <v/>
      </c>
      <c r="AA737" s="76"/>
      <c r="AB737" s="76"/>
      <c r="AC737" s="75"/>
      <c r="AD737" s="75"/>
      <c r="AE737" s="78" t="str">
        <f>IF(U737="","",IF(AD737="","",_xlfn.WORKDAY.INTL(AD737,7,1,FERIADOS)))</f>
        <v/>
      </c>
      <c r="AF737" s="104"/>
      <c r="AG737" s="80" t="str">
        <f t="array" ref="AG737">IF(A737="","",IF(AF737="","",AF737*INDEX(PARAMETROS!F$2:F1800,MATCH(YEAR(AC737),PARAMETROS!E$2:E1800,0),1)))</f>
        <v/>
      </c>
      <c r="AH737" s="81"/>
      <c r="AI737" s="82"/>
      <c r="AJ737" s="81"/>
      <c r="AK737" s="81"/>
      <c r="AL737" s="76"/>
      <c r="AM737" s="75"/>
      <c r="AN737" s="76"/>
      <c r="AO737" s="95"/>
      <c r="AP737" s="96"/>
      <c r="AQ737" s="85" t="str">
        <f t="shared" si="6"/>
        <v/>
      </c>
      <c r="AR737" s="86" t="str">
        <f t="array" ref="AR737">IF(A737="","",IFERROR(INDEX('2) Etapas'!L$3:L923,MATCH(B737,'2) Etapas'!$A$4:$A923,0),1),-1))</f>
        <v/>
      </c>
      <c r="AS737" s="87" t="str">
        <f t="shared" si="7"/>
        <v/>
      </c>
      <c r="AT737" s="87" t="str">
        <f t="shared" si="8"/>
        <v/>
      </c>
      <c r="AU737" s="87" t="str">
        <f t="shared" si="9"/>
        <v/>
      </c>
      <c r="AV737" s="89" t="str">
        <f t="array" ref="AV737">IF(OR($A737="",$AB737="", $AC737=""),"",MAXA(IF($A737=$A$4:$A923,$AC$4:$AC923)))</f>
        <v/>
      </c>
    </row>
    <row r="738" ht="22.5" customHeight="1">
      <c r="A738" s="76"/>
      <c r="B738" s="68" t="str">
        <f t="shared" si="1"/>
        <v/>
      </c>
      <c r="C738" s="110"/>
      <c r="D738" s="70" t="str">
        <f t="shared" si="2"/>
        <v/>
      </c>
      <c r="E738" s="76"/>
      <c r="F738" s="68" t="str">
        <f t="array" ref="F738">IF($A738="","",IFERROR(INDEX(MA_INDIVIDUALES!C$2:C923, MATCH($A738,MA_INDIVIDUALES!$B$2:$B923,0),1),"CÓDIGO DE EXPEDIENTE INVÁLIDO"))</f>
        <v/>
      </c>
      <c r="G738" s="68" t="str">
        <f t="array" ref="G738">IF($A738="","",IFERROR(INDEX(MA_INDIVIDUALES!K$2:K923, MATCH($A738,MA_INDIVIDUALES!$B$2:$B923,0),1),"CÓDIGO DE EXPEDIENTE INVÁLIDO"))</f>
        <v/>
      </c>
      <c r="H738" s="68" t="str">
        <f t="array" ref="H738">IF($A738="","",IFERROR(INDEX(MA_INDIVIDUALES!L$2:L923, MATCH($A738,MA_INDIVIDUALES!$B$2:$B923,0),1),"CÓDIGO DE EXPEDIENTE INVÁLIDO"))</f>
        <v/>
      </c>
      <c r="I738" s="76"/>
      <c r="J738" s="76"/>
      <c r="K738" s="75"/>
      <c r="L738" s="74" t="str">
        <f>IF(A738="","",IF(K738="","",_xlfn.WORKDAY.INTL(K738,5,1,FERIADOS)))</f>
        <v/>
      </c>
      <c r="M738" s="76"/>
      <c r="N738" s="75"/>
      <c r="O738" s="76"/>
      <c r="P738" s="77" t="str">
        <f t="shared" si="3"/>
        <v/>
      </c>
      <c r="Q738" s="75"/>
      <c r="R738" s="76"/>
      <c r="S738" s="75"/>
      <c r="T738" s="75"/>
      <c r="U738" s="76"/>
      <c r="V738" s="76"/>
      <c r="W738" s="75"/>
      <c r="X738" s="76"/>
      <c r="Y738" s="29" t="str">
        <f t="shared" si="4"/>
        <v/>
      </c>
      <c r="Z738" s="29" t="str">
        <f t="shared" si="5"/>
        <v/>
      </c>
      <c r="AA738" s="76"/>
      <c r="AB738" s="76"/>
      <c r="AC738" s="75"/>
      <c r="AD738" s="75"/>
      <c r="AE738" s="78" t="str">
        <f>IF(U738="","",IF(AD738="","",_xlfn.WORKDAY.INTL(AD738,7,1,FERIADOS)))</f>
        <v/>
      </c>
      <c r="AF738" s="104"/>
      <c r="AG738" s="80" t="str">
        <f t="array" ref="AG738">IF(A738="","",IF(AF738="","",AF738*INDEX(PARAMETROS!F$2:F1801,MATCH(YEAR(AC738),PARAMETROS!E$2:E1801,0),1)))</f>
        <v/>
      </c>
      <c r="AH738" s="81"/>
      <c r="AI738" s="82"/>
      <c r="AJ738" s="81"/>
      <c r="AK738" s="81"/>
      <c r="AL738" s="76"/>
      <c r="AM738" s="75"/>
      <c r="AN738" s="76"/>
      <c r="AO738" s="95"/>
      <c r="AP738" s="96"/>
      <c r="AQ738" s="85" t="str">
        <f t="shared" si="6"/>
        <v/>
      </c>
      <c r="AR738" s="86" t="str">
        <f t="array" ref="AR738">IF(A738="","",IFERROR(INDEX('2) Etapas'!L$3:L923,MATCH(B738,'2) Etapas'!$A$4:$A923,0),1),-1))</f>
        <v/>
      </c>
      <c r="AS738" s="87" t="str">
        <f t="shared" si="7"/>
        <v/>
      </c>
      <c r="AT738" s="87" t="str">
        <f t="shared" si="8"/>
        <v/>
      </c>
      <c r="AU738" s="87" t="str">
        <f t="shared" si="9"/>
        <v/>
      </c>
      <c r="AV738" s="89" t="str">
        <f t="array" ref="AV738">IF(OR($A738="",$AB738="", $AC738=""),"",MAXA(IF($A738=$A$4:$A923,$AC$4:$AC923)))</f>
        <v/>
      </c>
    </row>
    <row r="739" ht="22.5" customHeight="1">
      <c r="A739" s="76"/>
      <c r="B739" s="68" t="str">
        <f t="shared" si="1"/>
        <v/>
      </c>
      <c r="C739" s="110"/>
      <c r="D739" s="70" t="str">
        <f t="shared" si="2"/>
        <v/>
      </c>
      <c r="E739" s="76"/>
      <c r="F739" s="68" t="str">
        <f t="array" ref="F739">IF($A739="","",IFERROR(INDEX(MA_INDIVIDUALES!C$2:C923, MATCH($A739,MA_INDIVIDUALES!$B$2:$B923,0),1),"CÓDIGO DE EXPEDIENTE INVÁLIDO"))</f>
        <v/>
      </c>
      <c r="G739" s="68" t="str">
        <f t="array" ref="G739">IF($A739="","",IFERROR(INDEX(MA_INDIVIDUALES!K$2:K923, MATCH($A739,MA_INDIVIDUALES!$B$2:$B923,0),1),"CÓDIGO DE EXPEDIENTE INVÁLIDO"))</f>
        <v/>
      </c>
      <c r="H739" s="68" t="str">
        <f t="array" ref="H739">IF($A739="","",IFERROR(INDEX(MA_INDIVIDUALES!L$2:L923, MATCH($A739,MA_INDIVIDUALES!$B$2:$B923,0),1),"CÓDIGO DE EXPEDIENTE INVÁLIDO"))</f>
        <v/>
      </c>
      <c r="I739" s="76"/>
      <c r="J739" s="76"/>
      <c r="K739" s="75"/>
      <c r="L739" s="74" t="str">
        <f>IF(A739="","",IF(K739="","",_xlfn.WORKDAY.INTL(K739,5,1,FERIADOS)))</f>
        <v/>
      </c>
      <c r="M739" s="76"/>
      <c r="N739" s="75"/>
      <c r="O739" s="76"/>
      <c r="P739" s="77" t="str">
        <f t="shared" si="3"/>
        <v/>
      </c>
      <c r="Q739" s="75"/>
      <c r="R739" s="76"/>
      <c r="S739" s="75"/>
      <c r="T739" s="75"/>
      <c r="U739" s="76"/>
      <c r="V739" s="76"/>
      <c r="W739" s="75"/>
      <c r="X739" s="76"/>
      <c r="Y739" s="29" t="str">
        <f t="shared" si="4"/>
        <v/>
      </c>
      <c r="Z739" s="29" t="str">
        <f t="shared" si="5"/>
        <v/>
      </c>
      <c r="AA739" s="76"/>
      <c r="AB739" s="76"/>
      <c r="AC739" s="75"/>
      <c r="AD739" s="75"/>
      <c r="AE739" s="78" t="str">
        <f>IF(U739="","",IF(AD739="","",_xlfn.WORKDAY.INTL(AD739,7,1,FERIADOS)))</f>
        <v/>
      </c>
      <c r="AF739" s="104"/>
      <c r="AG739" s="80" t="str">
        <f t="array" ref="AG739">IF(A739="","",IF(AF739="","",AF739*INDEX(PARAMETROS!F$2:F1802,MATCH(YEAR(AC739),PARAMETROS!E$2:E1802,0),1)))</f>
        <v/>
      </c>
      <c r="AH739" s="81"/>
      <c r="AI739" s="82"/>
      <c r="AJ739" s="81"/>
      <c r="AK739" s="81"/>
      <c r="AL739" s="76"/>
      <c r="AM739" s="75"/>
      <c r="AN739" s="76"/>
      <c r="AO739" s="95"/>
      <c r="AP739" s="96"/>
      <c r="AQ739" s="85" t="str">
        <f t="shared" si="6"/>
        <v/>
      </c>
      <c r="AR739" s="86" t="str">
        <f t="array" ref="AR739">IF(A739="","",IFERROR(INDEX('2) Etapas'!L$3:L923,MATCH(B739,'2) Etapas'!$A$4:$A923,0),1),-1))</f>
        <v/>
      </c>
      <c r="AS739" s="87" t="str">
        <f t="shared" si="7"/>
        <v/>
      </c>
      <c r="AT739" s="87" t="str">
        <f t="shared" si="8"/>
        <v/>
      </c>
      <c r="AU739" s="87" t="str">
        <f t="shared" si="9"/>
        <v/>
      </c>
      <c r="AV739" s="89" t="str">
        <f t="array" ref="AV739">IF(OR($A739="",$AB739="", $AC739=""),"",MAXA(IF($A739=$A$4:$A923,$AC$4:$AC923)))</f>
        <v/>
      </c>
    </row>
    <row r="740" ht="22.5" customHeight="1">
      <c r="A740" s="76"/>
      <c r="B740" s="68" t="str">
        <f t="shared" si="1"/>
        <v/>
      </c>
      <c r="C740" s="110"/>
      <c r="D740" s="70" t="str">
        <f t="shared" si="2"/>
        <v/>
      </c>
      <c r="E740" s="76"/>
      <c r="F740" s="68" t="str">
        <f t="array" ref="F740">IF($A740="","",IFERROR(INDEX(MA_INDIVIDUALES!C$2:C923, MATCH($A740,MA_INDIVIDUALES!$B$2:$B923,0),1),"CÓDIGO DE EXPEDIENTE INVÁLIDO"))</f>
        <v/>
      </c>
      <c r="G740" s="68" t="str">
        <f t="array" ref="G740">IF($A740="","",IFERROR(INDEX(MA_INDIVIDUALES!K$2:K923, MATCH($A740,MA_INDIVIDUALES!$B$2:$B923,0),1),"CÓDIGO DE EXPEDIENTE INVÁLIDO"))</f>
        <v/>
      </c>
      <c r="H740" s="68" t="str">
        <f t="array" ref="H740">IF($A740="","",IFERROR(INDEX(MA_INDIVIDUALES!L$2:L923, MATCH($A740,MA_INDIVIDUALES!$B$2:$B923,0),1),"CÓDIGO DE EXPEDIENTE INVÁLIDO"))</f>
        <v/>
      </c>
      <c r="I740" s="76"/>
      <c r="J740" s="76"/>
      <c r="K740" s="75"/>
      <c r="L740" s="74" t="str">
        <f>IF(A740="","",IF(K740="","",_xlfn.WORKDAY.INTL(K740,5,1,FERIADOS)))</f>
        <v/>
      </c>
      <c r="M740" s="76"/>
      <c r="N740" s="75"/>
      <c r="O740" s="76"/>
      <c r="P740" s="77" t="str">
        <f t="shared" si="3"/>
        <v/>
      </c>
      <c r="Q740" s="75"/>
      <c r="R740" s="76"/>
      <c r="S740" s="75"/>
      <c r="T740" s="75"/>
      <c r="U740" s="76"/>
      <c r="V740" s="76"/>
      <c r="W740" s="75"/>
      <c r="X740" s="76"/>
      <c r="Y740" s="29" t="str">
        <f t="shared" si="4"/>
        <v/>
      </c>
      <c r="Z740" s="29" t="str">
        <f t="shared" si="5"/>
        <v/>
      </c>
      <c r="AA740" s="76"/>
      <c r="AB740" s="76"/>
      <c r="AC740" s="75"/>
      <c r="AD740" s="75"/>
      <c r="AE740" s="78" t="str">
        <f>IF(U740="","",IF(AD740="","",_xlfn.WORKDAY.INTL(AD740,7,1,FERIADOS)))</f>
        <v/>
      </c>
      <c r="AF740" s="104"/>
      <c r="AG740" s="80" t="str">
        <f t="array" ref="AG740">IF(A740="","",IF(AF740="","",AF740*INDEX(PARAMETROS!F$2:F1803,MATCH(YEAR(AC740),PARAMETROS!E$2:E1803,0),1)))</f>
        <v/>
      </c>
      <c r="AH740" s="81"/>
      <c r="AI740" s="82"/>
      <c r="AJ740" s="81"/>
      <c r="AK740" s="81"/>
      <c r="AL740" s="76"/>
      <c r="AM740" s="75"/>
      <c r="AN740" s="76"/>
      <c r="AO740" s="95"/>
      <c r="AP740" s="96"/>
      <c r="AQ740" s="85" t="str">
        <f t="shared" si="6"/>
        <v/>
      </c>
      <c r="AR740" s="86" t="str">
        <f t="array" ref="AR740">IF(A740="","",IFERROR(INDEX('2) Etapas'!L$3:L923,MATCH(B740,'2) Etapas'!$A$4:$A923,0),1),-1))</f>
        <v/>
      </c>
      <c r="AS740" s="87" t="str">
        <f t="shared" si="7"/>
        <v/>
      </c>
      <c r="AT740" s="87" t="str">
        <f t="shared" si="8"/>
        <v/>
      </c>
      <c r="AU740" s="87" t="str">
        <f t="shared" si="9"/>
        <v/>
      </c>
      <c r="AV740" s="89" t="str">
        <f t="array" ref="AV740">IF(OR($A740="",$AB740="", $AC740=""),"",MAXA(IF($A740=$A$4:$A923,$AC$4:$AC923)))</f>
        <v/>
      </c>
    </row>
    <row r="741" ht="22.5" customHeight="1">
      <c r="A741" s="76"/>
      <c r="B741" s="68" t="str">
        <f t="shared" si="1"/>
        <v/>
      </c>
      <c r="C741" s="110"/>
      <c r="D741" s="70" t="str">
        <f t="shared" si="2"/>
        <v/>
      </c>
      <c r="E741" s="76"/>
      <c r="F741" s="68" t="str">
        <f t="array" ref="F741">IF($A741="","",IFERROR(INDEX(MA_INDIVIDUALES!C$2:C923, MATCH($A741,MA_INDIVIDUALES!$B$2:$B923,0),1),"CÓDIGO DE EXPEDIENTE INVÁLIDO"))</f>
        <v/>
      </c>
      <c r="G741" s="68" t="str">
        <f t="array" ref="G741">IF($A741="","",IFERROR(INDEX(MA_INDIVIDUALES!K$2:K923, MATCH($A741,MA_INDIVIDUALES!$B$2:$B923,0),1),"CÓDIGO DE EXPEDIENTE INVÁLIDO"))</f>
        <v/>
      </c>
      <c r="H741" s="68" t="str">
        <f t="array" ref="H741">IF($A741="","",IFERROR(INDEX(MA_INDIVIDUALES!L$2:L923, MATCH($A741,MA_INDIVIDUALES!$B$2:$B923,0),1),"CÓDIGO DE EXPEDIENTE INVÁLIDO"))</f>
        <v/>
      </c>
      <c r="I741" s="76"/>
      <c r="J741" s="76"/>
      <c r="K741" s="75"/>
      <c r="L741" s="74" t="str">
        <f>IF(A741="","",IF(K741="","",_xlfn.WORKDAY.INTL(K741,5,1,FERIADOS)))</f>
        <v/>
      </c>
      <c r="M741" s="76"/>
      <c r="N741" s="75"/>
      <c r="O741" s="76"/>
      <c r="P741" s="77" t="str">
        <f t="shared" si="3"/>
        <v/>
      </c>
      <c r="Q741" s="75"/>
      <c r="R741" s="76"/>
      <c r="S741" s="75"/>
      <c r="T741" s="75"/>
      <c r="U741" s="76"/>
      <c r="V741" s="76"/>
      <c r="W741" s="75"/>
      <c r="X741" s="76"/>
      <c r="Y741" s="29" t="str">
        <f t="shared" si="4"/>
        <v/>
      </c>
      <c r="Z741" s="29" t="str">
        <f t="shared" si="5"/>
        <v/>
      </c>
      <c r="AA741" s="76"/>
      <c r="AB741" s="76"/>
      <c r="AC741" s="75"/>
      <c r="AD741" s="75"/>
      <c r="AE741" s="78" t="str">
        <f>IF(U741="","",IF(AD741="","",_xlfn.WORKDAY.INTL(AD741,7,1,FERIADOS)))</f>
        <v/>
      </c>
      <c r="AF741" s="104"/>
      <c r="AG741" s="80" t="str">
        <f t="array" ref="AG741">IF(A741="","",IF(AF741="","",AF741*INDEX(PARAMETROS!F$2:F1804,MATCH(YEAR(AC741),PARAMETROS!E$2:E1804,0),1)))</f>
        <v/>
      </c>
      <c r="AH741" s="81"/>
      <c r="AI741" s="82"/>
      <c r="AJ741" s="81"/>
      <c r="AK741" s="81"/>
      <c r="AL741" s="76"/>
      <c r="AM741" s="75"/>
      <c r="AN741" s="76"/>
      <c r="AO741" s="95"/>
      <c r="AP741" s="96"/>
      <c r="AQ741" s="85" t="str">
        <f t="shared" si="6"/>
        <v/>
      </c>
      <c r="AR741" s="86" t="str">
        <f t="array" ref="AR741">IF(A741="","",IFERROR(INDEX('2) Etapas'!L$3:L923,MATCH(B741,'2) Etapas'!$A$4:$A923,0),1),-1))</f>
        <v/>
      </c>
      <c r="AS741" s="87" t="str">
        <f t="shared" si="7"/>
        <v/>
      </c>
      <c r="AT741" s="87" t="str">
        <f t="shared" si="8"/>
        <v/>
      </c>
      <c r="AU741" s="87" t="str">
        <f t="shared" si="9"/>
        <v/>
      </c>
      <c r="AV741" s="89" t="str">
        <f t="array" ref="AV741">IF(OR($A741="",$AB741="", $AC741=""),"",MAXA(IF($A741=$A$4:$A923,$AC$4:$AC923)))</f>
        <v/>
      </c>
    </row>
    <row r="742" ht="22.5" customHeight="1">
      <c r="A742" s="76"/>
      <c r="B742" s="68" t="str">
        <f t="shared" si="1"/>
        <v/>
      </c>
      <c r="C742" s="110"/>
      <c r="D742" s="70" t="str">
        <f t="shared" si="2"/>
        <v/>
      </c>
      <c r="E742" s="76"/>
      <c r="F742" s="68" t="str">
        <f t="array" ref="F742">IF($A742="","",IFERROR(INDEX(MA_INDIVIDUALES!C$2:C923, MATCH($A742,MA_INDIVIDUALES!$B$2:$B923,0),1),"CÓDIGO DE EXPEDIENTE INVÁLIDO"))</f>
        <v/>
      </c>
      <c r="G742" s="68" t="str">
        <f t="array" ref="G742">IF($A742="","",IFERROR(INDEX(MA_INDIVIDUALES!K$2:K923, MATCH($A742,MA_INDIVIDUALES!$B$2:$B923,0),1),"CÓDIGO DE EXPEDIENTE INVÁLIDO"))</f>
        <v/>
      </c>
      <c r="H742" s="68" t="str">
        <f t="array" ref="H742">IF($A742="","",IFERROR(INDEX(MA_INDIVIDUALES!L$2:L923, MATCH($A742,MA_INDIVIDUALES!$B$2:$B923,0),1),"CÓDIGO DE EXPEDIENTE INVÁLIDO"))</f>
        <v/>
      </c>
      <c r="I742" s="76"/>
      <c r="J742" s="76"/>
      <c r="K742" s="75"/>
      <c r="L742" s="74" t="str">
        <f>IF(A742="","",IF(K742="","",_xlfn.WORKDAY.INTL(K742,5,1,FERIADOS)))</f>
        <v/>
      </c>
      <c r="M742" s="76"/>
      <c r="N742" s="75"/>
      <c r="O742" s="76"/>
      <c r="P742" s="77" t="str">
        <f t="shared" si="3"/>
        <v/>
      </c>
      <c r="Q742" s="75"/>
      <c r="R742" s="76"/>
      <c r="S742" s="75"/>
      <c r="T742" s="75"/>
      <c r="U742" s="76"/>
      <c r="V742" s="76"/>
      <c r="W742" s="75"/>
      <c r="X742" s="76"/>
      <c r="Y742" s="29" t="str">
        <f t="shared" si="4"/>
        <v/>
      </c>
      <c r="Z742" s="29" t="str">
        <f t="shared" si="5"/>
        <v/>
      </c>
      <c r="AA742" s="76"/>
      <c r="AB742" s="76"/>
      <c r="AC742" s="75"/>
      <c r="AD742" s="75"/>
      <c r="AE742" s="78" t="str">
        <f>IF(U742="","",IF(AD742="","",_xlfn.WORKDAY.INTL(AD742,7,1,FERIADOS)))</f>
        <v/>
      </c>
      <c r="AF742" s="104"/>
      <c r="AG742" s="80" t="str">
        <f t="array" ref="AG742">IF(A742="","",IF(AF742="","",AF742*INDEX(PARAMETROS!F$2:F1805,MATCH(YEAR(AC742),PARAMETROS!E$2:E1805,0),1)))</f>
        <v/>
      </c>
      <c r="AH742" s="81"/>
      <c r="AI742" s="82"/>
      <c r="AJ742" s="81"/>
      <c r="AK742" s="81"/>
      <c r="AL742" s="76"/>
      <c r="AM742" s="75"/>
      <c r="AN742" s="76"/>
      <c r="AO742" s="95"/>
      <c r="AP742" s="96"/>
      <c r="AQ742" s="85" t="str">
        <f t="shared" si="6"/>
        <v/>
      </c>
      <c r="AR742" s="86" t="str">
        <f t="array" ref="AR742">IF(A742="","",IFERROR(INDEX('2) Etapas'!L$3:L923,MATCH(B742,'2) Etapas'!$A$4:$A923,0),1),-1))</f>
        <v/>
      </c>
      <c r="AS742" s="87" t="str">
        <f t="shared" si="7"/>
        <v/>
      </c>
      <c r="AT742" s="87" t="str">
        <f t="shared" si="8"/>
        <v/>
      </c>
      <c r="AU742" s="87" t="str">
        <f t="shared" si="9"/>
        <v/>
      </c>
      <c r="AV742" s="89" t="str">
        <f t="array" ref="AV742">IF(OR($A742="",$AB742="", $AC742=""),"",MAXA(IF($A742=$A$4:$A923,$AC$4:$AC923)))</f>
        <v/>
      </c>
    </row>
    <row r="743" ht="22.5" customHeight="1">
      <c r="A743" s="76"/>
      <c r="B743" s="68" t="str">
        <f t="shared" si="1"/>
        <v/>
      </c>
      <c r="C743" s="110"/>
      <c r="D743" s="70" t="str">
        <f t="shared" si="2"/>
        <v/>
      </c>
      <c r="E743" s="76"/>
      <c r="F743" s="68" t="str">
        <f t="array" ref="F743">IF($A743="","",IFERROR(INDEX(MA_INDIVIDUALES!C$2:C923, MATCH($A743,MA_INDIVIDUALES!$B$2:$B923,0),1),"CÓDIGO DE EXPEDIENTE INVÁLIDO"))</f>
        <v/>
      </c>
      <c r="G743" s="68" t="str">
        <f t="array" ref="G743">IF($A743="","",IFERROR(INDEX(MA_INDIVIDUALES!K$2:K923, MATCH($A743,MA_INDIVIDUALES!$B$2:$B923,0),1),"CÓDIGO DE EXPEDIENTE INVÁLIDO"))</f>
        <v/>
      </c>
      <c r="H743" s="68" t="str">
        <f t="array" ref="H743">IF($A743="","",IFERROR(INDEX(MA_INDIVIDUALES!L$2:L923, MATCH($A743,MA_INDIVIDUALES!$B$2:$B923,0),1),"CÓDIGO DE EXPEDIENTE INVÁLIDO"))</f>
        <v/>
      </c>
      <c r="I743" s="76"/>
      <c r="J743" s="76"/>
      <c r="K743" s="75"/>
      <c r="L743" s="74" t="str">
        <f>IF(A743="","",IF(K743="","",_xlfn.WORKDAY.INTL(K743,5,1,FERIADOS)))</f>
        <v/>
      </c>
      <c r="M743" s="76"/>
      <c r="N743" s="75"/>
      <c r="O743" s="76"/>
      <c r="P743" s="77" t="str">
        <f t="shared" si="3"/>
        <v/>
      </c>
      <c r="Q743" s="75"/>
      <c r="R743" s="76"/>
      <c r="S743" s="75"/>
      <c r="T743" s="75"/>
      <c r="U743" s="76"/>
      <c r="V743" s="76"/>
      <c r="W743" s="75"/>
      <c r="X743" s="76"/>
      <c r="Y743" s="29" t="str">
        <f t="shared" si="4"/>
        <v/>
      </c>
      <c r="Z743" s="29" t="str">
        <f t="shared" si="5"/>
        <v/>
      </c>
      <c r="AA743" s="76"/>
      <c r="AB743" s="76"/>
      <c r="AC743" s="75"/>
      <c r="AD743" s="75"/>
      <c r="AE743" s="78" t="str">
        <f>IF(U743="","",IF(AD743="","",_xlfn.WORKDAY.INTL(AD743,7,1,FERIADOS)))</f>
        <v/>
      </c>
      <c r="AF743" s="104"/>
      <c r="AG743" s="80" t="str">
        <f t="array" ref="AG743">IF(A743="","",IF(AF743="","",AF743*INDEX(PARAMETROS!F$2:F1806,MATCH(YEAR(AC743),PARAMETROS!E$2:E1806,0),1)))</f>
        <v/>
      </c>
      <c r="AH743" s="81"/>
      <c r="AI743" s="82"/>
      <c r="AJ743" s="81"/>
      <c r="AK743" s="81"/>
      <c r="AL743" s="76"/>
      <c r="AM743" s="75"/>
      <c r="AN743" s="76"/>
      <c r="AO743" s="95"/>
      <c r="AP743" s="96"/>
      <c r="AQ743" s="85" t="str">
        <f t="shared" si="6"/>
        <v/>
      </c>
      <c r="AR743" s="86" t="str">
        <f t="array" ref="AR743">IF(A743="","",IFERROR(INDEX('2) Etapas'!L$3:L923,MATCH(B743,'2) Etapas'!$A$4:$A923,0),1),-1))</f>
        <v/>
      </c>
      <c r="AS743" s="87" t="str">
        <f t="shared" si="7"/>
        <v/>
      </c>
      <c r="AT743" s="87" t="str">
        <f t="shared" si="8"/>
        <v/>
      </c>
      <c r="AU743" s="87" t="str">
        <f t="shared" si="9"/>
        <v/>
      </c>
      <c r="AV743" s="89" t="str">
        <f t="array" ref="AV743">IF(OR($A743="",$AB743="", $AC743=""),"",MAXA(IF($A743=$A$4:$A923,$AC$4:$AC923)))</f>
        <v/>
      </c>
    </row>
    <row r="744" ht="22.5" customHeight="1">
      <c r="A744" s="76"/>
      <c r="B744" s="68" t="str">
        <f t="shared" si="1"/>
        <v/>
      </c>
      <c r="C744" s="110"/>
      <c r="D744" s="70" t="str">
        <f t="shared" si="2"/>
        <v/>
      </c>
      <c r="E744" s="76"/>
      <c r="F744" s="68" t="str">
        <f t="array" ref="F744">IF($A744="","",IFERROR(INDEX(MA_INDIVIDUALES!C$2:C923, MATCH($A744,MA_INDIVIDUALES!$B$2:$B923,0),1),"CÓDIGO DE EXPEDIENTE INVÁLIDO"))</f>
        <v/>
      </c>
      <c r="G744" s="68" t="str">
        <f t="array" ref="G744">IF($A744="","",IFERROR(INDEX(MA_INDIVIDUALES!K$2:K923, MATCH($A744,MA_INDIVIDUALES!$B$2:$B923,0),1),"CÓDIGO DE EXPEDIENTE INVÁLIDO"))</f>
        <v/>
      </c>
      <c r="H744" s="68" t="str">
        <f t="array" ref="H744">IF($A744="","",IFERROR(INDEX(MA_INDIVIDUALES!L$2:L923, MATCH($A744,MA_INDIVIDUALES!$B$2:$B923,0),1),"CÓDIGO DE EXPEDIENTE INVÁLIDO"))</f>
        <v/>
      </c>
      <c r="I744" s="76"/>
      <c r="J744" s="76"/>
      <c r="K744" s="75"/>
      <c r="L744" s="74" t="str">
        <f>IF(A744="","",IF(K744="","",_xlfn.WORKDAY.INTL(K744,5,1,FERIADOS)))</f>
        <v/>
      </c>
      <c r="M744" s="76"/>
      <c r="N744" s="75"/>
      <c r="O744" s="76"/>
      <c r="P744" s="77" t="str">
        <f t="shared" si="3"/>
        <v/>
      </c>
      <c r="Q744" s="75"/>
      <c r="R744" s="76"/>
      <c r="S744" s="75"/>
      <c r="T744" s="75"/>
      <c r="U744" s="76"/>
      <c r="V744" s="76"/>
      <c r="W744" s="75"/>
      <c r="X744" s="76"/>
      <c r="Y744" s="29" t="str">
        <f t="shared" si="4"/>
        <v/>
      </c>
      <c r="Z744" s="29" t="str">
        <f t="shared" si="5"/>
        <v/>
      </c>
      <c r="AA744" s="76"/>
      <c r="AB744" s="76"/>
      <c r="AC744" s="75"/>
      <c r="AD744" s="75"/>
      <c r="AE744" s="78" t="str">
        <f>IF(U744="","",IF(AD744="","",_xlfn.WORKDAY.INTL(AD744,7,1,FERIADOS)))</f>
        <v/>
      </c>
      <c r="AF744" s="104"/>
      <c r="AG744" s="80" t="str">
        <f t="array" ref="AG744">IF(A744="","",IF(AF744="","",AF744*INDEX(PARAMETROS!F$2:F1807,MATCH(YEAR(AC744),PARAMETROS!E$2:E1807,0),1)))</f>
        <v/>
      </c>
      <c r="AH744" s="81"/>
      <c r="AI744" s="82"/>
      <c r="AJ744" s="81"/>
      <c r="AK744" s="81"/>
      <c r="AL744" s="76"/>
      <c r="AM744" s="75"/>
      <c r="AN744" s="76"/>
      <c r="AO744" s="95"/>
      <c r="AP744" s="96"/>
      <c r="AQ744" s="85" t="str">
        <f t="shared" si="6"/>
        <v/>
      </c>
      <c r="AR744" s="86" t="str">
        <f t="array" ref="AR744">IF(A744="","",IFERROR(INDEX('2) Etapas'!L$3:L923,MATCH(B744,'2) Etapas'!$A$4:$A923,0),1),-1))</f>
        <v/>
      </c>
      <c r="AS744" s="87" t="str">
        <f t="shared" si="7"/>
        <v/>
      </c>
      <c r="AT744" s="87" t="str">
        <f t="shared" si="8"/>
        <v/>
      </c>
      <c r="AU744" s="87" t="str">
        <f t="shared" si="9"/>
        <v/>
      </c>
      <c r="AV744" s="89" t="str">
        <f t="array" ref="AV744">IF(OR($A744="",$AB744="", $AC744=""),"",MAXA(IF($A744=$A$4:$A923,$AC$4:$AC923)))</f>
        <v/>
      </c>
    </row>
    <row r="745" ht="22.5" customHeight="1">
      <c r="A745" s="76"/>
      <c r="B745" s="68" t="str">
        <f t="shared" si="1"/>
        <v/>
      </c>
      <c r="C745" s="110"/>
      <c r="D745" s="70" t="str">
        <f t="shared" si="2"/>
        <v/>
      </c>
      <c r="E745" s="76"/>
      <c r="F745" s="68" t="str">
        <f t="array" ref="F745">IF($A745="","",IFERROR(INDEX(MA_INDIVIDUALES!C$2:C923, MATCH($A745,MA_INDIVIDUALES!$B$2:$B923,0),1),"CÓDIGO DE EXPEDIENTE INVÁLIDO"))</f>
        <v/>
      </c>
      <c r="G745" s="68" t="str">
        <f t="array" ref="G745">IF($A745="","",IFERROR(INDEX(MA_INDIVIDUALES!K$2:K923, MATCH($A745,MA_INDIVIDUALES!$B$2:$B923,0),1),"CÓDIGO DE EXPEDIENTE INVÁLIDO"))</f>
        <v/>
      </c>
      <c r="H745" s="68" t="str">
        <f t="array" ref="H745">IF($A745="","",IFERROR(INDEX(MA_INDIVIDUALES!L$2:L923, MATCH($A745,MA_INDIVIDUALES!$B$2:$B923,0),1),"CÓDIGO DE EXPEDIENTE INVÁLIDO"))</f>
        <v/>
      </c>
      <c r="I745" s="76"/>
      <c r="J745" s="76"/>
      <c r="K745" s="75"/>
      <c r="L745" s="74" t="str">
        <f>IF(A745="","",IF(K745="","",_xlfn.WORKDAY.INTL(K745,5,1,FERIADOS)))</f>
        <v/>
      </c>
      <c r="M745" s="76"/>
      <c r="N745" s="75"/>
      <c r="O745" s="76"/>
      <c r="P745" s="77" t="str">
        <f t="shared" si="3"/>
        <v/>
      </c>
      <c r="Q745" s="75"/>
      <c r="R745" s="76"/>
      <c r="S745" s="75"/>
      <c r="T745" s="75"/>
      <c r="U745" s="76"/>
      <c r="V745" s="76"/>
      <c r="W745" s="75"/>
      <c r="X745" s="76"/>
      <c r="Y745" s="29" t="str">
        <f t="shared" si="4"/>
        <v/>
      </c>
      <c r="Z745" s="29" t="str">
        <f t="shared" si="5"/>
        <v/>
      </c>
      <c r="AA745" s="76"/>
      <c r="AB745" s="76"/>
      <c r="AC745" s="75"/>
      <c r="AD745" s="75"/>
      <c r="AE745" s="78" t="str">
        <f>IF(U745="","",IF(AD745="","",_xlfn.WORKDAY.INTL(AD745,7,1,FERIADOS)))</f>
        <v/>
      </c>
      <c r="AF745" s="104"/>
      <c r="AG745" s="80" t="str">
        <f t="array" ref="AG745">IF(A745="","",IF(AF745="","",AF745*INDEX(PARAMETROS!F$2:F1808,MATCH(YEAR(AC745),PARAMETROS!E$2:E1808,0),1)))</f>
        <v/>
      </c>
      <c r="AH745" s="81"/>
      <c r="AI745" s="82"/>
      <c r="AJ745" s="81"/>
      <c r="AK745" s="81"/>
      <c r="AL745" s="76"/>
      <c r="AM745" s="75"/>
      <c r="AN745" s="76"/>
      <c r="AO745" s="95"/>
      <c r="AP745" s="96"/>
      <c r="AQ745" s="85" t="str">
        <f t="shared" si="6"/>
        <v/>
      </c>
      <c r="AR745" s="86" t="str">
        <f t="array" ref="AR745">IF(A745="","",IFERROR(INDEX('2) Etapas'!L$3:L923,MATCH(B745,'2) Etapas'!$A$4:$A923,0),1),-1))</f>
        <v/>
      </c>
      <c r="AS745" s="87" t="str">
        <f t="shared" si="7"/>
        <v/>
      </c>
      <c r="AT745" s="87" t="str">
        <f t="shared" si="8"/>
        <v/>
      </c>
      <c r="AU745" s="87" t="str">
        <f t="shared" si="9"/>
        <v/>
      </c>
      <c r="AV745" s="89" t="str">
        <f t="array" ref="AV745">IF(OR($A745="",$AB745="", $AC745=""),"",MAXA(IF($A745=$A$4:$A923,$AC$4:$AC923)))</f>
        <v/>
      </c>
    </row>
    <row r="746" ht="22.5" customHeight="1">
      <c r="A746" s="76"/>
      <c r="B746" s="68" t="str">
        <f t="shared" si="1"/>
        <v/>
      </c>
      <c r="C746" s="110"/>
      <c r="D746" s="70" t="str">
        <f t="shared" si="2"/>
        <v/>
      </c>
      <c r="E746" s="76"/>
      <c r="F746" s="68" t="str">
        <f t="array" ref="F746">IF($A746="","",IFERROR(INDEX(MA_INDIVIDUALES!C$2:C923, MATCH($A746,MA_INDIVIDUALES!$B$2:$B923,0),1),"CÓDIGO DE EXPEDIENTE INVÁLIDO"))</f>
        <v/>
      </c>
      <c r="G746" s="68" t="str">
        <f t="array" ref="G746">IF($A746="","",IFERROR(INDEX(MA_INDIVIDUALES!K$2:K923, MATCH($A746,MA_INDIVIDUALES!$B$2:$B923,0),1),"CÓDIGO DE EXPEDIENTE INVÁLIDO"))</f>
        <v/>
      </c>
      <c r="H746" s="68" t="str">
        <f t="array" ref="H746">IF($A746="","",IFERROR(INDEX(MA_INDIVIDUALES!L$2:L923, MATCH($A746,MA_INDIVIDUALES!$B$2:$B923,0),1),"CÓDIGO DE EXPEDIENTE INVÁLIDO"))</f>
        <v/>
      </c>
      <c r="I746" s="76"/>
      <c r="J746" s="76"/>
      <c r="K746" s="75"/>
      <c r="L746" s="74" t="str">
        <f>IF(A746="","",IF(K746="","",_xlfn.WORKDAY.INTL(K746,5,1,FERIADOS)))</f>
        <v/>
      </c>
      <c r="M746" s="76"/>
      <c r="N746" s="75"/>
      <c r="O746" s="76"/>
      <c r="P746" s="77" t="str">
        <f t="shared" si="3"/>
        <v/>
      </c>
      <c r="Q746" s="75"/>
      <c r="R746" s="76"/>
      <c r="S746" s="75"/>
      <c r="T746" s="75"/>
      <c r="U746" s="76"/>
      <c r="V746" s="76"/>
      <c r="W746" s="75"/>
      <c r="X746" s="76"/>
      <c r="Y746" s="29" t="str">
        <f t="shared" si="4"/>
        <v/>
      </c>
      <c r="Z746" s="29" t="str">
        <f t="shared" si="5"/>
        <v/>
      </c>
      <c r="AA746" s="76"/>
      <c r="AB746" s="76"/>
      <c r="AC746" s="75"/>
      <c r="AD746" s="75"/>
      <c r="AE746" s="78" t="str">
        <f>IF(U746="","",IF(AD746="","",_xlfn.WORKDAY.INTL(AD746,7,1,FERIADOS)))</f>
        <v/>
      </c>
      <c r="AF746" s="104"/>
      <c r="AG746" s="80" t="str">
        <f t="array" ref="AG746">IF(A746="","",IF(AF746="","",AF746*INDEX(PARAMETROS!F$2:F1809,MATCH(YEAR(AC746),PARAMETROS!E$2:E1809,0),1)))</f>
        <v/>
      </c>
      <c r="AH746" s="81"/>
      <c r="AI746" s="82"/>
      <c r="AJ746" s="81"/>
      <c r="AK746" s="81"/>
      <c r="AL746" s="76"/>
      <c r="AM746" s="75"/>
      <c r="AN746" s="76"/>
      <c r="AO746" s="95"/>
      <c r="AP746" s="96"/>
      <c r="AQ746" s="85" t="str">
        <f t="shared" si="6"/>
        <v/>
      </c>
      <c r="AR746" s="86" t="str">
        <f t="array" ref="AR746">IF(A746="","",IFERROR(INDEX('2) Etapas'!L$3:L923,MATCH(B746,'2) Etapas'!$A$4:$A923,0),1),-1))</f>
        <v/>
      </c>
      <c r="AS746" s="87" t="str">
        <f t="shared" si="7"/>
        <v/>
      </c>
      <c r="AT746" s="87" t="str">
        <f t="shared" si="8"/>
        <v/>
      </c>
      <c r="AU746" s="87" t="str">
        <f t="shared" si="9"/>
        <v/>
      </c>
      <c r="AV746" s="89" t="str">
        <f t="array" ref="AV746">IF(OR($A746="",$AB746="", $AC746=""),"",MAXA(IF($A746=$A$4:$A923,$AC$4:$AC923)))</f>
        <v/>
      </c>
    </row>
    <row r="747" ht="22.5" customHeight="1">
      <c r="A747" s="76"/>
      <c r="B747" s="68" t="str">
        <f t="shared" si="1"/>
        <v/>
      </c>
      <c r="C747" s="110"/>
      <c r="D747" s="70" t="str">
        <f t="shared" si="2"/>
        <v/>
      </c>
      <c r="E747" s="76"/>
      <c r="F747" s="68" t="str">
        <f t="array" ref="F747">IF($A747="","",IFERROR(INDEX(MA_INDIVIDUALES!C$2:C923, MATCH($A747,MA_INDIVIDUALES!$B$2:$B923,0),1),"CÓDIGO DE EXPEDIENTE INVÁLIDO"))</f>
        <v/>
      </c>
      <c r="G747" s="68" t="str">
        <f t="array" ref="G747">IF($A747="","",IFERROR(INDEX(MA_INDIVIDUALES!K$2:K923, MATCH($A747,MA_INDIVIDUALES!$B$2:$B923,0),1),"CÓDIGO DE EXPEDIENTE INVÁLIDO"))</f>
        <v/>
      </c>
      <c r="H747" s="68" t="str">
        <f t="array" ref="H747">IF($A747="","",IFERROR(INDEX(MA_INDIVIDUALES!L$2:L923, MATCH($A747,MA_INDIVIDUALES!$B$2:$B923,0),1),"CÓDIGO DE EXPEDIENTE INVÁLIDO"))</f>
        <v/>
      </c>
      <c r="I747" s="76"/>
      <c r="J747" s="76"/>
      <c r="K747" s="75"/>
      <c r="L747" s="74" t="str">
        <f>IF(A747="","",IF(K747="","",_xlfn.WORKDAY.INTL(K747,5,1,FERIADOS)))</f>
        <v/>
      </c>
      <c r="M747" s="76"/>
      <c r="N747" s="75"/>
      <c r="O747" s="76"/>
      <c r="P747" s="77" t="str">
        <f t="shared" si="3"/>
        <v/>
      </c>
      <c r="Q747" s="75"/>
      <c r="R747" s="76"/>
      <c r="S747" s="75"/>
      <c r="T747" s="75"/>
      <c r="U747" s="76"/>
      <c r="V747" s="76"/>
      <c r="W747" s="75"/>
      <c r="X747" s="76"/>
      <c r="Y747" s="29" t="str">
        <f t="shared" si="4"/>
        <v/>
      </c>
      <c r="Z747" s="29" t="str">
        <f t="shared" si="5"/>
        <v/>
      </c>
      <c r="AA747" s="76"/>
      <c r="AB747" s="76"/>
      <c r="AC747" s="75"/>
      <c r="AD747" s="75"/>
      <c r="AE747" s="78" t="str">
        <f>IF(U747="","",IF(AD747="","",_xlfn.WORKDAY.INTL(AD747,7,1,FERIADOS)))</f>
        <v/>
      </c>
      <c r="AF747" s="104"/>
      <c r="AG747" s="80" t="str">
        <f t="array" ref="AG747">IF(A747="","",IF(AF747="","",AF747*INDEX(PARAMETROS!F$2:F1810,MATCH(YEAR(AC747),PARAMETROS!E$2:E1810,0),1)))</f>
        <v/>
      </c>
      <c r="AH747" s="81"/>
      <c r="AI747" s="82"/>
      <c r="AJ747" s="81"/>
      <c r="AK747" s="81"/>
      <c r="AL747" s="76"/>
      <c r="AM747" s="75"/>
      <c r="AN747" s="76"/>
      <c r="AO747" s="95"/>
      <c r="AP747" s="96"/>
      <c r="AQ747" s="85" t="str">
        <f t="shared" si="6"/>
        <v/>
      </c>
      <c r="AR747" s="86" t="str">
        <f t="array" ref="AR747">IF(A747="","",IFERROR(INDEX('2) Etapas'!L$3:L923,MATCH(B747,'2) Etapas'!$A$4:$A923,0),1),-1))</f>
        <v/>
      </c>
      <c r="AS747" s="87" t="str">
        <f t="shared" si="7"/>
        <v/>
      </c>
      <c r="AT747" s="87" t="str">
        <f t="shared" si="8"/>
        <v/>
      </c>
      <c r="AU747" s="87" t="str">
        <f t="shared" si="9"/>
        <v/>
      </c>
      <c r="AV747" s="89" t="str">
        <f t="array" ref="AV747">IF(OR($A747="",$AB747="", $AC747=""),"",MAXA(IF($A747=$A$4:$A923,$AC$4:$AC923)))</f>
        <v/>
      </c>
    </row>
    <row r="748" ht="22.5" customHeight="1">
      <c r="A748" s="76"/>
      <c r="B748" s="68" t="str">
        <f t="shared" si="1"/>
        <v/>
      </c>
      <c r="C748" s="110"/>
      <c r="D748" s="70" t="str">
        <f t="shared" si="2"/>
        <v/>
      </c>
      <c r="E748" s="76"/>
      <c r="F748" s="68" t="str">
        <f t="array" ref="F748">IF($A748="","",IFERROR(INDEX(MA_INDIVIDUALES!C$2:C923, MATCH($A748,MA_INDIVIDUALES!$B$2:$B923,0),1),"CÓDIGO DE EXPEDIENTE INVÁLIDO"))</f>
        <v/>
      </c>
      <c r="G748" s="68" t="str">
        <f t="array" ref="G748">IF($A748="","",IFERROR(INDEX(MA_INDIVIDUALES!K$2:K923, MATCH($A748,MA_INDIVIDUALES!$B$2:$B923,0),1),"CÓDIGO DE EXPEDIENTE INVÁLIDO"))</f>
        <v/>
      </c>
      <c r="H748" s="68" t="str">
        <f t="array" ref="H748">IF($A748="","",IFERROR(INDEX(MA_INDIVIDUALES!L$2:L923, MATCH($A748,MA_INDIVIDUALES!$B$2:$B923,0),1),"CÓDIGO DE EXPEDIENTE INVÁLIDO"))</f>
        <v/>
      </c>
      <c r="I748" s="76"/>
      <c r="J748" s="76"/>
      <c r="K748" s="75"/>
      <c r="L748" s="74" t="str">
        <f>IF(A748="","",IF(K748="","",_xlfn.WORKDAY.INTL(K748,5,1,FERIADOS)))</f>
        <v/>
      </c>
      <c r="M748" s="76"/>
      <c r="N748" s="75"/>
      <c r="O748" s="76"/>
      <c r="P748" s="77" t="str">
        <f t="shared" si="3"/>
        <v/>
      </c>
      <c r="Q748" s="75"/>
      <c r="R748" s="76"/>
      <c r="S748" s="75"/>
      <c r="T748" s="75"/>
      <c r="U748" s="76"/>
      <c r="V748" s="76"/>
      <c r="W748" s="75"/>
      <c r="X748" s="76"/>
      <c r="Y748" s="29" t="str">
        <f t="shared" si="4"/>
        <v/>
      </c>
      <c r="Z748" s="29" t="str">
        <f t="shared" si="5"/>
        <v/>
      </c>
      <c r="AA748" s="76"/>
      <c r="AB748" s="76"/>
      <c r="AC748" s="75"/>
      <c r="AD748" s="75"/>
      <c r="AE748" s="78" t="str">
        <f>IF(U748="","",IF(AD748="","",_xlfn.WORKDAY.INTL(AD748,7,1,FERIADOS)))</f>
        <v/>
      </c>
      <c r="AF748" s="104"/>
      <c r="AG748" s="80" t="str">
        <f t="array" ref="AG748">IF(A748="","",IF(AF748="","",AF748*INDEX(PARAMETROS!F$2:F1811,MATCH(YEAR(AC748),PARAMETROS!E$2:E1811,0),1)))</f>
        <v/>
      </c>
      <c r="AH748" s="81"/>
      <c r="AI748" s="82"/>
      <c r="AJ748" s="81"/>
      <c r="AK748" s="81"/>
      <c r="AL748" s="76"/>
      <c r="AM748" s="75"/>
      <c r="AN748" s="76"/>
      <c r="AO748" s="95"/>
      <c r="AP748" s="96"/>
      <c r="AQ748" s="85" t="str">
        <f t="shared" si="6"/>
        <v/>
      </c>
      <c r="AR748" s="86" t="str">
        <f t="array" ref="AR748">IF(A748="","",IFERROR(INDEX('2) Etapas'!L$3:L923,MATCH(B748,'2) Etapas'!$A$4:$A923,0),1),-1))</f>
        <v/>
      </c>
      <c r="AS748" s="87" t="str">
        <f t="shared" si="7"/>
        <v/>
      </c>
      <c r="AT748" s="87" t="str">
        <f t="shared" si="8"/>
        <v/>
      </c>
      <c r="AU748" s="87" t="str">
        <f t="shared" si="9"/>
        <v/>
      </c>
      <c r="AV748" s="89" t="str">
        <f t="array" ref="AV748">IF(OR($A748="",$AB748="", $AC748=""),"",MAXA(IF($A748=$A$4:$A923,$AC$4:$AC923)))</f>
        <v/>
      </c>
    </row>
    <row r="749" ht="22.5" customHeight="1">
      <c r="A749" s="76"/>
      <c r="B749" s="68" t="str">
        <f t="shared" si="1"/>
        <v/>
      </c>
      <c r="C749" s="110"/>
      <c r="D749" s="70" t="str">
        <f t="shared" si="2"/>
        <v/>
      </c>
      <c r="E749" s="76"/>
      <c r="F749" s="68" t="str">
        <f t="array" ref="F749">IF($A749="","",IFERROR(INDEX(MA_INDIVIDUALES!C$2:C923, MATCH($A749,MA_INDIVIDUALES!$B$2:$B923,0),1),"CÓDIGO DE EXPEDIENTE INVÁLIDO"))</f>
        <v/>
      </c>
      <c r="G749" s="68" t="str">
        <f t="array" ref="G749">IF($A749="","",IFERROR(INDEX(MA_INDIVIDUALES!K$2:K923, MATCH($A749,MA_INDIVIDUALES!$B$2:$B923,0),1),"CÓDIGO DE EXPEDIENTE INVÁLIDO"))</f>
        <v/>
      </c>
      <c r="H749" s="68" t="str">
        <f t="array" ref="H749">IF($A749="","",IFERROR(INDEX(MA_INDIVIDUALES!L$2:L923, MATCH($A749,MA_INDIVIDUALES!$B$2:$B923,0),1),"CÓDIGO DE EXPEDIENTE INVÁLIDO"))</f>
        <v/>
      </c>
      <c r="I749" s="76"/>
      <c r="J749" s="76"/>
      <c r="K749" s="75"/>
      <c r="L749" s="74" t="str">
        <f>IF(A749="","",IF(K749="","",_xlfn.WORKDAY.INTL(K749,5,1,FERIADOS)))</f>
        <v/>
      </c>
      <c r="M749" s="76"/>
      <c r="N749" s="75"/>
      <c r="O749" s="76"/>
      <c r="P749" s="77" t="str">
        <f t="shared" si="3"/>
        <v/>
      </c>
      <c r="Q749" s="75"/>
      <c r="R749" s="76"/>
      <c r="S749" s="75"/>
      <c r="T749" s="75"/>
      <c r="U749" s="76"/>
      <c r="V749" s="76"/>
      <c r="W749" s="75"/>
      <c r="X749" s="76"/>
      <c r="Y749" s="29" t="str">
        <f t="shared" si="4"/>
        <v/>
      </c>
      <c r="Z749" s="29" t="str">
        <f t="shared" si="5"/>
        <v/>
      </c>
      <c r="AA749" s="76"/>
      <c r="AB749" s="76"/>
      <c r="AC749" s="75"/>
      <c r="AD749" s="75"/>
      <c r="AE749" s="78" t="str">
        <f>IF(U749="","",IF(AD749="","",_xlfn.WORKDAY.INTL(AD749,7,1,FERIADOS)))</f>
        <v/>
      </c>
      <c r="AF749" s="104"/>
      <c r="AG749" s="80" t="str">
        <f t="array" ref="AG749">IF(A749="","",IF(AF749="","",AF749*INDEX(PARAMETROS!F$2:F1812,MATCH(YEAR(AC749),PARAMETROS!E$2:E1812,0),1)))</f>
        <v/>
      </c>
      <c r="AH749" s="81"/>
      <c r="AI749" s="82"/>
      <c r="AJ749" s="81"/>
      <c r="AK749" s="81"/>
      <c r="AL749" s="76"/>
      <c r="AM749" s="75"/>
      <c r="AN749" s="76"/>
      <c r="AO749" s="95"/>
      <c r="AP749" s="96"/>
      <c r="AQ749" s="85" t="str">
        <f t="shared" si="6"/>
        <v/>
      </c>
      <c r="AR749" s="86" t="str">
        <f t="array" ref="AR749">IF(A749="","",IFERROR(INDEX('2) Etapas'!L$3:L923,MATCH(B749,'2) Etapas'!$A$4:$A923,0),1),-1))</f>
        <v/>
      </c>
      <c r="AS749" s="87" t="str">
        <f t="shared" si="7"/>
        <v/>
      </c>
      <c r="AT749" s="87" t="str">
        <f t="shared" si="8"/>
        <v/>
      </c>
      <c r="AU749" s="87" t="str">
        <f t="shared" si="9"/>
        <v/>
      </c>
      <c r="AV749" s="89" t="str">
        <f t="array" ref="AV749">IF(OR($A749="",$AB749="", $AC749=""),"",MAXA(IF($A749=$A$4:$A923,$AC$4:$AC923)))</f>
        <v/>
      </c>
    </row>
    <row r="750" ht="22.5" customHeight="1">
      <c r="A750" s="76"/>
      <c r="B750" s="68" t="str">
        <f t="shared" si="1"/>
        <v/>
      </c>
      <c r="C750" s="110"/>
      <c r="D750" s="70" t="str">
        <f t="shared" si="2"/>
        <v/>
      </c>
      <c r="E750" s="76"/>
      <c r="F750" s="68" t="str">
        <f t="array" ref="F750">IF($A750="","",IFERROR(INDEX(MA_INDIVIDUALES!C$2:C923, MATCH($A750,MA_INDIVIDUALES!$B$2:$B923,0),1),"CÓDIGO DE EXPEDIENTE INVÁLIDO"))</f>
        <v/>
      </c>
      <c r="G750" s="68" t="str">
        <f t="array" ref="G750">IF($A750="","",IFERROR(INDEX(MA_INDIVIDUALES!K$2:K923, MATCH($A750,MA_INDIVIDUALES!$B$2:$B923,0),1),"CÓDIGO DE EXPEDIENTE INVÁLIDO"))</f>
        <v/>
      </c>
      <c r="H750" s="68" t="str">
        <f t="array" ref="H750">IF($A750="","",IFERROR(INDEX(MA_INDIVIDUALES!L$2:L923, MATCH($A750,MA_INDIVIDUALES!$B$2:$B923,0),1),"CÓDIGO DE EXPEDIENTE INVÁLIDO"))</f>
        <v/>
      </c>
      <c r="I750" s="76"/>
      <c r="J750" s="76"/>
      <c r="K750" s="75"/>
      <c r="L750" s="74" t="str">
        <f>IF(A750="","",IF(K750="","",_xlfn.WORKDAY.INTL(K750,5,1,FERIADOS)))</f>
        <v/>
      </c>
      <c r="M750" s="76"/>
      <c r="N750" s="75"/>
      <c r="O750" s="76"/>
      <c r="P750" s="77" t="str">
        <f t="shared" si="3"/>
        <v/>
      </c>
      <c r="Q750" s="75"/>
      <c r="R750" s="76"/>
      <c r="S750" s="75"/>
      <c r="T750" s="75"/>
      <c r="U750" s="76"/>
      <c r="V750" s="76"/>
      <c r="W750" s="75"/>
      <c r="X750" s="76"/>
      <c r="Y750" s="29" t="str">
        <f t="shared" si="4"/>
        <v/>
      </c>
      <c r="Z750" s="29" t="str">
        <f t="shared" si="5"/>
        <v/>
      </c>
      <c r="AA750" s="76"/>
      <c r="AB750" s="76"/>
      <c r="AC750" s="75"/>
      <c r="AD750" s="75"/>
      <c r="AE750" s="78" t="str">
        <f>IF(U750="","",IF(AD750="","",_xlfn.WORKDAY.INTL(AD750,7,1,FERIADOS)))</f>
        <v/>
      </c>
      <c r="AF750" s="104"/>
      <c r="AG750" s="80" t="str">
        <f t="array" ref="AG750">IF(A750="","",IF(AF750="","",AF750*INDEX(PARAMETROS!F$2:F1813,MATCH(YEAR(AC750),PARAMETROS!E$2:E1813,0),1)))</f>
        <v/>
      </c>
      <c r="AH750" s="81"/>
      <c r="AI750" s="82"/>
      <c r="AJ750" s="81"/>
      <c r="AK750" s="81"/>
      <c r="AL750" s="76"/>
      <c r="AM750" s="75"/>
      <c r="AN750" s="76"/>
      <c r="AO750" s="95"/>
      <c r="AP750" s="96"/>
      <c r="AQ750" s="85" t="str">
        <f t="shared" si="6"/>
        <v/>
      </c>
      <c r="AR750" s="86" t="str">
        <f t="array" ref="AR750">IF(A750="","",IFERROR(INDEX('2) Etapas'!L$3:L923,MATCH(B750,'2) Etapas'!$A$4:$A923,0),1),-1))</f>
        <v/>
      </c>
      <c r="AS750" s="87" t="str">
        <f t="shared" si="7"/>
        <v/>
      </c>
      <c r="AT750" s="87" t="str">
        <f t="shared" si="8"/>
        <v/>
      </c>
      <c r="AU750" s="87" t="str">
        <f t="shared" si="9"/>
        <v/>
      </c>
      <c r="AV750" s="89" t="str">
        <f t="array" ref="AV750">IF(OR($A750="",$AB750="", $AC750=""),"",MAXA(IF($A750=$A$4:$A923,$AC$4:$AC923)))</f>
        <v/>
      </c>
    </row>
    <row r="751" ht="22.5" customHeight="1">
      <c r="A751" s="76"/>
      <c r="B751" s="68" t="str">
        <f t="shared" si="1"/>
        <v/>
      </c>
      <c r="C751" s="110"/>
      <c r="D751" s="70" t="str">
        <f t="shared" si="2"/>
        <v/>
      </c>
      <c r="E751" s="76"/>
      <c r="F751" s="68" t="str">
        <f t="array" ref="F751">IF($A751="","",IFERROR(INDEX(MA_INDIVIDUALES!C$2:C923, MATCH($A751,MA_INDIVIDUALES!$B$2:$B923,0),1),"CÓDIGO DE EXPEDIENTE INVÁLIDO"))</f>
        <v/>
      </c>
      <c r="G751" s="68" t="str">
        <f t="array" ref="G751">IF($A751="","",IFERROR(INDEX(MA_INDIVIDUALES!K$2:K923, MATCH($A751,MA_INDIVIDUALES!$B$2:$B923,0),1),"CÓDIGO DE EXPEDIENTE INVÁLIDO"))</f>
        <v/>
      </c>
      <c r="H751" s="68" t="str">
        <f t="array" ref="H751">IF($A751="","",IFERROR(INDEX(MA_INDIVIDUALES!L$2:L923, MATCH($A751,MA_INDIVIDUALES!$B$2:$B923,0),1),"CÓDIGO DE EXPEDIENTE INVÁLIDO"))</f>
        <v/>
      </c>
      <c r="I751" s="76"/>
      <c r="J751" s="76"/>
      <c r="K751" s="75"/>
      <c r="L751" s="74" t="str">
        <f>IF(A751="","",IF(K751="","",_xlfn.WORKDAY.INTL(K751,5,1,FERIADOS)))</f>
        <v/>
      </c>
      <c r="M751" s="76"/>
      <c r="N751" s="75"/>
      <c r="O751" s="76"/>
      <c r="P751" s="77" t="str">
        <f t="shared" si="3"/>
        <v/>
      </c>
      <c r="Q751" s="75"/>
      <c r="R751" s="76"/>
      <c r="S751" s="75"/>
      <c r="T751" s="75"/>
      <c r="U751" s="76"/>
      <c r="V751" s="76"/>
      <c r="W751" s="75"/>
      <c r="X751" s="76"/>
      <c r="Y751" s="29" t="str">
        <f t="shared" si="4"/>
        <v/>
      </c>
      <c r="Z751" s="29" t="str">
        <f t="shared" si="5"/>
        <v/>
      </c>
      <c r="AA751" s="76"/>
      <c r="AB751" s="76"/>
      <c r="AC751" s="75"/>
      <c r="AD751" s="75"/>
      <c r="AE751" s="78" t="str">
        <f>IF(U751="","",IF(AD751="","",_xlfn.WORKDAY.INTL(AD751,7,1,FERIADOS)))</f>
        <v/>
      </c>
      <c r="AF751" s="104"/>
      <c r="AG751" s="80" t="str">
        <f t="array" ref="AG751">IF(A751="","",IF(AF751="","",AF751*INDEX(PARAMETROS!F$2:F1814,MATCH(YEAR(AC751),PARAMETROS!E$2:E1814,0),1)))</f>
        <v/>
      </c>
      <c r="AH751" s="81"/>
      <c r="AI751" s="82"/>
      <c r="AJ751" s="81"/>
      <c r="AK751" s="81"/>
      <c r="AL751" s="76"/>
      <c r="AM751" s="75"/>
      <c r="AN751" s="76"/>
      <c r="AO751" s="95"/>
      <c r="AP751" s="96"/>
      <c r="AQ751" s="85" t="str">
        <f t="shared" si="6"/>
        <v/>
      </c>
      <c r="AR751" s="86" t="str">
        <f t="array" ref="AR751">IF(A751="","",IFERROR(INDEX('2) Etapas'!L$3:L923,MATCH(B751,'2) Etapas'!$A$4:$A923,0),1),-1))</f>
        <v/>
      </c>
      <c r="AS751" s="87" t="str">
        <f t="shared" si="7"/>
        <v/>
      </c>
      <c r="AT751" s="87" t="str">
        <f t="shared" si="8"/>
        <v/>
      </c>
      <c r="AU751" s="87" t="str">
        <f t="shared" si="9"/>
        <v/>
      </c>
      <c r="AV751" s="89" t="str">
        <f t="array" ref="AV751">IF(OR($A751="",$AB751="", $AC751=""),"",MAXA(IF($A751=$A$4:$A923,$AC$4:$AC923)))</f>
        <v/>
      </c>
    </row>
    <row r="752" ht="22.5" customHeight="1">
      <c r="A752" s="76"/>
      <c r="B752" s="68" t="str">
        <f t="shared" si="1"/>
        <v/>
      </c>
      <c r="C752" s="110"/>
      <c r="D752" s="70" t="str">
        <f t="shared" si="2"/>
        <v/>
      </c>
      <c r="E752" s="76"/>
      <c r="F752" s="68" t="str">
        <f t="array" ref="F752">IF($A752="","",IFERROR(INDEX(MA_INDIVIDUALES!C$2:C923, MATCH($A752,MA_INDIVIDUALES!$B$2:$B923,0),1),"CÓDIGO DE EXPEDIENTE INVÁLIDO"))</f>
        <v/>
      </c>
      <c r="G752" s="68" t="str">
        <f t="array" ref="G752">IF($A752="","",IFERROR(INDEX(MA_INDIVIDUALES!K$2:K923, MATCH($A752,MA_INDIVIDUALES!$B$2:$B923,0),1),"CÓDIGO DE EXPEDIENTE INVÁLIDO"))</f>
        <v/>
      </c>
      <c r="H752" s="68" t="str">
        <f t="array" ref="H752">IF($A752="","",IFERROR(INDEX(MA_INDIVIDUALES!L$2:L923, MATCH($A752,MA_INDIVIDUALES!$B$2:$B923,0),1),"CÓDIGO DE EXPEDIENTE INVÁLIDO"))</f>
        <v/>
      </c>
      <c r="I752" s="76"/>
      <c r="J752" s="76"/>
      <c r="K752" s="75"/>
      <c r="L752" s="74" t="str">
        <f>IF(A752="","",IF(K752="","",_xlfn.WORKDAY.INTL(K752,5,1,FERIADOS)))</f>
        <v/>
      </c>
      <c r="M752" s="76"/>
      <c r="N752" s="75"/>
      <c r="O752" s="76"/>
      <c r="P752" s="77" t="str">
        <f t="shared" si="3"/>
        <v/>
      </c>
      <c r="Q752" s="75"/>
      <c r="R752" s="76"/>
      <c r="S752" s="75"/>
      <c r="T752" s="75"/>
      <c r="U752" s="76"/>
      <c r="V752" s="76"/>
      <c r="W752" s="75"/>
      <c r="X752" s="76"/>
      <c r="Y752" s="29" t="str">
        <f t="shared" si="4"/>
        <v/>
      </c>
      <c r="Z752" s="29" t="str">
        <f t="shared" si="5"/>
        <v/>
      </c>
      <c r="AA752" s="76"/>
      <c r="AB752" s="76"/>
      <c r="AC752" s="75"/>
      <c r="AD752" s="75"/>
      <c r="AE752" s="78" t="str">
        <f>IF(U752="","",IF(AD752="","",_xlfn.WORKDAY.INTL(AD752,7,1,FERIADOS)))</f>
        <v/>
      </c>
      <c r="AF752" s="104"/>
      <c r="AG752" s="80" t="str">
        <f t="array" ref="AG752">IF(A752="","",IF(AF752="","",AF752*INDEX(PARAMETROS!F$2:F1815,MATCH(YEAR(AC752),PARAMETROS!E$2:E1815,0),1)))</f>
        <v/>
      </c>
      <c r="AH752" s="81"/>
      <c r="AI752" s="82"/>
      <c r="AJ752" s="81"/>
      <c r="AK752" s="81"/>
      <c r="AL752" s="76"/>
      <c r="AM752" s="75"/>
      <c r="AN752" s="76"/>
      <c r="AO752" s="95"/>
      <c r="AP752" s="96"/>
      <c r="AQ752" s="85" t="str">
        <f t="shared" si="6"/>
        <v/>
      </c>
      <c r="AR752" s="86" t="str">
        <f t="array" ref="AR752">IF(A752="","",IFERROR(INDEX('2) Etapas'!L$3:L923,MATCH(B752,'2) Etapas'!$A$4:$A923,0),1),-1))</f>
        <v/>
      </c>
      <c r="AS752" s="87" t="str">
        <f t="shared" si="7"/>
        <v/>
      </c>
      <c r="AT752" s="87" t="str">
        <f t="shared" si="8"/>
        <v/>
      </c>
      <c r="AU752" s="87" t="str">
        <f t="shared" si="9"/>
        <v/>
      </c>
      <c r="AV752" s="89" t="str">
        <f t="array" ref="AV752">IF(OR($A752="",$AB752="", $AC752=""),"",MAXA(IF($A752=$A$4:$A923,$AC$4:$AC923)))</f>
        <v/>
      </c>
    </row>
    <row r="753" ht="22.5" customHeight="1">
      <c r="A753" s="76"/>
      <c r="B753" s="68" t="str">
        <f t="shared" si="1"/>
        <v/>
      </c>
      <c r="C753" s="110"/>
      <c r="D753" s="70" t="str">
        <f t="shared" si="2"/>
        <v/>
      </c>
      <c r="E753" s="76"/>
      <c r="F753" s="68" t="str">
        <f t="array" ref="F753">IF($A753="","",IFERROR(INDEX(MA_INDIVIDUALES!C$2:C923, MATCH($A753,MA_INDIVIDUALES!$B$2:$B923,0),1),"CÓDIGO DE EXPEDIENTE INVÁLIDO"))</f>
        <v/>
      </c>
      <c r="G753" s="68" t="str">
        <f t="array" ref="G753">IF($A753="","",IFERROR(INDEX(MA_INDIVIDUALES!K$2:K923, MATCH($A753,MA_INDIVIDUALES!$B$2:$B923,0),1),"CÓDIGO DE EXPEDIENTE INVÁLIDO"))</f>
        <v/>
      </c>
      <c r="H753" s="68" t="str">
        <f t="array" ref="H753">IF($A753="","",IFERROR(INDEX(MA_INDIVIDUALES!L$2:L923, MATCH($A753,MA_INDIVIDUALES!$B$2:$B923,0),1),"CÓDIGO DE EXPEDIENTE INVÁLIDO"))</f>
        <v/>
      </c>
      <c r="I753" s="76"/>
      <c r="J753" s="76"/>
      <c r="K753" s="75"/>
      <c r="L753" s="74" t="str">
        <f>IF(A753="","",IF(K753="","",_xlfn.WORKDAY.INTL(K753,5,1,FERIADOS)))</f>
        <v/>
      </c>
      <c r="M753" s="76"/>
      <c r="N753" s="75"/>
      <c r="O753" s="76"/>
      <c r="P753" s="77" t="str">
        <f t="shared" si="3"/>
        <v/>
      </c>
      <c r="Q753" s="75"/>
      <c r="R753" s="76"/>
      <c r="S753" s="75"/>
      <c r="T753" s="75"/>
      <c r="U753" s="76"/>
      <c r="V753" s="76"/>
      <c r="W753" s="75"/>
      <c r="X753" s="76"/>
      <c r="Y753" s="29" t="str">
        <f t="shared" si="4"/>
        <v/>
      </c>
      <c r="Z753" s="29" t="str">
        <f t="shared" si="5"/>
        <v/>
      </c>
      <c r="AA753" s="76"/>
      <c r="AB753" s="76"/>
      <c r="AC753" s="75"/>
      <c r="AD753" s="75"/>
      <c r="AE753" s="78" t="str">
        <f>IF(U753="","",IF(AD753="","",_xlfn.WORKDAY.INTL(AD753,7,1,FERIADOS)))</f>
        <v/>
      </c>
      <c r="AF753" s="104"/>
      <c r="AG753" s="80" t="str">
        <f t="array" ref="AG753">IF(A753="","",IF(AF753="","",AF753*INDEX(PARAMETROS!F$2:F1816,MATCH(YEAR(AC753),PARAMETROS!E$2:E1816,0),1)))</f>
        <v/>
      </c>
      <c r="AH753" s="81"/>
      <c r="AI753" s="82"/>
      <c r="AJ753" s="81"/>
      <c r="AK753" s="81"/>
      <c r="AL753" s="76"/>
      <c r="AM753" s="75"/>
      <c r="AN753" s="76"/>
      <c r="AO753" s="95"/>
      <c r="AP753" s="96"/>
      <c r="AQ753" s="85" t="str">
        <f t="shared" si="6"/>
        <v/>
      </c>
      <c r="AR753" s="86" t="str">
        <f t="array" ref="AR753">IF(A753="","",IFERROR(INDEX('2) Etapas'!L$3:L923,MATCH(B753,'2) Etapas'!$A$4:$A923,0),1),-1))</f>
        <v/>
      </c>
      <c r="AS753" s="87" t="str">
        <f t="shared" si="7"/>
        <v/>
      </c>
      <c r="AT753" s="87" t="str">
        <f t="shared" si="8"/>
        <v/>
      </c>
      <c r="AU753" s="87" t="str">
        <f t="shared" si="9"/>
        <v/>
      </c>
      <c r="AV753" s="89" t="str">
        <f t="array" ref="AV753">IF(OR($A753="",$AB753="", $AC753=""),"",MAXA(IF($A753=$A$4:$A923,$AC$4:$AC923)))</f>
        <v/>
      </c>
    </row>
    <row r="754" ht="22.5" customHeight="1">
      <c r="A754" s="76"/>
      <c r="B754" s="68" t="str">
        <f t="shared" si="1"/>
        <v/>
      </c>
      <c r="C754" s="110"/>
      <c r="D754" s="70" t="str">
        <f t="shared" si="2"/>
        <v/>
      </c>
      <c r="E754" s="76"/>
      <c r="F754" s="68" t="str">
        <f t="array" ref="F754">IF($A754="","",IFERROR(INDEX(MA_INDIVIDUALES!C$2:C923, MATCH($A754,MA_INDIVIDUALES!$B$2:$B923,0),1),"CÓDIGO DE EXPEDIENTE INVÁLIDO"))</f>
        <v/>
      </c>
      <c r="G754" s="68" t="str">
        <f t="array" ref="G754">IF($A754="","",IFERROR(INDEX(MA_INDIVIDUALES!K$2:K923, MATCH($A754,MA_INDIVIDUALES!$B$2:$B923,0),1),"CÓDIGO DE EXPEDIENTE INVÁLIDO"))</f>
        <v/>
      </c>
      <c r="H754" s="68" t="str">
        <f t="array" ref="H754">IF($A754="","",IFERROR(INDEX(MA_INDIVIDUALES!L$2:L923, MATCH($A754,MA_INDIVIDUALES!$B$2:$B923,0),1),"CÓDIGO DE EXPEDIENTE INVÁLIDO"))</f>
        <v/>
      </c>
      <c r="I754" s="76"/>
      <c r="J754" s="76"/>
      <c r="K754" s="75"/>
      <c r="L754" s="74" t="str">
        <f>IF(A754="","",IF(K754="","",_xlfn.WORKDAY.INTL(K754,5,1,FERIADOS)))</f>
        <v/>
      </c>
      <c r="M754" s="76"/>
      <c r="N754" s="75"/>
      <c r="O754" s="76"/>
      <c r="P754" s="77" t="str">
        <f t="shared" si="3"/>
        <v/>
      </c>
      <c r="Q754" s="75"/>
      <c r="R754" s="76"/>
      <c r="S754" s="75"/>
      <c r="T754" s="75"/>
      <c r="U754" s="76"/>
      <c r="V754" s="76"/>
      <c r="W754" s="75"/>
      <c r="X754" s="76"/>
      <c r="Y754" s="29" t="str">
        <f t="shared" si="4"/>
        <v/>
      </c>
      <c r="Z754" s="29" t="str">
        <f t="shared" si="5"/>
        <v/>
      </c>
      <c r="AA754" s="76"/>
      <c r="AB754" s="76"/>
      <c r="AC754" s="75"/>
      <c r="AD754" s="75"/>
      <c r="AE754" s="78" t="str">
        <f>IF(U754="","",IF(AD754="","",_xlfn.WORKDAY.INTL(AD754,7,1,FERIADOS)))</f>
        <v/>
      </c>
      <c r="AF754" s="104"/>
      <c r="AG754" s="80" t="str">
        <f t="array" ref="AG754">IF(A754="","",IF(AF754="","",AF754*INDEX(PARAMETROS!F$2:F1817,MATCH(YEAR(AC754),PARAMETROS!E$2:E1817,0),1)))</f>
        <v/>
      </c>
      <c r="AH754" s="81"/>
      <c r="AI754" s="82"/>
      <c r="AJ754" s="81"/>
      <c r="AK754" s="81"/>
      <c r="AL754" s="76"/>
      <c r="AM754" s="75"/>
      <c r="AN754" s="76"/>
      <c r="AO754" s="95"/>
      <c r="AP754" s="96"/>
      <c r="AQ754" s="85" t="str">
        <f t="shared" si="6"/>
        <v/>
      </c>
      <c r="AR754" s="86" t="str">
        <f t="array" ref="AR754">IF(A754="","",IFERROR(INDEX('2) Etapas'!L$3:L923,MATCH(B754,'2) Etapas'!$A$4:$A923,0),1),-1))</f>
        <v/>
      </c>
      <c r="AS754" s="87" t="str">
        <f t="shared" si="7"/>
        <v/>
      </c>
      <c r="AT754" s="87" t="str">
        <f t="shared" si="8"/>
        <v/>
      </c>
      <c r="AU754" s="87" t="str">
        <f t="shared" si="9"/>
        <v/>
      </c>
      <c r="AV754" s="89" t="str">
        <f t="array" ref="AV754">IF(OR($A754="",$AB754="", $AC754=""),"",MAXA(IF($A754=$A$4:$A923,$AC$4:$AC923)))</f>
        <v/>
      </c>
    </row>
    <row r="755" ht="22.5" customHeight="1">
      <c r="A755" s="76"/>
      <c r="B755" s="68" t="str">
        <f t="shared" si="1"/>
        <v/>
      </c>
      <c r="C755" s="110"/>
      <c r="D755" s="70" t="str">
        <f t="shared" si="2"/>
        <v/>
      </c>
      <c r="E755" s="76"/>
      <c r="F755" s="68" t="str">
        <f t="array" ref="F755">IF($A755="","",IFERROR(INDEX(MA_INDIVIDUALES!C$2:C923, MATCH($A755,MA_INDIVIDUALES!$B$2:$B923,0),1),"CÓDIGO DE EXPEDIENTE INVÁLIDO"))</f>
        <v/>
      </c>
      <c r="G755" s="68" t="str">
        <f t="array" ref="G755">IF($A755="","",IFERROR(INDEX(MA_INDIVIDUALES!K$2:K923, MATCH($A755,MA_INDIVIDUALES!$B$2:$B923,0),1),"CÓDIGO DE EXPEDIENTE INVÁLIDO"))</f>
        <v/>
      </c>
      <c r="H755" s="68" t="str">
        <f t="array" ref="H755">IF($A755="","",IFERROR(INDEX(MA_INDIVIDUALES!L$2:L923, MATCH($A755,MA_INDIVIDUALES!$B$2:$B923,0),1),"CÓDIGO DE EXPEDIENTE INVÁLIDO"))</f>
        <v/>
      </c>
      <c r="I755" s="76"/>
      <c r="J755" s="76"/>
      <c r="K755" s="75"/>
      <c r="L755" s="74" t="str">
        <f>IF(A755="","",IF(K755="","",_xlfn.WORKDAY.INTL(K755,5,1,FERIADOS)))</f>
        <v/>
      </c>
      <c r="M755" s="76"/>
      <c r="N755" s="75"/>
      <c r="O755" s="76"/>
      <c r="P755" s="77" t="str">
        <f t="shared" si="3"/>
        <v/>
      </c>
      <c r="Q755" s="75"/>
      <c r="R755" s="76"/>
      <c r="S755" s="75"/>
      <c r="T755" s="75"/>
      <c r="U755" s="76"/>
      <c r="V755" s="76"/>
      <c r="W755" s="75"/>
      <c r="X755" s="76"/>
      <c r="Y755" s="29" t="str">
        <f t="shared" si="4"/>
        <v/>
      </c>
      <c r="Z755" s="29" t="str">
        <f t="shared" si="5"/>
        <v/>
      </c>
      <c r="AA755" s="76"/>
      <c r="AB755" s="76"/>
      <c r="AC755" s="75"/>
      <c r="AD755" s="75"/>
      <c r="AE755" s="78" t="str">
        <f>IF(U755="","",IF(AD755="","",_xlfn.WORKDAY.INTL(AD755,7,1,FERIADOS)))</f>
        <v/>
      </c>
      <c r="AF755" s="104"/>
      <c r="AG755" s="80" t="str">
        <f t="array" ref="AG755">IF(A755="","",IF(AF755="","",AF755*INDEX(PARAMETROS!F$2:F1818,MATCH(YEAR(AC755),PARAMETROS!E$2:E1818,0),1)))</f>
        <v/>
      </c>
      <c r="AH755" s="81"/>
      <c r="AI755" s="82"/>
      <c r="AJ755" s="81"/>
      <c r="AK755" s="81"/>
      <c r="AL755" s="76"/>
      <c r="AM755" s="75"/>
      <c r="AN755" s="76"/>
      <c r="AO755" s="95"/>
      <c r="AP755" s="96"/>
      <c r="AQ755" s="85" t="str">
        <f t="shared" si="6"/>
        <v/>
      </c>
      <c r="AR755" s="86" t="str">
        <f t="array" ref="AR755">IF(A755="","",IFERROR(INDEX('2) Etapas'!L$3:L923,MATCH(B755,'2) Etapas'!$A$4:$A923,0),1),-1))</f>
        <v/>
      </c>
      <c r="AS755" s="87" t="str">
        <f t="shared" si="7"/>
        <v/>
      </c>
      <c r="AT755" s="87" t="str">
        <f t="shared" si="8"/>
        <v/>
      </c>
      <c r="AU755" s="87" t="str">
        <f t="shared" si="9"/>
        <v/>
      </c>
      <c r="AV755" s="89" t="str">
        <f t="array" ref="AV755">IF(OR($A755="",$AB755="", $AC755=""),"",MAXA(IF($A755=$A$4:$A923,$AC$4:$AC923)))</f>
        <v/>
      </c>
    </row>
    <row r="756" ht="22.5" customHeight="1">
      <c r="A756" s="76"/>
      <c r="B756" s="68" t="str">
        <f t="shared" si="1"/>
        <v/>
      </c>
      <c r="C756" s="110"/>
      <c r="D756" s="70" t="str">
        <f t="shared" si="2"/>
        <v/>
      </c>
      <c r="E756" s="76"/>
      <c r="F756" s="68" t="str">
        <f t="array" ref="F756">IF($A756="","",IFERROR(INDEX(MA_INDIVIDUALES!C$2:C923, MATCH($A756,MA_INDIVIDUALES!$B$2:$B923,0),1),"CÓDIGO DE EXPEDIENTE INVÁLIDO"))</f>
        <v/>
      </c>
      <c r="G756" s="68" t="str">
        <f t="array" ref="G756">IF($A756="","",IFERROR(INDEX(MA_INDIVIDUALES!K$2:K923, MATCH($A756,MA_INDIVIDUALES!$B$2:$B923,0),1),"CÓDIGO DE EXPEDIENTE INVÁLIDO"))</f>
        <v/>
      </c>
      <c r="H756" s="68" t="str">
        <f t="array" ref="H756">IF($A756="","",IFERROR(INDEX(MA_INDIVIDUALES!L$2:L923, MATCH($A756,MA_INDIVIDUALES!$B$2:$B923,0),1),"CÓDIGO DE EXPEDIENTE INVÁLIDO"))</f>
        <v/>
      </c>
      <c r="I756" s="76"/>
      <c r="J756" s="76"/>
      <c r="K756" s="75"/>
      <c r="L756" s="74" t="str">
        <f>IF(A756="","",IF(K756="","",_xlfn.WORKDAY.INTL(K756,5,1,FERIADOS)))</f>
        <v/>
      </c>
      <c r="M756" s="76"/>
      <c r="N756" s="75"/>
      <c r="O756" s="76"/>
      <c r="P756" s="77" t="str">
        <f t="shared" si="3"/>
        <v/>
      </c>
      <c r="Q756" s="75"/>
      <c r="R756" s="76"/>
      <c r="S756" s="75"/>
      <c r="T756" s="75"/>
      <c r="U756" s="76"/>
      <c r="V756" s="76"/>
      <c r="W756" s="75"/>
      <c r="X756" s="76"/>
      <c r="Y756" s="29" t="str">
        <f t="shared" si="4"/>
        <v/>
      </c>
      <c r="Z756" s="29" t="str">
        <f t="shared" si="5"/>
        <v/>
      </c>
      <c r="AA756" s="76"/>
      <c r="AB756" s="76"/>
      <c r="AC756" s="75"/>
      <c r="AD756" s="75"/>
      <c r="AE756" s="78" t="str">
        <f>IF(U756="","",IF(AD756="","",_xlfn.WORKDAY.INTL(AD756,7,1,FERIADOS)))</f>
        <v/>
      </c>
      <c r="AF756" s="104"/>
      <c r="AG756" s="80" t="str">
        <f t="array" ref="AG756">IF(A756="","",IF(AF756="","",AF756*INDEX(PARAMETROS!F$2:F1819,MATCH(YEAR(AC756),PARAMETROS!E$2:E1819,0),1)))</f>
        <v/>
      </c>
      <c r="AH756" s="81"/>
      <c r="AI756" s="82"/>
      <c r="AJ756" s="81"/>
      <c r="AK756" s="81"/>
      <c r="AL756" s="76"/>
      <c r="AM756" s="75"/>
      <c r="AN756" s="76"/>
      <c r="AO756" s="95"/>
      <c r="AP756" s="96"/>
      <c r="AQ756" s="85" t="str">
        <f t="shared" si="6"/>
        <v/>
      </c>
      <c r="AR756" s="86" t="str">
        <f t="array" ref="AR756">IF(A756="","",IFERROR(INDEX('2) Etapas'!L$3:L923,MATCH(B756,'2) Etapas'!$A$4:$A923,0),1),-1))</f>
        <v/>
      </c>
      <c r="AS756" s="87" t="str">
        <f t="shared" si="7"/>
        <v/>
      </c>
      <c r="AT756" s="87" t="str">
        <f t="shared" si="8"/>
        <v/>
      </c>
      <c r="AU756" s="87" t="str">
        <f t="shared" si="9"/>
        <v/>
      </c>
      <c r="AV756" s="89" t="str">
        <f t="array" ref="AV756">IF(OR($A756="",$AB756="", $AC756=""),"",MAXA(IF($A756=$A$4:$A923,$AC$4:$AC923)))</f>
        <v/>
      </c>
    </row>
    <row r="757" ht="22.5" customHeight="1">
      <c r="A757" s="76"/>
      <c r="B757" s="68" t="str">
        <f t="shared" si="1"/>
        <v/>
      </c>
      <c r="C757" s="110"/>
      <c r="D757" s="70" t="str">
        <f t="shared" si="2"/>
        <v/>
      </c>
      <c r="E757" s="76"/>
      <c r="F757" s="68" t="str">
        <f t="array" ref="F757">IF($A757="","",IFERROR(INDEX(MA_INDIVIDUALES!C$2:C923, MATCH($A757,MA_INDIVIDUALES!$B$2:$B923,0),1),"CÓDIGO DE EXPEDIENTE INVÁLIDO"))</f>
        <v/>
      </c>
      <c r="G757" s="68" t="str">
        <f t="array" ref="G757">IF($A757="","",IFERROR(INDEX(MA_INDIVIDUALES!K$2:K923, MATCH($A757,MA_INDIVIDUALES!$B$2:$B923,0),1),"CÓDIGO DE EXPEDIENTE INVÁLIDO"))</f>
        <v/>
      </c>
      <c r="H757" s="68" t="str">
        <f t="array" ref="H757">IF($A757="","",IFERROR(INDEX(MA_INDIVIDUALES!L$2:L923, MATCH($A757,MA_INDIVIDUALES!$B$2:$B923,0),1),"CÓDIGO DE EXPEDIENTE INVÁLIDO"))</f>
        <v/>
      </c>
      <c r="I757" s="76"/>
      <c r="J757" s="76"/>
      <c r="K757" s="75"/>
      <c r="L757" s="74" t="str">
        <f>IF(A757="","",IF(K757="","",_xlfn.WORKDAY.INTL(K757,5,1,FERIADOS)))</f>
        <v/>
      </c>
      <c r="M757" s="76"/>
      <c r="N757" s="75"/>
      <c r="O757" s="76"/>
      <c r="P757" s="77" t="str">
        <f t="shared" si="3"/>
        <v/>
      </c>
      <c r="Q757" s="75"/>
      <c r="R757" s="76"/>
      <c r="S757" s="75"/>
      <c r="T757" s="75"/>
      <c r="U757" s="76"/>
      <c r="V757" s="76"/>
      <c r="W757" s="75"/>
      <c r="X757" s="76"/>
      <c r="Y757" s="29" t="str">
        <f t="shared" si="4"/>
        <v/>
      </c>
      <c r="Z757" s="29" t="str">
        <f t="shared" si="5"/>
        <v/>
      </c>
      <c r="AA757" s="76"/>
      <c r="AB757" s="76"/>
      <c r="AC757" s="75"/>
      <c r="AD757" s="75"/>
      <c r="AE757" s="78" t="str">
        <f>IF(U757="","",IF(AD757="","",_xlfn.WORKDAY.INTL(AD757,7,1,FERIADOS)))</f>
        <v/>
      </c>
      <c r="AF757" s="104"/>
      <c r="AG757" s="80" t="str">
        <f t="array" ref="AG757">IF(A757="","",IF(AF757="","",AF757*INDEX(PARAMETROS!F$2:F1820,MATCH(YEAR(AC757),PARAMETROS!E$2:E1820,0),1)))</f>
        <v/>
      </c>
      <c r="AH757" s="81"/>
      <c r="AI757" s="82"/>
      <c r="AJ757" s="81"/>
      <c r="AK757" s="81"/>
      <c r="AL757" s="76"/>
      <c r="AM757" s="75"/>
      <c r="AN757" s="76"/>
      <c r="AO757" s="95"/>
      <c r="AP757" s="96"/>
      <c r="AQ757" s="85" t="str">
        <f t="shared" si="6"/>
        <v/>
      </c>
      <c r="AR757" s="86" t="str">
        <f t="array" ref="AR757">IF(A757="","",IFERROR(INDEX('2) Etapas'!L$3:L923,MATCH(B757,'2) Etapas'!$A$4:$A923,0),1),-1))</f>
        <v/>
      </c>
      <c r="AS757" s="87" t="str">
        <f t="shared" si="7"/>
        <v/>
      </c>
      <c r="AT757" s="87" t="str">
        <f t="shared" si="8"/>
        <v/>
      </c>
      <c r="AU757" s="87" t="str">
        <f t="shared" si="9"/>
        <v/>
      </c>
      <c r="AV757" s="89" t="str">
        <f t="array" ref="AV757">IF(OR($A757="",$AB757="", $AC757=""),"",MAXA(IF($A757=$A$4:$A923,$AC$4:$AC923)))</f>
        <v/>
      </c>
    </row>
    <row r="758" ht="22.5" customHeight="1">
      <c r="A758" s="76"/>
      <c r="B758" s="68" t="str">
        <f t="shared" si="1"/>
        <v/>
      </c>
      <c r="C758" s="110"/>
      <c r="D758" s="70" t="str">
        <f t="shared" si="2"/>
        <v/>
      </c>
      <c r="E758" s="76"/>
      <c r="F758" s="68" t="str">
        <f t="array" ref="F758">IF($A758="","",IFERROR(INDEX(MA_INDIVIDUALES!C$2:C923, MATCH($A758,MA_INDIVIDUALES!$B$2:$B923,0),1),"CÓDIGO DE EXPEDIENTE INVÁLIDO"))</f>
        <v/>
      </c>
      <c r="G758" s="68" t="str">
        <f t="array" ref="G758">IF($A758="","",IFERROR(INDEX(MA_INDIVIDUALES!K$2:K923, MATCH($A758,MA_INDIVIDUALES!$B$2:$B923,0),1),"CÓDIGO DE EXPEDIENTE INVÁLIDO"))</f>
        <v/>
      </c>
      <c r="H758" s="68" t="str">
        <f t="array" ref="H758">IF($A758="","",IFERROR(INDEX(MA_INDIVIDUALES!L$2:L923, MATCH($A758,MA_INDIVIDUALES!$B$2:$B923,0),1),"CÓDIGO DE EXPEDIENTE INVÁLIDO"))</f>
        <v/>
      </c>
      <c r="I758" s="76"/>
      <c r="J758" s="76"/>
      <c r="K758" s="75"/>
      <c r="L758" s="74" t="str">
        <f>IF(A758="","",IF(K758="","",_xlfn.WORKDAY.INTL(K758,5,1,FERIADOS)))</f>
        <v/>
      </c>
      <c r="M758" s="76"/>
      <c r="N758" s="75"/>
      <c r="O758" s="76"/>
      <c r="P758" s="77" t="str">
        <f t="shared" si="3"/>
        <v/>
      </c>
      <c r="Q758" s="75"/>
      <c r="R758" s="76"/>
      <c r="S758" s="75"/>
      <c r="T758" s="75"/>
      <c r="U758" s="76"/>
      <c r="V758" s="76"/>
      <c r="W758" s="75"/>
      <c r="X758" s="76"/>
      <c r="Y758" s="29" t="str">
        <f t="shared" si="4"/>
        <v/>
      </c>
      <c r="Z758" s="29" t="str">
        <f t="shared" si="5"/>
        <v/>
      </c>
      <c r="AA758" s="76"/>
      <c r="AB758" s="76"/>
      <c r="AC758" s="75"/>
      <c r="AD758" s="75"/>
      <c r="AE758" s="78" t="str">
        <f>IF(U758="","",IF(AD758="","",_xlfn.WORKDAY.INTL(AD758,7,1,FERIADOS)))</f>
        <v/>
      </c>
      <c r="AF758" s="104"/>
      <c r="AG758" s="80" t="str">
        <f t="array" ref="AG758">IF(A758="","",IF(AF758="","",AF758*INDEX(PARAMETROS!F$2:F1821,MATCH(YEAR(AC758),PARAMETROS!E$2:E1821,0),1)))</f>
        <v/>
      </c>
      <c r="AH758" s="81"/>
      <c r="AI758" s="82"/>
      <c r="AJ758" s="81"/>
      <c r="AK758" s="81"/>
      <c r="AL758" s="76"/>
      <c r="AM758" s="75"/>
      <c r="AN758" s="76"/>
      <c r="AO758" s="95"/>
      <c r="AP758" s="96"/>
      <c r="AQ758" s="85" t="str">
        <f t="shared" si="6"/>
        <v/>
      </c>
      <c r="AR758" s="86" t="str">
        <f t="array" ref="AR758">IF(A758="","",IFERROR(INDEX('2) Etapas'!L$3:L923,MATCH(B758,'2) Etapas'!$A$4:$A923,0),1),-1))</f>
        <v/>
      </c>
      <c r="AS758" s="87" t="str">
        <f t="shared" si="7"/>
        <v/>
      </c>
      <c r="AT758" s="87" t="str">
        <f t="shared" si="8"/>
        <v/>
      </c>
      <c r="AU758" s="87" t="str">
        <f t="shared" si="9"/>
        <v/>
      </c>
      <c r="AV758" s="89" t="str">
        <f t="array" ref="AV758">IF(OR($A758="",$AB758="", $AC758=""),"",MAXA(IF($A758=$A$4:$A923,$AC$4:$AC923)))</f>
        <v/>
      </c>
    </row>
    <row r="759" ht="22.5" customHeight="1">
      <c r="A759" s="76"/>
      <c r="B759" s="68" t="str">
        <f t="shared" si="1"/>
        <v/>
      </c>
      <c r="C759" s="110"/>
      <c r="D759" s="70" t="str">
        <f t="shared" si="2"/>
        <v/>
      </c>
      <c r="E759" s="76"/>
      <c r="F759" s="68" t="str">
        <f t="array" ref="F759">IF($A759="","",IFERROR(INDEX(MA_INDIVIDUALES!C$2:C923, MATCH($A759,MA_INDIVIDUALES!$B$2:$B923,0),1),"CÓDIGO DE EXPEDIENTE INVÁLIDO"))</f>
        <v/>
      </c>
      <c r="G759" s="68" t="str">
        <f t="array" ref="G759">IF($A759="","",IFERROR(INDEX(MA_INDIVIDUALES!K$2:K923, MATCH($A759,MA_INDIVIDUALES!$B$2:$B923,0),1),"CÓDIGO DE EXPEDIENTE INVÁLIDO"))</f>
        <v/>
      </c>
      <c r="H759" s="68" t="str">
        <f t="array" ref="H759">IF($A759="","",IFERROR(INDEX(MA_INDIVIDUALES!L$2:L923, MATCH($A759,MA_INDIVIDUALES!$B$2:$B923,0),1),"CÓDIGO DE EXPEDIENTE INVÁLIDO"))</f>
        <v/>
      </c>
      <c r="I759" s="76"/>
      <c r="J759" s="76"/>
      <c r="K759" s="75"/>
      <c r="L759" s="74" t="str">
        <f>IF(A759="","",IF(K759="","",_xlfn.WORKDAY.INTL(K759,5,1,FERIADOS)))</f>
        <v/>
      </c>
      <c r="M759" s="76"/>
      <c r="N759" s="75"/>
      <c r="O759" s="76"/>
      <c r="P759" s="77" t="str">
        <f t="shared" si="3"/>
        <v/>
      </c>
      <c r="Q759" s="75"/>
      <c r="R759" s="76"/>
      <c r="S759" s="75"/>
      <c r="T759" s="75"/>
      <c r="U759" s="76"/>
      <c r="V759" s="76"/>
      <c r="W759" s="75"/>
      <c r="X759" s="76"/>
      <c r="Y759" s="29" t="str">
        <f t="shared" si="4"/>
        <v/>
      </c>
      <c r="Z759" s="29" t="str">
        <f t="shared" si="5"/>
        <v/>
      </c>
      <c r="AA759" s="76"/>
      <c r="AB759" s="76"/>
      <c r="AC759" s="75"/>
      <c r="AD759" s="75"/>
      <c r="AE759" s="78" t="str">
        <f>IF(U759="","",IF(AD759="","",_xlfn.WORKDAY.INTL(AD759,7,1,FERIADOS)))</f>
        <v/>
      </c>
      <c r="AF759" s="104"/>
      <c r="AG759" s="80" t="str">
        <f t="array" ref="AG759">IF(A759="","",IF(AF759="","",AF759*INDEX(PARAMETROS!F$2:F1822,MATCH(YEAR(AC759),PARAMETROS!E$2:E1822,0),1)))</f>
        <v/>
      </c>
      <c r="AH759" s="81"/>
      <c r="AI759" s="82"/>
      <c r="AJ759" s="81"/>
      <c r="AK759" s="81"/>
      <c r="AL759" s="76"/>
      <c r="AM759" s="75"/>
      <c r="AN759" s="76"/>
      <c r="AO759" s="95"/>
      <c r="AP759" s="96"/>
      <c r="AQ759" s="85" t="str">
        <f t="shared" si="6"/>
        <v/>
      </c>
      <c r="AR759" s="86" t="str">
        <f t="array" ref="AR759">IF(A759="","",IFERROR(INDEX('2) Etapas'!L$3:L923,MATCH(B759,'2) Etapas'!$A$4:$A923,0),1),-1))</f>
        <v/>
      </c>
      <c r="AS759" s="87" t="str">
        <f t="shared" si="7"/>
        <v/>
      </c>
      <c r="AT759" s="87" t="str">
        <f t="shared" si="8"/>
        <v/>
      </c>
      <c r="AU759" s="87" t="str">
        <f t="shared" si="9"/>
        <v/>
      </c>
      <c r="AV759" s="89" t="str">
        <f t="array" ref="AV759">IF(OR($A759="",$AB759="", $AC759=""),"",MAXA(IF($A759=$A$4:$A923,$AC$4:$AC923)))</f>
        <v/>
      </c>
    </row>
    <row r="760" ht="22.5" customHeight="1">
      <c r="A760" s="76"/>
      <c r="B760" s="68" t="str">
        <f t="shared" si="1"/>
        <v/>
      </c>
      <c r="C760" s="110"/>
      <c r="D760" s="70" t="str">
        <f t="shared" si="2"/>
        <v/>
      </c>
      <c r="E760" s="76"/>
      <c r="F760" s="68" t="str">
        <f t="array" ref="F760">IF($A760="","",IFERROR(INDEX(MA_INDIVIDUALES!C$2:C923, MATCH($A760,MA_INDIVIDUALES!$B$2:$B923,0),1),"CÓDIGO DE EXPEDIENTE INVÁLIDO"))</f>
        <v/>
      </c>
      <c r="G760" s="68" t="str">
        <f t="array" ref="G760">IF($A760="","",IFERROR(INDEX(MA_INDIVIDUALES!K$2:K923, MATCH($A760,MA_INDIVIDUALES!$B$2:$B923,0),1),"CÓDIGO DE EXPEDIENTE INVÁLIDO"))</f>
        <v/>
      </c>
      <c r="H760" s="68" t="str">
        <f t="array" ref="H760">IF($A760="","",IFERROR(INDEX(MA_INDIVIDUALES!L$2:L923, MATCH($A760,MA_INDIVIDUALES!$B$2:$B923,0),1),"CÓDIGO DE EXPEDIENTE INVÁLIDO"))</f>
        <v/>
      </c>
      <c r="I760" s="76"/>
      <c r="J760" s="76"/>
      <c r="K760" s="75"/>
      <c r="L760" s="74" t="str">
        <f>IF(A760="","",IF(K760="","",_xlfn.WORKDAY.INTL(K760,5,1,FERIADOS)))</f>
        <v/>
      </c>
      <c r="M760" s="76"/>
      <c r="N760" s="75"/>
      <c r="O760" s="76"/>
      <c r="P760" s="77" t="str">
        <f t="shared" si="3"/>
        <v/>
      </c>
      <c r="Q760" s="75"/>
      <c r="R760" s="76"/>
      <c r="S760" s="75"/>
      <c r="T760" s="75"/>
      <c r="U760" s="76"/>
      <c r="V760" s="76"/>
      <c r="W760" s="75"/>
      <c r="X760" s="76"/>
      <c r="Y760" s="29" t="str">
        <f t="shared" si="4"/>
        <v/>
      </c>
      <c r="Z760" s="29" t="str">
        <f t="shared" si="5"/>
        <v/>
      </c>
      <c r="AA760" s="76"/>
      <c r="AB760" s="76"/>
      <c r="AC760" s="75"/>
      <c r="AD760" s="75"/>
      <c r="AE760" s="78" t="str">
        <f>IF(U760="","",IF(AD760="","",_xlfn.WORKDAY.INTL(AD760,7,1,FERIADOS)))</f>
        <v/>
      </c>
      <c r="AF760" s="104"/>
      <c r="AG760" s="80" t="str">
        <f t="array" ref="AG760">IF(A760="","",IF(AF760="","",AF760*INDEX(PARAMETROS!F$2:F1823,MATCH(YEAR(AC760),PARAMETROS!E$2:E1823,0),1)))</f>
        <v/>
      </c>
      <c r="AH760" s="81"/>
      <c r="AI760" s="82"/>
      <c r="AJ760" s="81"/>
      <c r="AK760" s="81"/>
      <c r="AL760" s="76"/>
      <c r="AM760" s="75"/>
      <c r="AN760" s="76"/>
      <c r="AO760" s="95"/>
      <c r="AP760" s="96"/>
      <c r="AQ760" s="85" t="str">
        <f t="shared" si="6"/>
        <v/>
      </c>
      <c r="AR760" s="86" t="str">
        <f t="array" ref="AR760">IF(A760="","",IFERROR(INDEX('2) Etapas'!L$3:L923,MATCH(B760,'2) Etapas'!$A$4:$A923,0),1),-1))</f>
        <v/>
      </c>
      <c r="AS760" s="87" t="str">
        <f t="shared" si="7"/>
        <v/>
      </c>
      <c r="AT760" s="87" t="str">
        <f t="shared" si="8"/>
        <v/>
      </c>
      <c r="AU760" s="87" t="str">
        <f t="shared" si="9"/>
        <v/>
      </c>
      <c r="AV760" s="89" t="str">
        <f t="array" ref="AV760">IF(OR($A760="",$AB760="", $AC760=""),"",MAXA(IF($A760=$A$4:$A923,$AC$4:$AC923)))</f>
        <v/>
      </c>
    </row>
    <row r="761" ht="22.5" customHeight="1">
      <c r="A761" s="76"/>
      <c r="B761" s="68" t="str">
        <f t="shared" si="1"/>
        <v/>
      </c>
      <c r="C761" s="110"/>
      <c r="D761" s="70" t="str">
        <f t="shared" si="2"/>
        <v/>
      </c>
      <c r="E761" s="76"/>
      <c r="F761" s="68" t="str">
        <f t="array" ref="F761">IF($A761="","",IFERROR(INDEX(MA_INDIVIDUALES!C$2:C923, MATCH($A761,MA_INDIVIDUALES!$B$2:$B923,0),1),"CÓDIGO DE EXPEDIENTE INVÁLIDO"))</f>
        <v/>
      </c>
      <c r="G761" s="68" t="str">
        <f t="array" ref="G761">IF($A761="","",IFERROR(INDEX(MA_INDIVIDUALES!K$2:K923, MATCH($A761,MA_INDIVIDUALES!$B$2:$B923,0),1),"CÓDIGO DE EXPEDIENTE INVÁLIDO"))</f>
        <v/>
      </c>
      <c r="H761" s="68" t="str">
        <f t="array" ref="H761">IF($A761="","",IFERROR(INDEX(MA_INDIVIDUALES!L$2:L923, MATCH($A761,MA_INDIVIDUALES!$B$2:$B923,0),1),"CÓDIGO DE EXPEDIENTE INVÁLIDO"))</f>
        <v/>
      </c>
      <c r="I761" s="76"/>
      <c r="J761" s="76"/>
      <c r="K761" s="75"/>
      <c r="L761" s="74" t="str">
        <f>IF(A761="","",IF(K761="","",_xlfn.WORKDAY.INTL(K761,5,1,FERIADOS)))</f>
        <v/>
      </c>
      <c r="M761" s="76"/>
      <c r="N761" s="75"/>
      <c r="O761" s="76"/>
      <c r="P761" s="77" t="str">
        <f t="shared" si="3"/>
        <v/>
      </c>
      <c r="Q761" s="75"/>
      <c r="R761" s="76"/>
      <c r="S761" s="75"/>
      <c r="T761" s="75"/>
      <c r="U761" s="76"/>
      <c r="V761" s="76"/>
      <c r="W761" s="75"/>
      <c r="X761" s="76"/>
      <c r="Y761" s="29" t="str">
        <f t="shared" si="4"/>
        <v/>
      </c>
      <c r="Z761" s="29" t="str">
        <f t="shared" si="5"/>
        <v/>
      </c>
      <c r="AA761" s="76"/>
      <c r="AB761" s="76"/>
      <c r="AC761" s="75"/>
      <c r="AD761" s="75"/>
      <c r="AE761" s="78" t="str">
        <f>IF(U761="","",IF(AD761="","",_xlfn.WORKDAY.INTL(AD761,7,1,FERIADOS)))</f>
        <v/>
      </c>
      <c r="AF761" s="104"/>
      <c r="AG761" s="80" t="str">
        <f t="array" ref="AG761">IF(A761="","",IF(AF761="","",AF761*INDEX(PARAMETROS!F$2:F1824,MATCH(YEAR(AC761),PARAMETROS!E$2:E1824,0),1)))</f>
        <v/>
      </c>
      <c r="AH761" s="81"/>
      <c r="AI761" s="82"/>
      <c r="AJ761" s="81"/>
      <c r="AK761" s="81"/>
      <c r="AL761" s="76"/>
      <c r="AM761" s="75"/>
      <c r="AN761" s="76"/>
      <c r="AO761" s="95"/>
      <c r="AP761" s="96"/>
      <c r="AQ761" s="85" t="str">
        <f t="shared" si="6"/>
        <v/>
      </c>
      <c r="AR761" s="86" t="str">
        <f t="array" ref="AR761">IF(A761="","",IFERROR(INDEX('2) Etapas'!L$3:L923,MATCH(B761,'2) Etapas'!$A$4:$A923,0),1),-1))</f>
        <v/>
      </c>
      <c r="AS761" s="87" t="str">
        <f t="shared" si="7"/>
        <v/>
      </c>
      <c r="AT761" s="87" t="str">
        <f t="shared" si="8"/>
        <v/>
      </c>
      <c r="AU761" s="87" t="str">
        <f t="shared" si="9"/>
        <v/>
      </c>
      <c r="AV761" s="89" t="str">
        <f t="array" ref="AV761">IF(OR($A761="",$AB761="", $AC761=""),"",MAXA(IF($A761=$A$4:$A923,$AC$4:$AC923)))</f>
        <v/>
      </c>
    </row>
    <row r="762" ht="22.5" customHeight="1">
      <c r="A762" s="76"/>
      <c r="B762" s="68" t="str">
        <f t="shared" si="1"/>
        <v/>
      </c>
      <c r="C762" s="110"/>
      <c r="D762" s="70" t="str">
        <f t="shared" si="2"/>
        <v/>
      </c>
      <c r="E762" s="76"/>
      <c r="F762" s="68" t="str">
        <f t="array" ref="F762">IF($A762="","",IFERROR(INDEX(MA_INDIVIDUALES!C$2:C923, MATCH($A762,MA_INDIVIDUALES!$B$2:$B923,0),1),"CÓDIGO DE EXPEDIENTE INVÁLIDO"))</f>
        <v/>
      </c>
      <c r="G762" s="68" t="str">
        <f t="array" ref="G762">IF($A762="","",IFERROR(INDEX(MA_INDIVIDUALES!K$2:K923, MATCH($A762,MA_INDIVIDUALES!$B$2:$B923,0),1),"CÓDIGO DE EXPEDIENTE INVÁLIDO"))</f>
        <v/>
      </c>
      <c r="H762" s="68" t="str">
        <f t="array" ref="H762">IF($A762="","",IFERROR(INDEX(MA_INDIVIDUALES!L$2:L923, MATCH($A762,MA_INDIVIDUALES!$B$2:$B923,0),1),"CÓDIGO DE EXPEDIENTE INVÁLIDO"))</f>
        <v/>
      </c>
      <c r="I762" s="76"/>
      <c r="J762" s="76"/>
      <c r="K762" s="75"/>
      <c r="L762" s="74" t="str">
        <f>IF(A762="","",IF(K762="","",_xlfn.WORKDAY.INTL(K762,5,1,FERIADOS)))</f>
        <v/>
      </c>
      <c r="M762" s="76"/>
      <c r="N762" s="75"/>
      <c r="O762" s="76"/>
      <c r="P762" s="77" t="str">
        <f t="shared" si="3"/>
        <v/>
      </c>
      <c r="Q762" s="75"/>
      <c r="R762" s="76"/>
      <c r="S762" s="75"/>
      <c r="T762" s="75"/>
      <c r="U762" s="76"/>
      <c r="V762" s="76"/>
      <c r="W762" s="75"/>
      <c r="X762" s="76"/>
      <c r="Y762" s="29" t="str">
        <f t="shared" si="4"/>
        <v/>
      </c>
      <c r="Z762" s="29" t="str">
        <f t="shared" si="5"/>
        <v/>
      </c>
      <c r="AA762" s="76"/>
      <c r="AB762" s="76"/>
      <c r="AC762" s="75"/>
      <c r="AD762" s="75"/>
      <c r="AE762" s="78" t="str">
        <f>IF(U762="","",IF(AD762="","",_xlfn.WORKDAY.INTL(AD762,7,1,FERIADOS)))</f>
        <v/>
      </c>
      <c r="AF762" s="104"/>
      <c r="AG762" s="80" t="str">
        <f t="array" ref="AG762">IF(A762="","",IF(AF762="","",AF762*INDEX(PARAMETROS!F$2:F1825,MATCH(YEAR(AC762),PARAMETROS!E$2:E1825,0),1)))</f>
        <v/>
      </c>
      <c r="AH762" s="81"/>
      <c r="AI762" s="82"/>
      <c r="AJ762" s="81"/>
      <c r="AK762" s="81"/>
      <c r="AL762" s="76"/>
      <c r="AM762" s="75"/>
      <c r="AN762" s="76"/>
      <c r="AO762" s="95"/>
      <c r="AP762" s="96"/>
      <c r="AQ762" s="85" t="str">
        <f t="shared" si="6"/>
        <v/>
      </c>
      <c r="AR762" s="86" t="str">
        <f t="array" ref="AR762">IF(A762="","",IFERROR(INDEX('2) Etapas'!L$3:L923,MATCH(B762,'2) Etapas'!$A$4:$A923,0),1),-1))</f>
        <v/>
      </c>
      <c r="AS762" s="87" t="str">
        <f t="shared" si="7"/>
        <v/>
      </c>
      <c r="AT762" s="87" t="str">
        <f t="shared" si="8"/>
        <v/>
      </c>
      <c r="AU762" s="87" t="str">
        <f t="shared" si="9"/>
        <v/>
      </c>
      <c r="AV762" s="89" t="str">
        <f t="array" ref="AV762">IF(OR($A762="",$AB762="", $AC762=""),"",MAXA(IF($A762=$A$4:$A923,$AC$4:$AC923)))</f>
        <v/>
      </c>
    </row>
    <row r="763" ht="22.5" customHeight="1">
      <c r="A763" s="76"/>
      <c r="B763" s="68" t="str">
        <f t="shared" si="1"/>
        <v/>
      </c>
      <c r="C763" s="110"/>
      <c r="D763" s="70" t="str">
        <f t="shared" si="2"/>
        <v/>
      </c>
      <c r="E763" s="76"/>
      <c r="F763" s="68" t="str">
        <f t="array" ref="F763">IF($A763="","",IFERROR(INDEX(MA_INDIVIDUALES!C$2:C923, MATCH($A763,MA_INDIVIDUALES!$B$2:$B923,0),1),"CÓDIGO DE EXPEDIENTE INVÁLIDO"))</f>
        <v/>
      </c>
      <c r="G763" s="68" t="str">
        <f t="array" ref="G763">IF($A763="","",IFERROR(INDEX(MA_INDIVIDUALES!K$2:K923, MATCH($A763,MA_INDIVIDUALES!$B$2:$B923,0),1),"CÓDIGO DE EXPEDIENTE INVÁLIDO"))</f>
        <v/>
      </c>
      <c r="H763" s="68" t="str">
        <f t="array" ref="H763">IF($A763="","",IFERROR(INDEX(MA_INDIVIDUALES!L$2:L923, MATCH($A763,MA_INDIVIDUALES!$B$2:$B923,0),1),"CÓDIGO DE EXPEDIENTE INVÁLIDO"))</f>
        <v/>
      </c>
      <c r="I763" s="76"/>
      <c r="J763" s="76"/>
      <c r="K763" s="75"/>
      <c r="L763" s="74" t="str">
        <f>IF(A763="","",IF(K763="","",_xlfn.WORKDAY.INTL(K763,5,1,FERIADOS)))</f>
        <v/>
      </c>
      <c r="M763" s="76"/>
      <c r="N763" s="75"/>
      <c r="O763" s="76"/>
      <c r="P763" s="77" t="str">
        <f t="shared" si="3"/>
        <v/>
      </c>
      <c r="Q763" s="75"/>
      <c r="R763" s="76"/>
      <c r="S763" s="75"/>
      <c r="T763" s="75"/>
      <c r="U763" s="76"/>
      <c r="V763" s="76"/>
      <c r="W763" s="75"/>
      <c r="X763" s="76"/>
      <c r="Y763" s="29" t="str">
        <f t="shared" si="4"/>
        <v/>
      </c>
      <c r="Z763" s="29" t="str">
        <f t="shared" si="5"/>
        <v/>
      </c>
      <c r="AA763" s="76"/>
      <c r="AB763" s="76"/>
      <c r="AC763" s="75"/>
      <c r="AD763" s="75"/>
      <c r="AE763" s="78" t="str">
        <f>IF(U763="","",IF(AD763="","",_xlfn.WORKDAY.INTL(AD763,7,1,FERIADOS)))</f>
        <v/>
      </c>
      <c r="AF763" s="104"/>
      <c r="AG763" s="80" t="str">
        <f t="array" ref="AG763">IF(A763="","",IF(AF763="","",AF763*INDEX(PARAMETROS!F$2:F1826,MATCH(YEAR(AC763),PARAMETROS!E$2:E1826,0),1)))</f>
        <v/>
      </c>
      <c r="AH763" s="81"/>
      <c r="AI763" s="82"/>
      <c r="AJ763" s="81"/>
      <c r="AK763" s="81"/>
      <c r="AL763" s="76"/>
      <c r="AM763" s="75"/>
      <c r="AN763" s="76"/>
      <c r="AO763" s="95"/>
      <c r="AP763" s="96"/>
      <c r="AQ763" s="85" t="str">
        <f t="shared" si="6"/>
        <v/>
      </c>
      <c r="AR763" s="86" t="str">
        <f t="array" ref="AR763">IF(A763="","",IFERROR(INDEX('2) Etapas'!L$3:L923,MATCH(B763,'2) Etapas'!$A$4:$A923,0),1),-1))</f>
        <v/>
      </c>
      <c r="AS763" s="87" t="str">
        <f t="shared" si="7"/>
        <v/>
      </c>
      <c r="AT763" s="87" t="str">
        <f t="shared" si="8"/>
        <v/>
      </c>
      <c r="AU763" s="87" t="str">
        <f t="shared" si="9"/>
        <v/>
      </c>
      <c r="AV763" s="89" t="str">
        <f t="array" ref="AV763">IF(OR($A763="",$AB763="", $AC763=""),"",MAXA(IF($A763=$A$4:$A923,$AC$4:$AC923)))</f>
        <v/>
      </c>
    </row>
    <row r="764" ht="22.5" customHeight="1">
      <c r="A764" s="76"/>
      <c r="B764" s="68" t="str">
        <f t="shared" si="1"/>
        <v/>
      </c>
      <c r="C764" s="110"/>
      <c r="D764" s="70" t="str">
        <f t="shared" si="2"/>
        <v/>
      </c>
      <c r="E764" s="76"/>
      <c r="F764" s="68" t="str">
        <f t="array" ref="F764">IF($A764="","",IFERROR(INDEX(MA_INDIVIDUALES!C$2:C923, MATCH($A764,MA_INDIVIDUALES!$B$2:$B923,0),1),"CÓDIGO DE EXPEDIENTE INVÁLIDO"))</f>
        <v/>
      </c>
      <c r="G764" s="68" t="str">
        <f t="array" ref="G764">IF($A764="","",IFERROR(INDEX(MA_INDIVIDUALES!K$2:K923, MATCH($A764,MA_INDIVIDUALES!$B$2:$B923,0),1),"CÓDIGO DE EXPEDIENTE INVÁLIDO"))</f>
        <v/>
      </c>
      <c r="H764" s="68" t="str">
        <f t="array" ref="H764">IF($A764="","",IFERROR(INDEX(MA_INDIVIDUALES!L$2:L923, MATCH($A764,MA_INDIVIDUALES!$B$2:$B923,0),1),"CÓDIGO DE EXPEDIENTE INVÁLIDO"))</f>
        <v/>
      </c>
      <c r="I764" s="76"/>
      <c r="J764" s="76"/>
      <c r="K764" s="75"/>
      <c r="L764" s="74" t="str">
        <f>IF(A764="","",IF(K764="","",_xlfn.WORKDAY.INTL(K764,5,1,FERIADOS)))</f>
        <v/>
      </c>
      <c r="M764" s="76"/>
      <c r="N764" s="75"/>
      <c r="O764" s="76"/>
      <c r="P764" s="77" t="str">
        <f t="shared" si="3"/>
        <v/>
      </c>
      <c r="Q764" s="75"/>
      <c r="R764" s="76"/>
      <c r="S764" s="75"/>
      <c r="T764" s="75"/>
      <c r="U764" s="76"/>
      <c r="V764" s="76"/>
      <c r="W764" s="75"/>
      <c r="X764" s="76"/>
      <c r="Y764" s="29" t="str">
        <f t="shared" si="4"/>
        <v/>
      </c>
      <c r="Z764" s="29" t="str">
        <f t="shared" si="5"/>
        <v/>
      </c>
      <c r="AA764" s="76"/>
      <c r="AB764" s="76"/>
      <c r="AC764" s="75"/>
      <c r="AD764" s="75"/>
      <c r="AE764" s="78" t="str">
        <f>IF(U764="","",IF(AD764="","",_xlfn.WORKDAY.INTL(AD764,7,1,FERIADOS)))</f>
        <v/>
      </c>
      <c r="AF764" s="104"/>
      <c r="AG764" s="80" t="str">
        <f t="array" ref="AG764">IF(A764="","",IF(AF764="","",AF764*INDEX(PARAMETROS!F$2:F1827,MATCH(YEAR(AC764),PARAMETROS!E$2:E1827,0),1)))</f>
        <v/>
      </c>
      <c r="AH764" s="81"/>
      <c r="AI764" s="82"/>
      <c r="AJ764" s="81"/>
      <c r="AK764" s="81"/>
      <c r="AL764" s="76"/>
      <c r="AM764" s="75"/>
      <c r="AN764" s="76"/>
      <c r="AO764" s="95"/>
      <c r="AP764" s="96"/>
      <c r="AQ764" s="85" t="str">
        <f t="shared" si="6"/>
        <v/>
      </c>
      <c r="AR764" s="86" t="str">
        <f t="array" ref="AR764">IF(A764="","",IFERROR(INDEX('2) Etapas'!L$3:L923,MATCH(B764,'2) Etapas'!$A$4:$A923,0),1),-1))</f>
        <v/>
      </c>
      <c r="AS764" s="87" t="str">
        <f t="shared" si="7"/>
        <v/>
      </c>
      <c r="AT764" s="87" t="str">
        <f t="shared" si="8"/>
        <v/>
      </c>
      <c r="AU764" s="87" t="str">
        <f t="shared" si="9"/>
        <v/>
      </c>
      <c r="AV764" s="89" t="str">
        <f t="array" ref="AV764">IF(OR($A764="",$AB764="", $AC764=""),"",MAXA(IF($A764=$A$4:$A923,$AC$4:$AC923)))</f>
        <v/>
      </c>
    </row>
    <row r="765" ht="22.5" customHeight="1">
      <c r="A765" s="76"/>
      <c r="B765" s="68" t="str">
        <f t="shared" si="1"/>
        <v/>
      </c>
      <c r="C765" s="110"/>
      <c r="D765" s="70" t="str">
        <f t="shared" si="2"/>
        <v/>
      </c>
      <c r="E765" s="76"/>
      <c r="F765" s="68" t="str">
        <f t="array" ref="F765">IF($A765="","",IFERROR(INDEX(MA_INDIVIDUALES!C$2:C923, MATCH($A765,MA_INDIVIDUALES!$B$2:$B923,0),1),"CÓDIGO DE EXPEDIENTE INVÁLIDO"))</f>
        <v/>
      </c>
      <c r="G765" s="68" t="str">
        <f t="array" ref="G765">IF($A765="","",IFERROR(INDEX(MA_INDIVIDUALES!K$2:K923, MATCH($A765,MA_INDIVIDUALES!$B$2:$B923,0),1),"CÓDIGO DE EXPEDIENTE INVÁLIDO"))</f>
        <v/>
      </c>
      <c r="H765" s="68" t="str">
        <f t="array" ref="H765">IF($A765="","",IFERROR(INDEX(MA_INDIVIDUALES!L$2:L923, MATCH($A765,MA_INDIVIDUALES!$B$2:$B923,0),1),"CÓDIGO DE EXPEDIENTE INVÁLIDO"))</f>
        <v/>
      </c>
      <c r="I765" s="76"/>
      <c r="J765" s="76"/>
      <c r="K765" s="75"/>
      <c r="L765" s="74" t="str">
        <f>IF(A765="","",IF(K765="","",_xlfn.WORKDAY.INTL(K765,5,1,FERIADOS)))</f>
        <v/>
      </c>
      <c r="M765" s="76"/>
      <c r="N765" s="75"/>
      <c r="O765" s="76"/>
      <c r="P765" s="77" t="str">
        <f t="shared" si="3"/>
        <v/>
      </c>
      <c r="Q765" s="75"/>
      <c r="R765" s="76"/>
      <c r="S765" s="75"/>
      <c r="T765" s="75"/>
      <c r="U765" s="76"/>
      <c r="V765" s="76"/>
      <c r="W765" s="75"/>
      <c r="X765" s="76"/>
      <c r="Y765" s="29" t="str">
        <f t="shared" si="4"/>
        <v/>
      </c>
      <c r="Z765" s="29" t="str">
        <f t="shared" si="5"/>
        <v/>
      </c>
      <c r="AA765" s="76"/>
      <c r="AB765" s="76"/>
      <c r="AC765" s="75"/>
      <c r="AD765" s="75"/>
      <c r="AE765" s="78" t="str">
        <f>IF(U765="","",IF(AD765="","",_xlfn.WORKDAY.INTL(AD765,7,1,FERIADOS)))</f>
        <v/>
      </c>
      <c r="AF765" s="104"/>
      <c r="AG765" s="80" t="str">
        <f t="array" ref="AG765">IF(A765="","",IF(AF765="","",AF765*INDEX(PARAMETROS!F$2:F1828,MATCH(YEAR(AC765),PARAMETROS!E$2:E1828,0),1)))</f>
        <v/>
      </c>
      <c r="AH765" s="81"/>
      <c r="AI765" s="82"/>
      <c r="AJ765" s="81"/>
      <c r="AK765" s="81"/>
      <c r="AL765" s="76"/>
      <c r="AM765" s="75"/>
      <c r="AN765" s="76"/>
      <c r="AO765" s="95"/>
      <c r="AP765" s="96"/>
      <c r="AQ765" s="85" t="str">
        <f t="shared" si="6"/>
        <v/>
      </c>
      <c r="AR765" s="86" t="str">
        <f t="array" ref="AR765">IF(A765="","",IFERROR(INDEX('2) Etapas'!L$3:L923,MATCH(B765,'2) Etapas'!$A$4:$A923,0),1),-1))</f>
        <v/>
      </c>
      <c r="AS765" s="87" t="str">
        <f t="shared" si="7"/>
        <v/>
      </c>
      <c r="AT765" s="87" t="str">
        <f t="shared" si="8"/>
        <v/>
      </c>
      <c r="AU765" s="87" t="str">
        <f t="shared" si="9"/>
        <v/>
      </c>
      <c r="AV765" s="89" t="str">
        <f t="array" ref="AV765">IF(OR($A765="",$AB765="", $AC765=""),"",MAXA(IF($A765=$A$4:$A923,$AC$4:$AC923)))</f>
        <v/>
      </c>
    </row>
    <row r="766" ht="22.5" customHeight="1">
      <c r="A766" s="76"/>
      <c r="B766" s="68" t="str">
        <f t="shared" si="1"/>
        <v/>
      </c>
      <c r="C766" s="110"/>
      <c r="D766" s="70" t="str">
        <f t="shared" si="2"/>
        <v/>
      </c>
      <c r="E766" s="76"/>
      <c r="F766" s="68" t="str">
        <f t="array" ref="F766">IF($A766="","",IFERROR(INDEX(MA_INDIVIDUALES!C$2:C923, MATCH($A766,MA_INDIVIDUALES!$B$2:$B923,0),1),"CÓDIGO DE EXPEDIENTE INVÁLIDO"))</f>
        <v/>
      </c>
      <c r="G766" s="68" t="str">
        <f t="array" ref="G766">IF($A766="","",IFERROR(INDEX(MA_INDIVIDUALES!K$2:K923, MATCH($A766,MA_INDIVIDUALES!$B$2:$B923,0),1),"CÓDIGO DE EXPEDIENTE INVÁLIDO"))</f>
        <v/>
      </c>
      <c r="H766" s="68" t="str">
        <f t="array" ref="H766">IF($A766="","",IFERROR(INDEX(MA_INDIVIDUALES!L$2:L923, MATCH($A766,MA_INDIVIDUALES!$B$2:$B923,0),1),"CÓDIGO DE EXPEDIENTE INVÁLIDO"))</f>
        <v/>
      </c>
      <c r="I766" s="76"/>
      <c r="J766" s="76"/>
      <c r="K766" s="75"/>
      <c r="L766" s="74" t="str">
        <f>IF(A766="","",IF(K766="","",_xlfn.WORKDAY.INTL(K766,5,1,FERIADOS)))</f>
        <v/>
      </c>
      <c r="M766" s="76"/>
      <c r="N766" s="75"/>
      <c r="O766" s="76"/>
      <c r="P766" s="77" t="str">
        <f t="shared" si="3"/>
        <v/>
      </c>
      <c r="Q766" s="75"/>
      <c r="R766" s="76"/>
      <c r="S766" s="75"/>
      <c r="T766" s="75"/>
      <c r="U766" s="76"/>
      <c r="V766" s="76"/>
      <c r="W766" s="75"/>
      <c r="X766" s="76"/>
      <c r="Y766" s="29" t="str">
        <f t="shared" si="4"/>
        <v/>
      </c>
      <c r="Z766" s="29" t="str">
        <f t="shared" si="5"/>
        <v/>
      </c>
      <c r="AA766" s="76"/>
      <c r="AB766" s="76"/>
      <c r="AC766" s="75"/>
      <c r="AD766" s="75"/>
      <c r="AE766" s="78" t="str">
        <f>IF(U766="","",IF(AD766="","",_xlfn.WORKDAY.INTL(AD766,7,1,FERIADOS)))</f>
        <v/>
      </c>
      <c r="AF766" s="104"/>
      <c r="AG766" s="80" t="str">
        <f t="array" ref="AG766">IF(A766="","",IF(AF766="","",AF766*INDEX(PARAMETROS!F$2:F1829,MATCH(YEAR(AC766),PARAMETROS!E$2:E1829,0),1)))</f>
        <v/>
      </c>
      <c r="AH766" s="81"/>
      <c r="AI766" s="82"/>
      <c r="AJ766" s="81"/>
      <c r="AK766" s="81"/>
      <c r="AL766" s="76"/>
      <c r="AM766" s="75"/>
      <c r="AN766" s="76"/>
      <c r="AO766" s="95"/>
      <c r="AP766" s="96"/>
      <c r="AQ766" s="85" t="str">
        <f t="shared" si="6"/>
        <v/>
      </c>
      <c r="AR766" s="86" t="str">
        <f t="array" ref="AR766">IF(A766="","",IFERROR(INDEX('2) Etapas'!L$3:L923,MATCH(B766,'2) Etapas'!$A$4:$A923,0),1),-1))</f>
        <v/>
      </c>
      <c r="AS766" s="87" t="str">
        <f t="shared" si="7"/>
        <v/>
      </c>
      <c r="AT766" s="87" t="str">
        <f t="shared" si="8"/>
        <v/>
      </c>
      <c r="AU766" s="87" t="str">
        <f t="shared" si="9"/>
        <v/>
      </c>
      <c r="AV766" s="89" t="str">
        <f t="array" ref="AV766">IF(OR($A766="",$AB766="", $AC766=""),"",MAXA(IF($A766=$A$4:$A923,$AC$4:$AC923)))</f>
        <v/>
      </c>
    </row>
    <row r="767" ht="22.5" customHeight="1">
      <c r="A767" s="76"/>
      <c r="B767" s="68" t="str">
        <f t="shared" si="1"/>
        <v/>
      </c>
      <c r="C767" s="110"/>
      <c r="D767" s="70" t="str">
        <f t="shared" si="2"/>
        <v/>
      </c>
      <c r="E767" s="76"/>
      <c r="F767" s="68" t="str">
        <f t="array" ref="F767">IF($A767="","",IFERROR(INDEX(MA_INDIVIDUALES!C$2:C923, MATCH($A767,MA_INDIVIDUALES!$B$2:$B923,0),1),"CÓDIGO DE EXPEDIENTE INVÁLIDO"))</f>
        <v/>
      </c>
      <c r="G767" s="68" t="str">
        <f t="array" ref="G767">IF($A767="","",IFERROR(INDEX(MA_INDIVIDUALES!K$2:K923, MATCH($A767,MA_INDIVIDUALES!$B$2:$B923,0),1),"CÓDIGO DE EXPEDIENTE INVÁLIDO"))</f>
        <v/>
      </c>
      <c r="H767" s="68" t="str">
        <f t="array" ref="H767">IF($A767="","",IFERROR(INDEX(MA_INDIVIDUALES!L$2:L923, MATCH($A767,MA_INDIVIDUALES!$B$2:$B923,0),1),"CÓDIGO DE EXPEDIENTE INVÁLIDO"))</f>
        <v/>
      </c>
      <c r="I767" s="76"/>
      <c r="J767" s="76"/>
      <c r="K767" s="75"/>
      <c r="L767" s="74" t="str">
        <f>IF(A767="","",IF(K767="","",_xlfn.WORKDAY.INTL(K767,5,1,FERIADOS)))</f>
        <v/>
      </c>
      <c r="M767" s="76"/>
      <c r="N767" s="75"/>
      <c r="O767" s="76"/>
      <c r="P767" s="77" t="str">
        <f t="shared" si="3"/>
        <v/>
      </c>
      <c r="Q767" s="75"/>
      <c r="R767" s="76"/>
      <c r="S767" s="75"/>
      <c r="T767" s="75"/>
      <c r="U767" s="76"/>
      <c r="V767" s="76"/>
      <c r="W767" s="75"/>
      <c r="X767" s="76"/>
      <c r="Y767" s="29" t="str">
        <f t="shared" si="4"/>
        <v/>
      </c>
      <c r="Z767" s="29" t="str">
        <f t="shared" si="5"/>
        <v/>
      </c>
      <c r="AA767" s="76"/>
      <c r="AB767" s="76"/>
      <c r="AC767" s="75"/>
      <c r="AD767" s="75"/>
      <c r="AE767" s="78" t="str">
        <f>IF(U767="","",IF(AD767="","",_xlfn.WORKDAY.INTL(AD767,7,1,FERIADOS)))</f>
        <v/>
      </c>
      <c r="AF767" s="104"/>
      <c r="AG767" s="80" t="str">
        <f t="array" ref="AG767">IF(A767="","",IF(AF767="","",AF767*INDEX(PARAMETROS!F$2:F1830,MATCH(YEAR(AC767),PARAMETROS!E$2:E1830,0),1)))</f>
        <v/>
      </c>
      <c r="AH767" s="81"/>
      <c r="AI767" s="82"/>
      <c r="AJ767" s="81"/>
      <c r="AK767" s="81"/>
      <c r="AL767" s="76"/>
      <c r="AM767" s="75"/>
      <c r="AN767" s="76"/>
      <c r="AO767" s="95"/>
      <c r="AP767" s="96"/>
      <c r="AQ767" s="85" t="str">
        <f t="shared" si="6"/>
        <v/>
      </c>
      <c r="AR767" s="86" t="str">
        <f t="array" ref="AR767">IF(A767="","",IFERROR(INDEX('2) Etapas'!L$3:L923,MATCH(B767,'2) Etapas'!$A$4:$A923,0),1),-1))</f>
        <v/>
      </c>
      <c r="AS767" s="87" t="str">
        <f t="shared" si="7"/>
        <v/>
      </c>
      <c r="AT767" s="87" t="str">
        <f t="shared" si="8"/>
        <v/>
      </c>
      <c r="AU767" s="87" t="str">
        <f t="shared" si="9"/>
        <v/>
      </c>
      <c r="AV767" s="89" t="str">
        <f t="array" ref="AV767">IF(OR($A767="",$AB767="", $AC767=""),"",MAXA(IF($A767=$A$4:$A923,$AC$4:$AC923)))</f>
        <v/>
      </c>
    </row>
    <row r="768" ht="22.5" customHeight="1">
      <c r="A768" s="76"/>
      <c r="B768" s="68" t="str">
        <f t="shared" si="1"/>
        <v/>
      </c>
      <c r="C768" s="110"/>
      <c r="D768" s="70" t="str">
        <f t="shared" si="2"/>
        <v/>
      </c>
      <c r="E768" s="76"/>
      <c r="F768" s="68" t="str">
        <f t="array" ref="F768">IF($A768="","",IFERROR(INDEX(MA_INDIVIDUALES!C$2:C923, MATCH($A768,MA_INDIVIDUALES!$B$2:$B923,0),1),"CÓDIGO DE EXPEDIENTE INVÁLIDO"))</f>
        <v/>
      </c>
      <c r="G768" s="68" t="str">
        <f t="array" ref="G768">IF($A768="","",IFERROR(INDEX(MA_INDIVIDUALES!K$2:K923, MATCH($A768,MA_INDIVIDUALES!$B$2:$B923,0),1),"CÓDIGO DE EXPEDIENTE INVÁLIDO"))</f>
        <v/>
      </c>
      <c r="H768" s="68" t="str">
        <f t="array" ref="H768">IF($A768="","",IFERROR(INDEX(MA_INDIVIDUALES!L$2:L923, MATCH($A768,MA_INDIVIDUALES!$B$2:$B923,0),1),"CÓDIGO DE EXPEDIENTE INVÁLIDO"))</f>
        <v/>
      </c>
      <c r="I768" s="76"/>
      <c r="J768" s="76"/>
      <c r="K768" s="75"/>
      <c r="L768" s="74" t="str">
        <f>IF(A768="","",IF(K768="","",_xlfn.WORKDAY.INTL(K768,5,1,FERIADOS)))</f>
        <v/>
      </c>
      <c r="M768" s="76"/>
      <c r="N768" s="75"/>
      <c r="O768" s="76"/>
      <c r="P768" s="77" t="str">
        <f t="shared" si="3"/>
        <v/>
      </c>
      <c r="Q768" s="75"/>
      <c r="R768" s="76"/>
      <c r="S768" s="75"/>
      <c r="T768" s="75"/>
      <c r="U768" s="76"/>
      <c r="V768" s="76"/>
      <c r="W768" s="75"/>
      <c r="X768" s="76"/>
      <c r="Y768" s="29" t="str">
        <f t="shared" si="4"/>
        <v/>
      </c>
      <c r="Z768" s="29" t="str">
        <f t="shared" si="5"/>
        <v/>
      </c>
      <c r="AA768" s="76"/>
      <c r="AB768" s="76"/>
      <c r="AC768" s="75"/>
      <c r="AD768" s="75"/>
      <c r="AE768" s="78" t="str">
        <f>IF(U768="","",IF(AD768="","",_xlfn.WORKDAY.INTL(AD768,7,1,FERIADOS)))</f>
        <v/>
      </c>
      <c r="AF768" s="104"/>
      <c r="AG768" s="80" t="str">
        <f t="array" ref="AG768">IF(A768="","",IF(AF768="","",AF768*INDEX(PARAMETROS!F$2:F1831,MATCH(YEAR(AC768),PARAMETROS!E$2:E1831,0),1)))</f>
        <v/>
      </c>
      <c r="AH768" s="81"/>
      <c r="AI768" s="82"/>
      <c r="AJ768" s="81"/>
      <c r="AK768" s="81"/>
      <c r="AL768" s="76"/>
      <c r="AM768" s="75"/>
      <c r="AN768" s="76"/>
      <c r="AO768" s="95"/>
      <c r="AP768" s="96"/>
      <c r="AQ768" s="85" t="str">
        <f t="shared" si="6"/>
        <v/>
      </c>
      <c r="AR768" s="86" t="str">
        <f t="array" ref="AR768">IF(A768="","",IFERROR(INDEX('2) Etapas'!L$3:L923,MATCH(B768,'2) Etapas'!$A$4:$A923,0),1),-1))</f>
        <v/>
      </c>
      <c r="AS768" s="87" t="str">
        <f t="shared" si="7"/>
        <v/>
      </c>
      <c r="AT768" s="87" t="str">
        <f t="shared" si="8"/>
        <v/>
      </c>
      <c r="AU768" s="87" t="str">
        <f t="shared" si="9"/>
        <v/>
      </c>
      <c r="AV768" s="89" t="str">
        <f t="array" ref="AV768">IF(OR($A768="",$AB768="", $AC768=""),"",MAXA(IF($A768=$A$4:$A923,$AC$4:$AC923)))</f>
        <v/>
      </c>
    </row>
    <row r="769" ht="22.5" customHeight="1">
      <c r="A769" s="76"/>
      <c r="B769" s="68" t="str">
        <f t="shared" si="1"/>
        <v/>
      </c>
      <c r="C769" s="110"/>
      <c r="D769" s="70" t="str">
        <f t="shared" si="2"/>
        <v/>
      </c>
      <c r="E769" s="76"/>
      <c r="F769" s="68" t="str">
        <f t="array" ref="F769">IF($A769="","",IFERROR(INDEX(MA_INDIVIDUALES!C$2:C923, MATCH($A769,MA_INDIVIDUALES!$B$2:$B923,0),1),"CÓDIGO DE EXPEDIENTE INVÁLIDO"))</f>
        <v/>
      </c>
      <c r="G769" s="68" t="str">
        <f t="array" ref="G769">IF($A769="","",IFERROR(INDEX(MA_INDIVIDUALES!K$2:K923, MATCH($A769,MA_INDIVIDUALES!$B$2:$B923,0),1),"CÓDIGO DE EXPEDIENTE INVÁLIDO"))</f>
        <v/>
      </c>
      <c r="H769" s="68" t="str">
        <f t="array" ref="H769">IF($A769="","",IFERROR(INDEX(MA_INDIVIDUALES!L$2:L923, MATCH($A769,MA_INDIVIDUALES!$B$2:$B923,0),1),"CÓDIGO DE EXPEDIENTE INVÁLIDO"))</f>
        <v/>
      </c>
      <c r="I769" s="76"/>
      <c r="J769" s="76"/>
      <c r="K769" s="75"/>
      <c r="L769" s="74" t="str">
        <f>IF(A769="","",IF(K769="","",_xlfn.WORKDAY.INTL(K769,5,1,FERIADOS)))</f>
        <v/>
      </c>
      <c r="M769" s="76"/>
      <c r="N769" s="75"/>
      <c r="O769" s="76"/>
      <c r="P769" s="77" t="str">
        <f t="shared" si="3"/>
        <v/>
      </c>
      <c r="Q769" s="75"/>
      <c r="R769" s="76"/>
      <c r="S769" s="75"/>
      <c r="T769" s="75"/>
      <c r="U769" s="76"/>
      <c r="V769" s="76"/>
      <c r="W769" s="75"/>
      <c r="X769" s="76"/>
      <c r="Y769" s="29" t="str">
        <f t="shared" si="4"/>
        <v/>
      </c>
      <c r="Z769" s="29" t="str">
        <f t="shared" si="5"/>
        <v/>
      </c>
      <c r="AA769" s="76"/>
      <c r="AB769" s="76"/>
      <c r="AC769" s="75"/>
      <c r="AD769" s="75"/>
      <c r="AE769" s="78" t="str">
        <f>IF(U769="","",IF(AD769="","",_xlfn.WORKDAY.INTL(AD769,7,1,FERIADOS)))</f>
        <v/>
      </c>
      <c r="AF769" s="104"/>
      <c r="AG769" s="80" t="str">
        <f t="array" ref="AG769">IF(A769="","",IF(AF769="","",AF769*INDEX(PARAMETROS!F$2:F1832,MATCH(YEAR(AC769),PARAMETROS!E$2:E1832,0),1)))</f>
        <v/>
      </c>
      <c r="AH769" s="81"/>
      <c r="AI769" s="82"/>
      <c r="AJ769" s="81"/>
      <c r="AK769" s="81"/>
      <c r="AL769" s="76"/>
      <c r="AM769" s="75"/>
      <c r="AN769" s="76"/>
      <c r="AO769" s="95"/>
      <c r="AP769" s="96"/>
      <c r="AQ769" s="85" t="str">
        <f t="shared" si="6"/>
        <v/>
      </c>
      <c r="AR769" s="86" t="str">
        <f t="array" ref="AR769">IF(A769="","",IFERROR(INDEX('2) Etapas'!L$3:L923,MATCH(B769,'2) Etapas'!$A$4:$A923,0),1),-1))</f>
        <v/>
      </c>
      <c r="AS769" s="87" t="str">
        <f t="shared" si="7"/>
        <v/>
      </c>
      <c r="AT769" s="87" t="str">
        <f t="shared" si="8"/>
        <v/>
      </c>
      <c r="AU769" s="87" t="str">
        <f t="shared" si="9"/>
        <v/>
      </c>
      <c r="AV769" s="89" t="str">
        <f t="array" ref="AV769">IF(OR($A769="",$AB769="", $AC769=""),"",MAXA(IF($A769=$A$4:$A923,$AC$4:$AC923)))</f>
        <v/>
      </c>
    </row>
    <row r="770" ht="22.5" customHeight="1">
      <c r="A770" s="76"/>
      <c r="B770" s="68" t="str">
        <f t="shared" si="1"/>
        <v/>
      </c>
      <c r="C770" s="110"/>
      <c r="D770" s="70" t="str">
        <f t="shared" si="2"/>
        <v/>
      </c>
      <c r="E770" s="76"/>
      <c r="F770" s="68" t="str">
        <f t="array" ref="F770">IF($A770="","",IFERROR(INDEX(MA_INDIVIDUALES!C$2:C923, MATCH($A770,MA_INDIVIDUALES!$B$2:$B923,0),1),"CÓDIGO DE EXPEDIENTE INVÁLIDO"))</f>
        <v/>
      </c>
      <c r="G770" s="68" t="str">
        <f t="array" ref="G770">IF($A770="","",IFERROR(INDEX(MA_INDIVIDUALES!K$2:K923, MATCH($A770,MA_INDIVIDUALES!$B$2:$B923,0),1),"CÓDIGO DE EXPEDIENTE INVÁLIDO"))</f>
        <v/>
      </c>
      <c r="H770" s="68" t="str">
        <f t="array" ref="H770">IF($A770="","",IFERROR(INDEX(MA_INDIVIDUALES!L$2:L923, MATCH($A770,MA_INDIVIDUALES!$B$2:$B923,0),1),"CÓDIGO DE EXPEDIENTE INVÁLIDO"))</f>
        <v/>
      </c>
      <c r="I770" s="76"/>
      <c r="J770" s="76"/>
      <c r="K770" s="75"/>
      <c r="L770" s="74" t="str">
        <f>IF(A770="","",IF(K770="","",_xlfn.WORKDAY.INTL(K770,5,1,FERIADOS)))</f>
        <v/>
      </c>
      <c r="M770" s="76"/>
      <c r="N770" s="75"/>
      <c r="O770" s="76"/>
      <c r="P770" s="77" t="str">
        <f t="shared" si="3"/>
        <v/>
      </c>
      <c r="Q770" s="75"/>
      <c r="R770" s="76"/>
      <c r="S770" s="75"/>
      <c r="T770" s="75"/>
      <c r="U770" s="76"/>
      <c r="V770" s="76"/>
      <c r="W770" s="75"/>
      <c r="X770" s="76"/>
      <c r="Y770" s="29" t="str">
        <f t="shared" si="4"/>
        <v/>
      </c>
      <c r="Z770" s="29" t="str">
        <f t="shared" si="5"/>
        <v/>
      </c>
      <c r="AA770" s="76"/>
      <c r="AB770" s="76"/>
      <c r="AC770" s="75"/>
      <c r="AD770" s="75"/>
      <c r="AE770" s="78" t="str">
        <f>IF(U770="","",IF(AD770="","",_xlfn.WORKDAY.INTL(AD770,7,1,FERIADOS)))</f>
        <v/>
      </c>
      <c r="AF770" s="104"/>
      <c r="AG770" s="80" t="str">
        <f t="array" ref="AG770">IF(A770="","",IF(AF770="","",AF770*INDEX(PARAMETROS!F$2:F1833,MATCH(YEAR(AC770),PARAMETROS!E$2:E1833,0),1)))</f>
        <v/>
      </c>
      <c r="AH770" s="81"/>
      <c r="AI770" s="82"/>
      <c r="AJ770" s="81"/>
      <c r="AK770" s="81"/>
      <c r="AL770" s="76"/>
      <c r="AM770" s="75"/>
      <c r="AN770" s="76"/>
      <c r="AO770" s="95"/>
      <c r="AP770" s="96"/>
      <c r="AQ770" s="85" t="str">
        <f t="shared" si="6"/>
        <v/>
      </c>
      <c r="AR770" s="86" t="str">
        <f t="array" ref="AR770">IF(A770="","",IFERROR(INDEX('2) Etapas'!L$3:L923,MATCH(B770,'2) Etapas'!$A$4:$A923,0),1),-1))</f>
        <v/>
      </c>
      <c r="AS770" s="87" t="str">
        <f t="shared" si="7"/>
        <v/>
      </c>
      <c r="AT770" s="87" t="str">
        <f t="shared" si="8"/>
        <v/>
      </c>
      <c r="AU770" s="87" t="str">
        <f t="shared" si="9"/>
        <v/>
      </c>
      <c r="AV770" s="89" t="str">
        <f t="array" ref="AV770">IF(OR($A770="",$AB770="", $AC770=""),"",MAXA(IF($A770=$A$4:$A923,$AC$4:$AC923)))</f>
        <v/>
      </c>
    </row>
    <row r="771" ht="22.5" customHeight="1">
      <c r="A771" s="76"/>
      <c r="B771" s="68" t="str">
        <f t="shared" si="1"/>
        <v/>
      </c>
      <c r="C771" s="110"/>
      <c r="D771" s="70" t="str">
        <f t="shared" si="2"/>
        <v/>
      </c>
      <c r="E771" s="76"/>
      <c r="F771" s="68" t="str">
        <f t="array" ref="F771">IF($A771="","",IFERROR(INDEX(MA_INDIVIDUALES!C$2:C923, MATCH($A771,MA_INDIVIDUALES!$B$2:$B923,0),1),"CÓDIGO DE EXPEDIENTE INVÁLIDO"))</f>
        <v/>
      </c>
      <c r="G771" s="68" t="str">
        <f t="array" ref="G771">IF($A771="","",IFERROR(INDEX(MA_INDIVIDUALES!K$2:K923, MATCH($A771,MA_INDIVIDUALES!$B$2:$B923,0),1),"CÓDIGO DE EXPEDIENTE INVÁLIDO"))</f>
        <v/>
      </c>
      <c r="H771" s="68" t="str">
        <f t="array" ref="H771">IF($A771="","",IFERROR(INDEX(MA_INDIVIDUALES!L$2:L923, MATCH($A771,MA_INDIVIDUALES!$B$2:$B923,0),1),"CÓDIGO DE EXPEDIENTE INVÁLIDO"))</f>
        <v/>
      </c>
      <c r="I771" s="76"/>
      <c r="J771" s="76"/>
      <c r="K771" s="75"/>
      <c r="L771" s="74" t="str">
        <f>IF(A771="","",IF(K771="","",_xlfn.WORKDAY.INTL(K771,5,1,FERIADOS)))</f>
        <v/>
      </c>
      <c r="M771" s="76"/>
      <c r="N771" s="75"/>
      <c r="O771" s="76"/>
      <c r="P771" s="77" t="str">
        <f t="shared" si="3"/>
        <v/>
      </c>
      <c r="Q771" s="75"/>
      <c r="R771" s="76"/>
      <c r="S771" s="75"/>
      <c r="T771" s="75"/>
      <c r="U771" s="76"/>
      <c r="V771" s="76"/>
      <c r="W771" s="75"/>
      <c r="X771" s="76"/>
      <c r="Y771" s="29" t="str">
        <f t="shared" si="4"/>
        <v/>
      </c>
      <c r="Z771" s="29" t="str">
        <f t="shared" si="5"/>
        <v/>
      </c>
      <c r="AA771" s="76"/>
      <c r="AB771" s="76"/>
      <c r="AC771" s="75"/>
      <c r="AD771" s="75"/>
      <c r="AE771" s="78" t="str">
        <f>IF(U771="","",IF(AD771="","",_xlfn.WORKDAY.INTL(AD771,7,1,FERIADOS)))</f>
        <v/>
      </c>
      <c r="AF771" s="104"/>
      <c r="AG771" s="80" t="str">
        <f t="array" ref="AG771">IF(A771="","",IF(AF771="","",AF771*INDEX(PARAMETROS!F$2:F1834,MATCH(YEAR(AC771),PARAMETROS!E$2:E1834,0),1)))</f>
        <v/>
      </c>
      <c r="AH771" s="81"/>
      <c r="AI771" s="82"/>
      <c r="AJ771" s="81"/>
      <c r="AK771" s="81"/>
      <c r="AL771" s="76"/>
      <c r="AM771" s="75"/>
      <c r="AN771" s="76"/>
      <c r="AO771" s="95"/>
      <c r="AP771" s="96"/>
      <c r="AQ771" s="85" t="str">
        <f t="shared" si="6"/>
        <v/>
      </c>
      <c r="AR771" s="86" t="str">
        <f t="array" ref="AR771">IF(A771="","",IFERROR(INDEX('2) Etapas'!L$3:L923,MATCH(B771,'2) Etapas'!$A$4:$A923,0),1),-1))</f>
        <v/>
      </c>
      <c r="AS771" s="87" t="str">
        <f t="shared" si="7"/>
        <v/>
      </c>
      <c r="AT771" s="87" t="str">
        <f t="shared" si="8"/>
        <v/>
      </c>
      <c r="AU771" s="87" t="str">
        <f t="shared" si="9"/>
        <v/>
      </c>
      <c r="AV771" s="89" t="str">
        <f t="array" ref="AV771">IF(OR($A771="",$AB771="", $AC771=""),"",MAXA(IF($A771=$A$4:$A923,$AC$4:$AC923)))</f>
        <v/>
      </c>
    </row>
    <row r="772" ht="22.5" customHeight="1">
      <c r="A772" s="76"/>
      <c r="B772" s="68" t="str">
        <f t="shared" si="1"/>
        <v/>
      </c>
      <c r="C772" s="110"/>
      <c r="D772" s="70" t="str">
        <f t="shared" si="2"/>
        <v/>
      </c>
      <c r="E772" s="76"/>
      <c r="F772" s="68" t="str">
        <f t="array" ref="F772">IF($A772="","",IFERROR(INDEX(MA_INDIVIDUALES!C$2:C923, MATCH($A772,MA_INDIVIDUALES!$B$2:$B923,0),1),"CÓDIGO DE EXPEDIENTE INVÁLIDO"))</f>
        <v/>
      </c>
      <c r="G772" s="68" t="str">
        <f t="array" ref="G772">IF($A772="","",IFERROR(INDEX(MA_INDIVIDUALES!K$2:K923, MATCH($A772,MA_INDIVIDUALES!$B$2:$B923,0),1),"CÓDIGO DE EXPEDIENTE INVÁLIDO"))</f>
        <v/>
      </c>
      <c r="H772" s="68" t="str">
        <f t="array" ref="H772">IF($A772="","",IFERROR(INDEX(MA_INDIVIDUALES!L$2:L923, MATCH($A772,MA_INDIVIDUALES!$B$2:$B923,0),1),"CÓDIGO DE EXPEDIENTE INVÁLIDO"))</f>
        <v/>
      </c>
      <c r="I772" s="76"/>
      <c r="J772" s="76"/>
      <c r="K772" s="75"/>
      <c r="L772" s="74" t="str">
        <f>IF(A772="","",IF(K772="","",_xlfn.WORKDAY.INTL(K772,5,1,FERIADOS)))</f>
        <v/>
      </c>
      <c r="M772" s="76"/>
      <c r="N772" s="75"/>
      <c r="O772" s="76"/>
      <c r="P772" s="77" t="str">
        <f t="shared" si="3"/>
        <v/>
      </c>
      <c r="Q772" s="75"/>
      <c r="R772" s="76"/>
      <c r="S772" s="75"/>
      <c r="T772" s="75"/>
      <c r="U772" s="76"/>
      <c r="V772" s="76"/>
      <c r="W772" s="75"/>
      <c r="X772" s="76"/>
      <c r="Y772" s="29" t="str">
        <f t="shared" si="4"/>
        <v/>
      </c>
      <c r="Z772" s="29" t="str">
        <f t="shared" si="5"/>
        <v/>
      </c>
      <c r="AA772" s="76"/>
      <c r="AB772" s="76"/>
      <c r="AC772" s="75"/>
      <c r="AD772" s="75"/>
      <c r="AE772" s="78" t="str">
        <f>IF(U772="","",IF(AD772="","",_xlfn.WORKDAY.INTL(AD772,7,1,FERIADOS)))</f>
        <v/>
      </c>
      <c r="AF772" s="104"/>
      <c r="AG772" s="80" t="str">
        <f t="array" ref="AG772">IF(A772="","",IF(AF772="","",AF772*INDEX(PARAMETROS!F$2:F1835,MATCH(YEAR(AC772),PARAMETROS!E$2:E1835,0),1)))</f>
        <v/>
      </c>
      <c r="AH772" s="81"/>
      <c r="AI772" s="82"/>
      <c r="AJ772" s="81"/>
      <c r="AK772" s="81"/>
      <c r="AL772" s="76"/>
      <c r="AM772" s="75"/>
      <c r="AN772" s="76"/>
      <c r="AO772" s="95"/>
      <c r="AP772" s="96"/>
      <c r="AQ772" s="85" t="str">
        <f t="shared" si="6"/>
        <v/>
      </c>
      <c r="AR772" s="86" t="str">
        <f t="array" ref="AR772">IF(A772="","",IFERROR(INDEX('2) Etapas'!L$3:L923,MATCH(B772,'2) Etapas'!$A$4:$A923,0),1),-1))</f>
        <v/>
      </c>
      <c r="AS772" s="87" t="str">
        <f t="shared" si="7"/>
        <v/>
      </c>
      <c r="AT772" s="87" t="str">
        <f t="shared" si="8"/>
        <v/>
      </c>
      <c r="AU772" s="87" t="str">
        <f t="shared" si="9"/>
        <v/>
      </c>
      <c r="AV772" s="89" t="str">
        <f t="array" ref="AV772">IF(OR($A772="",$AB772="", $AC772=""),"",MAXA(IF($A772=$A$4:$A923,$AC$4:$AC923)))</f>
        <v/>
      </c>
    </row>
    <row r="773" ht="22.5" customHeight="1">
      <c r="A773" s="76"/>
      <c r="B773" s="68" t="str">
        <f t="shared" si="1"/>
        <v/>
      </c>
      <c r="C773" s="110"/>
      <c r="D773" s="70" t="str">
        <f t="shared" si="2"/>
        <v/>
      </c>
      <c r="E773" s="76"/>
      <c r="F773" s="68" t="str">
        <f t="array" ref="F773">IF($A773="","",IFERROR(INDEX(MA_INDIVIDUALES!C$2:C923, MATCH($A773,MA_INDIVIDUALES!$B$2:$B923,0),1),"CÓDIGO DE EXPEDIENTE INVÁLIDO"))</f>
        <v/>
      </c>
      <c r="G773" s="68" t="str">
        <f t="array" ref="G773">IF($A773="","",IFERROR(INDEX(MA_INDIVIDUALES!K$2:K923, MATCH($A773,MA_INDIVIDUALES!$B$2:$B923,0),1),"CÓDIGO DE EXPEDIENTE INVÁLIDO"))</f>
        <v/>
      </c>
      <c r="H773" s="68" t="str">
        <f t="array" ref="H773">IF($A773="","",IFERROR(INDEX(MA_INDIVIDUALES!L$2:L923, MATCH($A773,MA_INDIVIDUALES!$B$2:$B923,0),1),"CÓDIGO DE EXPEDIENTE INVÁLIDO"))</f>
        <v/>
      </c>
      <c r="I773" s="76"/>
      <c r="J773" s="76"/>
      <c r="K773" s="75"/>
      <c r="L773" s="74" t="str">
        <f>IF(A773="","",IF(K773="","",_xlfn.WORKDAY.INTL(K773,5,1,FERIADOS)))</f>
        <v/>
      </c>
      <c r="M773" s="76"/>
      <c r="N773" s="75"/>
      <c r="O773" s="76"/>
      <c r="P773" s="77" t="str">
        <f t="shared" si="3"/>
        <v/>
      </c>
      <c r="Q773" s="75"/>
      <c r="R773" s="76"/>
      <c r="S773" s="75"/>
      <c r="T773" s="75"/>
      <c r="U773" s="76"/>
      <c r="V773" s="76"/>
      <c r="W773" s="75"/>
      <c r="X773" s="76"/>
      <c r="Y773" s="29" t="str">
        <f t="shared" si="4"/>
        <v/>
      </c>
      <c r="Z773" s="29" t="str">
        <f t="shared" si="5"/>
        <v/>
      </c>
      <c r="AA773" s="76"/>
      <c r="AB773" s="76"/>
      <c r="AC773" s="75"/>
      <c r="AD773" s="75"/>
      <c r="AE773" s="78" t="str">
        <f>IF(U773="","",IF(AD773="","",_xlfn.WORKDAY.INTL(AD773,7,1,FERIADOS)))</f>
        <v/>
      </c>
      <c r="AF773" s="104"/>
      <c r="AG773" s="80" t="str">
        <f t="array" ref="AG773">IF(A773="","",IF(AF773="","",AF773*INDEX(PARAMETROS!F$2:F1836,MATCH(YEAR(AC773),PARAMETROS!E$2:E1836,0),1)))</f>
        <v/>
      </c>
      <c r="AH773" s="81"/>
      <c r="AI773" s="82"/>
      <c r="AJ773" s="81"/>
      <c r="AK773" s="81"/>
      <c r="AL773" s="76"/>
      <c r="AM773" s="75"/>
      <c r="AN773" s="76"/>
      <c r="AO773" s="95"/>
      <c r="AP773" s="96"/>
      <c r="AQ773" s="85" t="str">
        <f t="shared" si="6"/>
        <v/>
      </c>
      <c r="AR773" s="86" t="str">
        <f t="array" ref="AR773">IF(A773="","",IFERROR(INDEX('2) Etapas'!L$3:L923,MATCH(B773,'2) Etapas'!$A$4:$A923,0),1),-1))</f>
        <v/>
      </c>
      <c r="AS773" s="87" t="str">
        <f t="shared" si="7"/>
        <v/>
      </c>
      <c r="AT773" s="87" t="str">
        <f t="shared" si="8"/>
        <v/>
      </c>
      <c r="AU773" s="87" t="str">
        <f t="shared" si="9"/>
        <v/>
      </c>
      <c r="AV773" s="89" t="str">
        <f t="array" ref="AV773">IF(OR($A773="",$AB773="", $AC773=""),"",MAXA(IF($A773=$A$4:$A923,$AC$4:$AC923)))</f>
        <v/>
      </c>
    </row>
    <row r="774" ht="22.5" customHeight="1">
      <c r="A774" s="76"/>
      <c r="B774" s="68" t="str">
        <f t="shared" si="1"/>
        <v/>
      </c>
      <c r="C774" s="110"/>
      <c r="D774" s="70" t="str">
        <f t="shared" si="2"/>
        <v/>
      </c>
      <c r="E774" s="76"/>
      <c r="F774" s="68" t="str">
        <f t="array" ref="F774">IF($A774="","",IFERROR(INDEX(MA_INDIVIDUALES!C$2:C923, MATCH($A774,MA_INDIVIDUALES!$B$2:$B923,0),1),"CÓDIGO DE EXPEDIENTE INVÁLIDO"))</f>
        <v/>
      </c>
      <c r="G774" s="68" t="str">
        <f t="array" ref="G774">IF($A774="","",IFERROR(INDEX(MA_INDIVIDUALES!K$2:K923, MATCH($A774,MA_INDIVIDUALES!$B$2:$B923,0),1),"CÓDIGO DE EXPEDIENTE INVÁLIDO"))</f>
        <v/>
      </c>
      <c r="H774" s="68" t="str">
        <f t="array" ref="H774">IF($A774="","",IFERROR(INDEX(MA_INDIVIDUALES!L$2:L923, MATCH($A774,MA_INDIVIDUALES!$B$2:$B923,0),1),"CÓDIGO DE EXPEDIENTE INVÁLIDO"))</f>
        <v/>
      </c>
      <c r="I774" s="76"/>
      <c r="J774" s="76"/>
      <c r="K774" s="75"/>
      <c r="L774" s="74" t="str">
        <f>IF(A774="","",IF(K774="","",_xlfn.WORKDAY.INTL(K774,5,1,FERIADOS)))</f>
        <v/>
      </c>
      <c r="M774" s="76"/>
      <c r="N774" s="75"/>
      <c r="O774" s="76"/>
      <c r="P774" s="77" t="str">
        <f t="shared" si="3"/>
        <v/>
      </c>
      <c r="Q774" s="75"/>
      <c r="R774" s="76"/>
      <c r="S774" s="75"/>
      <c r="T774" s="75"/>
      <c r="U774" s="76"/>
      <c r="V774" s="76"/>
      <c r="W774" s="75"/>
      <c r="X774" s="76"/>
      <c r="Y774" s="29" t="str">
        <f t="shared" si="4"/>
        <v/>
      </c>
      <c r="Z774" s="29" t="str">
        <f t="shared" si="5"/>
        <v/>
      </c>
      <c r="AA774" s="76"/>
      <c r="AB774" s="76"/>
      <c r="AC774" s="75"/>
      <c r="AD774" s="75"/>
      <c r="AE774" s="78" t="str">
        <f>IF(U774="","",IF(AD774="","",_xlfn.WORKDAY.INTL(AD774,7,1,FERIADOS)))</f>
        <v/>
      </c>
      <c r="AF774" s="104"/>
      <c r="AG774" s="80" t="str">
        <f t="array" ref="AG774">IF(A774="","",IF(AF774="","",AF774*INDEX(PARAMETROS!F$2:F1837,MATCH(YEAR(AC774),PARAMETROS!E$2:E1837,0),1)))</f>
        <v/>
      </c>
      <c r="AH774" s="81"/>
      <c r="AI774" s="82"/>
      <c r="AJ774" s="81"/>
      <c r="AK774" s="81"/>
      <c r="AL774" s="76"/>
      <c r="AM774" s="75"/>
      <c r="AN774" s="76"/>
      <c r="AO774" s="95"/>
      <c r="AP774" s="96"/>
      <c r="AQ774" s="85" t="str">
        <f t="shared" si="6"/>
        <v/>
      </c>
      <c r="AR774" s="86" t="str">
        <f t="array" ref="AR774">IF(A774="","",IFERROR(INDEX('2) Etapas'!L$3:L923,MATCH(B774,'2) Etapas'!$A$4:$A923,0),1),-1))</f>
        <v/>
      </c>
      <c r="AS774" s="87" t="str">
        <f t="shared" si="7"/>
        <v/>
      </c>
      <c r="AT774" s="87" t="str">
        <f t="shared" si="8"/>
        <v/>
      </c>
      <c r="AU774" s="87" t="str">
        <f t="shared" si="9"/>
        <v/>
      </c>
      <c r="AV774" s="89" t="str">
        <f t="array" ref="AV774">IF(OR($A774="",$AB774="", $AC774=""),"",MAXA(IF($A774=$A$4:$A923,$AC$4:$AC923)))</f>
        <v/>
      </c>
    </row>
    <row r="775" ht="22.5" customHeight="1">
      <c r="A775" s="76"/>
      <c r="B775" s="68" t="str">
        <f t="shared" si="1"/>
        <v/>
      </c>
      <c r="C775" s="110"/>
      <c r="D775" s="70" t="str">
        <f t="shared" si="2"/>
        <v/>
      </c>
      <c r="E775" s="76"/>
      <c r="F775" s="68" t="str">
        <f t="array" ref="F775">IF($A775="","",IFERROR(INDEX(MA_INDIVIDUALES!C$2:C923, MATCH($A775,MA_INDIVIDUALES!$B$2:$B923,0),1),"CÓDIGO DE EXPEDIENTE INVÁLIDO"))</f>
        <v/>
      </c>
      <c r="G775" s="68" t="str">
        <f t="array" ref="G775">IF($A775="","",IFERROR(INDEX(MA_INDIVIDUALES!K$2:K923, MATCH($A775,MA_INDIVIDUALES!$B$2:$B923,0),1),"CÓDIGO DE EXPEDIENTE INVÁLIDO"))</f>
        <v/>
      </c>
      <c r="H775" s="68" t="str">
        <f t="array" ref="H775">IF($A775="","",IFERROR(INDEX(MA_INDIVIDUALES!L$2:L923, MATCH($A775,MA_INDIVIDUALES!$B$2:$B923,0),1),"CÓDIGO DE EXPEDIENTE INVÁLIDO"))</f>
        <v/>
      </c>
      <c r="I775" s="76"/>
      <c r="J775" s="76"/>
      <c r="K775" s="75"/>
      <c r="L775" s="74" t="str">
        <f>IF(A775="","",IF(K775="","",_xlfn.WORKDAY.INTL(K775,5,1,FERIADOS)))</f>
        <v/>
      </c>
      <c r="M775" s="76"/>
      <c r="N775" s="75"/>
      <c r="O775" s="76"/>
      <c r="P775" s="77" t="str">
        <f t="shared" si="3"/>
        <v/>
      </c>
      <c r="Q775" s="75"/>
      <c r="R775" s="76"/>
      <c r="S775" s="75"/>
      <c r="T775" s="75"/>
      <c r="U775" s="76"/>
      <c r="V775" s="76"/>
      <c r="W775" s="75"/>
      <c r="X775" s="76"/>
      <c r="Y775" s="29" t="str">
        <f t="shared" si="4"/>
        <v/>
      </c>
      <c r="Z775" s="29" t="str">
        <f t="shared" si="5"/>
        <v/>
      </c>
      <c r="AA775" s="76"/>
      <c r="AB775" s="76"/>
      <c r="AC775" s="75"/>
      <c r="AD775" s="75"/>
      <c r="AE775" s="78" t="str">
        <f>IF(U775="","",IF(AD775="","",_xlfn.WORKDAY.INTL(AD775,7,1,FERIADOS)))</f>
        <v/>
      </c>
      <c r="AF775" s="104"/>
      <c r="AG775" s="80" t="str">
        <f t="array" ref="AG775">IF(A775="","",IF(AF775="","",AF775*INDEX(PARAMETROS!F$2:F1838,MATCH(YEAR(AC775),PARAMETROS!E$2:E1838,0),1)))</f>
        <v/>
      </c>
      <c r="AH775" s="81"/>
      <c r="AI775" s="82"/>
      <c r="AJ775" s="81"/>
      <c r="AK775" s="81"/>
      <c r="AL775" s="76"/>
      <c r="AM775" s="75"/>
      <c r="AN775" s="76"/>
      <c r="AO775" s="95"/>
      <c r="AP775" s="96"/>
      <c r="AQ775" s="85" t="str">
        <f t="shared" si="6"/>
        <v/>
      </c>
      <c r="AR775" s="86" t="str">
        <f t="array" ref="AR775">IF(A775="","",IFERROR(INDEX('2) Etapas'!L$3:L923,MATCH(B775,'2) Etapas'!$A$4:$A923,0),1),-1))</f>
        <v/>
      </c>
      <c r="AS775" s="87" t="str">
        <f t="shared" si="7"/>
        <v/>
      </c>
      <c r="AT775" s="87" t="str">
        <f t="shared" si="8"/>
        <v/>
      </c>
      <c r="AU775" s="87" t="str">
        <f t="shared" si="9"/>
        <v/>
      </c>
      <c r="AV775" s="89" t="str">
        <f t="array" ref="AV775">IF(OR($A775="",$AB775="", $AC775=""),"",MAXA(IF($A775=$A$4:$A923,$AC$4:$AC923)))</f>
        <v/>
      </c>
    </row>
    <row r="776" ht="22.5" customHeight="1">
      <c r="A776" s="76"/>
      <c r="B776" s="68" t="str">
        <f t="shared" si="1"/>
        <v/>
      </c>
      <c r="C776" s="110"/>
      <c r="D776" s="70" t="str">
        <f t="shared" si="2"/>
        <v/>
      </c>
      <c r="E776" s="76"/>
      <c r="F776" s="68" t="str">
        <f t="array" ref="F776">IF($A776="","",IFERROR(INDEX(MA_INDIVIDUALES!C$2:C923, MATCH($A776,MA_INDIVIDUALES!$B$2:$B923,0),1),"CÓDIGO DE EXPEDIENTE INVÁLIDO"))</f>
        <v/>
      </c>
      <c r="G776" s="68" t="str">
        <f t="array" ref="G776">IF($A776="","",IFERROR(INDEX(MA_INDIVIDUALES!K$2:K923, MATCH($A776,MA_INDIVIDUALES!$B$2:$B923,0),1),"CÓDIGO DE EXPEDIENTE INVÁLIDO"))</f>
        <v/>
      </c>
      <c r="H776" s="68" t="str">
        <f t="array" ref="H776">IF($A776="","",IFERROR(INDEX(MA_INDIVIDUALES!L$2:L923, MATCH($A776,MA_INDIVIDUALES!$B$2:$B923,0),1),"CÓDIGO DE EXPEDIENTE INVÁLIDO"))</f>
        <v/>
      </c>
      <c r="I776" s="76"/>
      <c r="J776" s="76"/>
      <c r="K776" s="75"/>
      <c r="L776" s="74" t="str">
        <f>IF(A776="","",IF(K776="","",_xlfn.WORKDAY.INTL(K776,5,1,FERIADOS)))</f>
        <v/>
      </c>
      <c r="M776" s="76"/>
      <c r="N776" s="75"/>
      <c r="O776" s="76"/>
      <c r="P776" s="77" t="str">
        <f t="shared" si="3"/>
        <v/>
      </c>
      <c r="Q776" s="75"/>
      <c r="R776" s="76"/>
      <c r="S776" s="75"/>
      <c r="T776" s="75"/>
      <c r="U776" s="76"/>
      <c r="V776" s="76"/>
      <c r="W776" s="75"/>
      <c r="X776" s="76"/>
      <c r="Y776" s="29" t="str">
        <f t="shared" si="4"/>
        <v/>
      </c>
      <c r="Z776" s="29" t="str">
        <f t="shared" si="5"/>
        <v/>
      </c>
      <c r="AA776" s="76"/>
      <c r="AB776" s="76"/>
      <c r="AC776" s="75"/>
      <c r="AD776" s="75"/>
      <c r="AE776" s="78" t="str">
        <f>IF(U776="","",IF(AD776="","",_xlfn.WORKDAY.INTL(AD776,7,1,FERIADOS)))</f>
        <v/>
      </c>
      <c r="AF776" s="104"/>
      <c r="AG776" s="80" t="str">
        <f t="array" ref="AG776">IF(A776="","",IF(AF776="","",AF776*INDEX(PARAMETROS!F$2:F1839,MATCH(YEAR(AC776),PARAMETROS!E$2:E1839,0),1)))</f>
        <v/>
      </c>
      <c r="AH776" s="81"/>
      <c r="AI776" s="82"/>
      <c r="AJ776" s="81"/>
      <c r="AK776" s="81"/>
      <c r="AL776" s="76"/>
      <c r="AM776" s="75"/>
      <c r="AN776" s="76"/>
      <c r="AO776" s="95"/>
      <c r="AP776" s="96"/>
      <c r="AQ776" s="85" t="str">
        <f t="shared" si="6"/>
        <v/>
      </c>
      <c r="AR776" s="86" t="str">
        <f t="array" ref="AR776">IF(A776="","",IFERROR(INDEX('2) Etapas'!L$3:L923,MATCH(B776,'2) Etapas'!$A$4:$A923,0),1),-1))</f>
        <v/>
      </c>
      <c r="AS776" s="87" t="str">
        <f t="shared" si="7"/>
        <v/>
      </c>
      <c r="AT776" s="87" t="str">
        <f t="shared" si="8"/>
        <v/>
      </c>
      <c r="AU776" s="87" t="str">
        <f t="shared" si="9"/>
        <v/>
      </c>
      <c r="AV776" s="89" t="str">
        <f t="array" ref="AV776">IF(OR($A776="",$AB776="", $AC776=""),"",MAXA(IF($A776=$A$4:$A923,$AC$4:$AC923)))</f>
        <v/>
      </c>
    </row>
    <row r="777" ht="22.5" customHeight="1">
      <c r="A777" s="76"/>
      <c r="B777" s="68" t="str">
        <f t="shared" si="1"/>
        <v/>
      </c>
      <c r="C777" s="110"/>
      <c r="D777" s="70" t="str">
        <f t="shared" si="2"/>
        <v/>
      </c>
      <c r="E777" s="76"/>
      <c r="F777" s="68" t="str">
        <f t="array" ref="F777">IF($A777="","",IFERROR(INDEX(MA_INDIVIDUALES!C$2:C923, MATCH($A777,MA_INDIVIDUALES!$B$2:$B923,0),1),"CÓDIGO DE EXPEDIENTE INVÁLIDO"))</f>
        <v/>
      </c>
      <c r="G777" s="68" t="str">
        <f t="array" ref="G777">IF($A777="","",IFERROR(INDEX(MA_INDIVIDUALES!K$2:K923, MATCH($A777,MA_INDIVIDUALES!$B$2:$B923,0),1),"CÓDIGO DE EXPEDIENTE INVÁLIDO"))</f>
        <v/>
      </c>
      <c r="H777" s="68" t="str">
        <f t="array" ref="H777">IF($A777="","",IFERROR(INDEX(MA_INDIVIDUALES!L$2:L923, MATCH($A777,MA_INDIVIDUALES!$B$2:$B923,0),1),"CÓDIGO DE EXPEDIENTE INVÁLIDO"))</f>
        <v/>
      </c>
      <c r="I777" s="76"/>
      <c r="J777" s="76"/>
      <c r="K777" s="75"/>
      <c r="L777" s="74" t="str">
        <f>IF(A777="","",IF(K777="","",_xlfn.WORKDAY.INTL(K777,5,1,FERIADOS)))</f>
        <v/>
      </c>
      <c r="M777" s="76"/>
      <c r="N777" s="75"/>
      <c r="O777" s="76"/>
      <c r="P777" s="77" t="str">
        <f t="shared" si="3"/>
        <v/>
      </c>
      <c r="Q777" s="75"/>
      <c r="R777" s="76"/>
      <c r="S777" s="75"/>
      <c r="T777" s="75"/>
      <c r="U777" s="76"/>
      <c r="V777" s="76"/>
      <c r="W777" s="75"/>
      <c r="X777" s="76"/>
      <c r="Y777" s="29" t="str">
        <f t="shared" si="4"/>
        <v/>
      </c>
      <c r="Z777" s="29" t="str">
        <f t="shared" si="5"/>
        <v/>
      </c>
      <c r="AA777" s="76"/>
      <c r="AB777" s="76"/>
      <c r="AC777" s="75"/>
      <c r="AD777" s="75"/>
      <c r="AE777" s="78" t="str">
        <f>IF(U777="","",IF(AD777="","",_xlfn.WORKDAY.INTL(AD777,7,1,FERIADOS)))</f>
        <v/>
      </c>
      <c r="AF777" s="104"/>
      <c r="AG777" s="80" t="str">
        <f t="array" ref="AG777">IF(A777="","",IF(AF777="","",AF777*INDEX(PARAMETROS!F$2:F1840,MATCH(YEAR(AC777),PARAMETROS!E$2:E1840,0),1)))</f>
        <v/>
      </c>
      <c r="AH777" s="81"/>
      <c r="AI777" s="82"/>
      <c r="AJ777" s="81"/>
      <c r="AK777" s="81"/>
      <c r="AL777" s="76"/>
      <c r="AM777" s="75"/>
      <c r="AN777" s="76"/>
      <c r="AO777" s="95"/>
      <c r="AP777" s="96"/>
      <c r="AQ777" s="85" t="str">
        <f t="shared" si="6"/>
        <v/>
      </c>
      <c r="AR777" s="86" t="str">
        <f t="array" ref="AR777">IF(A777="","",IFERROR(INDEX('2) Etapas'!L$3:L923,MATCH(B777,'2) Etapas'!$A$4:$A923,0),1),-1))</f>
        <v/>
      </c>
      <c r="AS777" s="87" t="str">
        <f t="shared" si="7"/>
        <v/>
      </c>
      <c r="AT777" s="87" t="str">
        <f t="shared" si="8"/>
        <v/>
      </c>
      <c r="AU777" s="87" t="str">
        <f t="shared" si="9"/>
        <v/>
      </c>
      <c r="AV777" s="89" t="str">
        <f t="array" ref="AV777">IF(OR($A777="",$AB777="", $AC777=""),"",MAXA(IF($A777=$A$4:$A923,$AC$4:$AC923)))</f>
        <v/>
      </c>
    </row>
    <row r="778" ht="22.5" customHeight="1">
      <c r="A778" s="76"/>
      <c r="B778" s="68" t="str">
        <f t="shared" si="1"/>
        <v/>
      </c>
      <c r="C778" s="110"/>
      <c r="D778" s="70" t="str">
        <f t="shared" si="2"/>
        <v/>
      </c>
      <c r="E778" s="76"/>
      <c r="F778" s="68" t="str">
        <f t="array" ref="F778">IF($A778="","",IFERROR(INDEX(MA_INDIVIDUALES!C$2:C923, MATCH($A778,MA_INDIVIDUALES!$B$2:$B923,0),1),"CÓDIGO DE EXPEDIENTE INVÁLIDO"))</f>
        <v/>
      </c>
      <c r="G778" s="68" t="str">
        <f t="array" ref="G778">IF($A778="","",IFERROR(INDEX(MA_INDIVIDUALES!K$2:K923, MATCH($A778,MA_INDIVIDUALES!$B$2:$B923,0),1),"CÓDIGO DE EXPEDIENTE INVÁLIDO"))</f>
        <v/>
      </c>
      <c r="H778" s="68" t="str">
        <f t="array" ref="H778">IF($A778="","",IFERROR(INDEX(MA_INDIVIDUALES!L$2:L923, MATCH($A778,MA_INDIVIDUALES!$B$2:$B923,0),1),"CÓDIGO DE EXPEDIENTE INVÁLIDO"))</f>
        <v/>
      </c>
      <c r="I778" s="76"/>
      <c r="J778" s="76"/>
      <c r="K778" s="75"/>
      <c r="L778" s="74" t="str">
        <f>IF(A778="","",IF(K778="","",_xlfn.WORKDAY.INTL(K778,5,1,FERIADOS)))</f>
        <v/>
      </c>
      <c r="M778" s="76"/>
      <c r="N778" s="75"/>
      <c r="O778" s="76"/>
      <c r="P778" s="77" t="str">
        <f t="shared" si="3"/>
        <v/>
      </c>
      <c r="Q778" s="75"/>
      <c r="R778" s="76"/>
      <c r="S778" s="75"/>
      <c r="T778" s="75"/>
      <c r="U778" s="76"/>
      <c r="V778" s="76"/>
      <c r="W778" s="75"/>
      <c r="X778" s="76"/>
      <c r="Y778" s="29" t="str">
        <f t="shared" si="4"/>
        <v/>
      </c>
      <c r="Z778" s="29" t="str">
        <f t="shared" si="5"/>
        <v/>
      </c>
      <c r="AA778" s="76"/>
      <c r="AB778" s="76"/>
      <c r="AC778" s="75"/>
      <c r="AD778" s="75"/>
      <c r="AE778" s="78" t="str">
        <f>IF(U778="","",IF(AD778="","",_xlfn.WORKDAY.INTL(AD778,7,1,FERIADOS)))</f>
        <v/>
      </c>
      <c r="AF778" s="104"/>
      <c r="AG778" s="80" t="str">
        <f t="array" ref="AG778">IF(A778="","",IF(AF778="","",AF778*INDEX(PARAMETROS!F$2:F1841,MATCH(YEAR(AC778),PARAMETROS!E$2:E1841,0),1)))</f>
        <v/>
      </c>
      <c r="AH778" s="81"/>
      <c r="AI778" s="82"/>
      <c r="AJ778" s="81"/>
      <c r="AK778" s="81"/>
      <c r="AL778" s="76"/>
      <c r="AM778" s="75"/>
      <c r="AN778" s="76"/>
      <c r="AO778" s="95"/>
      <c r="AP778" s="96"/>
      <c r="AQ778" s="85" t="str">
        <f t="shared" si="6"/>
        <v/>
      </c>
      <c r="AR778" s="86" t="str">
        <f t="array" ref="AR778">IF(A778="","",IFERROR(INDEX('2) Etapas'!L$3:L923,MATCH(B778,'2) Etapas'!$A$4:$A923,0),1),-1))</f>
        <v/>
      </c>
      <c r="AS778" s="87" t="str">
        <f t="shared" si="7"/>
        <v/>
      </c>
      <c r="AT778" s="87" t="str">
        <f t="shared" si="8"/>
        <v/>
      </c>
      <c r="AU778" s="87" t="str">
        <f t="shared" si="9"/>
        <v/>
      </c>
      <c r="AV778" s="89" t="str">
        <f t="array" ref="AV778">IF(OR($A778="",$AB778="", $AC778=""),"",MAXA(IF($A778=$A$4:$A923,$AC$4:$AC923)))</f>
        <v/>
      </c>
    </row>
    <row r="779" ht="22.5" customHeight="1">
      <c r="A779" s="76"/>
      <c r="B779" s="68" t="str">
        <f t="shared" si="1"/>
        <v/>
      </c>
      <c r="C779" s="110"/>
      <c r="D779" s="70" t="str">
        <f t="shared" si="2"/>
        <v/>
      </c>
      <c r="E779" s="76"/>
      <c r="F779" s="68" t="str">
        <f t="array" ref="F779">IF($A779="","",IFERROR(INDEX(MA_INDIVIDUALES!C$2:C923, MATCH($A779,MA_INDIVIDUALES!$B$2:$B923,0),1),"CÓDIGO DE EXPEDIENTE INVÁLIDO"))</f>
        <v/>
      </c>
      <c r="G779" s="68" t="str">
        <f t="array" ref="G779">IF($A779="","",IFERROR(INDEX(MA_INDIVIDUALES!K$2:K923, MATCH($A779,MA_INDIVIDUALES!$B$2:$B923,0),1),"CÓDIGO DE EXPEDIENTE INVÁLIDO"))</f>
        <v/>
      </c>
      <c r="H779" s="68" t="str">
        <f t="array" ref="H779">IF($A779="","",IFERROR(INDEX(MA_INDIVIDUALES!L$2:L923, MATCH($A779,MA_INDIVIDUALES!$B$2:$B923,0),1),"CÓDIGO DE EXPEDIENTE INVÁLIDO"))</f>
        <v/>
      </c>
      <c r="I779" s="76"/>
      <c r="J779" s="76"/>
      <c r="K779" s="75"/>
      <c r="L779" s="74" t="str">
        <f>IF(A779="","",IF(K779="","",_xlfn.WORKDAY.INTL(K779,5,1,FERIADOS)))</f>
        <v/>
      </c>
      <c r="M779" s="76"/>
      <c r="N779" s="75"/>
      <c r="O779" s="76"/>
      <c r="P779" s="77" t="str">
        <f t="shared" si="3"/>
        <v/>
      </c>
      <c r="Q779" s="75"/>
      <c r="R779" s="76"/>
      <c r="S779" s="75"/>
      <c r="T779" s="75"/>
      <c r="U779" s="76"/>
      <c r="V779" s="76"/>
      <c r="W779" s="75"/>
      <c r="X779" s="76"/>
      <c r="Y779" s="29" t="str">
        <f t="shared" si="4"/>
        <v/>
      </c>
      <c r="Z779" s="29" t="str">
        <f t="shared" si="5"/>
        <v/>
      </c>
      <c r="AA779" s="76"/>
      <c r="AB779" s="76"/>
      <c r="AC779" s="75"/>
      <c r="AD779" s="75"/>
      <c r="AE779" s="78" t="str">
        <f>IF(U779="","",IF(AD779="","",_xlfn.WORKDAY.INTL(AD779,7,1,FERIADOS)))</f>
        <v/>
      </c>
      <c r="AF779" s="104"/>
      <c r="AG779" s="80" t="str">
        <f t="array" ref="AG779">IF(A779="","",IF(AF779="","",AF779*INDEX(PARAMETROS!F$2:F1842,MATCH(YEAR(AC779),PARAMETROS!E$2:E1842,0),1)))</f>
        <v/>
      </c>
      <c r="AH779" s="81"/>
      <c r="AI779" s="82"/>
      <c r="AJ779" s="81"/>
      <c r="AK779" s="81"/>
      <c r="AL779" s="76"/>
      <c r="AM779" s="75"/>
      <c r="AN779" s="76"/>
      <c r="AO779" s="95"/>
      <c r="AP779" s="96"/>
      <c r="AQ779" s="85" t="str">
        <f t="shared" si="6"/>
        <v/>
      </c>
      <c r="AR779" s="86" t="str">
        <f t="array" ref="AR779">IF(A779="","",IFERROR(INDEX('2) Etapas'!L$3:L923,MATCH(B779,'2) Etapas'!$A$4:$A923,0),1),-1))</f>
        <v/>
      </c>
      <c r="AS779" s="87" t="str">
        <f t="shared" si="7"/>
        <v/>
      </c>
      <c r="AT779" s="87" t="str">
        <f t="shared" si="8"/>
        <v/>
      </c>
      <c r="AU779" s="87" t="str">
        <f t="shared" si="9"/>
        <v/>
      </c>
      <c r="AV779" s="89" t="str">
        <f t="array" ref="AV779">IF(OR($A779="",$AB779="", $AC779=""),"",MAXA(IF($A779=$A$4:$A923,$AC$4:$AC923)))</f>
        <v/>
      </c>
    </row>
    <row r="780" ht="22.5" customHeight="1">
      <c r="A780" s="76"/>
      <c r="B780" s="68" t="str">
        <f t="shared" si="1"/>
        <v/>
      </c>
      <c r="C780" s="110"/>
      <c r="D780" s="70" t="str">
        <f t="shared" si="2"/>
        <v/>
      </c>
      <c r="E780" s="76"/>
      <c r="F780" s="68" t="str">
        <f t="array" ref="F780">IF($A780="","",IFERROR(INDEX(MA_INDIVIDUALES!C$2:C923, MATCH($A780,MA_INDIVIDUALES!$B$2:$B923,0),1),"CÓDIGO DE EXPEDIENTE INVÁLIDO"))</f>
        <v/>
      </c>
      <c r="G780" s="68" t="str">
        <f t="array" ref="G780">IF($A780="","",IFERROR(INDEX(MA_INDIVIDUALES!K$2:K923, MATCH($A780,MA_INDIVIDUALES!$B$2:$B923,0),1),"CÓDIGO DE EXPEDIENTE INVÁLIDO"))</f>
        <v/>
      </c>
      <c r="H780" s="68" t="str">
        <f t="array" ref="H780">IF($A780="","",IFERROR(INDEX(MA_INDIVIDUALES!L$2:L923, MATCH($A780,MA_INDIVIDUALES!$B$2:$B923,0),1),"CÓDIGO DE EXPEDIENTE INVÁLIDO"))</f>
        <v/>
      </c>
      <c r="I780" s="76"/>
      <c r="J780" s="76"/>
      <c r="K780" s="75"/>
      <c r="L780" s="74" t="str">
        <f>IF(A780="","",IF(K780="","",_xlfn.WORKDAY.INTL(K780,5,1,FERIADOS)))</f>
        <v/>
      </c>
      <c r="M780" s="76"/>
      <c r="N780" s="75"/>
      <c r="O780" s="76"/>
      <c r="P780" s="77" t="str">
        <f t="shared" si="3"/>
        <v/>
      </c>
      <c r="Q780" s="75"/>
      <c r="R780" s="76"/>
      <c r="S780" s="75"/>
      <c r="T780" s="75"/>
      <c r="U780" s="76"/>
      <c r="V780" s="76"/>
      <c r="W780" s="75"/>
      <c r="X780" s="76"/>
      <c r="Y780" s="29" t="str">
        <f t="shared" si="4"/>
        <v/>
      </c>
      <c r="Z780" s="29" t="str">
        <f t="shared" si="5"/>
        <v/>
      </c>
      <c r="AA780" s="76"/>
      <c r="AB780" s="76"/>
      <c r="AC780" s="75"/>
      <c r="AD780" s="75"/>
      <c r="AE780" s="78" t="str">
        <f>IF(U780="","",IF(AD780="","",_xlfn.WORKDAY.INTL(AD780,7,1,FERIADOS)))</f>
        <v/>
      </c>
      <c r="AF780" s="104"/>
      <c r="AG780" s="80" t="str">
        <f t="array" ref="AG780">IF(A780="","",IF(AF780="","",AF780*INDEX(PARAMETROS!F$2:F1843,MATCH(YEAR(AC780),PARAMETROS!E$2:E1843,0),1)))</f>
        <v/>
      </c>
      <c r="AH780" s="81"/>
      <c r="AI780" s="82"/>
      <c r="AJ780" s="81"/>
      <c r="AK780" s="81"/>
      <c r="AL780" s="76"/>
      <c r="AM780" s="75"/>
      <c r="AN780" s="76"/>
      <c r="AO780" s="95"/>
      <c r="AP780" s="96"/>
      <c r="AQ780" s="85" t="str">
        <f t="shared" si="6"/>
        <v/>
      </c>
      <c r="AR780" s="86" t="str">
        <f t="array" ref="AR780">IF(A780="","",IFERROR(INDEX('2) Etapas'!L$3:L923,MATCH(B780,'2) Etapas'!$A$4:$A923,0),1),-1))</f>
        <v/>
      </c>
      <c r="AS780" s="87" t="str">
        <f t="shared" si="7"/>
        <v/>
      </c>
      <c r="AT780" s="87" t="str">
        <f t="shared" si="8"/>
        <v/>
      </c>
      <c r="AU780" s="87" t="str">
        <f t="shared" si="9"/>
        <v/>
      </c>
      <c r="AV780" s="89" t="str">
        <f t="array" ref="AV780">IF(OR($A780="",$AB780="", $AC780=""),"",MAXA(IF($A780=$A$4:$A923,$AC$4:$AC923)))</f>
        <v/>
      </c>
    </row>
    <row r="781" ht="22.5" customHeight="1">
      <c r="A781" s="76"/>
      <c r="B781" s="68" t="str">
        <f t="shared" si="1"/>
        <v/>
      </c>
      <c r="C781" s="110"/>
      <c r="D781" s="70" t="str">
        <f t="shared" si="2"/>
        <v/>
      </c>
      <c r="E781" s="76"/>
      <c r="F781" s="68" t="str">
        <f t="array" ref="F781">IF($A781="","",IFERROR(INDEX(MA_INDIVIDUALES!C$2:C923, MATCH($A781,MA_INDIVIDUALES!$B$2:$B923,0),1),"CÓDIGO DE EXPEDIENTE INVÁLIDO"))</f>
        <v/>
      </c>
      <c r="G781" s="68" t="str">
        <f t="array" ref="G781">IF($A781="","",IFERROR(INDEX(MA_INDIVIDUALES!K$2:K923, MATCH($A781,MA_INDIVIDUALES!$B$2:$B923,0),1),"CÓDIGO DE EXPEDIENTE INVÁLIDO"))</f>
        <v/>
      </c>
      <c r="H781" s="68" t="str">
        <f t="array" ref="H781">IF($A781="","",IFERROR(INDEX(MA_INDIVIDUALES!L$2:L923, MATCH($A781,MA_INDIVIDUALES!$B$2:$B923,0),1),"CÓDIGO DE EXPEDIENTE INVÁLIDO"))</f>
        <v/>
      </c>
      <c r="I781" s="76"/>
      <c r="J781" s="76"/>
      <c r="K781" s="75"/>
      <c r="L781" s="74" t="str">
        <f>IF(A781="","",IF(K781="","",_xlfn.WORKDAY.INTL(K781,5,1,FERIADOS)))</f>
        <v/>
      </c>
      <c r="M781" s="76"/>
      <c r="N781" s="75"/>
      <c r="O781" s="76"/>
      <c r="P781" s="77" t="str">
        <f t="shared" si="3"/>
        <v/>
      </c>
      <c r="Q781" s="75"/>
      <c r="R781" s="76"/>
      <c r="S781" s="75"/>
      <c r="T781" s="75"/>
      <c r="U781" s="76"/>
      <c r="V781" s="76"/>
      <c r="W781" s="75"/>
      <c r="X781" s="76"/>
      <c r="Y781" s="29" t="str">
        <f t="shared" si="4"/>
        <v/>
      </c>
      <c r="Z781" s="29" t="str">
        <f t="shared" si="5"/>
        <v/>
      </c>
      <c r="AA781" s="76"/>
      <c r="AB781" s="76"/>
      <c r="AC781" s="75"/>
      <c r="AD781" s="75"/>
      <c r="AE781" s="78" t="str">
        <f>IF(U781="","",IF(AD781="","",_xlfn.WORKDAY.INTL(AD781,7,1,FERIADOS)))</f>
        <v/>
      </c>
      <c r="AF781" s="104"/>
      <c r="AG781" s="80" t="str">
        <f t="array" ref="AG781">IF(A781="","",IF(AF781="","",AF781*INDEX(PARAMETROS!F$2:F1844,MATCH(YEAR(AC781),PARAMETROS!E$2:E1844,0),1)))</f>
        <v/>
      </c>
      <c r="AH781" s="81"/>
      <c r="AI781" s="82"/>
      <c r="AJ781" s="81"/>
      <c r="AK781" s="81"/>
      <c r="AL781" s="76"/>
      <c r="AM781" s="75"/>
      <c r="AN781" s="76"/>
      <c r="AO781" s="95"/>
      <c r="AP781" s="96"/>
      <c r="AQ781" s="85" t="str">
        <f t="shared" si="6"/>
        <v/>
      </c>
      <c r="AR781" s="86" t="str">
        <f t="array" ref="AR781">IF(A781="","",IFERROR(INDEX('2) Etapas'!L$3:L923,MATCH(B781,'2) Etapas'!$A$4:$A923,0),1),-1))</f>
        <v/>
      </c>
      <c r="AS781" s="87" t="str">
        <f t="shared" si="7"/>
        <v/>
      </c>
      <c r="AT781" s="87" t="str">
        <f t="shared" si="8"/>
        <v/>
      </c>
      <c r="AU781" s="87" t="str">
        <f t="shared" si="9"/>
        <v/>
      </c>
      <c r="AV781" s="89" t="str">
        <f t="array" ref="AV781">IF(OR($A781="",$AB781="", $AC781=""),"",MAXA(IF($A781=$A$4:$A923,$AC$4:$AC923)))</f>
        <v/>
      </c>
    </row>
    <row r="782" ht="22.5" customHeight="1">
      <c r="A782" s="76"/>
      <c r="B782" s="68" t="str">
        <f t="shared" si="1"/>
        <v/>
      </c>
      <c r="C782" s="110"/>
      <c r="D782" s="70" t="str">
        <f t="shared" si="2"/>
        <v/>
      </c>
      <c r="E782" s="76"/>
      <c r="F782" s="68" t="str">
        <f t="array" ref="F782">IF($A782="","",IFERROR(INDEX(MA_INDIVIDUALES!C$2:C923, MATCH($A782,MA_INDIVIDUALES!$B$2:$B923,0),1),"CÓDIGO DE EXPEDIENTE INVÁLIDO"))</f>
        <v/>
      </c>
      <c r="G782" s="68" t="str">
        <f t="array" ref="G782">IF($A782="","",IFERROR(INDEX(MA_INDIVIDUALES!K$2:K923, MATCH($A782,MA_INDIVIDUALES!$B$2:$B923,0),1),"CÓDIGO DE EXPEDIENTE INVÁLIDO"))</f>
        <v/>
      </c>
      <c r="H782" s="68" t="str">
        <f t="array" ref="H782">IF($A782="","",IFERROR(INDEX(MA_INDIVIDUALES!L$2:L923, MATCH($A782,MA_INDIVIDUALES!$B$2:$B923,0),1),"CÓDIGO DE EXPEDIENTE INVÁLIDO"))</f>
        <v/>
      </c>
      <c r="I782" s="76"/>
      <c r="J782" s="76"/>
      <c r="K782" s="75"/>
      <c r="L782" s="74" t="str">
        <f>IF(A782="","",IF(K782="","",_xlfn.WORKDAY.INTL(K782,5,1,FERIADOS)))</f>
        <v/>
      </c>
      <c r="M782" s="76"/>
      <c r="N782" s="75"/>
      <c r="O782" s="76"/>
      <c r="P782" s="77" t="str">
        <f t="shared" si="3"/>
        <v/>
      </c>
      <c r="Q782" s="75"/>
      <c r="R782" s="76"/>
      <c r="S782" s="75"/>
      <c r="T782" s="75"/>
      <c r="U782" s="76"/>
      <c r="V782" s="76"/>
      <c r="W782" s="75"/>
      <c r="X782" s="76"/>
      <c r="Y782" s="29" t="str">
        <f t="shared" si="4"/>
        <v/>
      </c>
      <c r="Z782" s="29" t="str">
        <f t="shared" si="5"/>
        <v/>
      </c>
      <c r="AA782" s="76"/>
      <c r="AB782" s="76"/>
      <c r="AC782" s="75"/>
      <c r="AD782" s="75"/>
      <c r="AE782" s="78" t="str">
        <f>IF(U782="","",IF(AD782="","",_xlfn.WORKDAY.INTL(AD782,7,1,FERIADOS)))</f>
        <v/>
      </c>
      <c r="AF782" s="104"/>
      <c r="AG782" s="80" t="str">
        <f t="array" ref="AG782">IF(A782="","",IF(AF782="","",AF782*INDEX(PARAMETROS!F$2:F1845,MATCH(YEAR(AC782),PARAMETROS!E$2:E1845,0),1)))</f>
        <v/>
      </c>
      <c r="AH782" s="81"/>
      <c r="AI782" s="82"/>
      <c r="AJ782" s="81"/>
      <c r="AK782" s="81"/>
      <c r="AL782" s="76"/>
      <c r="AM782" s="75"/>
      <c r="AN782" s="76"/>
      <c r="AO782" s="95"/>
      <c r="AP782" s="96"/>
      <c r="AQ782" s="85" t="str">
        <f t="shared" si="6"/>
        <v/>
      </c>
      <c r="AR782" s="86" t="str">
        <f t="array" ref="AR782">IF(A782="","",IFERROR(INDEX('2) Etapas'!L$3:L923,MATCH(B782,'2) Etapas'!$A$4:$A923,0),1),-1))</f>
        <v/>
      </c>
      <c r="AS782" s="87" t="str">
        <f t="shared" si="7"/>
        <v/>
      </c>
      <c r="AT782" s="87" t="str">
        <f t="shared" si="8"/>
        <v/>
      </c>
      <c r="AU782" s="87" t="str">
        <f t="shared" si="9"/>
        <v/>
      </c>
      <c r="AV782" s="89" t="str">
        <f t="array" ref="AV782">IF(OR($A782="",$AB782="", $AC782=""),"",MAXA(IF($A782=$A$4:$A923,$AC$4:$AC923)))</f>
        <v/>
      </c>
    </row>
    <row r="783" ht="22.5" customHeight="1">
      <c r="A783" s="76"/>
      <c r="B783" s="68" t="str">
        <f t="shared" si="1"/>
        <v/>
      </c>
      <c r="C783" s="110"/>
      <c r="D783" s="70" t="str">
        <f t="shared" si="2"/>
        <v/>
      </c>
      <c r="E783" s="76"/>
      <c r="F783" s="68" t="str">
        <f t="array" ref="F783">IF($A783="","",IFERROR(INDEX(MA_INDIVIDUALES!C$2:C923, MATCH($A783,MA_INDIVIDUALES!$B$2:$B923,0),1),"CÓDIGO DE EXPEDIENTE INVÁLIDO"))</f>
        <v/>
      </c>
      <c r="G783" s="68" t="str">
        <f t="array" ref="G783">IF($A783="","",IFERROR(INDEX(MA_INDIVIDUALES!K$2:K923, MATCH($A783,MA_INDIVIDUALES!$B$2:$B923,0),1),"CÓDIGO DE EXPEDIENTE INVÁLIDO"))</f>
        <v/>
      </c>
      <c r="H783" s="68" t="str">
        <f t="array" ref="H783">IF($A783="","",IFERROR(INDEX(MA_INDIVIDUALES!L$2:L923, MATCH($A783,MA_INDIVIDUALES!$B$2:$B923,0),1),"CÓDIGO DE EXPEDIENTE INVÁLIDO"))</f>
        <v/>
      </c>
      <c r="I783" s="76"/>
      <c r="J783" s="76"/>
      <c r="K783" s="75"/>
      <c r="L783" s="74" t="str">
        <f>IF(A783="","",IF(K783="","",_xlfn.WORKDAY.INTL(K783,5,1,FERIADOS)))</f>
        <v/>
      </c>
      <c r="M783" s="76"/>
      <c r="N783" s="75"/>
      <c r="O783" s="76"/>
      <c r="P783" s="77" t="str">
        <f t="shared" si="3"/>
        <v/>
      </c>
      <c r="Q783" s="75"/>
      <c r="R783" s="76"/>
      <c r="S783" s="75"/>
      <c r="T783" s="75"/>
      <c r="U783" s="76"/>
      <c r="V783" s="76"/>
      <c r="W783" s="75"/>
      <c r="X783" s="76"/>
      <c r="Y783" s="29" t="str">
        <f t="shared" si="4"/>
        <v/>
      </c>
      <c r="Z783" s="29" t="str">
        <f t="shared" si="5"/>
        <v/>
      </c>
      <c r="AA783" s="76"/>
      <c r="AB783" s="76"/>
      <c r="AC783" s="75"/>
      <c r="AD783" s="75"/>
      <c r="AE783" s="78" t="str">
        <f>IF(U783="","",IF(AD783="","",_xlfn.WORKDAY.INTL(AD783,7,1,FERIADOS)))</f>
        <v/>
      </c>
      <c r="AF783" s="104"/>
      <c r="AG783" s="80" t="str">
        <f t="array" ref="AG783">IF(A783="","",IF(AF783="","",AF783*INDEX(PARAMETROS!F$2:F1846,MATCH(YEAR(AC783),PARAMETROS!E$2:E1846,0),1)))</f>
        <v/>
      </c>
      <c r="AH783" s="81"/>
      <c r="AI783" s="82"/>
      <c r="AJ783" s="81"/>
      <c r="AK783" s="81"/>
      <c r="AL783" s="76"/>
      <c r="AM783" s="75"/>
      <c r="AN783" s="76"/>
      <c r="AO783" s="95"/>
      <c r="AP783" s="96"/>
      <c r="AQ783" s="85" t="str">
        <f t="shared" si="6"/>
        <v/>
      </c>
      <c r="AR783" s="86" t="str">
        <f t="array" ref="AR783">IF(A783="","",IFERROR(INDEX('2) Etapas'!L$3:L923,MATCH(B783,'2) Etapas'!$A$4:$A923,0),1),-1))</f>
        <v/>
      </c>
      <c r="AS783" s="87" t="str">
        <f t="shared" si="7"/>
        <v/>
      </c>
      <c r="AT783" s="87" t="str">
        <f t="shared" si="8"/>
        <v/>
      </c>
      <c r="AU783" s="87" t="str">
        <f t="shared" si="9"/>
        <v/>
      </c>
      <c r="AV783" s="89" t="str">
        <f t="array" ref="AV783">IF(OR($A783="",$AB783="", $AC783=""),"",MAXA(IF($A783=$A$4:$A923,$AC$4:$AC923)))</f>
        <v/>
      </c>
    </row>
    <row r="784" ht="22.5" customHeight="1">
      <c r="A784" s="76"/>
      <c r="B784" s="68" t="str">
        <f t="shared" si="1"/>
        <v/>
      </c>
      <c r="C784" s="110"/>
      <c r="D784" s="70" t="str">
        <f t="shared" si="2"/>
        <v/>
      </c>
      <c r="E784" s="76"/>
      <c r="F784" s="68" t="str">
        <f t="array" ref="F784">IF($A784="","",IFERROR(INDEX(MA_INDIVIDUALES!C$2:C923, MATCH($A784,MA_INDIVIDUALES!$B$2:$B923,0),1),"CÓDIGO DE EXPEDIENTE INVÁLIDO"))</f>
        <v/>
      </c>
      <c r="G784" s="68" t="str">
        <f t="array" ref="G784">IF($A784="","",IFERROR(INDEX(MA_INDIVIDUALES!K$2:K923, MATCH($A784,MA_INDIVIDUALES!$B$2:$B923,0),1),"CÓDIGO DE EXPEDIENTE INVÁLIDO"))</f>
        <v/>
      </c>
      <c r="H784" s="68" t="str">
        <f t="array" ref="H784">IF($A784="","",IFERROR(INDEX(MA_INDIVIDUALES!L$2:L923, MATCH($A784,MA_INDIVIDUALES!$B$2:$B923,0),1),"CÓDIGO DE EXPEDIENTE INVÁLIDO"))</f>
        <v/>
      </c>
      <c r="I784" s="76"/>
      <c r="J784" s="76"/>
      <c r="K784" s="75"/>
      <c r="L784" s="74" t="str">
        <f>IF(A784="","",IF(K784="","",_xlfn.WORKDAY.INTL(K784,5,1,FERIADOS)))</f>
        <v/>
      </c>
      <c r="M784" s="76"/>
      <c r="N784" s="75"/>
      <c r="O784" s="76"/>
      <c r="P784" s="77" t="str">
        <f t="shared" si="3"/>
        <v/>
      </c>
      <c r="Q784" s="75"/>
      <c r="R784" s="76"/>
      <c r="S784" s="75"/>
      <c r="T784" s="75"/>
      <c r="U784" s="76"/>
      <c r="V784" s="76"/>
      <c r="W784" s="75"/>
      <c r="X784" s="76"/>
      <c r="Y784" s="29" t="str">
        <f t="shared" si="4"/>
        <v/>
      </c>
      <c r="Z784" s="29" t="str">
        <f t="shared" si="5"/>
        <v/>
      </c>
      <c r="AA784" s="76"/>
      <c r="AB784" s="76"/>
      <c r="AC784" s="75"/>
      <c r="AD784" s="75"/>
      <c r="AE784" s="78" t="str">
        <f>IF(U784="","",IF(AD784="","",_xlfn.WORKDAY.INTL(AD784,7,1,FERIADOS)))</f>
        <v/>
      </c>
      <c r="AF784" s="104"/>
      <c r="AG784" s="80" t="str">
        <f t="array" ref="AG784">IF(A784="","",IF(AF784="","",AF784*INDEX(PARAMETROS!F$2:F1847,MATCH(YEAR(AC784),PARAMETROS!E$2:E1847,0),1)))</f>
        <v/>
      </c>
      <c r="AH784" s="81"/>
      <c r="AI784" s="82"/>
      <c r="AJ784" s="81"/>
      <c r="AK784" s="81"/>
      <c r="AL784" s="76"/>
      <c r="AM784" s="75"/>
      <c r="AN784" s="76"/>
      <c r="AO784" s="95"/>
      <c r="AP784" s="96"/>
      <c r="AQ784" s="85" t="str">
        <f t="shared" si="6"/>
        <v/>
      </c>
      <c r="AR784" s="86" t="str">
        <f t="array" ref="AR784">IF(A784="","",IFERROR(INDEX('2) Etapas'!L$3:L923,MATCH(B784,'2) Etapas'!$A$4:$A923,0),1),-1))</f>
        <v/>
      </c>
      <c r="AS784" s="87" t="str">
        <f t="shared" si="7"/>
        <v/>
      </c>
      <c r="AT784" s="87" t="str">
        <f t="shared" si="8"/>
        <v/>
      </c>
      <c r="AU784" s="87" t="str">
        <f t="shared" si="9"/>
        <v/>
      </c>
      <c r="AV784" s="89" t="str">
        <f t="array" ref="AV784">IF(OR($A784="",$AB784="", $AC784=""),"",MAXA(IF($A784=$A$4:$A923,$AC$4:$AC923)))</f>
        <v/>
      </c>
    </row>
    <row r="785" ht="22.5" customHeight="1">
      <c r="A785" s="76"/>
      <c r="B785" s="68" t="str">
        <f t="shared" si="1"/>
        <v/>
      </c>
      <c r="C785" s="110"/>
      <c r="D785" s="70" t="str">
        <f t="shared" si="2"/>
        <v/>
      </c>
      <c r="E785" s="76"/>
      <c r="F785" s="68" t="str">
        <f t="array" ref="F785">IF($A785="","",IFERROR(INDEX(MA_INDIVIDUALES!C$2:C923, MATCH($A785,MA_INDIVIDUALES!$B$2:$B923,0),1),"CÓDIGO DE EXPEDIENTE INVÁLIDO"))</f>
        <v/>
      </c>
      <c r="G785" s="68" t="str">
        <f t="array" ref="G785">IF($A785="","",IFERROR(INDEX(MA_INDIVIDUALES!K$2:K923, MATCH($A785,MA_INDIVIDUALES!$B$2:$B923,0),1),"CÓDIGO DE EXPEDIENTE INVÁLIDO"))</f>
        <v/>
      </c>
      <c r="H785" s="68" t="str">
        <f t="array" ref="H785">IF($A785="","",IFERROR(INDEX(MA_INDIVIDUALES!L$2:L923, MATCH($A785,MA_INDIVIDUALES!$B$2:$B923,0),1),"CÓDIGO DE EXPEDIENTE INVÁLIDO"))</f>
        <v/>
      </c>
      <c r="I785" s="76"/>
      <c r="J785" s="76"/>
      <c r="K785" s="75"/>
      <c r="L785" s="74" t="str">
        <f>IF(A785="","",IF(K785="","",_xlfn.WORKDAY.INTL(K785,5,1,FERIADOS)))</f>
        <v/>
      </c>
      <c r="M785" s="76"/>
      <c r="N785" s="75"/>
      <c r="O785" s="76"/>
      <c r="P785" s="77" t="str">
        <f t="shared" si="3"/>
        <v/>
      </c>
      <c r="Q785" s="75"/>
      <c r="R785" s="76"/>
      <c r="S785" s="75"/>
      <c r="T785" s="75"/>
      <c r="U785" s="76"/>
      <c r="V785" s="76"/>
      <c r="W785" s="75"/>
      <c r="X785" s="76"/>
      <c r="Y785" s="29" t="str">
        <f t="shared" si="4"/>
        <v/>
      </c>
      <c r="Z785" s="29" t="str">
        <f t="shared" si="5"/>
        <v/>
      </c>
      <c r="AA785" s="76"/>
      <c r="AB785" s="76"/>
      <c r="AC785" s="75"/>
      <c r="AD785" s="75"/>
      <c r="AE785" s="78" t="str">
        <f>IF(U785="","",IF(AD785="","",_xlfn.WORKDAY.INTL(AD785,7,1,FERIADOS)))</f>
        <v/>
      </c>
      <c r="AF785" s="104"/>
      <c r="AG785" s="80" t="str">
        <f t="array" ref="AG785">IF(A785="","",IF(AF785="","",AF785*INDEX(PARAMETROS!F$2:F1848,MATCH(YEAR(AC785),PARAMETROS!E$2:E1848,0),1)))</f>
        <v/>
      </c>
      <c r="AH785" s="81"/>
      <c r="AI785" s="82"/>
      <c r="AJ785" s="81"/>
      <c r="AK785" s="81"/>
      <c r="AL785" s="76"/>
      <c r="AM785" s="75"/>
      <c r="AN785" s="76"/>
      <c r="AO785" s="95"/>
      <c r="AP785" s="96"/>
      <c r="AQ785" s="85" t="str">
        <f t="shared" si="6"/>
        <v/>
      </c>
      <c r="AR785" s="86" t="str">
        <f t="array" ref="AR785">IF(A785="","",IFERROR(INDEX('2) Etapas'!L$3:L923,MATCH(B785,'2) Etapas'!$A$4:$A923,0),1),-1))</f>
        <v/>
      </c>
      <c r="AS785" s="87" t="str">
        <f t="shared" si="7"/>
        <v/>
      </c>
      <c r="AT785" s="87" t="str">
        <f t="shared" si="8"/>
        <v/>
      </c>
      <c r="AU785" s="87" t="str">
        <f t="shared" si="9"/>
        <v/>
      </c>
      <c r="AV785" s="89" t="str">
        <f t="array" ref="AV785">IF(OR($A785="",$AB785="", $AC785=""),"",MAXA(IF($A785=$A$4:$A923,$AC$4:$AC923)))</f>
        <v/>
      </c>
    </row>
    <row r="786" ht="22.5" customHeight="1">
      <c r="A786" s="76"/>
      <c r="B786" s="68" t="str">
        <f t="shared" si="1"/>
        <v/>
      </c>
      <c r="C786" s="110"/>
      <c r="D786" s="70" t="str">
        <f t="shared" si="2"/>
        <v/>
      </c>
      <c r="E786" s="76"/>
      <c r="F786" s="68" t="str">
        <f t="array" ref="F786">IF($A786="","",IFERROR(INDEX(MA_INDIVIDUALES!C$2:C923, MATCH($A786,MA_INDIVIDUALES!$B$2:$B923,0),1),"CÓDIGO DE EXPEDIENTE INVÁLIDO"))</f>
        <v/>
      </c>
      <c r="G786" s="68" t="str">
        <f t="array" ref="G786">IF($A786="","",IFERROR(INDEX(MA_INDIVIDUALES!K$2:K923, MATCH($A786,MA_INDIVIDUALES!$B$2:$B923,0),1),"CÓDIGO DE EXPEDIENTE INVÁLIDO"))</f>
        <v/>
      </c>
      <c r="H786" s="68" t="str">
        <f t="array" ref="H786">IF($A786="","",IFERROR(INDEX(MA_INDIVIDUALES!L$2:L923, MATCH($A786,MA_INDIVIDUALES!$B$2:$B923,0),1),"CÓDIGO DE EXPEDIENTE INVÁLIDO"))</f>
        <v/>
      </c>
      <c r="I786" s="76"/>
      <c r="J786" s="76"/>
      <c r="K786" s="75"/>
      <c r="L786" s="74" t="str">
        <f>IF(A786="","",IF(K786="","",_xlfn.WORKDAY.INTL(K786,5,1,FERIADOS)))</f>
        <v/>
      </c>
      <c r="M786" s="76"/>
      <c r="N786" s="75"/>
      <c r="O786" s="76"/>
      <c r="P786" s="77" t="str">
        <f t="shared" si="3"/>
        <v/>
      </c>
      <c r="Q786" s="75"/>
      <c r="R786" s="76"/>
      <c r="S786" s="75"/>
      <c r="T786" s="75"/>
      <c r="U786" s="76"/>
      <c r="V786" s="76"/>
      <c r="W786" s="75"/>
      <c r="X786" s="76"/>
      <c r="Y786" s="29" t="str">
        <f t="shared" si="4"/>
        <v/>
      </c>
      <c r="Z786" s="29" t="str">
        <f t="shared" si="5"/>
        <v/>
      </c>
      <c r="AA786" s="76"/>
      <c r="AB786" s="76"/>
      <c r="AC786" s="75"/>
      <c r="AD786" s="75"/>
      <c r="AE786" s="78" t="str">
        <f>IF(U786="","",IF(AD786="","",_xlfn.WORKDAY.INTL(AD786,7,1,FERIADOS)))</f>
        <v/>
      </c>
      <c r="AF786" s="104"/>
      <c r="AG786" s="80" t="str">
        <f t="array" ref="AG786">IF(A786="","",IF(AF786="","",AF786*INDEX(PARAMETROS!F$2:F1849,MATCH(YEAR(AC786),PARAMETROS!E$2:E1849,0),1)))</f>
        <v/>
      </c>
      <c r="AH786" s="81"/>
      <c r="AI786" s="82"/>
      <c r="AJ786" s="81"/>
      <c r="AK786" s="81"/>
      <c r="AL786" s="76"/>
      <c r="AM786" s="75"/>
      <c r="AN786" s="76"/>
      <c r="AO786" s="95"/>
      <c r="AP786" s="96"/>
      <c r="AQ786" s="85" t="str">
        <f t="shared" si="6"/>
        <v/>
      </c>
      <c r="AR786" s="86" t="str">
        <f t="array" ref="AR786">IF(A786="","",IFERROR(INDEX('2) Etapas'!L$3:L923,MATCH(B786,'2) Etapas'!$A$4:$A923,0),1),-1))</f>
        <v/>
      </c>
      <c r="AS786" s="87" t="str">
        <f t="shared" si="7"/>
        <v/>
      </c>
      <c r="AT786" s="87" t="str">
        <f t="shared" si="8"/>
        <v/>
      </c>
      <c r="AU786" s="87" t="str">
        <f t="shared" si="9"/>
        <v/>
      </c>
      <c r="AV786" s="89" t="str">
        <f t="array" ref="AV786">IF(OR($A786="",$AB786="", $AC786=""),"",MAXA(IF($A786=$A$4:$A923,$AC$4:$AC923)))</f>
        <v/>
      </c>
    </row>
    <row r="787" ht="22.5" customHeight="1">
      <c r="A787" s="76"/>
      <c r="B787" s="68" t="str">
        <f t="shared" si="1"/>
        <v/>
      </c>
      <c r="C787" s="110"/>
      <c r="D787" s="70" t="str">
        <f t="shared" si="2"/>
        <v/>
      </c>
      <c r="E787" s="76"/>
      <c r="F787" s="68" t="str">
        <f t="array" ref="F787">IF($A787="","",IFERROR(INDEX(MA_INDIVIDUALES!C$2:C923, MATCH($A787,MA_INDIVIDUALES!$B$2:$B923,0),1),"CÓDIGO DE EXPEDIENTE INVÁLIDO"))</f>
        <v/>
      </c>
      <c r="G787" s="68" t="str">
        <f t="array" ref="G787">IF($A787="","",IFERROR(INDEX(MA_INDIVIDUALES!K$2:K923, MATCH($A787,MA_INDIVIDUALES!$B$2:$B923,0),1),"CÓDIGO DE EXPEDIENTE INVÁLIDO"))</f>
        <v/>
      </c>
      <c r="H787" s="68" t="str">
        <f t="array" ref="H787">IF($A787="","",IFERROR(INDEX(MA_INDIVIDUALES!L$2:L923, MATCH($A787,MA_INDIVIDUALES!$B$2:$B923,0),1),"CÓDIGO DE EXPEDIENTE INVÁLIDO"))</f>
        <v/>
      </c>
      <c r="I787" s="76"/>
      <c r="J787" s="76"/>
      <c r="K787" s="75"/>
      <c r="L787" s="74" t="str">
        <f>IF(A787="","",IF(K787="","",_xlfn.WORKDAY.INTL(K787,5,1,FERIADOS)))</f>
        <v/>
      </c>
      <c r="M787" s="76"/>
      <c r="N787" s="75"/>
      <c r="O787" s="76"/>
      <c r="P787" s="77" t="str">
        <f t="shared" si="3"/>
        <v/>
      </c>
      <c r="Q787" s="75"/>
      <c r="R787" s="76"/>
      <c r="S787" s="75"/>
      <c r="T787" s="75"/>
      <c r="U787" s="76"/>
      <c r="V787" s="76"/>
      <c r="W787" s="75"/>
      <c r="X787" s="76"/>
      <c r="Y787" s="29" t="str">
        <f t="shared" si="4"/>
        <v/>
      </c>
      <c r="Z787" s="29" t="str">
        <f t="shared" si="5"/>
        <v/>
      </c>
      <c r="AA787" s="76"/>
      <c r="AB787" s="76"/>
      <c r="AC787" s="75"/>
      <c r="AD787" s="75"/>
      <c r="AE787" s="78" t="str">
        <f>IF(U787="","",IF(AD787="","",_xlfn.WORKDAY.INTL(AD787,7,1,FERIADOS)))</f>
        <v/>
      </c>
      <c r="AF787" s="104"/>
      <c r="AG787" s="80" t="str">
        <f t="array" ref="AG787">IF(A787="","",IF(AF787="","",AF787*INDEX(PARAMETROS!F$2:F1850,MATCH(YEAR(AC787),PARAMETROS!E$2:E1850,0),1)))</f>
        <v/>
      </c>
      <c r="AH787" s="81"/>
      <c r="AI787" s="82"/>
      <c r="AJ787" s="81"/>
      <c r="AK787" s="81"/>
      <c r="AL787" s="76"/>
      <c r="AM787" s="75"/>
      <c r="AN787" s="76"/>
      <c r="AO787" s="95"/>
      <c r="AP787" s="96"/>
      <c r="AQ787" s="85" t="str">
        <f t="shared" si="6"/>
        <v/>
      </c>
      <c r="AR787" s="86" t="str">
        <f t="array" ref="AR787">IF(A787="","",IFERROR(INDEX('2) Etapas'!L$3:L923,MATCH(B787,'2) Etapas'!$A$4:$A923,0),1),-1))</f>
        <v/>
      </c>
      <c r="AS787" s="87" t="str">
        <f t="shared" si="7"/>
        <v/>
      </c>
      <c r="AT787" s="87" t="str">
        <f t="shared" si="8"/>
        <v/>
      </c>
      <c r="AU787" s="87" t="str">
        <f t="shared" si="9"/>
        <v/>
      </c>
      <c r="AV787" s="89" t="str">
        <f t="array" ref="AV787">IF(OR($A787="",$AB787="", $AC787=""),"",MAXA(IF($A787=$A$4:$A923,$AC$4:$AC923)))</f>
        <v/>
      </c>
    </row>
    <row r="788" ht="22.5" customHeight="1">
      <c r="A788" s="76"/>
      <c r="B788" s="68" t="str">
        <f t="shared" si="1"/>
        <v/>
      </c>
      <c r="C788" s="110"/>
      <c r="D788" s="70" t="str">
        <f t="shared" si="2"/>
        <v/>
      </c>
      <c r="E788" s="76"/>
      <c r="F788" s="68" t="str">
        <f t="array" ref="F788">IF($A788="","",IFERROR(INDEX(MA_INDIVIDUALES!C$2:C923, MATCH($A788,MA_INDIVIDUALES!$B$2:$B923,0),1),"CÓDIGO DE EXPEDIENTE INVÁLIDO"))</f>
        <v/>
      </c>
      <c r="G788" s="68" t="str">
        <f t="array" ref="G788">IF($A788="","",IFERROR(INDEX(MA_INDIVIDUALES!K$2:K923, MATCH($A788,MA_INDIVIDUALES!$B$2:$B923,0),1),"CÓDIGO DE EXPEDIENTE INVÁLIDO"))</f>
        <v/>
      </c>
      <c r="H788" s="68" t="str">
        <f t="array" ref="H788">IF($A788="","",IFERROR(INDEX(MA_INDIVIDUALES!L$2:L923, MATCH($A788,MA_INDIVIDUALES!$B$2:$B923,0),1),"CÓDIGO DE EXPEDIENTE INVÁLIDO"))</f>
        <v/>
      </c>
      <c r="I788" s="76"/>
      <c r="J788" s="76"/>
      <c r="K788" s="75"/>
      <c r="L788" s="74" t="str">
        <f>IF(A788="","",IF(K788="","",_xlfn.WORKDAY.INTL(K788,5,1,FERIADOS)))</f>
        <v/>
      </c>
      <c r="M788" s="76"/>
      <c r="N788" s="75"/>
      <c r="O788" s="76"/>
      <c r="P788" s="77" t="str">
        <f t="shared" si="3"/>
        <v/>
      </c>
      <c r="Q788" s="75"/>
      <c r="R788" s="76"/>
      <c r="S788" s="75"/>
      <c r="T788" s="75"/>
      <c r="U788" s="76"/>
      <c r="V788" s="76"/>
      <c r="W788" s="75"/>
      <c r="X788" s="76"/>
      <c r="Y788" s="29" t="str">
        <f t="shared" si="4"/>
        <v/>
      </c>
      <c r="Z788" s="29" t="str">
        <f t="shared" si="5"/>
        <v/>
      </c>
      <c r="AA788" s="76"/>
      <c r="AB788" s="76"/>
      <c r="AC788" s="75"/>
      <c r="AD788" s="75"/>
      <c r="AE788" s="78" t="str">
        <f>IF(U788="","",IF(AD788="","",_xlfn.WORKDAY.INTL(AD788,7,1,FERIADOS)))</f>
        <v/>
      </c>
      <c r="AF788" s="104"/>
      <c r="AG788" s="80" t="str">
        <f t="array" ref="AG788">IF(A788="","",IF(AF788="","",AF788*INDEX(PARAMETROS!F$2:F1851,MATCH(YEAR(AC788),PARAMETROS!E$2:E1851,0),1)))</f>
        <v/>
      </c>
      <c r="AH788" s="81"/>
      <c r="AI788" s="82"/>
      <c r="AJ788" s="81"/>
      <c r="AK788" s="81"/>
      <c r="AL788" s="76"/>
      <c r="AM788" s="75"/>
      <c r="AN788" s="76"/>
      <c r="AO788" s="95"/>
      <c r="AP788" s="96"/>
      <c r="AQ788" s="85" t="str">
        <f t="shared" si="6"/>
        <v/>
      </c>
      <c r="AR788" s="86" t="str">
        <f t="array" ref="AR788">IF(A788="","",IFERROR(INDEX('2) Etapas'!L$3:L923,MATCH(B788,'2) Etapas'!$A$4:$A923,0),1),-1))</f>
        <v/>
      </c>
      <c r="AS788" s="87" t="str">
        <f t="shared" si="7"/>
        <v/>
      </c>
      <c r="AT788" s="87" t="str">
        <f t="shared" si="8"/>
        <v/>
      </c>
      <c r="AU788" s="87" t="str">
        <f t="shared" si="9"/>
        <v/>
      </c>
      <c r="AV788" s="89" t="str">
        <f t="array" ref="AV788">IF(OR($A788="",$AB788="", $AC788=""),"",MAXA(IF($A788=$A$4:$A923,$AC$4:$AC923)))</f>
        <v/>
      </c>
    </row>
    <row r="789" ht="22.5" customHeight="1">
      <c r="A789" s="76"/>
      <c r="B789" s="68" t="str">
        <f t="shared" si="1"/>
        <v/>
      </c>
      <c r="C789" s="110"/>
      <c r="D789" s="70" t="str">
        <f t="shared" si="2"/>
        <v/>
      </c>
      <c r="E789" s="76"/>
      <c r="F789" s="68" t="str">
        <f t="array" ref="F789">IF($A789="","",IFERROR(INDEX(MA_INDIVIDUALES!C$2:C923, MATCH($A789,MA_INDIVIDUALES!$B$2:$B923,0),1),"CÓDIGO DE EXPEDIENTE INVÁLIDO"))</f>
        <v/>
      </c>
      <c r="G789" s="68" t="str">
        <f t="array" ref="G789">IF($A789="","",IFERROR(INDEX(MA_INDIVIDUALES!K$2:K923, MATCH($A789,MA_INDIVIDUALES!$B$2:$B923,0),1),"CÓDIGO DE EXPEDIENTE INVÁLIDO"))</f>
        <v/>
      </c>
      <c r="H789" s="68" t="str">
        <f t="array" ref="H789">IF($A789="","",IFERROR(INDEX(MA_INDIVIDUALES!L$2:L923, MATCH($A789,MA_INDIVIDUALES!$B$2:$B923,0),1),"CÓDIGO DE EXPEDIENTE INVÁLIDO"))</f>
        <v/>
      </c>
      <c r="I789" s="76"/>
      <c r="J789" s="76"/>
      <c r="K789" s="75"/>
      <c r="L789" s="74" t="str">
        <f>IF(A789="","",IF(K789="","",_xlfn.WORKDAY.INTL(K789,5,1,FERIADOS)))</f>
        <v/>
      </c>
      <c r="M789" s="76"/>
      <c r="N789" s="75"/>
      <c r="O789" s="76"/>
      <c r="P789" s="77" t="str">
        <f t="shared" si="3"/>
        <v/>
      </c>
      <c r="Q789" s="75"/>
      <c r="R789" s="76"/>
      <c r="S789" s="75"/>
      <c r="T789" s="75"/>
      <c r="U789" s="76"/>
      <c r="V789" s="76"/>
      <c r="W789" s="75"/>
      <c r="X789" s="76"/>
      <c r="Y789" s="29" t="str">
        <f t="shared" si="4"/>
        <v/>
      </c>
      <c r="Z789" s="29" t="str">
        <f t="shared" si="5"/>
        <v/>
      </c>
      <c r="AA789" s="76"/>
      <c r="AB789" s="76"/>
      <c r="AC789" s="75"/>
      <c r="AD789" s="75"/>
      <c r="AE789" s="78" t="str">
        <f>IF(U789="","",IF(AD789="","",_xlfn.WORKDAY.INTL(AD789,7,1,FERIADOS)))</f>
        <v/>
      </c>
      <c r="AF789" s="104"/>
      <c r="AG789" s="80" t="str">
        <f t="array" ref="AG789">IF(A789="","",IF(AF789="","",AF789*INDEX(PARAMETROS!F$2:F1852,MATCH(YEAR(AC789),PARAMETROS!E$2:E1852,0),1)))</f>
        <v/>
      </c>
      <c r="AH789" s="81"/>
      <c r="AI789" s="82"/>
      <c r="AJ789" s="81"/>
      <c r="AK789" s="81"/>
      <c r="AL789" s="76"/>
      <c r="AM789" s="75"/>
      <c r="AN789" s="76"/>
      <c r="AO789" s="95"/>
      <c r="AP789" s="96"/>
      <c r="AQ789" s="85" t="str">
        <f t="shared" si="6"/>
        <v/>
      </c>
      <c r="AR789" s="86" t="str">
        <f t="array" ref="AR789">IF(A789="","",IFERROR(INDEX('2) Etapas'!L$3:L923,MATCH(B789,'2) Etapas'!$A$4:$A923,0),1),-1))</f>
        <v/>
      </c>
      <c r="AS789" s="87" t="str">
        <f t="shared" si="7"/>
        <v/>
      </c>
      <c r="AT789" s="87" t="str">
        <f t="shared" si="8"/>
        <v/>
      </c>
      <c r="AU789" s="87" t="str">
        <f t="shared" si="9"/>
        <v/>
      </c>
      <c r="AV789" s="89" t="str">
        <f t="array" ref="AV789">IF(OR($A789="",$AB789="", $AC789=""),"",MAXA(IF($A789=$A$4:$A923,$AC$4:$AC923)))</f>
        <v/>
      </c>
    </row>
    <row r="790" ht="22.5" customHeight="1">
      <c r="A790" s="76"/>
      <c r="B790" s="68" t="str">
        <f t="shared" si="1"/>
        <v/>
      </c>
      <c r="C790" s="110"/>
      <c r="D790" s="70" t="str">
        <f t="shared" si="2"/>
        <v/>
      </c>
      <c r="E790" s="76"/>
      <c r="F790" s="68" t="str">
        <f t="array" ref="F790">IF($A790="","",IFERROR(INDEX(MA_INDIVIDUALES!C$2:C923, MATCH($A790,MA_INDIVIDUALES!$B$2:$B923,0),1),"CÓDIGO DE EXPEDIENTE INVÁLIDO"))</f>
        <v/>
      </c>
      <c r="G790" s="68" t="str">
        <f t="array" ref="G790">IF($A790="","",IFERROR(INDEX(MA_INDIVIDUALES!K$2:K923, MATCH($A790,MA_INDIVIDUALES!$B$2:$B923,0),1),"CÓDIGO DE EXPEDIENTE INVÁLIDO"))</f>
        <v/>
      </c>
      <c r="H790" s="68" t="str">
        <f t="array" ref="H790">IF($A790="","",IFERROR(INDEX(MA_INDIVIDUALES!L$2:L923, MATCH($A790,MA_INDIVIDUALES!$B$2:$B923,0),1),"CÓDIGO DE EXPEDIENTE INVÁLIDO"))</f>
        <v/>
      </c>
      <c r="I790" s="76"/>
      <c r="J790" s="76"/>
      <c r="K790" s="75"/>
      <c r="L790" s="74" t="str">
        <f>IF(A790="","",IF(K790="","",_xlfn.WORKDAY.INTL(K790,5,1,FERIADOS)))</f>
        <v/>
      </c>
      <c r="M790" s="76"/>
      <c r="N790" s="75"/>
      <c r="O790" s="76"/>
      <c r="P790" s="77" t="str">
        <f t="shared" si="3"/>
        <v/>
      </c>
      <c r="Q790" s="75"/>
      <c r="R790" s="76"/>
      <c r="S790" s="75"/>
      <c r="T790" s="75"/>
      <c r="U790" s="76"/>
      <c r="V790" s="76"/>
      <c r="W790" s="75"/>
      <c r="X790" s="76"/>
      <c r="Y790" s="29" t="str">
        <f t="shared" si="4"/>
        <v/>
      </c>
      <c r="Z790" s="29" t="str">
        <f t="shared" si="5"/>
        <v/>
      </c>
      <c r="AA790" s="76"/>
      <c r="AB790" s="76"/>
      <c r="AC790" s="75"/>
      <c r="AD790" s="75"/>
      <c r="AE790" s="78" t="str">
        <f>IF(U790="","",IF(AD790="","",_xlfn.WORKDAY.INTL(AD790,7,1,FERIADOS)))</f>
        <v/>
      </c>
      <c r="AF790" s="104"/>
      <c r="AG790" s="80" t="str">
        <f t="array" ref="AG790">IF(A790="","",IF(AF790="","",AF790*INDEX(PARAMETROS!F$2:F1853,MATCH(YEAR(AC790),PARAMETROS!E$2:E1853,0),1)))</f>
        <v/>
      </c>
      <c r="AH790" s="81"/>
      <c r="AI790" s="82"/>
      <c r="AJ790" s="81"/>
      <c r="AK790" s="81"/>
      <c r="AL790" s="76"/>
      <c r="AM790" s="75"/>
      <c r="AN790" s="76"/>
      <c r="AO790" s="95"/>
      <c r="AP790" s="96"/>
      <c r="AQ790" s="85" t="str">
        <f t="shared" si="6"/>
        <v/>
      </c>
      <c r="AR790" s="86" t="str">
        <f t="array" ref="AR790">IF(A790="","",IFERROR(INDEX('2) Etapas'!L$3:L923,MATCH(B790,'2) Etapas'!$A$4:$A923,0),1),-1))</f>
        <v/>
      </c>
      <c r="AS790" s="87" t="str">
        <f t="shared" si="7"/>
        <v/>
      </c>
      <c r="AT790" s="87" t="str">
        <f t="shared" si="8"/>
        <v/>
      </c>
      <c r="AU790" s="87" t="str">
        <f t="shared" si="9"/>
        <v/>
      </c>
      <c r="AV790" s="89" t="str">
        <f t="array" ref="AV790">IF(OR($A790="",$AB790="", $AC790=""),"",MAXA(IF($A790=$A$4:$A923,$AC$4:$AC923)))</f>
        <v/>
      </c>
    </row>
    <row r="791" ht="22.5" customHeight="1">
      <c r="A791" s="76"/>
      <c r="B791" s="68" t="str">
        <f t="shared" si="1"/>
        <v/>
      </c>
      <c r="C791" s="110"/>
      <c r="D791" s="70" t="str">
        <f t="shared" si="2"/>
        <v/>
      </c>
      <c r="E791" s="76"/>
      <c r="F791" s="68" t="str">
        <f t="array" ref="F791">IF($A791="","",IFERROR(INDEX(MA_INDIVIDUALES!C$2:C923, MATCH($A791,MA_INDIVIDUALES!$B$2:$B923,0),1),"CÓDIGO DE EXPEDIENTE INVÁLIDO"))</f>
        <v/>
      </c>
      <c r="G791" s="68" t="str">
        <f t="array" ref="G791">IF($A791="","",IFERROR(INDEX(MA_INDIVIDUALES!K$2:K923, MATCH($A791,MA_INDIVIDUALES!$B$2:$B923,0),1),"CÓDIGO DE EXPEDIENTE INVÁLIDO"))</f>
        <v/>
      </c>
      <c r="H791" s="68" t="str">
        <f t="array" ref="H791">IF($A791="","",IFERROR(INDEX(MA_INDIVIDUALES!L$2:L923, MATCH($A791,MA_INDIVIDUALES!$B$2:$B923,0),1),"CÓDIGO DE EXPEDIENTE INVÁLIDO"))</f>
        <v/>
      </c>
      <c r="I791" s="76"/>
      <c r="J791" s="76"/>
      <c r="K791" s="75"/>
      <c r="L791" s="74" t="str">
        <f>IF(A791="","",IF(K791="","",_xlfn.WORKDAY.INTL(K791,5,1,FERIADOS)))</f>
        <v/>
      </c>
      <c r="M791" s="76"/>
      <c r="N791" s="75"/>
      <c r="O791" s="76"/>
      <c r="P791" s="77" t="str">
        <f t="shared" si="3"/>
        <v/>
      </c>
      <c r="Q791" s="75"/>
      <c r="R791" s="76"/>
      <c r="S791" s="75"/>
      <c r="T791" s="75"/>
      <c r="U791" s="76"/>
      <c r="V791" s="76"/>
      <c r="W791" s="75"/>
      <c r="X791" s="76"/>
      <c r="Y791" s="29" t="str">
        <f t="shared" si="4"/>
        <v/>
      </c>
      <c r="Z791" s="29" t="str">
        <f t="shared" si="5"/>
        <v/>
      </c>
      <c r="AA791" s="76"/>
      <c r="AB791" s="76"/>
      <c r="AC791" s="75"/>
      <c r="AD791" s="75"/>
      <c r="AE791" s="78" t="str">
        <f>IF(U791="","",IF(AD791="","",_xlfn.WORKDAY.INTL(AD791,7,1,FERIADOS)))</f>
        <v/>
      </c>
      <c r="AF791" s="104"/>
      <c r="AG791" s="80" t="str">
        <f t="array" ref="AG791">IF(A791="","",IF(AF791="","",AF791*INDEX(PARAMETROS!F$2:F1854,MATCH(YEAR(AC791),PARAMETROS!E$2:E1854,0),1)))</f>
        <v/>
      </c>
      <c r="AH791" s="81"/>
      <c r="AI791" s="82"/>
      <c r="AJ791" s="81"/>
      <c r="AK791" s="81"/>
      <c r="AL791" s="76"/>
      <c r="AM791" s="75"/>
      <c r="AN791" s="76"/>
      <c r="AO791" s="95"/>
      <c r="AP791" s="96"/>
      <c r="AQ791" s="85" t="str">
        <f t="shared" si="6"/>
        <v/>
      </c>
      <c r="AR791" s="86" t="str">
        <f t="array" ref="AR791">IF(A791="","",IFERROR(INDEX('2) Etapas'!L$3:L923,MATCH(B791,'2) Etapas'!$A$4:$A923,0),1),-1))</f>
        <v/>
      </c>
      <c r="AS791" s="87" t="str">
        <f t="shared" si="7"/>
        <v/>
      </c>
      <c r="AT791" s="87" t="str">
        <f t="shared" si="8"/>
        <v/>
      </c>
      <c r="AU791" s="87" t="str">
        <f t="shared" si="9"/>
        <v/>
      </c>
      <c r="AV791" s="89" t="str">
        <f t="array" ref="AV791">IF(OR($A791="",$AB791="", $AC791=""),"",MAXA(IF($A791=$A$4:$A923,$AC$4:$AC923)))</f>
        <v/>
      </c>
    </row>
    <row r="792" ht="22.5" customHeight="1">
      <c r="A792" s="76"/>
      <c r="B792" s="68" t="str">
        <f t="shared" si="1"/>
        <v/>
      </c>
      <c r="C792" s="110"/>
      <c r="D792" s="70" t="str">
        <f t="shared" si="2"/>
        <v/>
      </c>
      <c r="E792" s="76"/>
      <c r="F792" s="68" t="str">
        <f t="array" ref="F792">IF($A792="","",IFERROR(INDEX(MA_INDIVIDUALES!C$2:C923, MATCH($A792,MA_INDIVIDUALES!$B$2:$B923,0),1),"CÓDIGO DE EXPEDIENTE INVÁLIDO"))</f>
        <v/>
      </c>
      <c r="G792" s="68" t="str">
        <f t="array" ref="G792">IF($A792="","",IFERROR(INDEX(MA_INDIVIDUALES!K$2:K923, MATCH($A792,MA_INDIVIDUALES!$B$2:$B923,0),1),"CÓDIGO DE EXPEDIENTE INVÁLIDO"))</f>
        <v/>
      </c>
      <c r="H792" s="68" t="str">
        <f t="array" ref="H792">IF($A792="","",IFERROR(INDEX(MA_INDIVIDUALES!L$2:L923, MATCH($A792,MA_INDIVIDUALES!$B$2:$B923,0),1),"CÓDIGO DE EXPEDIENTE INVÁLIDO"))</f>
        <v/>
      </c>
      <c r="I792" s="76"/>
      <c r="J792" s="76"/>
      <c r="K792" s="75"/>
      <c r="L792" s="74" t="str">
        <f>IF(A792="","",IF(K792="","",_xlfn.WORKDAY.INTL(K792,5,1,FERIADOS)))</f>
        <v/>
      </c>
      <c r="M792" s="76"/>
      <c r="N792" s="75"/>
      <c r="O792" s="76"/>
      <c r="P792" s="77" t="str">
        <f t="shared" si="3"/>
        <v/>
      </c>
      <c r="Q792" s="75"/>
      <c r="R792" s="76"/>
      <c r="S792" s="75"/>
      <c r="T792" s="75"/>
      <c r="U792" s="76"/>
      <c r="V792" s="76"/>
      <c r="W792" s="75"/>
      <c r="X792" s="76"/>
      <c r="Y792" s="29" t="str">
        <f t="shared" si="4"/>
        <v/>
      </c>
      <c r="Z792" s="29" t="str">
        <f t="shared" si="5"/>
        <v/>
      </c>
      <c r="AA792" s="76"/>
      <c r="AB792" s="76"/>
      <c r="AC792" s="75"/>
      <c r="AD792" s="75"/>
      <c r="AE792" s="78" t="str">
        <f>IF(U792="","",IF(AD792="","",_xlfn.WORKDAY.INTL(AD792,7,1,FERIADOS)))</f>
        <v/>
      </c>
      <c r="AF792" s="104"/>
      <c r="AG792" s="80" t="str">
        <f t="array" ref="AG792">IF(A792="","",IF(AF792="","",AF792*INDEX(PARAMETROS!F$2:F1855,MATCH(YEAR(AC792),PARAMETROS!E$2:E1855,0),1)))</f>
        <v/>
      </c>
      <c r="AH792" s="81"/>
      <c r="AI792" s="82"/>
      <c r="AJ792" s="81"/>
      <c r="AK792" s="81"/>
      <c r="AL792" s="76"/>
      <c r="AM792" s="75"/>
      <c r="AN792" s="76"/>
      <c r="AO792" s="95"/>
      <c r="AP792" s="96"/>
      <c r="AQ792" s="85" t="str">
        <f t="shared" si="6"/>
        <v/>
      </c>
      <c r="AR792" s="86" t="str">
        <f t="array" ref="AR792">IF(A792="","",IFERROR(INDEX('2) Etapas'!L$3:L923,MATCH(B792,'2) Etapas'!$A$4:$A923,0),1),-1))</f>
        <v/>
      </c>
      <c r="AS792" s="87" t="str">
        <f t="shared" si="7"/>
        <v/>
      </c>
      <c r="AT792" s="87" t="str">
        <f t="shared" si="8"/>
        <v/>
      </c>
      <c r="AU792" s="87" t="str">
        <f t="shared" si="9"/>
        <v/>
      </c>
      <c r="AV792" s="89" t="str">
        <f t="array" ref="AV792">IF(OR($A792="",$AB792="", $AC792=""),"",MAXA(IF($A792=$A$4:$A923,$AC$4:$AC923)))</f>
        <v/>
      </c>
    </row>
    <row r="793" ht="22.5" customHeight="1">
      <c r="A793" s="76"/>
      <c r="B793" s="68" t="str">
        <f t="shared" si="1"/>
        <v/>
      </c>
      <c r="C793" s="110"/>
      <c r="D793" s="70" t="str">
        <f t="shared" si="2"/>
        <v/>
      </c>
      <c r="E793" s="76"/>
      <c r="F793" s="68" t="str">
        <f t="array" ref="F793">IF($A793="","",IFERROR(INDEX(MA_INDIVIDUALES!C$2:C923, MATCH($A793,MA_INDIVIDUALES!$B$2:$B923,0),1),"CÓDIGO DE EXPEDIENTE INVÁLIDO"))</f>
        <v/>
      </c>
      <c r="G793" s="68" t="str">
        <f t="array" ref="G793">IF($A793="","",IFERROR(INDEX(MA_INDIVIDUALES!K$2:K923, MATCH($A793,MA_INDIVIDUALES!$B$2:$B923,0),1),"CÓDIGO DE EXPEDIENTE INVÁLIDO"))</f>
        <v/>
      </c>
      <c r="H793" s="68" t="str">
        <f t="array" ref="H793">IF($A793="","",IFERROR(INDEX(MA_INDIVIDUALES!L$2:L923, MATCH($A793,MA_INDIVIDUALES!$B$2:$B923,0),1),"CÓDIGO DE EXPEDIENTE INVÁLIDO"))</f>
        <v/>
      </c>
      <c r="I793" s="76"/>
      <c r="J793" s="76"/>
      <c r="K793" s="75"/>
      <c r="L793" s="74" t="str">
        <f>IF(A793="","",IF(K793="","",_xlfn.WORKDAY.INTL(K793,5,1,FERIADOS)))</f>
        <v/>
      </c>
      <c r="M793" s="76"/>
      <c r="N793" s="75"/>
      <c r="O793" s="76"/>
      <c r="P793" s="77" t="str">
        <f t="shared" si="3"/>
        <v/>
      </c>
      <c r="Q793" s="75"/>
      <c r="R793" s="76"/>
      <c r="S793" s="75"/>
      <c r="T793" s="75"/>
      <c r="U793" s="76"/>
      <c r="V793" s="76"/>
      <c r="W793" s="75"/>
      <c r="X793" s="76"/>
      <c r="Y793" s="29" t="str">
        <f t="shared" si="4"/>
        <v/>
      </c>
      <c r="Z793" s="29" t="str">
        <f t="shared" si="5"/>
        <v/>
      </c>
      <c r="AA793" s="76"/>
      <c r="AB793" s="76"/>
      <c r="AC793" s="75"/>
      <c r="AD793" s="75"/>
      <c r="AE793" s="78" t="str">
        <f>IF(U793="","",IF(AD793="","",_xlfn.WORKDAY.INTL(AD793,7,1,FERIADOS)))</f>
        <v/>
      </c>
      <c r="AF793" s="104"/>
      <c r="AG793" s="80" t="str">
        <f t="array" ref="AG793">IF(A793="","",IF(AF793="","",AF793*INDEX(PARAMETROS!F$2:F1856,MATCH(YEAR(AC793),PARAMETROS!E$2:E1856,0),1)))</f>
        <v/>
      </c>
      <c r="AH793" s="81"/>
      <c r="AI793" s="82"/>
      <c r="AJ793" s="81"/>
      <c r="AK793" s="81"/>
      <c r="AL793" s="76"/>
      <c r="AM793" s="75"/>
      <c r="AN793" s="76"/>
      <c r="AO793" s="95"/>
      <c r="AP793" s="96"/>
      <c r="AQ793" s="85" t="str">
        <f t="shared" si="6"/>
        <v/>
      </c>
      <c r="AR793" s="86" t="str">
        <f t="array" ref="AR793">IF(A793="","",IFERROR(INDEX('2) Etapas'!L$3:L923,MATCH(B793,'2) Etapas'!$A$4:$A923,0),1),-1))</f>
        <v/>
      </c>
      <c r="AS793" s="87" t="str">
        <f t="shared" si="7"/>
        <v/>
      </c>
      <c r="AT793" s="87" t="str">
        <f t="shared" si="8"/>
        <v/>
      </c>
      <c r="AU793" s="87" t="str">
        <f t="shared" si="9"/>
        <v/>
      </c>
      <c r="AV793" s="89" t="str">
        <f t="array" ref="AV793">IF(OR($A793="",$AB793="", $AC793=""),"",MAXA(IF($A793=$A$4:$A923,$AC$4:$AC923)))</f>
        <v/>
      </c>
    </row>
    <row r="794" ht="22.5" customHeight="1">
      <c r="A794" s="76"/>
      <c r="B794" s="68" t="str">
        <f t="shared" si="1"/>
        <v/>
      </c>
      <c r="C794" s="110"/>
      <c r="D794" s="70" t="str">
        <f t="shared" si="2"/>
        <v/>
      </c>
      <c r="E794" s="76"/>
      <c r="F794" s="68" t="str">
        <f t="array" ref="F794">IF($A794="","",IFERROR(INDEX(MA_INDIVIDUALES!C$2:C923, MATCH($A794,MA_INDIVIDUALES!$B$2:$B923,0),1),"CÓDIGO DE EXPEDIENTE INVÁLIDO"))</f>
        <v/>
      </c>
      <c r="G794" s="68" t="str">
        <f t="array" ref="G794">IF($A794="","",IFERROR(INDEX(MA_INDIVIDUALES!K$2:K923, MATCH($A794,MA_INDIVIDUALES!$B$2:$B923,0),1),"CÓDIGO DE EXPEDIENTE INVÁLIDO"))</f>
        <v/>
      </c>
      <c r="H794" s="68" t="str">
        <f t="array" ref="H794">IF($A794="","",IFERROR(INDEX(MA_INDIVIDUALES!L$2:L923, MATCH($A794,MA_INDIVIDUALES!$B$2:$B923,0),1),"CÓDIGO DE EXPEDIENTE INVÁLIDO"))</f>
        <v/>
      </c>
      <c r="I794" s="76"/>
      <c r="J794" s="76"/>
      <c r="K794" s="75"/>
      <c r="L794" s="74" t="str">
        <f>IF(A794="","",IF(K794="","",_xlfn.WORKDAY.INTL(K794,5,1,FERIADOS)))</f>
        <v/>
      </c>
      <c r="M794" s="76"/>
      <c r="N794" s="75"/>
      <c r="O794" s="76"/>
      <c r="P794" s="77" t="str">
        <f t="shared" si="3"/>
        <v/>
      </c>
      <c r="Q794" s="75"/>
      <c r="R794" s="76"/>
      <c r="S794" s="75"/>
      <c r="T794" s="75"/>
      <c r="U794" s="76"/>
      <c r="V794" s="76"/>
      <c r="W794" s="75"/>
      <c r="X794" s="76"/>
      <c r="Y794" s="29" t="str">
        <f t="shared" si="4"/>
        <v/>
      </c>
      <c r="Z794" s="29" t="str">
        <f t="shared" si="5"/>
        <v/>
      </c>
      <c r="AA794" s="76"/>
      <c r="AB794" s="76"/>
      <c r="AC794" s="75"/>
      <c r="AD794" s="75"/>
      <c r="AE794" s="78" t="str">
        <f>IF(U794="","",IF(AD794="","",_xlfn.WORKDAY.INTL(AD794,7,1,FERIADOS)))</f>
        <v/>
      </c>
      <c r="AF794" s="104"/>
      <c r="AG794" s="80" t="str">
        <f t="array" ref="AG794">IF(A794="","",IF(AF794="","",AF794*INDEX(PARAMETROS!F$2:F1857,MATCH(YEAR(AC794),PARAMETROS!E$2:E1857,0),1)))</f>
        <v/>
      </c>
      <c r="AH794" s="81"/>
      <c r="AI794" s="82"/>
      <c r="AJ794" s="81"/>
      <c r="AK794" s="81"/>
      <c r="AL794" s="76"/>
      <c r="AM794" s="75"/>
      <c r="AN794" s="76"/>
      <c r="AO794" s="95"/>
      <c r="AP794" s="96"/>
      <c r="AQ794" s="85" t="str">
        <f t="shared" si="6"/>
        <v/>
      </c>
      <c r="AR794" s="86" t="str">
        <f t="array" ref="AR794">IF(A794="","",IFERROR(INDEX('2) Etapas'!L$3:L923,MATCH(B794,'2) Etapas'!$A$4:$A923,0),1),-1))</f>
        <v/>
      </c>
      <c r="AS794" s="87" t="str">
        <f t="shared" si="7"/>
        <v/>
      </c>
      <c r="AT794" s="87" t="str">
        <f t="shared" si="8"/>
        <v/>
      </c>
      <c r="AU794" s="87" t="str">
        <f t="shared" si="9"/>
        <v/>
      </c>
      <c r="AV794" s="89" t="str">
        <f t="array" ref="AV794">IF(OR($A794="",$AB794="", $AC794=""),"",MAXA(IF($A794=$A$4:$A923,$AC$4:$AC923)))</f>
        <v/>
      </c>
    </row>
    <row r="795" ht="22.5" customHeight="1">
      <c r="A795" s="76"/>
      <c r="B795" s="68" t="str">
        <f t="shared" si="1"/>
        <v/>
      </c>
      <c r="C795" s="110"/>
      <c r="D795" s="70" t="str">
        <f t="shared" si="2"/>
        <v/>
      </c>
      <c r="E795" s="76"/>
      <c r="F795" s="68" t="str">
        <f t="array" ref="F795">IF($A795="","",IFERROR(INDEX(MA_INDIVIDUALES!C$2:C923, MATCH($A795,MA_INDIVIDUALES!$B$2:$B923,0),1),"CÓDIGO DE EXPEDIENTE INVÁLIDO"))</f>
        <v/>
      </c>
      <c r="G795" s="68" t="str">
        <f t="array" ref="G795">IF($A795="","",IFERROR(INDEX(MA_INDIVIDUALES!K$2:K923, MATCH($A795,MA_INDIVIDUALES!$B$2:$B923,0),1),"CÓDIGO DE EXPEDIENTE INVÁLIDO"))</f>
        <v/>
      </c>
      <c r="H795" s="68" t="str">
        <f t="array" ref="H795">IF($A795="","",IFERROR(INDEX(MA_INDIVIDUALES!L$2:L923, MATCH($A795,MA_INDIVIDUALES!$B$2:$B923,0),1),"CÓDIGO DE EXPEDIENTE INVÁLIDO"))</f>
        <v/>
      </c>
      <c r="I795" s="76"/>
      <c r="J795" s="76"/>
      <c r="K795" s="75"/>
      <c r="L795" s="74" t="str">
        <f>IF(A795="","",IF(K795="","",_xlfn.WORKDAY.INTL(K795,5,1,FERIADOS)))</f>
        <v/>
      </c>
      <c r="M795" s="76"/>
      <c r="N795" s="75"/>
      <c r="O795" s="76"/>
      <c r="P795" s="77" t="str">
        <f t="shared" si="3"/>
        <v/>
      </c>
      <c r="Q795" s="75"/>
      <c r="R795" s="76"/>
      <c r="S795" s="75"/>
      <c r="T795" s="75"/>
      <c r="U795" s="76"/>
      <c r="V795" s="76"/>
      <c r="W795" s="75"/>
      <c r="X795" s="76"/>
      <c r="Y795" s="29" t="str">
        <f t="shared" si="4"/>
        <v/>
      </c>
      <c r="Z795" s="29" t="str">
        <f t="shared" si="5"/>
        <v/>
      </c>
      <c r="AA795" s="76"/>
      <c r="AB795" s="76"/>
      <c r="AC795" s="75"/>
      <c r="AD795" s="75"/>
      <c r="AE795" s="78" t="str">
        <f>IF(U795="","",IF(AD795="","",_xlfn.WORKDAY.INTL(AD795,7,1,FERIADOS)))</f>
        <v/>
      </c>
      <c r="AF795" s="104"/>
      <c r="AG795" s="80" t="str">
        <f t="array" ref="AG795">IF(A795="","",IF(AF795="","",AF795*INDEX(PARAMETROS!F$2:F1858,MATCH(YEAR(AC795),PARAMETROS!E$2:E1858,0),1)))</f>
        <v/>
      </c>
      <c r="AH795" s="81"/>
      <c r="AI795" s="82"/>
      <c r="AJ795" s="81"/>
      <c r="AK795" s="81"/>
      <c r="AL795" s="76"/>
      <c r="AM795" s="75"/>
      <c r="AN795" s="76"/>
      <c r="AO795" s="95"/>
      <c r="AP795" s="96"/>
      <c r="AQ795" s="85" t="str">
        <f t="shared" si="6"/>
        <v/>
      </c>
      <c r="AR795" s="86" t="str">
        <f t="array" ref="AR795">IF(A795="","",IFERROR(INDEX('2) Etapas'!L$3:L923,MATCH(B795,'2) Etapas'!$A$4:$A923,0),1),-1))</f>
        <v/>
      </c>
      <c r="AS795" s="87" t="str">
        <f t="shared" si="7"/>
        <v/>
      </c>
      <c r="AT795" s="87" t="str">
        <f t="shared" si="8"/>
        <v/>
      </c>
      <c r="AU795" s="87" t="str">
        <f t="shared" si="9"/>
        <v/>
      </c>
      <c r="AV795" s="89" t="str">
        <f t="array" ref="AV795">IF(OR($A795="",$AB795="", $AC795=""),"",MAXA(IF($A795=$A$4:$A923,$AC$4:$AC923)))</f>
        <v/>
      </c>
    </row>
    <row r="796" ht="22.5" customHeight="1">
      <c r="A796" s="76"/>
      <c r="B796" s="68" t="str">
        <f t="shared" si="1"/>
        <v/>
      </c>
      <c r="C796" s="110"/>
      <c r="D796" s="70" t="str">
        <f t="shared" si="2"/>
        <v/>
      </c>
      <c r="E796" s="76"/>
      <c r="F796" s="68" t="str">
        <f t="array" ref="F796">IF($A796="","",IFERROR(INDEX(MA_INDIVIDUALES!C$2:C923, MATCH($A796,MA_INDIVIDUALES!$B$2:$B923,0),1),"CÓDIGO DE EXPEDIENTE INVÁLIDO"))</f>
        <v/>
      </c>
      <c r="G796" s="68" t="str">
        <f t="array" ref="G796">IF($A796="","",IFERROR(INDEX(MA_INDIVIDUALES!K$2:K923, MATCH($A796,MA_INDIVIDUALES!$B$2:$B923,0),1),"CÓDIGO DE EXPEDIENTE INVÁLIDO"))</f>
        <v/>
      </c>
      <c r="H796" s="68" t="str">
        <f t="array" ref="H796">IF($A796="","",IFERROR(INDEX(MA_INDIVIDUALES!L$2:L923, MATCH($A796,MA_INDIVIDUALES!$B$2:$B923,0),1),"CÓDIGO DE EXPEDIENTE INVÁLIDO"))</f>
        <v/>
      </c>
      <c r="I796" s="76"/>
      <c r="J796" s="76"/>
      <c r="K796" s="75"/>
      <c r="L796" s="74" t="str">
        <f>IF(A796="","",IF(K796="","",_xlfn.WORKDAY.INTL(K796,5,1,FERIADOS)))</f>
        <v/>
      </c>
      <c r="M796" s="76"/>
      <c r="N796" s="75"/>
      <c r="O796" s="76"/>
      <c r="P796" s="77" t="str">
        <f t="shared" si="3"/>
        <v/>
      </c>
      <c r="Q796" s="75"/>
      <c r="R796" s="76"/>
      <c r="S796" s="75"/>
      <c r="T796" s="75"/>
      <c r="U796" s="76"/>
      <c r="V796" s="76"/>
      <c r="W796" s="75"/>
      <c r="X796" s="76"/>
      <c r="Y796" s="29" t="str">
        <f t="shared" si="4"/>
        <v/>
      </c>
      <c r="Z796" s="29" t="str">
        <f t="shared" si="5"/>
        <v/>
      </c>
      <c r="AA796" s="76"/>
      <c r="AB796" s="76"/>
      <c r="AC796" s="75"/>
      <c r="AD796" s="75"/>
      <c r="AE796" s="78" t="str">
        <f>IF(U796="","",IF(AD796="","",_xlfn.WORKDAY.INTL(AD796,7,1,FERIADOS)))</f>
        <v/>
      </c>
      <c r="AF796" s="104"/>
      <c r="AG796" s="80" t="str">
        <f t="array" ref="AG796">IF(A796="","",IF(AF796="","",AF796*INDEX(PARAMETROS!F$2:F1859,MATCH(YEAR(AC796),PARAMETROS!E$2:E1859,0),1)))</f>
        <v/>
      </c>
      <c r="AH796" s="81"/>
      <c r="AI796" s="82"/>
      <c r="AJ796" s="81"/>
      <c r="AK796" s="81"/>
      <c r="AL796" s="76"/>
      <c r="AM796" s="75"/>
      <c r="AN796" s="76"/>
      <c r="AO796" s="95"/>
      <c r="AP796" s="96"/>
      <c r="AQ796" s="85" t="str">
        <f t="shared" si="6"/>
        <v/>
      </c>
      <c r="AR796" s="86" t="str">
        <f t="array" ref="AR796">IF(A796="","",IFERROR(INDEX('2) Etapas'!L$3:L923,MATCH(B796,'2) Etapas'!$A$4:$A923,0),1),-1))</f>
        <v/>
      </c>
      <c r="AS796" s="87" t="str">
        <f t="shared" si="7"/>
        <v/>
      </c>
      <c r="AT796" s="87" t="str">
        <f t="shared" si="8"/>
        <v/>
      </c>
      <c r="AU796" s="87" t="str">
        <f t="shared" si="9"/>
        <v/>
      </c>
      <c r="AV796" s="89" t="str">
        <f t="array" ref="AV796">IF(OR($A796="",$AB796="", $AC796=""),"",MAXA(IF($A796=$A$4:$A923,$AC$4:$AC923)))</f>
        <v/>
      </c>
    </row>
    <row r="797" ht="22.5" customHeight="1">
      <c r="A797" s="76"/>
      <c r="B797" s="68" t="str">
        <f t="shared" si="1"/>
        <v/>
      </c>
      <c r="C797" s="110"/>
      <c r="D797" s="70" t="str">
        <f t="shared" si="2"/>
        <v/>
      </c>
      <c r="E797" s="76"/>
      <c r="F797" s="68" t="str">
        <f t="array" ref="F797">IF($A797="","",IFERROR(INDEX(MA_INDIVIDUALES!C$2:C923, MATCH($A797,MA_INDIVIDUALES!$B$2:$B923,0),1),"CÓDIGO DE EXPEDIENTE INVÁLIDO"))</f>
        <v/>
      </c>
      <c r="G797" s="68" t="str">
        <f t="array" ref="G797">IF($A797="","",IFERROR(INDEX(MA_INDIVIDUALES!K$2:K923, MATCH($A797,MA_INDIVIDUALES!$B$2:$B923,0),1),"CÓDIGO DE EXPEDIENTE INVÁLIDO"))</f>
        <v/>
      </c>
      <c r="H797" s="68" t="str">
        <f t="array" ref="H797">IF($A797="","",IFERROR(INDEX(MA_INDIVIDUALES!L$2:L923, MATCH($A797,MA_INDIVIDUALES!$B$2:$B923,0),1),"CÓDIGO DE EXPEDIENTE INVÁLIDO"))</f>
        <v/>
      </c>
      <c r="I797" s="76"/>
      <c r="J797" s="76"/>
      <c r="K797" s="75"/>
      <c r="L797" s="74" t="str">
        <f>IF(A797="","",IF(K797="","",_xlfn.WORKDAY.INTL(K797,5,1,FERIADOS)))</f>
        <v/>
      </c>
      <c r="M797" s="76"/>
      <c r="N797" s="75"/>
      <c r="O797" s="76"/>
      <c r="P797" s="77" t="str">
        <f t="shared" si="3"/>
        <v/>
      </c>
      <c r="Q797" s="75"/>
      <c r="R797" s="76"/>
      <c r="S797" s="75"/>
      <c r="T797" s="75"/>
      <c r="U797" s="76"/>
      <c r="V797" s="76"/>
      <c r="W797" s="75"/>
      <c r="X797" s="76"/>
      <c r="Y797" s="29" t="str">
        <f t="shared" si="4"/>
        <v/>
      </c>
      <c r="Z797" s="29" t="str">
        <f t="shared" si="5"/>
        <v/>
      </c>
      <c r="AA797" s="76"/>
      <c r="AB797" s="76"/>
      <c r="AC797" s="75"/>
      <c r="AD797" s="75"/>
      <c r="AE797" s="78" t="str">
        <f>IF(U797="","",IF(AD797="","",_xlfn.WORKDAY.INTL(AD797,7,1,FERIADOS)))</f>
        <v/>
      </c>
      <c r="AF797" s="104"/>
      <c r="AG797" s="80" t="str">
        <f t="array" ref="AG797">IF(A797="","",IF(AF797="","",AF797*INDEX(PARAMETROS!F$2:F1860,MATCH(YEAR(AC797),PARAMETROS!E$2:E1860,0),1)))</f>
        <v/>
      </c>
      <c r="AH797" s="81"/>
      <c r="AI797" s="82"/>
      <c r="AJ797" s="81"/>
      <c r="AK797" s="81"/>
      <c r="AL797" s="76"/>
      <c r="AM797" s="75"/>
      <c r="AN797" s="76"/>
      <c r="AO797" s="95"/>
      <c r="AP797" s="96"/>
      <c r="AQ797" s="85" t="str">
        <f t="shared" si="6"/>
        <v/>
      </c>
      <c r="AR797" s="86" t="str">
        <f t="array" ref="AR797">IF(A797="","",IFERROR(INDEX('2) Etapas'!L$3:L923,MATCH(B797,'2) Etapas'!$A$4:$A923,0),1),-1))</f>
        <v/>
      </c>
      <c r="AS797" s="87" t="str">
        <f t="shared" si="7"/>
        <v/>
      </c>
      <c r="AT797" s="87" t="str">
        <f t="shared" si="8"/>
        <v/>
      </c>
      <c r="AU797" s="87" t="str">
        <f t="shared" si="9"/>
        <v/>
      </c>
      <c r="AV797" s="89" t="str">
        <f t="array" ref="AV797">IF(OR($A797="",$AB797="", $AC797=""),"",MAXA(IF($A797=$A$4:$A923,$AC$4:$AC923)))</f>
        <v/>
      </c>
    </row>
    <row r="798" ht="22.5" customHeight="1">
      <c r="A798" s="76"/>
      <c r="B798" s="68" t="str">
        <f t="shared" si="1"/>
        <v/>
      </c>
      <c r="C798" s="110"/>
      <c r="D798" s="70" t="str">
        <f t="shared" si="2"/>
        <v/>
      </c>
      <c r="E798" s="76"/>
      <c r="F798" s="68" t="str">
        <f t="array" ref="F798">IF($A798="","",IFERROR(INDEX(MA_INDIVIDUALES!C$2:C923, MATCH($A798,MA_INDIVIDUALES!$B$2:$B923,0),1),"CÓDIGO DE EXPEDIENTE INVÁLIDO"))</f>
        <v/>
      </c>
      <c r="G798" s="68" t="str">
        <f t="array" ref="G798">IF($A798="","",IFERROR(INDEX(MA_INDIVIDUALES!K$2:K923, MATCH($A798,MA_INDIVIDUALES!$B$2:$B923,0),1),"CÓDIGO DE EXPEDIENTE INVÁLIDO"))</f>
        <v/>
      </c>
      <c r="H798" s="68" t="str">
        <f t="array" ref="H798">IF($A798="","",IFERROR(INDEX(MA_INDIVIDUALES!L$2:L923, MATCH($A798,MA_INDIVIDUALES!$B$2:$B923,0),1),"CÓDIGO DE EXPEDIENTE INVÁLIDO"))</f>
        <v/>
      </c>
      <c r="I798" s="76"/>
      <c r="J798" s="76"/>
      <c r="K798" s="75"/>
      <c r="L798" s="74" t="str">
        <f>IF(A798="","",IF(K798="","",_xlfn.WORKDAY.INTL(K798,5,1,FERIADOS)))</f>
        <v/>
      </c>
      <c r="M798" s="76"/>
      <c r="N798" s="75"/>
      <c r="O798" s="76"/>
      <c r="P798" s="77" t="str">
        <f t="shared" si="3"/>
        <v/>
      </c>
      <c r="Q798" s="75"/>
      <c r="R798" s="76"/>
      <c r="S798" s="75"/>
      <c r="T798" s="75"/>
      <c r="U798" s="76"/>
      <c r="V798" s="76"/>
      <c r="W798" s="75"/>
      <c r="X798" s="76"/>
      <c r="Y798" s="29" t="str">
        <f t="shared" si="4"/>
        <v/>
      </c>
      <c r="Z798" s="29" t="str">
        <f t="shared" si="5"/>
        <v/>
      </c>
      <c r="AA798" s="76"/>
      <c r="AB798" s="76"/>
      <c r="AC798" s="75"/>
      <c r="AD798" s="75"/>
      <c r="AE798" s="78" t="str">
        <f>IF(U798="","",IF(AD798="","",_xlfn.WORKDAY.INTL(AD798,7,1,FERIADOS)))</f>
        <v/>
      </c>
      <c r="AF798" s="104"/>
      <c r="AG798" s="80" t="str">
        <f t="array" ref="AG798">IF(A798="","",IF(AF798="","",AF798*INDEX(PARAMETROS!F$2:F1861,MATCH(YEAR(AC798),PARAMETROS!E$2:E1861,0),1)))</f>
        <v/>
      </c>
      <c r="AH798" s="81"/>
      <c r="AI798" s="82"/>
      <c r="AJ798" s="81"/>
      <c r="AK798" s="81"/>
      <c r="AL798" s="76"/>
      <c r="AM798" s="75"/>
      <c r="AN798" s="76"/>
      <c r="AO798" s="95"/>
      <c r="AP798" s="96"/>
      <c r="AQ798" s="85" t="str">
        <f t="shared" si="6"/>
        <v/>
      </c>
      <c r="AR798" s="86" t="str">
        <f t="array" ref="AR798">IF(A798="","",IFERROR(INDEX('2) Etapas'!L$3:L923,MATCH(B798,'2) Etapas'!$A$4:$A923,0),1),-1))</f>
        <v/>
      </c>
      <c r="AS798" s="87" t="str">
        <f t="shared" si="7"/>
        <v/>
      </c>
      <c r="AT798" s="87" t="str">
        <f t="shared" si="8"/>
        <v/>
      </c>
      <c r="AU798" s="87" t="str">
        <f t="shared" si="9"/>
        <v/>
      </c>
      <c r="AV798" s="89" t="str">
        <f t="array" ref="AV798">IF(OR($A798="",$AB798="", $AC798=""),"",MAXA(IF($A798=$A$4:$A923,$AC$4:$AC923)))</f>
        <v/>
      </c>
    </row>
    <row r="799" ht="22.5" customHeight="1">
      <c r="A799" s="76"/>
      <c r="B799" s="68" t="str">
        <f t="shared" si="1"/>
        <v/>
      </c>
      <c r="C799" s="110"/>
      <c r="D799" s="70" t="str">
        <f t="shared" si="2"/>
        <v/>
      </c>
      <c r="E799" s="76"/>
      <c r="F799" s="68" t="str">
        <f t="array" ref="F799">IF($A799="","",IFERROR(INDEX(MA_INDIVIDUALES!C$2:C923, MATCH($A799,MA_INDIVIDUALES!$B$2:$B923,0),1),"CÓDIGO DE EXPEDIENTE INVÁLIDO"))</f>
        <v/>
      </c>
      <c r="G799" s="68" t="str">
        <f t="array" ref="G799">IF($A799="","",IFERROR(INDEX(MA_INDIVIDUALES!K$2:K923, MATCH($A799,MA_INDIVIDUALES!$B$2:$B923,0),1),"CÓDIGO DE EXPEDIENTE INVÁLIDO"))</f>
        <v/>
      </c>
      <c r="H799" s="68" t="str">
        <f t="array" ref="H799">IF($A799="","",IFERROR(INDEX(MA_INDIVIDUALES!L$2:L923, MATCH($A799,MA_INDIVIDUALES!$B$2:$B923,0),1),"CÓDIGO DE EXPEDIENTE INVÁLIDO"))</f>
        <v/>
      </c>
      <c r="I799" s="76"/>
      <c r="J799" s="76"/>
      <c r="K799" s="75"/>
      <c r="L799" s="74" t="str">
        <f>IF(A799="","",IF(K799="","",_xlfn.WORKDAY.INTL(K799,5,1,FERIADOS)))</f>
        <v/>
      </c>
      <c r="M799" s="76"/>
      <c r="N799" s="75"/>
      <c r="O799" s="76"/>
      <c r="P799" s="77" t="str">
        <f t="shared" si="3"/>
        <v/>
      </c>
      <c r="Q799" s="75"/>
      <c r="R799" s="76"/>
      <c r="S799" s="75"/>
      <c r="T799" s="75"/>
      <c r="U799" s="76"/>
      <c r="V799" s="76"/>
      <c r="W799" s="75"/>
      <c r="X799" s="76"/>
      <c r="Y799" s="29" t="str">
        <f t="shared" si="4"/>
        <v/>
      </c>
      <c r="Z799" s="29" t="str">
        <f t="shared" si="5"/>
        <v/>
      </c>
      <c r="AA799" s="76"/>
      <c r="AB799" s="76"/>
      <c r="AC799" s="75"/>
      <c r="AD799" s="75"/>
      <c r="AE799" s="78" t="str">
        <f>IF(U799="","",IF(AD799="","",_xlfn.WORKDAY.INTL(AD799,7,1,FERIADOS)))</f>
        <v/>
      </c>
      <c r="AF799" s="104"/>
      <c r="AG799" s="80" t="str">
        <f t="array" ref="AG799">IF(A799="","",IF(AF799="","",AF799*INDEX(PARAMETROS!F$2:F1862,MATCH(YEAR(AC799),PARAMETROS!E$2:E1862,0),1)))</f>
        <v/>
      </c>
      <c r="AH799" s="81"/>
      <c r="AI799" s="82"/>
      <c r="AJ799" s="81"/>
      <c r="AK799" s="81"/>
      <c r="AL799" s="76"/>
      <c r="AM799" s="75"/>
      <c r="AN799" s="76"/>
      <c r="AO799" s="95"/>
      <c r="AP799" s="96"/>
      <c r="AQ799" s="85" t="str">
        <f t="shared" si="6"/>
        <v/>
      </c>
      <c r="AR799" s="86" t="str">
        <f t="array" ref="AR799">IF(A799="","",IFERROR(INDEX('2) Etapas'!L$3:L923,MATCH(B799,'2) Etapas'!$A$4:$A923,0),1),-1))</f>
        <v/>
      </c>
      <c r="AS799" s="87" t="str">
        <f t="shared" si="7"/>
        <v/>
      </c>
      <c r="AT799" s="87" t="str">
        <f t="shared" si="8"/>
        <v/>
      </c>
      <c r="AU799" s="87" t="str">
        <f t="shared" si="9"/>
        <v/>
      </c>
      <c r="AV799" s="89" t="str">
        <f t="array" ref="AV799">IF(OR($A799="",$AB799="", $AC799=""),"",MAXA(IF($A799=$A$4:$A923,$AC$4:$AC923)))</f>
        <v/>
      </c>
    </row>
    <row r="800" ht="22.5" customHeight="1">
      <c r="A800" s="76"/>
      <c r="B800" s="68" t="str">
        <f t="shared" si="1"/>
        <v/>
      </c>
      <c r="C800" s="110"/>
      <c r="D800" s="70" t="str">
        <f t="shared" si="2"/>
        <v/>
      </c>
      <c r="E800" s="76"/>
      <c r="F800" s="68" t="str">
        <f t="array" ref="F800">IF($A800="","",IFERROR(INDEX(MA_INDIVIDUALES!C$2:C923, MATCH($A800,MA_INDIVIDUALES!$B$2:$B923,0),1),"CÓDIGO DE EXPEDIENTE INVÁLIDO"))</f>
        <v/>
      </c>
      <c r="G800" s="68" t="str">
        <f t="array" ref="G800">IF($A800="","",IFERROR(INDEX(MA_INDIVIDUALES!K$2:K923, MATCH($A800,MA_INDIVIDUALES!$B$2:$B923,0),1),"CÓDIGO DE EXPEDIENTE INVÁLIDO"))</f>
        <v/>
      </c>
      <c r="H800" s="68" t="str">
        <f t="array" ref="H800">IF($A800="","",IFERROR(INDEX(MA_INDIVIDUALES!L$2:L923, MATCH($A800,MA_INDIVIDUALES!$B$2:$B923,0),1),"CÓDIGO DE EXPEDIENTE INVÁLIDO"))</f>
        <v/>
      </c>
      <c r="I800" s="76"/>
      <c r="J800" s="76"/>
      <c r="K800" s="75"/>
      <c r="L800" s="74" t="str">
        <f>IF(A800="","",IF(K800="","",_xlfn.WORKDAY.INTL(K800,5,1,FERIADOS)))</f>
        <v/>
      </c>
      <c r="M800" s="76"/>
      <c r="N800" s="75"/>
      <c r="O800" s="76"/>
      <c r="P800" s="77" t="str">
        <f t="shared" si="3"/>
        <v/>
      </c>
      <c r="Q800" s="75"/>
      <c r="R800" s="76"/>
      <c r="S800" s="75"/>
      <c r="T800" s="75"/>
      <c r="U800" s="76"/>
      <c r="V800" s="76"/>
      <c r="W800" s="75"/>
      <c r="X800" s="76"/>
      <c r="Y800" s="29" t="str">
        <f t="shared" si="4"/>
        <v/>
      </c>
      <c r="Z800" s="29" t="str">
        <f t="shared" si="5"/>
        <v/>
      </c>
      <c r="AA800" s="76"/>
      <c r="AB800" s="76"/>
      <c r="AC800" s="75"/>
      <c r="AD800" s="75"/>
      <c r="AE800" s="78" t="str">
        <f>IF(U800="","",IF(AD800="","",_xlfn.WORKDAY.INTL(AD800,7,1,FERIADOS)))</f>
        <v/>
      </c>
      <c r="AF800" s="104"/>
      <c r="AG800" s="80" t="str">
        <f t="array" ref="AG800">IF(A800="","",IF(AF800="","",AF800*INDEX(PARAMETROS!F$2:F1863,MATCH(YEAR(AC800),PARAMETROS!E$2:E1863,0),1)))</f>
        <v/>
      </c>
      <c r="AH800" s="81"/>
      <c r="AI800" s="82"/>
      <c r="AJ800" s="81"/>
      <c r="AK800" s="81"/>
      <c r="AL800" s="76"/>
      <c r="AM800" s="75"/>
      <c r="AN800" s="76"/>
      <c r="AO800" s="95"/>
      <c r="AP800" s="96"/>
      <c r="AQ800" s="85" t="str">
        <f t="shared" si="6"/>
        <v/>
      </c>
      <c r="AR800" s="86" t="str">
        <f t="array" ref="AR800">IF(A800="","",IFERROR(INDEX('2) Etapas'!L$3:L923,MATCH(B800,'2) Etapas'!$A$4:$A923,0),1),-1))</f>
        <v/>
      </c>
      <c r="AS800" s="87" t="str">
        <f t="shared" si="7"/>
        <v/>
      </c>
      <c r="AT800" s="87" t="str">
        <f t="shared" si="8"/>
        <v/>
      </c>
      <c r="AU800" s="87" t="str">
        <f t="shared" si="9"/>
        <v/>
      </c>
      <c r="AV800" s="89" t="str">
        <f t="array" ref="AV800">IF(OR($A800="",$AB800="", $AC800=""),"",MAXA(IF($A800=$A$4:$A923,$AC$4:$AC923)))</f>
        <v/>
      </c>
    </row>
    <row r="801" ht="22.5" customHeight="1">
      <c r="A801" s="76"/>
      <c r="B801" s="68" t="str">
        <f t="shared" si="1"/>
        <v/>
      </c>
      <c r="C801" s="110"/>
      <c r="D801" s="70" t="str">
        <f t="shared" si="2"/>
        <v/>
      </c>
      <c r="E801" s="76"/>
      <c r="F801" s="68" t="str">
        <f t="array" ref="F801">IF($A801="","",IFERROR(INDEX(MA_INDIVIDUALES!C$2:C923, MATCH($A801,MA_INDIVIDUALES!$B$2:$B923,0),1),"CÓDIGO DE EXPEDIENTE INVÁLIDO"))</f>
        <v/>
      </c>
      <c r="G801" s="68" t="str">
        <f t="array" ref="G801">IF($A801="","",IFERROR(INDEX(MA_INDIVIDUALES!K$2:K923, MATCH($A801,MA_INDIVIDUALES!$B$2:$B923,0),1),"CÓDIGO DE EXPEDIENTE INVÁLIDO"))</f>
        <v/>
      </c>
      <c r="H801" s="68" t="str">
        <f t="array" ref="H801">IF($A801="","",IFERROR(INDEX(MA_INDIVIDUALES!L$2:L923, MATCH($A801,MA_INDIVIDUALES!$B$2:$B923,0),1),"CÓDIGO DE EXPEDIENTE INVÁLIDO"))</f>
        <v/>
      </c>
      <c r="I801" s="76"/>
      <c r="J801" s="76"/>
      <c r="K801" s="75"/>
      <c r="L801" s="74" t="str">
        <f>IF(A801="","",IF(K801="","",_xlfn.WORKDAY.INTL(K801,5,1,FERIADOS)))</f>
        <v/>
      </c>
      <c r="M801" s="76"/>
      <c r="N801" s="75"/>
      <c r="O801" s="76"/>
      <c r="P801" s="77" t="str">
        <f t="shared" si="3"/>
        <v/>
      </c>
      <c r="Q801" s="75"/>
      <c r="R801" s="76"/>
      <c r="S801" s="75"/>
      <c r="T801" s="75"/>
      <c r="U801" s="76"/>
      <c r="V801" s="76"/>
      <c r="W801" s="75"/>
      <c r="X801" s="76"/>
      <c r="Y801" s="29" t="str">
        <f t="shared" si="4"/>
        <v/>
      </c>
      <c r="Z801" s="29" t="str">
        <f t="shared" si="5"/>
        <v/>
      </c>
      <c r="AA801" s="76"/>
      <c r="AB801" s="76"/>
      <c r="AC801" s="75"/>
      <c r="AD801" s="75"/>
      <c r="AE801" s="78" t="str">
        <f>IF(U801="","",IF(AD801="","",_xlfn.WORKDAY.INTL(AD801,7,1,FERIADOS)))</f>
        <v/>
      </c>
      <c r="AF801" s="104"/>
      <c r="AG801" s="80" t="str">
        <f t="array" ref="AG801">IF(A801="","",IF(AF801="","",AF801*INDEX(PARAMETROS!F$2:F1864,MATCH(YEAR(AC801),PARAMETROS!E$2:E1864,0),1)))</f>
        <v/>
      </c>
      <c r="AH801" s="81"/>
      <c r="AI801" s="82"/>
      <c r="AJ801" s="81"/>
      <c r="AK801" s="81"/>
      <c r="AL801" s="76"/>
      <c r="AM801" s="75"/>
      <c r="AN801" s="76"/>
      <c r="AO801" s="95"/>
      <c r="AP801" s="96"/>
      <c r="AQ801" s="85" t="str">
        <f t="shared" si="6"/>
        <v/>
      </c>
      <c r="AR801" s="86" t="str">
        <f t="array" ref="AR801">IF(A801="","",IFERROR(INDEX('2) Etapas'!L$3:L923,MATCH(B801,'2) Etapas'!$A$4:$A923,0),1),-1))</f>
        <v/>
      </c>
      <c r="AS801" s="87" t="str">
        <f t="shared" si="7"/>
        <v/>
      </c>
      <c r="AT801" s="87" t="str">
        <f t="shared" si="8"/>
        <v/>
      </c>
      <c r="AU801" s="87" t="str">
        <f t="shared" si="9"/>
        <v/>
      </c>
      <c r="AV801" s="89" t="str">
        <f t="array" ref="AV801">IF(OR($A801="",$AB801="", $AC801=""),"",MAXA(IF($A801=$A$4:$A923,$AC$4:$AC923)))</f>
        <v/>
      </c>
    </row>
    <row r="802" ht="22.5" customHeight="1">
      <c r="A802" s="76"/>
      <c r="B802" s="68" t="str">
        <f t="shared" si="1"/>
        <v/>
      </c>
      <c r="C802" s="110"/>
      <c r="D802" s="70" t="str">
        <f t="shared" si="2"/>
        <v/>
      </c>
      <c r="E802" s="76"/>
      <c r="F802" s="68" t="str">
        <f t="array" ref="F802">IF($A802="","",IFERROR(INDEX(MA_INDIVIDUALES!C$2:C923, MATCH($A802,MA_INDIVIDUALES!$B$2:$B923,0),1),"CÓDIGO DE EXPEDIENTE INVÁLIDO"))</f>
        <v/>
      </c>
      <c r="G802" s="68" t="str">
        <f t="array" ref="G802">IF($A802="","",IFERROR(INDEX(MA_INDIVIDUALES!K$2:K923, MATCH($A802,MA_INDIVIDUALES!$B$2:$B923,0),1),"CÓDIGO DE EXPEDIENTE INVÁLIDO"))</f>
        <v/>
      </c>
      <c r="H802" s="68" t="str">
        <f t="array" ref="H802">IF($A802="","",IFERROR(INDEX(MA_INDIVIDUALES!L$2:L923, MATCH($A802,MA_INDIVIDUALES!$B$2:$B923,0),1),"CÓDIGO DE EXPEDIENTE INVÁLIDO"))</f>
        <v/>
      </c>
      <c r="I802" s="76"/>
      <c r="J802" s="76"/>
      <c r="K802" s="75"/>
      <c r="L802" s="74" t="str">
        <f>IF(A802="","",IF(K802="","",_xlfn.WORKDAY.INTL(K802,5,1,FERIADOS)))</f>
        <v/>
      </c>
      <c r="M802" s="76"/>
      <c r="N802" s="75"/>
      <c r="O802" s="76"/>
      <c r="P802" s="77" t="str">
        <f t="shared" si="3"/>
        <v/>
      </c>
      <c r="Q802" s="75"/>
      <c r="R802" s="76"/>
      <c r="S802" s="75"/>
      <c r="T802" s="75"/>
      <c r="U802" s="76"/>
      <c r="V802" s="76"/>
      <c r="W802" s="75"/>
      <c r="X802" s="76"/>
      <c r="Y802" s="29" t="str">
        <f t="shared" si="4"/>
        <v/>
      </c>
      <c r="Z802" s="29" t="str">
        <f t="shared" si="5"/>
        <v/>
      </c>
      <c r="AA802" s="76"/>
      <c r="AB802" s="76"/>
      <c r="AC802" s="75"/>
      <c r="AD802" s="75"/>
      <c r="AE802" s="78" t="str">
        <f>IF(U802="","",IF(AD802="","",_xlfn.WORKDAY.INTL(AD802,7,1,FERIADOS)))</f>
        <v/>
      </c>
      <c r="AF802" s="104"/>
      <c r="AG802" s="80" t="str">
        <f t="array" ref="AG802">IF(A802="","",IF(AF802="","",AF802*INDEX(PARAMETROS!F$2:F1865,MATCH(YEAR(AC802),PARAMETROS!E$2:E1865,0),1)))</f>
        <v/>
      </c>
      <c r="AH802" s="81"/>
      <c r="AI802" s="82"/>
      <c r="AJ802" s="81"/>
      <c r="AK802" s="81"/>
      <c r="AL802" s="76"/>
      <c r="AM802" s="75"/>
      <c r="AN802" s="76"/>
      <c r="AO802" s="95"/>
      <c r="AP802" s="96"/>
      <c r="AQ802" s="85" t="str">
        <f t="shared" si="6"/>
        <v/>
      </c>
      <c r="AR802" s="86" t="str">
        <f t="array" ref="AR802">IF(A802="","",IFERROR(INDEX('2) Etapas'!L$3:L923,MATCH(B802,'2) Etapas'!$A$4:$A923,0),1),-1))</f>
        <v/>
      </c>
      <c r="AS802" s="87" t="str">
        <f t="shared" si="7"/>
        <v/>
      </c>
      <c r="AT802" s="87" t="str">
        <f t="shared" si="8"/>
        <v/>
      </c>
      <c r="AU802" s="87" t="str">
        <f t="shared" si="9"/>
        <v/>
      </c>
      <c r="AV802" s="89" t="str">
        <f t="array" ref="AV802">IF(OR($A802="",$AB802="", $AC802=""),"",MAXA(IF($A802=$A$4:$A923,$AC$4:$AC923)))</f>
        <v/>
      </c>
    </row>
    <row r="803" ht="22.5" customHeight="1">
      <c r="A803" s="76"/>
      <c r="B803" s="68" t="str">
        <f t="shared" si="1"/>
        <v/>
      </c>
      <c r="C803" s="110"/>
      <c r="D803" s="70" t="str">
        <f t="shared" si="2"/>
        <v/>
      </c>
      <c r="E803" s="76"/>
      <c r="F803" s="68" t="str">
        <f t="array" ref="F803">IF($A803="","",IFERROR(INDEX(MA_INDIVIDUALES!C$2:C923, MATCH($A803,MA_INDIVIDUALES!$B$2:$B923,0),1),"CÓDIGO DE EXPEDIENTE INVÁLIDO"))</f>
        <v/>
      </c>
      <c r="G803" s="68" t="str">
        <f t="array" ref="G803">IF($A803="","",IFERROR(INDEX(MA_INDIVIDUALES!K$2:K923, MATCH($A803,MA_INDIVIDUALES!$B$2:$B923,0),1),"CÓDIGO DE EXPEDIENTE INVÁLIDO"))</f>
        <v/>
      </c>
      <c r="H803" s="68" t="str">
        <f t="array" ref="H803">IF($A803="","",IFERROR(INDEX(MA_INDIVIDUALES!L$2:L923, MATCH($A803,MA_INDIVIDUALES!$B$2:$B923,0),1),"CÓDIGO DE EXPEDIENTE INVÁLIDO"))</f>
        <v/>
      </c>
      <c r="I803" s="76"/>
      <c r="J803" s="76"/>
      <c r="K803" s="75"/>
      <c r="L803" s="74" t="str">
        <f>IF(A803="","",IF(K803="","",_xlfn.WORKDAY.INTL(K803,5,1,FERIADOS)))</f>
        <v/>
      </c>
      <c r="M803" s="76"/>
      <c r="N803" s="75"/>
      <c r="O803" s="76"/>
      <c r="P803" s="77" t="str">
        <f t="shared" si="3"/>
        <v/>
      </c>
      <c r="Q803" s="75"/>
      <c r="R803" s="76"/>
      <c r="S803" s="75"/>
      <c r="T803" s="75"/>
      <c r="U803" s="76"/>
      <c r="V803" s="76"/>
      <c r="W803" s="75"/>
      <c r="X803" s="76"/>
      <c r="Y803" s="29" t="str">
        <f t="shared" si="4"/>
        <v/>
      </c>
      <c r="Z803" s="29" t="str">
        <f t="shared" si="5"/>
        <v/>
      </c>
      <c r="AA803" s="76"/>
      <c r="AB803" s="76"/>
      <c r="AC803" s="75"/>
      <c r="AD803" s="75"/>
      <c r="AE803" s="78" t="str">
        <f>IF(U803="","",IF(AD803="","",_xlfn.WORKDAY.INTL(AD803,7,1,FERIADOS)))</f>
        <v/>
      </c>
      <c r="AF803" s="104"/>
      <c r="AG803" s="80" t="str">
        <f t="array" ref="AG803">IF(A803="","",IF(AF803="","",AF803*INDEX(PARAMETROS!F$2:F1866,MATCH(YEAR(AC803),PARAMETROS!E$2:E1866,0),1)))</f>
        <v/>
      </c>
      <c r="AH803" s="81"/>
      <c r="AI803" s="82"/>
      <c r="AJ803" s="81"/>
      <c r="AK803" s="81"/>
      <c r="AL803" s="76"/>
      <c r="AM803" s="75"/>
      <c r="AN803" s="76"/>
      <c r="AO803" s="95"/>
      <c r="AP803" s="96"/>
      <c r="AQ803" s="85" t="str">
        <f t="shared" si="6"/>
        <v/>
      </c>
      <c r="AR803" s="86" t="str">
        <f t="array" ref="AR803">IF(A803="","",IFERROR(INDEX('2) Etapas'!L$3:L923,MATCH(B803,'2) Etapas'!$A$4:$A923,0),1),-1))</f>
        <v/>
      </c>
      <c r="AS803" s="87" t="str">
        <f t="shared" si="7"/>
        <v/>
      </c>
      <c r="AT803" s="87" t="str">
        <f t="shared" si="8"/>
        <v/>
      </c>
      <c r="AU803" s="87" t="str">
        <f t="shared" si="9"/>
        <v/>
      </c>
      <c r="AV803" s="89" t="str">
        <f t="array" ref="AV803">IF(OR($A803="",$AB803="", $AC803=""),"",MAXA(IF($A803=$A$4:$A923,$AC$4:$AC923)))</f>
        <v/>
      </c>
    </row>
    <row r="804" ht="22.5" customHeight="1">
      <c r="A804" s="76"/>
      <c r="B804" s="68" t="str">
        <f t="shared" si="1"/>
        <v/>
      </c>
      <c r="C804" s="110"/>
      <c r="D804" s="70" t="str">
        <f t="shared" si="2"/>
        <v/>
      </c>
      <c r="E804" s="76"/>
      <c r="F804" s="68" t="str">
        <f t="array" ref="F804">IF($A804="","",IFERROR(INDEX(MA_INDIVIDUALES!C$2:C923, MATCH($A804,MA_INDIVIDUALES!$B$2:$B923,0),1),"CÓDIGO DE EXPEDIENTE INVÁLIDO"))</f>
        <v/>
      </c>
      <c r="G804" s="68" t="str">
        <f t="array" ref="G804">IF($A804="","",IFERROR(INDEX(MA_INDIVIDUALES!K$2:K923, MATCH($A804,MA_INDIVIDUALES!$B$2:$B923,0),1),"CÓDIGO DE EXPEDIENTE INVÁLIDO"))</f>
        <v/>
      </c>
      <c r="H804" s="68" t="str">
        <f t="array" ref="H804">IF($A804="","",IFERROR(INDEX(MA_INDIVIDUALES!L$2:L923, MATCH($A804,MA_INDIVIDUALES!$B$2:$B923,0),1),"CÓDIGO DE EXPEDIENTE INVÁLIDO"))</f>
        <v/>
      </c>
      <c r="I804" s="76"/>
      <c r="J804" s="76"/>
      <c r="K804" s="75"/>
      <c r="L804" s="74" t="str">
        <f>IF(A804="","",IF(K804="","",_xlfn.WORKDAY.INTL(K804,5,1,FERIADOS)))</f>
        <v/>
      </c>
      <c r="M804" s="76"/>
      <c r="N804" s="75"/>
      <c r="O804" s="76"/>
      <c r="P804" s="77" t="str">
        <f t="shared" si="3"/>
        <v/>
      </c>
      <c r="Q804" s="75"/>
      <c r="R804" s="76"/>
      <c r="S804" s="75"/>
      <c r="T804" s="75"/>
      <c r="U804" s="76"/>
      <c r="V804" s="76"/>
      <c r="W804" s="75"/>
      <c r="X804" s="76"/>
      <c r="Y804" s="29" t="str">
        <f t="shared" si="4"/>
        <v/>
      </c>
      <c r="Z804" s="29" t="str">
        <f t="shared" si="5"/>
        <v/>
      </c>
      <c r="AA804" s="76"/>
      <c r="AB804" s="76"/>
      <c r="AC804" s="75"/>
      <c r="AD804" s="75"/>
      <c r="AE804" s="78" t="str">
        <f>IF(U804="","",IF(AD804="","",_xlfn.WORKDAY.INTL(AD804,7,1,FERIADOS)))</f>
        <v/>
      </c>
      <c r="AF804" s="104"/>
      <c r="AG804" s="80" t="str">
        <f t="array" ref="AG804">IF(A804="","",IF(AF804="","",AF804*INDEX(PARAMETROS!F$2:F1867,MATCH(YEAR(AC804),PARAMETROS!E$2:E1867,0),1)))</f>
        <v/>
      </c>
      <c r="AH804" s="81"/>
      <c r="AI804" s="82"/>
      <c r="AJ804" s="81"/>
      <c r="AK804" s="81"/>
      <c r="AL804" s="76"/>
      <c r="AM804" s="75"/>
      <c r="AN804" s="76"/>
      <c r="AO804" s="95"/>
      <c r="AP804" s="96"/>
      <c r="AQ804" s="85" t="str">
        <f t="shared" si="6"/>
        <v/>
      </c>
      <c r="AR804" s="86" t="str">
        <f t="array" ref="AR804">IF(A804="","",IFERROR(INDEX('2) Etapas'!L$3:L923,MATCH(B804,'2) Etapas'!$A$4:$A923,0),1),-1))</f>
        <v/>
      </c>
      <c r="AS804" s="87" t="str">
        <f t="shared" si="7"/>
        <v/>
      </c>
      <c r="AT804" s="87" t="str">
        <f t="shared" si="8"/>
        <v/>
      </c>
      <c r="AU804" s="87" t="str">
        <f t="shared" si="9"/>
        <v/>
      </c>
      <c r="AV804" s="89" t="str">
        <f t="array" ref="AV804">IF(OR($A804="",$AB804="", $AC804=""),"",MAXA(IF($A804=$A$4:$A923,$AC$4:$AC923)))</f>
        <v/>
      </c>
    </row>
    <row r="805" ht="22.5" customHeight="1">
      <c r="A805" s="76"/>
      <c r="B805" s="68" t="str">
        <f t="shared" si="1"/>
        <v/>
      </c>
      <c r="C805" s="110"/>
      <c r="D805" s="70" t="str">
        <f t="shared" si="2"/>
        <v/>
      </c>
      <c r="E805" s="76"/>
      <c r="F805" s="68" t="str">
        <f t="array" ref="F805">IF($A805="","",IFERROR(INDEX(MA_INDIVIDUALES!C$2:C923, MATCH($A805,MA_INDIVIDUALES!$B$2:$B923,0),1),"CÓDIGO DE EXPEDIENTE INVÁLIDO"))</f>
        <v/>
      </c>
      <c r="G805" s="68" t="str">
        <f t="array" ref="G805">IF($A805="","",IFERROR(INDEX(MA_INDIVIDUALES!K$2:K923, MATCH($A805,MA_INDIVIDUALES!$B$2:$B923,0),1),"CÓDIGO DE EXPEDIENTE INVÁLIDO"))</f>
        <v/>
      </c>
      <c r="H805" s="68" t="str">
        <f t="array" ref="H805">IF($A805="","",IFERROR(INDEX(MA_INDIVIDUALES!L$2:L923, MATCH($A805,MA_INDIVIDUALES!$B$2:$B923,0),1),"CÓDIGO DE EXPEDIENTE INVÁLIDO"))</f>
        <v/>
      </c>
      <c r="I805" s="76"/>
      <c r="J805" s="76"/>
      <c r="K805" s="75"/>
      <c r="L805" s="74" t="str">
        <f>IF(A805="","",IF(K805="","",_xlfn.WORKDAY.INTL(K805,5,1,FERIADOS)))</f>
        <v/>
      </c>
      <c r="M805" s="76"/>
      <c r="N805" s="75"/>
      <c r="O805" s="76"/>
      <c r="P805" s="77" t="str">
        <f t="shared" si="3"/>
        <v/>
      </c>
      <c r="Q805" s="75"/>
      <c r="R805" s="76"/>
      <c r="S805" s="75"/>
      <c r="T805" s="75"/>
      <c r="U805" s="76"/>
      <c r="V805" s="76"/>
      <c r="W805" s="75"/>
      <c r="X805" s="76"/>
      <c r="Y805" s="29" t="str">
        <f t="shared" si="4"/>
        <v/>
      </c>
      <c r="Z805" s="29" t="str">
        <f t="shared" si="5"/>
        <v/>
      </c>
      <c r="AA805" s="76"/>
      <c r="AB805" s="76"/>
      <c r="AC805" s="75"/>
      <c r="AD805" s="75"/>
      <c r="AE805" s="78" t="str">
        <f>IF(U805="","",IF(AD805="","",_xlfn.WORKDAY.INTL(AD805,7,1,FERIADOS)))</f>
        <v/>
      </c>
      <c r="AF805" s="104"/>
      <c r="AG805" s="80" t="str">
        <f t="array" ref="AG805">IF(A805="","",IF(AF805="","",AF805*INDEX(PARAMETROS!F$2:F1868,MATCH(YEAR(AC805),PARAMETROS!E$2:E1868,0),1)))</f>
        <v/>
      </c>
      <c r="AH805" s="81"/>
      <c r="AI805" s="82"/>
      <c r="AJ805" s="81"/>
      <c r="AK805" s="81"/>
      <c r="AL805" s="76"/>
      <c r="AM805" s="75"/>
      <c r="AN805" s="76"/>
      <c r="AO805" s="95"/>
      <c r="AP805" s="96"/>
      <c r="AQ805" s="85" t="str">
        <f t="shared" si="6"/>
        <v/>
      </c>
      <c r="AR805" s="86" t="str">
        <f t="array" ref="AR805">IF(A805="","",IFERROR(INDEX('2) Etapas'!L$3:L923,MATCH(B805,'2) Etapas'!$A$4:$A923,0),1),-1))</f>
        <v/>
      </c>
      <c r="AS805" s="87" t="str">
        <f t="shared" si="7"/>
        <v/>
      </c>
      <c r="AT805" s="87" t="str">
        <f t="shared" si="8"/>
        <v/>
      </c>
      <c r="AU805" s="87" t="str">
        <f t="shared" si="9"/>
        <v/>
      </c>
      <c r="AV805" s="89" t="str">
        <f t="array" ref="AV805">IF(OR($A805="",$AB805="", $AC805=""),"",MAXA(IF($A805=$A$4:$A923,$AC$4:$AC923)))</f>
        <v/>
      </c>
    </row>
    <row r="806" ht="22.5" customHeight="1">
      <c r="A806" s="76"/>
      <c r="B806" s="68" t="str">
        <f t="shared" si="1"/>
        <v/>
      </c>
      <c r="C806" s="110"/>
      <c r="D806" s="70" t="str">
        <f t="shared" si="2"/>
        <v/>
      </c>
      <c r="E806" s="76"/>
      <c r="F806" s="68" t="str">
        <f t="array" ref="F806">IF($A806="","",IFERROR(INDEX(MA_INDIVIDUALES!C$2:C923, MATCH($A806,MA_INDIVIDUALES!$B$2:$B923,0),1),"CÓDIGO DE EXPEDIENTE INVÁLIDO"))</f>
        <v/>
      </c>
      <c r="G806" s="68" t="str">
        <f t="array" ref="G806">IF($A806="","",IFERROR(INDEX(MA_INDIVIDUALES!K$2:K923, MATCH($A806,MA_INDIVIDUALES!$B$2:$B923,0),1),"CÓDIGO DE EXPEDIENTE INVÁLIDO"))</f>
        <v/>
      </c>
      <c r="H806" s="68" t="str">
        <f t="array" ref="H806">IF($A806="","",IFERROR(INDEX(MA_INDIVIDUALES!L$2:L923, MATCH($A806,MA_INDIVIDUALES!$B$2:$B923,0),1),"CÓDIGO DE EXPEDIENTE INVÁLIDO"))</f>
        <v/>
      </c>
      <c r="I806" s="76"/>
      <c r="J806" s="76"/>
      <c r="K806" s="75"/>
      <c r="L806" s="74" t="str">
        <f>IF(A806="","",IF(K806="","",_xlfn.WORKDAY.INTL(K806,5,1,FERIADOS)))</f>
        <v/>
      </c>
      <c r="M806" s="76"/>
      <c r="N806" s="75"/>
      <c r="O806" s="76"/>
      <c r="P806" s="77" t="str">
        <f t="shared" si="3"/>
        <v/>
      </c>
      <c r="Q806" s="75"/>
      <c r="R806" s="76"/>
      <c r="S806" s="75"/>
      <c r="T806" s="75"/>
      <c r="U806" s="76"/>
      <c r="V806" s="76"/>
      <c r="W806" s="75"/>
      <c r="X806" s="76"/>
      <c r="Y806" s="29" t="str">
        <f t="shared" si="4"/>
        <v/>
      </c>
      <c r="Z806" s="29" t="str">
        <f t="shared" si="5"/>
        <v/>
      </c>
      <c r="AA806" s="76"/>
      <c r="AB806" s="76"/>
      <c r="AC806" s="75"/>
      <c r="AD806" s="75"/>
      <c r="AE806" s="78" t="str">
        <f>IF(U806="","",IF(AD806="","",_xlfn.WORKDAY.INTL(AD806,7,1,FERIADOS)))</f>
        <v/>
      </c>
      <c r="AF806" s="104"/>
      <c r="AG806" s="80" t="str">
        <f t="array" ref="AG806">IF(A806="","",IF(AF806="","",AF806*INDEX(PARAMETROS!F$2:F1869,MATCH(YEAR(AC806),PARAMETROS!E$2:E1869,0),1)))</f>
        <v/>
      </c>
      <c r="AH806" s="81"/>
      <c r="AI806" s="82"/>
      <c r="AJ806" s="81"/>
      <c r="AK806" s="81"/>
      <c r="AL806" s="76"/>
      <c r="AM806" s="75"/>
      <c r="AN806" s="76"/>
      <c r="AO806" s="95"/>
      <c r="AP806" s="96"/>
      <c r="AQ806" s="85" t="str">
        <f t="shared" si="6"/>
        <v/>
      </c>
      <c r="AR806" s="86" t="str">
        <f t="array" ref="AR806">IF(A806="","",IFERROR(INDEX('2) Etapas'!L$3:L923,MATCH(B806,'2) Etapas'!$A$4:$A923,0),1),-1))</f>
        <v/>
      </c>
      <c r="AS806" s="87" t="str">
        <f t="shared" si="7"/>
        <v/>
      </c>
      <c r="AT806" s="87" t="str">
        <f t="shared" si="8"/>
        <v/>
      </c>
      <c r="AU806" s="87" t="str">
        <f t="shared" si="9"/>
        <v/>
      </c>
      <c r="AV806" s="89" t="str">
        <f t="array" ref="AV806">IF(OR($A806="",$AB806="", $AC806=""),"",MAXA(IF($A806=$A$4:$A923,$AC$4:$AC923)))</f>
        <v/>
      </c>
    </row>
    <row r="807" ht="22.5" customHeight="1">
      <c r="A807" s="76"/>
      <c r="B807" s="68" t="str">
        <f t="shared" si="1"/>
        <v/>
      </c>
      <c r="C807" s="110"/>
      <c r="D807" s="70" t="str">
        <f t="shared" si="2"/>
        <v/>
      </c>
      <c r="E807" s="76"/>
      <c r="F807" s="68" t="str">
        <f t="array" ref="F807">IF($A807="","",IFERROR(INDEX(MA_INDIVIDUALES!C$2:C923, MATCH($A807,MA_INDIVIDUALES!$B$2:$B923,0),1),"CÓDIGO DE EXPEDIENTE INVÁLIDO"))</f>
        <v/>
      </c>
      <c r="G807" s="68" t="str">
        <f t="array" ref="G807">IF($A807="","",IFERROR(INDEX(MA_INDIVIDUALES!K$2:K923, MATCH($A807,MA_INDIVIDUALES!$B$2:$B923,0),1),"CÓDIGO DE EXPEDIENTE INVÁLIDO"))</f>
        <v/>
      </c>
      <c r="H807" s="68" t="str">
        <f t="array" ref="H807">IF($A807="","",IFERROR(INDEX(MA_INDIVIDUALES!L$2:L923, MATCH($A807,MA_INDIVIDUALES!$B$2:$B923,0),1),"CÓDIGO DE EXPEDIENTE INVÁLIDO"))</f>
        <v/>
      </c>
      <c r="I807" s="76"/>
      <c r="J807" s="76"/>
      <c r="K807" s="75"/>
      <c r="L807" s="74" t="str">
        <f>IF(A807="","",IF(K807="","",_xlfn.WORKDAY.INTL(K807,5,1,FERIADOS)))</f>
        <v/>
      </c>
      <c r="M807" s="76"/>
      <c r="N807" s="75"/>
      <c r="O807" s="76"/>
      <c r="P807" s="77" t="str">
        <f t="shared" si="3"/>
        <v/>
      </c>
      <c r="Q807" s="75"/>
      <c r="R807" s="76"/>
      <c r="S807" s="75"/>
      <c r="T807" s="75"/>
      <c r="U807" s="76"/>
      <c r="V807" s="76"/>
      <c r="W807" s="75"/>
      <c r="X807" s="76"/>
      <c r="Y807" s="29" t="str">
        <f t="shared" si="4"/>
        <v/>
      </c>
      <c r="Z807" s="29" t="str">
        <f t="shared" si="5"/>
        <v/>
      </c>
      <c r="AA807" s="76"/>
      <c r="AB807" s="76"/>
      <c r="AC807" s="75"/>
      <c r="AD807" s="75"/>
      <c r="AE807" s="78" t="str">
        <f>IF(U807="","",IF(AD807="","",_xlfn.WORKDAY.INTL(AD807,7,1,FERIADOS)))</f>
        <v/>
      </c>
      <c r="AF807" s="104"/>
      <c r="AG807" s="80" t="str">
        <f t="array" ref="AG807">IF(A807="","",IF(AF807="","",AF807*INDEX(PARAMETROS!F$2:F1870,MATCH(YEAR(AC807),PARAMETROS!E$2:E1870,0),1)))</f>
        <v/>
      </c>
      <c r="AH807" s="81"/>
      <c r="AI807" s="82"/>
      <c r="AJ807" s="81"/>
      <c r="AK807" s="81"/>
      <c r="AL807" s="76"/>
      <c r="AM807" s="75"/>
      <c r="AN807" s="76"/>
      <c r="AO807" s="95"/>
      <c r="AP807" s="96"/>
      <c r="AQ807" s="85" t="str">
        <f t="shared" si="6"/>
        <v/>
      </c>
      <c r="AR807" s="86" t="str">
        <f t="array" ref="AR807">IF(A807="","",IFERROR(INDEX('2) Etapas'!L$3:L923,MATCH(B807,'2) Etapas'!$A$4:$A923,0),1),-1))</f>
        <v/>
      </c>
      <c r="AS807" s="87" t="str">
        <f t="shared" si="7"/>
        <v/>
      </c>
      <c r="AT807" s="87" t="str">
        <f t="shared" si="8"/>
        <v/>
      </c>
      <c r="AU807" s="87" t="str">
        <f t="shared" si="9"/>
        <v/>
      </c>
      <c r="AV807" s="89" t="str">
        <f t="array" ref="AV807">IF(OR($A807="",$AB807="", $AC807=""),"",MAXA(IF($A807=$A$4:$A923,$AC$4:$AC923)))</f>
        <v/>
      </c>
    </row>
    <row r="808" ht="22.5" customHeight="1">
      <c r="A808" s="76"/>
      <c r="B808" s="68" t="str">
        <f t="shared" si="1"/>
        <v/>
      </c>
      <c r="C808" s="110"/>
      <c r="D808" s="70" t="str">
        <f t="shared" si="2"/>
        <v/>
      </c>
      <c r="E808" s="76"/>
      <c r="F808" s="68" t="str">
        <f t="array" ref="F808">IF($A808="","",IFERROR(INDEX(MA_INDIVIDUALES!C$2:C923, MATCH($A808,MA_INDIVIDUALES!$B$2:$B923,0),1),"CÓDIGO DE EXPEDIENTE INVÁLIDO"))</f>
        <v/>
      </c>
      <c r="G808" s="68" t="str">
        <f t="array" ref="G808">IF($A808="","",IFERROR(INDEX(MA_INDIVIDUALES!K$2:K923, MATCH($A808,MA_INDIVIDUALES!$B$2:$B923,0),1),"CÓDIGO DE EXPEDIENTE INVÁLIDO"))</f>
        <v/>
      </c>
      <c r="H808" s="68" t="str">
        <f t="array" ref="H808">IF($A808="","",IFERROR(INDEX(MA_INDIVIDUALES!L$2:L923, MATCH($A808,MA_INDIVIDUALES!$B$2:$B923,0),1),"CÓDIGO DE EXPEDIENTE INVÁLIDO"))</f>
        <v/>
      </c>
      <c r="I808" s="76"/>
      <c r="J808" s="76"/>
      <c r="K808" s="75"/>
      <c r="L808" s="74" t="str">
        <f>IF(A808="","",IF(K808="","",_xlfn.WORKDAY.INTL(K808,5,1,FERIADOS)))</f>
        <v/>
      </c>
      <c r="M808" s="76"/>
      <c r="N808" s="75"/>
      <c r="O808" s="76"/>
      <c r="P808" s="77" t="str">
        <f t="shared" si="3"/>
        <v/>
      </c>
      <c r="Q808" s="75"/>
      <c r="R808" s="76"/>
      <c r="S808" s="75"/>
      <c r="T808" s="75"/>
      <c r="U808" s="76"/>
      <c r="V808" s="76"/>
      <c r="W808" s="75"/>
      <c r="X808" s="76"/>
      <c r="Y808" s="29" t="str">
        <f t="shared" si="4"/>
        <v/>
      </c>
      <c r="Z808" s="29" t="str">
        <f t="shared" si="5"/>
        <v/>
      </c>
      <c r="AA808" s="76"/>
      <c r="AB808" s="76"/>
      <c r="AC808" s="75"/>
      <c r="AD808" s="75"/>
      <c r="AE808" s="78" t="str">
        <f>IF(U808="","",IF(AD808="","",_xlfn.WORKDAY.INTL(AD808,7,1,FERIADOS)))</f>
        <v/>
      </c>
      <c r="AF808" s="104"/>
      <c r="AG808" s="80" t="str">
        <f t="array" ref="AG808">IF(A808="","",IF(AF808="","",AF808*INDEX(PARAMETROS!F$2:F1871,MATCH(YEAR(AC808),PARAMETROS!E$2:E1871,0),1)))</f>
        <v/>
      </c>
      <c r="AH808" s="81"/>
      <c r="AI808" s="82"/>
      <c r="AJ808" s="81"/>
      <c r="AK808" s="81"/>
      <c r="AL808" s="76"/>
      <c r="AM808" s="75"/>
      <c r="AN808" s="76"/>
      <c r="AO808" s="95"/>
      <c r="AP808" s="96"/>
      <c r="AQ808" s="85" t="str">
        <f t="shared" si="6"/>
        <v/>
      </c>
      <c r="AR808" s="86" t="str">
        <f t="array" ref="AR808">IF(A808="","",IFERROR(INDEX('2) Etapas'!L$3:L923,MATCH(B808,'2) Etapas'!$A$4:$A923,0),1),-1))</f>
        <v/>
      </c>
      <c r="AS808" s="87" t="str">
        <f t="shared" si="7"/>
        <v/>
      </c>
      <c r="AT808" s="87" t="str">
        <f t="shared" si="8"/>
        <v/>
      </c>
      <c r="AU808" s="87" t="str">
        <f t="shared" si="9"/>
        <v/>
      </c>
      <c r="AV808" s="89" t="str">
        <f t="array" ref="AV808">IF(OR($A808="",$AB808="", $AC808=""),"",MAXA(IF($A808=$A$4:$A923,$AC$4:$AC923)))</f>
        <v/>
      </c>
    </row>
    <row r="809" ht="22.5" customHeight="1">
      <c r="A809" s="76"/>
      <c r="B809" s="68" t="str">
        <f t="shared" si="1"/>
        <v/>
      </c>
      <c r="C809" s="110"/>
      <c r="D809" s="70" t="str">
        <f t="shared" si="2"/>
        <v/>
      </c>
      <c r="E809" s="76"/>
      <c r="F809" s="68" t="str">
        <f t="array" ref="F809">IF($A809="","",IFERROR(INDEX(MA_INDIVIDUALES!C$2:C923, MATCH($A809,MA_INDIVIDUALES!$B$2:$B923,0),1),"CÓDIGO DE EXPEDIENTE INVÁLIDO"))</f>
        <v/>
      </c>
      <c r="G809" s="68" t="str">
        <f t="array" ref="G809">IF($A809="","",IFERROR(INDEX(MA_INDIVIDUALES!K$2:K923, MATCH($A809,MA_INDIVIDUALES!$B$2:$B923,0),1),"CÓDIGO DE EXPEDIENTE INVÁLIDO"))</f>
        <v/>
      </c>
      <c r="H809" s="68" t="str">
        <f t="array" ref="H809">IF($A809="","",IFERROR(INDEX(MA_INDIVIDUALES!L$2:L923, MATCH($A809,MA_INDIVIDUALES!$B$2:$B923,0),1),"CÓDIGO DE EXPEDIENTE INVÁLIDO"))</f>
        <v/>
      </c>
      <c r="I809" s="76"/>
      <c r="J809" s="76"/>
      <c r="K809" s="75"/>
      <c r="L809" s="74" t="str">
        <f>IF(A809="","",IF(K809="","",_xlfn.WORKDAY.INTL(K809,5,1,FERIADOS)))</f>
        <v/>
      </c>
      <c r="M809" s="76"/>
      <c r="N809" s="75"/>
      <c r="O809" s="76"/>
      <c r="P809" s="77" t="str">
        <f t="shared" si="3"/>
        <v/>
      </c>
      <c r="Q809" s="75"/>
      <c r="R809" s="76"/>
      <c r="S809" s="75"/>
      <c r="T809" s="75"/>
      <c r="U809" s="76"/>
      <c r="V809" s="76"/>
      <c r="W809" s="75"/>
      <c r="X809" s="76"/>
      <c r="Y809" s="29" t="str">
        <f t="shared" si="4"/>
        <v/>
      </c>
      <c r="Z809" s="29" t="str">
        <f t="shared" si="5"/>
        <v/>
      </c>
      <c r="AA809" s="76"/>
      <c r="AB809" s="76"/>
      <c r="AC809" s="75"/>
      <c r="AD809" s="75"/>
      <c r="AE809" s="78" t="str">
        <f>IF(U809="","",IF(AD809="","",_xlfn.WORKDAY.INTL(AD809,7,1,FERIADOS)))</f>
        <v/>
      </c>
      <c r="AF809" s="104"/>
      <c r="AG809" s="80" t="str">
        <f t="array" ref="AG809">IF(A809="","",IF(AF809="","",AF809*INDEX(PARAMETROS!F$2:F1872,MATCH(YEAR(AC809),PARAMETROS!E$2:E1872,0),1)))</f>
        <v/>
      </c>
      <c r="AH809" s="81"/>
      <c r="AI809" s="82"/>
      <c r="AJ809" s="81"/>
      <c r="AK809" s="81"/>
      <c r="AL809" s="76"/>
      <c r="AM809" s="75"/>
      <c r="AN809" s="76"/>
      <c r="AO809" s="95"/>
      <c r="AP809" s="96"/>
      <c r="AQ809" s="85" t="str">
        <f t="shared" si="6"/>
        <v/>
      </c>
      <c r="AR809" s="86" t="str">
        <f t="array" ref="AR809">IF(A809="","",IFERROR(INDEX('2) Etapas'!L$3:L923,MATCH(B809,'2) Etapas'!$A$4:$A923,0),1),-1))</f>
        <v/>
      </c>
      <c r="AS809" s="87" t="str">
        <f t="shared" si="7"/>
        <v/>
      </c>
      <c r="AT809" s="87" t="str">
        <f t="shared" si="8"/>
        <v/>
      </c>
      <c r="AU809" s="87" t="str">
        <f t="shared" si="9"/>
        <v/>
      </c>
      <c r="AV809" s="89" t="str">
        <f t="array" ref="AV809">IF(OR($A809="",$AB809="", $AC809=""),"",MAXA(IF($A809=$A$4:$A923,$AC$4:$AC923)))</f>
        <v/>
      </c>
    </row>
    <row r="810" ht="22.5" customHeight="1">
      <c r="A810" s="76"/>
      <c r="B810" s="68" t="str">
        <f t="shared" si="1"/>
        <v/>
      </c>
      <c r="C810" s="110"/>
      <c r="D810" s="70" t="str">
        <f t="shared" si="2"/>
        <v/>
      </c>
      <c r="E810" s="76"/>
      <c r="F810" s="68" t="str">
        <f t="array" ref="F810">IF($A810="","",IFERROR(INDEX(MA_INDIVIDUALES!C$2:C923, MATCH($A810,MA_INDIVIDUALES!$B$2:$B923,0),1),"CÓDIGO DE EXPEDIENTE INVÁLIDO"))</f>
        <v/>
      </c>
      <c r="G810" s="68" t="str">
        <f t="array" ref="G810">IF($A810="","",IFERROR(INDEX(MA_INDIVIDUALES!K$2:K923, MATCH($A810,MA_INDIVIDUALES!$B$2:$B923,0),1),"CÓDIGO DE EXPEDIENTE INVÁLIDO"))</f>
        <v/>
      </c>
      <c r="H810" s="68" t="str">
        <f t="array" ref="H810">IF($A810="","",IFERROR(INDEX(MA_INDIVIDUALES!L$2:L923, MATCH($A810,MA_INDIVIDUALES!$B$2:$B923,0),1),"CÓDIGO DE EXPEDIENTE INVÁLIDO"))</f>
        <v/>
      </c>
      <c r="I810" s="76"/>
      <c r="J810" s="76"/>
      <c r="K810" s="75"/>
      <c r="L810" s="74" t="str">
        <f>IF(A810="","",IF(K810="","",_xlfn.WORKDAY.INTL(K810,5,1,FERIADOS)))</f>
        <v/>
      </c>
      <c r="M810" s="76"/>
      <c r="N810" s="75"/>
      <c r="O810" s="76"/>
      <c r="P810" s="77" t="str">
        <f t="shared" si="3"/>
        <v/>
      </c>
      <c r="Q810" s="75"/>
      <c r="R810" s="76"/>
      <c r="S810" s="75"/>
      <c r="T810" s="75"/>
      <c r="U810" s="76"/>
      <c r="V810" s="76"/>
      <c r="W810" s="75"/>
      <c r="X810" s="76"/>
      <c r="Y810" s="29" t="str">
        <f t="shared" si="4"/>
        <v/>
      </c>
      <c r="Z810" s="29" t="str">
        <f t="shared" si="5"/>
        <v/>
      </c>
      <c r="AA810" s="76"/>
      <c r="AB810" s="76"/>
      <c r="AC810" s="75"/>
      <c r="AD810" s="75"/>
      <c r="AE810" s="78" t="str">
        <f>IF(U810="","",IF(AD810="","",_xlfn.WORKDAY.INTL(AD810,7,1,FERIADOS)))</f>
        <v/>
      </c>
      <c r="AF810" s="104"/>
      <c r="AG810" s="80" t="str">
        <f t="array" ref="AG810">IF(A810="","",IF(AF810="","",AF810*INDEX(PARAMETROS!F$2:F1873,MATCH(YEAR(AC810),PARAMETROS!E$2:E1873,0),1)))</f>
        <v/>
      </c>
      <c r="AH810" s="81"/>
      <c r="AI810" s="82"/>
      <c r="AJ810" s="81"/>
      <c r="AK810" s="81"/>
      <c r="AL810" s="76"/>
      <c r="AM810" s="75"/>
      <c r="AN810" s="76"/>
      <c r="AO810" s="95"/>
      <c r="AP810" s="96"/>
      <c r="AQ810" s="85" t="str">
        <f t="shared" si="6"/>
        <v/>
      </c>
      <c r="AR810" s="86" t="str">
        <f t="array" ref="AR810">IF(A810="","",IFERROR(INDEX('2) Etapas'!L$3:L923,MATCH(B810,'2) Etapas'!$A$4:$A923,0),1),-1))</f>
        <v/>
      </c>
      <c r="AS810" s="87" t="str">
        <f t="shared" si="7"/>
        <v/>
      </c>
      <c r="AT810" s="87" t="str">
        <f t="shared" si="8"/>
        <v/>
      </c>
      <c r="AU810" s="87" t="str">
        <f t="shared" si="9"/>
        <v/>
      </c>
      <c r="AV810" s="89" t="str">
        <f t="array" ref="AV810">IF(OR($A810="",$AB810="", $AC810=""),"",MAXA(IF($A810=$A$4:$A923,$AC$4:$AC923)))</f>
        <v/>
      </c>
    </row>
    <row r="811" ht="22.5" customHeight="1">
      <c r="A811" s="76"/>
      <c r="B811" s="68" t="str">
        <f t="shared" si="1"/>
        <v/>
      </c>
      <c r="C811" s="110"/>
      <c r="D811" s="70" t="str">
        <f t="shared" si="2"/>
        <v/>
      </c>
      <c r="E811" s="76"/>
      <c r="F811" s="68" t="str">
        <f t="array" ref="F811">IF($A811="","",IFERROR(INDEX(MA_INDIVIDUALES!C$2:C923, MATCH($A811,MA_INDIVIDUALES!$B$2:$B923,0),1),"CÓDIGO DE EXPEDIENTE INVÁLIDO"))</f>
        <v/>
      </c>
      <c r="G811" s="68" t="str">
        <f t="array" ref="G811">IF($A811="","",IFERROR(INDEX(MA_INDIVIDUALES!K$2:K923, MATCH($A811,MA_INDIVIDUALES!$B$2:$B923,0),1),"CÓDIGO DE EXPEDIENTE INVÁLIDO"))</f>
        <v/>
      </c>
      <c r="H811" s="68" t="str">
        <f t="array" ref="H811">IF($A811="","",IFERROR(INDEX(MA_INDIVIDUALES!L$2:L923, MATCH($A811,MA_INDIVIDUALES!$B$2:$B923,0),1),"CÓDIGO DE EXPEDIENTE INVÁLIDO"))</f>
        <v/>
      </c>
      <c r="I811" s="76"/>
      <c r="J811" s="76"/>
      <c r="K811" s="75"/>
      <c r="L811" s="74" t="str">
        <f>IF(A811="","",IF(K811="","",_xlfn.WORKDAY.INTL(K811,5,1,FERIADOS)))</f>
        <v/>
      </c>
      <c r="M811" s="76"/>
      <c r="N811" s="75"/>
      <c r="O811" s="76"/>
      <c r="P811" s="77" t="str">
        <f t="shared" si="3"/>
        <v/>
      </c>
      <c r="Q811" s="75"/>
      <c r="R811" s="76"/>
      <c r="S811" s="75"/>
      <c r="T811" s="75"/>
      <c r="U811" s="76"/>
      <c r="V811" s="76"/>
      <c r="W811" s="75"/>
      <c r="X811" s="76"/>
      <c r="Y811" s="29" t="str">
        <f t="shared" si="4"/>
        <v/>
      </c>
      <c r="Z811" s="29" t="str">
        <f t="shared" si="5"/>
        <v/>
      </c>
      <c r="AA811" s="76"/>
      <c r="AB811" s="76"/>
      <c r="AC811" s="75"/>
      <c r="AD811" s="75"/>
      <c r="AE811" s="78" t="str">
        <f>IF(U811="","",IF(AD811="","",_xlfn.WORKDAY.INTL(AD811,7,1,FERIADOS)))</f>
        <v/>
      </c>
      <c r="AF811" s="104"/>
      <c r="AG811" s="80" t="str">
        <f t="array" ref="AG811">IF(A811="","",IF(AF811="","",AF811*INDEX(PARAMETROS!F$2:F1874,MATCH(YEAR(AC811),PARAMETROS!E$2:E1874,0),1)))</f>
        <v/>
      </c>
      <c r="AH811" s="81"/>
      <c r="AI811" s="82"/>
      <c r="AJ811" s="81"/>
      <c r="AK811" s="81"/>
      <c r="AL811" s="76"/>
      <c r="AM811" s="75"/>
      <c r="AN811" s="76"/>
      <c r="AO811" s="95"/>
      <c r="AP811" s="96"/>
      <c r="AQ811" s="85" t="str">
        <f t="shared" si="6"/>
        <v/>
      </c>
      <c r="AR811" s="86" t="str">
        <f t="array" ref="AR811">IF(A811="","",IFERROR(INDEX('2) Etapas'!L$3:L923,MATCH(B811,'2) Etapas'!$A$4:$A923,0),1),-1))</f>
        <v/>
      </c>
      <c r="AS811" s="87" t="str">
        <f t="shared" si="7"/>
        <v/>
      </c>
      <c r="AT811" s="87" t="str">
        <f t="shared" si="8"/>
        <v/>
      </c>
      <c r="AU811" s="87" t="str">
        <f t="shared" si="9"/>
        <v/>
      </c>
      <c r="AV811" s="89" t="str">
        <f t="array" ref="AV811">IF(OR($A811="",$AB811="", $AC811=""),"",MAXA(IF($A811=$A$4:$A923,$AC$4:$AC923)))</f>
        <v/>
      </c>
    </row>
    <row r="812" ht="22.5" customHeight="1">
      <c r="A812" s="76"/>
      <c r="B812" s="68" t="str">
        <f t="shared" si="1"/>
        <v/>
      </c>
      <c r="C812" s="110"/>
      <c r="D812" s="70" t="str">
        <f t="shared" si="2"/>
        <v/>
      </c>
      <c r="E812" s="76"/>
      <c r="F812" s="68" t="str">
        <f t="array" ref="F812">IF($A812="","",IFERROR(INDEX(MA_INDIVIDUALES!C$2:C923, MATCH($A812,MA_INDIVIDUALES!$B$2:$B923,0),1),"CÓDIGO DE EXPEDIENTE INVÁLIDO"))</f>
        <v/>
      </c>
      <c r="G812" s="68" t="str">
        <f t="array" ref="G812">IF($A812="","",IFERROR(INDEX(MA_INDIVIDUALES!K$2:K923, MATCH($A812,MA_INDIVIDUALES!$B$2:$B923,0),1),"CÓDIGO DE EXPEDIENTE INVÁLIDO"))</f>
        <v/>
      </c>
      <c r="H812" s="68" t="str">
        <f t="array" ref="H812">IF($A812="","",IFERROR(INDEX(MA_INDIVIDUALES!L$2:L923, MATCH($A812,MA_INDIVIDUALES!$B$2:$B923,0),1),"CÓDIGO DE EXPEDIENTE INVÁLIDO"))</f>
        <v/>
      </c>
      <c r="I812" s="76"/>
      <c r="J812" s="76"/>
      <c r="K812" s="75"/>
      <c r="L812" s="74" t="str">
        <f>IF(A812="","",IF(K812="","",_xlfn.WORKDAY.INTL(K812,5,1,FERIADOS)))</f>
        <v/>
      </c>
      <c r="M812" s="76"/>
      <c r="N812" s="75"/>
      <c r="O812" s="76"/>
      <c r="P812" s="77" t="str">
        <f t="shared" si="3"/>
        <v/>
      </c>
      <c r="Q812" s="75"/>
      <c r="R812" s="76"/>
      <c r="S812" s="75"/>
      <c r="T812" s="75"/>
      <c r="U812" s="76"/>
      <c r="V812" s="76"/>
      <c r="W812" s="75"/>
      <c r="X812" s="76"/>
      <c r="Y812" s="29" t="str">
        <f t="shared" si="4"/>
        <v/>
      </c>
      <c r="Z812" s="29" t="str">
        <f t="shared" si="5"/>
        <v/>
      </c>
      <c r="AA812" s="76"/>
      <c r="AB812" s="76"/>
      <c r="AC812" s="75"/>
      <c r="AD812" s="75"/>
      <c r="AE812" s="78" t="str">
        <f>IF(U812="","",IF(AD812="","",_xlfn.WORKDAY.INTL(AD812,7,1,FERIADOS)))</f>
        <v/>
      </c>
      <c r="AF812" s="104"/>
      <c r="AG812" s="80" t="str">
        <f t="array" ref="AG812">IF(A812="","",IF(AF812="","",AF812*INDEX(PARAMETROS!F$2:F1875,MATCH(YEAR(AC812),PARAMETROS!E$2:E1875,0),1)))</f>
        <v/>
      </c>
      <c r="AH812" s="81"/>
      <c r="AI812" s="82"/>
      <c r="AJ812" s="81"/>
      <c r="AK812" s="81"/>
      <c r="AL812" s="76"/>
      <c r="AM812" s="75"/>
      <c r="AN812" s="76"/>
      <c r="AO812" s="95"/>
      <c r="AP812" s="96"/>
      <c r="AQ812" s="85" t="str">
        <f t="shared" si="6"/>
        <v/>
      </c>
      <c r="AR812" s="86" t="str">
        <f t="array" ref="AR812">IF(A812="","",IFERROR(INDEX('2) Etapas'!L$3:L923,MATCH(B812,'2) Etapas'!$A$4:$A923,0),1),-1))</f>
        <v/>
      </c>
      <c r="AS812" s="87" t="str">
        <f t="shared" si="7"/>
        <v/>
      </c>
      <c r="AT812" s="87" t="str">
        <f t="shared" si="8"/>
        <v/>
      </c>
      <c r="AU812" s="87" t="str">
        <f t="shared" si="9"/>
        <v/>
      </c>
      <c r="AV812" s="89" t="str">
        <f t="array" ref="AV812">IF(OR($A812="",$AB812="", $AC812=""),"",MAXA(IF($A812=$A$4:$A923,$AC$4:$AC923)))</f>
        <v/>
      </c>
    </row>
    <row r="813" ht="22.5" customHeight="1">
      <c r="A813" s="76"/>
      <c r="B813" s="68" t="str">
        <f t="shared" si="1"/>
        <v/>
      </c>
      <c r="C813" s="110"/>
      <c r="D813" s="70" t="str">
        <f t="shared" si="2"/>
        <v/>
      </c>
      <c r="E813" s="76"/>
      <c r="F813" s="68" t="str">
        <f t="array" ref="F813">IF($A813="","",IFERROR(INDEX(MA_INDIVIDUALES!C$2:C923, MATCH($A813,MA_INDIVIDUALES!$B$2:$B923,0),1),"CÓDIGO DE EXPEDIENTE INVÁLIDO"))</f>
        <v/>
      </c>
      <c r="G813" s="68" t="str">
        <f t="array" ref="G813">IF($A813="","",IFERROR(INDEX(MA_INDIVIDUALES!K$2:K923, MATCH($A813,MA_INDIVIDUALES!$B$2:$B923,0),1),"CÓDIGO DE EXPEDIENTE INVÁLIDO"))</f>
        <v/>
      </c>
      <c r="H813" s="68" t="str">
        <f t="array" ref="H813">IF($A813="","",IFERROR(INDEX(MA_INDIVIDUALES!L$2:L923, MATCH($A813,MA_INDIVIDUALES!$B$2:$B923,0),1),"CÓDIGO DE EXPEDIENTE INVÁLIDO"))</f>
        <v/>
      </c>
      <c r="I813" s="76"/>
      <c r="J813" s="76"/>
      <c r="K813" s="75"/>
      <c r="L813" s="74" t="str">
        <f>IF(A813="","",IF(K813="","",_xlfn.WORKDAY.INTL(K813,5,1,FERIADOS)))</f>
        <v/>
      </c>
      <c r="M813" s="76"/>
      <c r="N813" s="75"/>
      <c r="O813" s="76"/>
      <c r="P813" s="77" t="str">
        <f t="shared" si="3"/>
        <v/>
      </c>
      <c r="Q813" s="75"/>
      <c r="R813" s="76"/>
      <c r="S813" s="75"/>
      <c r="T813" s="75"/>
      <c r="U813" s="76"/>
      <c r="V813" s="76"/>
      <c r="W813" s="75"/>
      <c r="X813" s="76"/>
      <c r="Y813" s="29" t="str">
        <f t="shared" si="4"/>
        <v/>
      </c>
      <c r="Z813" s="29" t="str">
        <f t="shared" si="5"/>
        <v/>
      </c>
      <c r="AA813" s="76"/>
      <c r="AB813" s="76"/>
      <c r="AC813" s="75"/>
      <c r="AD813" s="75"/>
      <c r="AE813" s="78" t="str">
        <f>IF(U813="","",IF(AD813="","",_xlfn.WORKDAY.INTL(AD813,7,1,FERIADOS)))</f>
        <v/>
      </c>
      <c r="AF813" s="104"/>
      <c r="AG813" s="80" t="str">
        <f t="array" ref="AG813">IF(A813="","",IF(AF813="","",AF813*INDEX(PARAMETROS!F$2:F1876,MATCH(YEAR(AC813),PARAMETROS!E$2:E1876,0),1)))</f>
        <v/>
      </c>
      <c r="AH813" s="81"/>
      <c r="AI813" s="82"/>
      <c r="AJ813" s="81"/>
      <c r="AK813" s="81"/>
      <c r="AL813" s="76"/>
      <c r="AM813" s="75"/>
      <c r="AN813" s="76"/>
      <c r="AO813" s="95"/>
      <c r="AP813" s="96"/>
      <c r="AQ813" s="85" t="str">
        <f t="shared" si="6"/>
        <v/>
      </c>
      <c r="AR813" s="86" t="str">
        <f t="array" ref="AR813">IF(A813="","",IFERROR(INDEX('2) Etapas'!L$3:L923,MATCH(B813,'2) Etapas'!$A$4:$A923,0),1),-1))</f>
        <v/>
      </c>
      <c r="AS813" s="87" t="str">
        <f t="shared" si="7"/>
        <v/>
      </c>
      <c r="AT813" s="87" t="str">
        <f t="shared" si="8"/>
        <v/>
      </c>
      <c r="AU813" s="87" t="str">
        <f t="shared" si="9"/>
        <v/>
      </c>
      <c r="AV813" s="89" t="str">
        <f t="array" ref="AV813">IF(OR($A813="",$AB813="", $AC813=""),"",MAXA(IF($A813=$A$4:$A923,$AC$4:$AC923)))</f>
        <v/>
      </c>
    </row>
    <row r="814" ht="22.5" customHeight="1">
      <c r="A814" s="76"/>
      <c r="B814" s="68" t="str">
        <f t="shared" si="1"/>
        <v/>
      </c>
      <c r="C814" s="110"/>
      <c r="D814" s="70" t="str">
        <f t="shared" si="2"/>
        <v/>
      </c>
      <c r="E814" s="76"/>
      <c r="F814" s="68" t="str">
        <f t="array" ref="F814">IF($A814="","",IFERROR(INDEX(MA_INDIVIDUALES!C$2:C923, MATCH($A814,MA_INDIVIDUALES!$B$2:$B923,0),1),"CÓDIGO DE EXPEDIENTE INVÁLIDO"))</f>
        <v/>
      </c>
      <c r="G814" s="68" t="str">
        <f t="array" ref="G814">IF($A814="","",IFERROR(INDEX(MA_INDIVIDUALES!K$2:K923, MATCH($A814,MA_INDIVIDUALES!$B$2:$B923,0),1),"CÓDIGO DE EXPEDIENTE INVÁLIDO"))</f>
        <v/>
      </c>
      <c r="H814" s="68" t="str">
        <f t="array" ref="H814">IF($A814="","",IFERROR(INDEX(MA_INDIVIDUALES!L$2:L923, MATCH($A814,MA_INDIVIDUALES!$B$2:$B923,0),1),"CÓDIGO DE EXPEDIENTE INVÁLIDO"))</f>
        <v/>
      </c>
      <c r="I814" s="76"/>
      <c r="J814" s="76"/>
      <c r="K814" s="75"/>
      <c r="L814" s="74" t="str">
        <f>IF(A814="","",IF(K814="","",_xlfn.WORKDAY.INTL(K814,5,1,FERIADOS)))</f>
        <v/>
      </c>
      <c r="M814" s="76"/>
      <c r="N814" s="75"/>
      <c r="O814" s="76"/>
      <c r="P814" s="77" t="str">
        <f t="shared" si="3"/>
        <v/>
      </c>
      <c r="Q814" s="75"/>
      <c r="R814" s="76"/>
      <c r="S814" s="75"/>
      <c r="T814" s="75"/>
      <c r="U814" s="76"/>
      <c r="V814" s="76"/>
      <c r="W814" s="75"/>
      <c r="X814" s="76"/>
      <c r="Y814" s="29" t="str">
        <f t="shared" si="4"/>
        <v/>
      </c>
      <c r="Z814" s="29" t="str">
        <f t="shared" si="5"/>
        <v/>
      </c>
      <c r="AA814" s="76"/>
      <c r="AB814" s="76"/>
      <c r="AC814" s="75"/>
      <c r="AD814" s="75"/>
      <c r="AE814" s="78" t="str">
        <f>IF(U814="","",IF(AD814="","",_xlfn.WORKDAY.INTL(AD814,7,1,FERIADOS)))</f>
        <v/>
      </c>
      <c r="AF814" s="104"/>
      <c r="AG814" s="80" t="str">
        <f t="array" ref="AG814">IF(A814="","",IF(AF814="","",AF814*INDEX(PARAMETROS!F$2:F1877,MATCH(YEAR(AC814),PARAMETROS!E$2:E1877,0),1)))</f>
        <v/>
      </c>
      <c r="AH814" s="81"/>
      <c r="AI814" s="82"/>
      <c r="AJ814" s="81"/>
      <c r="AK814" s="81"/>
      <c r="AL814" s="76"/>
      <c r="AM814" s="75"/>
      <c r="AN814" s="76"/>
      <c r="AO814" s="95"/>
      <c r="AP814" s="96"/>
      <c r="AQ814" s="85" t="str">
        <f t="shared" si="6"/>
        <v/>
      </c>
      <c r="AR814" s="86" t="str">
        <f t="array" ref="AR814">IF(A814="","",IFERROR(INDEX('2) Etapas'!L$3:L923,MATCH(B814,'2) Etapas'!$A$4:$A923,0),1),-1))</f>
        <v/>
      </c>
      <c r="AS814" s="87" t="str">
        <f t="shared" si="7"/>
        <v/>
      </c>
      <c r="AT814" s="87" t="str">
        <f t="shared" si="8"/>
        <v/>
      </c>
      <c r="AU814" s="87" t="str">
        <f t="shared" si="9"/>
        <v/>
      </c>
      <c r="AV814" s="89" t="str">
        <f t="array" ref="AV814">IF(OR($A814="",$AB814="", $AC814=""),"",MAXA(IF($A814=$A$4:$A923,$AC$4:$AC923)))</f>
        <v/>
      </c>
    </row>
    <row r="815" ht="22.5" customHeight="1">
      <c r="A815" s="76"/>
      <c r="B815" s="68" t="str">
        <f t="shared" si="1"/>
        <v/>
      </c>
      <c r="C815" s="110"/>
      <c r="D815" s="70" t="str">
        <f t="shared" si="2"/>
        <v/>
      </c>
      <c r="E815" s="76"/>
      <c r="F815" s="68" t="str">
        <f t="array" ref="F815">IF($A815="","",IFERROR(INDEX(MA_INDIVIDUALES!C$2:C923, MATCH($A815,MA_INDIVIDUALES!$B$2:$B923,0),1),"CÓDIGO DE EXPEDIENTE INVÁLIDO"))</f>
        <v/>
      </c>
      <c r="G815" s="68" t="str">
        <f t="array" ref="G815">IF($A815="","",IFERROR(INDEX(MA_INDIVIDUALES!K$2:K923, MATCH($A815,MA_INDIVIDUALES!$B$2:$B923,0),1),"CÓDIGO DE EXPEDIENTE INVÁLIDO"))</f>
        <v/>
      </c>
      <c r="H815" s="68" t="str">
        <f t="array" ref="H815">IF($A815="","",IFERROR(INDEX(MA_INDIVIDUALES!L$2:L923, MATCH($A815,MA_INDIVIDUALES!$B$2:$B923,0),1),"CÓDIGO DE EXPEDIENTE INVÁLIDO"))</f>
        <v/>
      </c>
      <c r="I815" s="76"/>
      <c r="J815" s="76"/>
      <c r="K815" s="75"/>
      <c r="L815" s="74" t="str">
        <f>IF(A815="","",IF(K815="","",_xlfn.WORKDAY.INTL(K815,5,1,FERIADOS)))</f>
        <v/>
      </c>
      <c r="M815" s="76"/>
      <c r="N815" s="75"/>
      <c r="O815" s="76"/>
      <c r="P815" s="77" t="str">
        <f t="shared" si="3"/>
        <v/>
      </c>
      <c r="Q815" s="75"/>
      <c r="R815" s="76"/>
      <c r="S815" s="75"/>
      <c r="T815" s="75"/>
      <c r="U815" s="76"/>
      <c r="V815" s="76"/>
      <c r="W815" s="75"/>
      <c r="X815" s="76"/>
      <c r="Y815" s="29" t="str">
        <f t="shared" si="4"/>
        <v/>
      </c>
      <c r="Z815" s="29" t="str">
        <f t="shared" si="5"/>
        <v/>
      </c>
      <c r="AA815" s="76"/>
      <c r="AB815" s="76"/>
      <c r="AC815" s="75"/>
      <c r="AD815" s="75"/>
      <c r="AE815" s="78" t="str">
        <f>IF(U815="","",IF(AD815="","",_xlfn.WORKDAY.INTL(AD815,7,1,FERIADOS)))</f>
        <v/>
      </c>
      <c r="AF815" s="104"/>
      <c r="AG815" s="80" t="str">
        <f t="array" ref="AG815">IF(A815="","",IF(AF815="","",AF815*INDEX(PARAMETROS!F$2:F1878,MATCH(YEAR(AC815),PARAMETROS!E$2:E1878,0),1)))</f>
        <v/>
      </c>
      <c r="AH815" s="81"/>
      <c r="AI815" s="82"/>
      <c r="AJ815" s="81"/>
      <c r="AK815" s="81"/>
      <c r="AL815" s="76"/>
      <c r="AM815" s="75"/>
      <c r="AN815" s="76"/>
      <c r="AO815" s="95"/>
      <c r="AP815" s="96"/>
      <c r="AQ815" s="85" t="str">
        <f t="shared" si="6"/>
        <v/>
      </c>
      <c r="AR815" s="86" t="str">
        <f t="array" ref="AR815">IF(A815="","",IFERROR(INDEX('2) Etapas'!L$3:L923,MATCH(B815,'2) Etapas'!$A$4:$A923,0),1),-1))</f>
        <v/>
      </c>
      <c r="AS815" s="87" t="str">
        <f t="shared" si="7"/>
        <v/>
      </c>
      <c r="AT815" s="87" t="str">
        <f t="shared" si="8"/>
        <v/>
      </c>
      <c r="AU815" s="87" t="str">
        <f t="shared" si="9"/>
        <v/>
      </c>
      <c r="AV815" s="89" t="str">
        <f t="array" ref="AV815">IF(OR($A815="",$AB815="", $AC815=""),"",MAXA(IF($A815=$A$4:$A923,$AC$4:$AC923)))</f>
        <v/>
      </c>
    </row>
    <row r="816" ht="22.5" customHeight="1">
      <c r="A816" s="76"/>
      <c r="B816" s="68" t="str">
        <f t="shared" si="1"/>
        <v/>
      </c>
      <c r="C816" s="110"/>
      <c r="D816" s="70" t="str">
        <f t="shared" si="2"/>
        <v/>
      </c>
      <c r="E816" s="76"/>
      <c r="F816" s="68" t="str">
        <f t="array" ref="F816">IF($A816="","",IFERROR(INDEX(MA_INDIVIDUALES!C$2:C923, MATCH($A816,MA_INDIVIDUALES!$B$2:$B923,0),1),"CÓDIGO DE EXPEDIENTE INVÁLIDO"))</f>
        <v/>
      </c>
      <c r="G816" s="68" t="str">
        <f t="array" ref="G816">IF($A816="","",IFERROR(INDEX(MA_INDIVIDUALES!K$2:K923, MATCH($A816,MA_INDIVIDUALES!$B$2:$B923,0),1),"CÓDIGO DE EXPEDIENTE INVÁLIDO"))</f>
        <v/>
      </c>
      <c r="H816" s="68" t="str">
        <f t="array" ref="H816">IF($A816="","",IFERROR(INDEX(MA_INDIVIDUALES!L$2:L923, MATCH($A816,MA_INDIVIDUALES!$B$2:$B923,0),1),"CÓDIGO DE EXPEDIENTE INVÁLIDO"))</f>
        <v/>
      </c>
      <c r="I816" s="76"/>
      <c r="J816" s="76"/>
      <c r="K816" s="75"/>
      <c r="L816" s="74" t="str">
        <f>IF(A816="","",IF(K816="","",_xlfn.WORKDAY.INTL(K816,5,1,FERIADOS)))</f>
        <v/>
      </c>
      <c r="M816" s="76"/>
      <c r="N816" s="75"/>
      <c r="O816" s="76"/>
      <c r="P816" s="77" t="str">
        <f t="shared" si="3"/>
        <v/>
      </c>
      <c r="Q816" s="75"/>
      <c r="R816" s="76"/>
      <c r="S816" s="75"/>
      <c r="T816" s="75"/>
      <c r="U816" s="76"/>
      <c r="V816" s="76"/>
      <c r="W816" s="75"/>
      <c r="X816" s="76"/>
      <c r="Y816" s="29" t="str">
        <f t="shared" si="4"/>
        <v/>
      </c>
      <c r="Z816" s="29" t="str">
        <f t="shared" si="5"/>
        <v/>
      </c>
      <c r="AA816" s="76"/>
      <c r="AB816" s="76"/>
      <c r="AC816" s="75"/>
      <c r="AD816" s="75"/>
      <c r="AE816" s="78" t="str">
        <f>IF(U816="","",IF(AD816="","",_xlfn.WORKDAY.INTL(AD816,7,1,FERIADOS)))</f>
        <v/>
      </c>
      <c r="AF816" s="104"/>
      <c r="AG816" s="80" t="str">
        <f t="array" ref="AG816">IF(A816="","",IF(AF816="","",AF816*INDEX(PARAMETROS!F$2:F1879,MATCH(YEAR(AC816),PARAMETROS!E$2:E1879,0),1)))</f>
        <v/>
      </c>
      <c r="AH816" s="81"/>
      <c r="AI816" s="82"/>
      <c r="AJ816" s="81"/>
      <c r="AK816" s="81"/>
      <c r="AL816" s="76"/>
      <c r="AM816" s="75"/>
      <c r="AN816" s="76"/>
      <c r="AO816" s="95"/>
      <c r="AP816" s="96"/>
      <c r="AQ816" s="85" t="str">
        <f t="shared" si="6"/>
        <v/>
      </c>
      <c r="AR816" s="86" t="str">
        <f t="array" ref="AR816">IF(A816="","",IFERROR(INDEX('2) Etapas'!L$3:L923,MATCH(B816,'2) Etapas'!$A$4:$A923,0),1),-1))</f>
        <v/>
      </c>
      <c r="AS816" s="87" t="str">
        <f t="shared" si="7"/>
        <v/>
      </c>
      <c r="AT816" s="87" t="str">
        <f t="shared" si="8"/>
        <v/>
      </c>
      <c r="AU816" s="87" t="str">
        <f t="shared" si="9"/>
        <v/>
      </c>
      <c r="AV816" s="89" t="str">
        <f t="array" ref="AV816">IF(OR($A816="",$AB816="", $AC816=""),"",MAXA(IF($A816=$A$4:$A923,$AC$4:$AC923)))</f>
        <v/>
      </c>
    </row>
    <row r="817" ht="22.5" customHeight="1">
      <c r="A817" s="76"/>
      <c r="B817" s="68" t="str">
        <f t="shared" si="1"/>
        <v/>
      </c>
      <c r="C817" s="110"/>
      <c r="D817" s="70" t="str">
        <f t="shared" si="2"/>
        <v/>
      </c>
      <c r="E817" s="76"/>
      <c r="F817" s="68" t="str">
        <f t="array" ref="F817">IF($A817="","",IFERROR(INDEX(MA_INDIVIDUALES!C$2:C923, MATCH($A817,MA_INDIVIDUALES!$B$2:$B923,0),1),"CÓDIGO DE EXPEDIENTE INVÁLIDO"))</f>
        <v/>
      </c>
      <c r="G817" s="68" t="str">
        <f t="array" ref="G817">IF($A817="","",IFERROR(INDEX(MA_INDIVIDUALES!K$2:K923, MATCH($A817,MA_INDIVIDUALES!$B$2:$B923,0),1),"CÓDIGO DE EXPEDIENTE INVÁLIDO"))</f>
        <v/>
      </c>
      <c r="H817" s="68" t="str">
        <f t="array" ref="H817">IF($A817="","",IFERROR(INDEX(MA_INDIVIDUALES!L$2:L923, MATCH($A817,MA_INDIVIDUALES!$B$2:$B923,0),1),"CÓDIGO DE EXPEDIENTE INVÁLIDO"))</f>
        <v/>
      </c>
      <c r="I817" s="76"/>
      <c r="J817" s="76"/>
      <c r="K817" s="75"/>
      <c r="L817" s="74" t="str">
        <f>IF(A817="","",IF(K817="","",_xlfn.WORKDAY.INTL(K817,5,1,FERIADOS)))</f>
        <v/>
      </c>
      <c r="M817" s="76"/>
      <c r="N817" s="75"/>
      <c r="O817" s="76"/>
      <c r="P817" s="77" t="str">
        <f t="shared" si="3"/>
        <v/>
      </c>
      <c r="Q817" s="75"/>
      <c r="R817" s="76"/>
      <c r="S817" s="75"/>
      <c r="T817" s="75"/>
      <c r="U817" s="76"/>
      <c r="V817" s="76"/>
      <c r="W817" s="75"/>
      <c r="X817" s="76"/>
      <c r="Y817" s="29" t="str">
        <f t="shared" si="4"/>
        <v/>
      </c>
      <c r="Z817" s="29" t="str">
        <f t="shared" si="5"/>
        <v/>
      </c>
      <c r="AA817" s="76"/>
      <c r="AB817" s="76"/>
      <c r="AC817" s="75"/>
      <c r="AD817" s="75"/>
      <c r="AE817" s="78" t="str">
        <f>IF(U817="","",IF(AD817="","",_xlfn.WORKDAY.INTL(AD817,7,1,FERIADOS)))</f>
        <v/>
      </c>
      <c r="AF817" s="104"/>
      <c r="AG817" s="80" t="str">
        <f t="array" ref="AG817">IF(A817="","",IF(AF817="","",AF817*INDEX(PARAMETROS!F$2:F1880,MATCH(YEAR(AC817),PARAMETROS!E$2:E1880,0),1)))</f>
        <v/>
      </c>
      <c r="AH817" s="81"/>
      <c r="AI817" s="82"/>
      <c r="AJ817" s="81"/>
      <c r="AK817" s="81"/>
      <c r="AL817" s="76"/>
      <c r="AM817" s="75"/>
      <c r="AN817" s="76"/>
      <c r="AO817" s="95"/>
      <c r="AP817" s="96"/>
      <c r="AQ817" s="85" t="str">
        <f t="shared" si="6"/>
        <v/>
      </c>
      <c r="AR817" s="86" t="str">
        <f t="array" ref="AR817">IF(A817="","",IFERROR(INDEX('2) Etapas'!L$3:L923,MATCH(B817,'2) Etapas'!$A$4:$A923,0),1),-1))</f>
        <v/>
      </c>
      <c r="AS817" s="87" t="str">
        <f t="shared" si="7"/>
        <v/>
      </c>
      <c r="AT817" s="87" t="str">
        <f t="shared" si="8"/>
        <v/>
      </c>
      <c r="AU817" s="87" t="str">
        <f t="shared" si="9"/>
        <v/>
      </c>
      <c r="AV817" s="89" t="str">
        <f t="array" ref="AV817">IF(OR($A817="",$AB817="", $AC817=""),"",MAXA(IF($A817=$A$4:$A923,$AC$4:$AC923)))</f>
        <v/>
      </c>
    </row>
    <row r="818" ht="22.5" customHeight="1">
      <c r="A818" s="76"/>
      <c r="B818" s="68" t="str">
        <f t="shared" si="1"/>
        <v/>
      </c>
      <c r="C818" s="110"/>
      <c r="D818" s="70" t="str">
        <f t="shared" si="2"/>
        <v/>
      </c>
      <c r="E818" s="76"/>
      <c r="F818" s="68" t="str">
        <f t="array" ref="F818">IF($A818="","",IFERROR(INDEX(MA_INDIVIDUALES!C$2:C923, MATCH($A818,MA_INDIVIDUALES!$B$2:$B923,0),1),"CÓDIGO DE EXPEDIENTE INVÁLIDO"))</f>
        <v/>
      </c>
      <c r="G818" s="68" t="str">
        <f t="array" ref="G818">IF($A818="","",IFERROR(INDEX(MA_INDIVIDUALES!K$2:K923, MATCH($A818,MA_INDIVIDUALES!$B$2:$B923,0),1),"CÓDIGO DE EXPEDIENTE INVÁLIDO"))</f>
        <v/>
      </c>
      <c r="H818" s="68" t="str">
        <f t="array" ref="H818">IF($A818="","",IFERROR(INDEX(MA_INDIVIDUALES!L$2:L923, MATCH($A818,MA_INDIVIDUALES!$B$2:$B923,0),1),"CÓDIGO DE EXPEDIENTE INVÁLIDO"))</f>
        <v/>
      </c>
      <c r="I818" s="76"/>
      <c r="J818" s="76"/>
      <c r="K818" s="75"/>
      <c r="L818" s="74" t="str">
        <f>IF(A818="","",IF(K818="","",_xlfn.WORKDAY.INTL(K818,5,1,FERIADOS)))</f>
        <v/>
      </c>
      <c r="M818" s="76"/>
      <c r="N818" s="75"/>
      <c r="O818" s="76"/>
      <c r="P818" s="77" t="str">
        <f t="shared" si="3"/>
        <v/>
      </c>
      <c r="Q818" s="75"/>
      <c r="R818" s="76"/>
      <c r="S818" s="75"/>
      <c r="T818" s="75"/>
      <c r="U818" s="76"/>
      <c r="V818" s="76"/>
      <c r="W818" s="75"/>
      <c r="X818" s="76"/>
      <c r="Y818" s="29" t="str">
        <f t="shared" si="4"/>
        <v/>
      </c>
      <c r="Z818" s="29" t="str">
        <f t="shared" si="5"/>
        <v/>
      </c>
      <c r="AA818" s="76"/>
      <c r="AB818" s="76"/>
      <c r="AC818" s="75"/>
      <c r="AD818" s="75"/>
      <c r="AE818" s="78" t="str">
        <f>IF(U818="","",IF(AD818="","",_xlfn.WORKDAY.INTL(AD818,7,1,FERIADOS)))</f>
        <v/>
      </c>
      <c r="AF818" s="104"/>
      <c r="AG818" s="80" t="str">
        <f t="array" ref="AG818">IF(A818="","",IF(AF818="","",AF818*INDEX(PARAMETROS!F$2:F1881,MATCH(YEAR(AC818),PARAMETROS!E$2:E1881,0),1)))</f>
        <v/>
      </c>
      <c r="AH818" s="81"/>
      <c r="AI818" s="82"/>
      <c r="AJ818" s="81"/>
      <c r="AK818" s="81"/>
      <c r="AL818" s="76"/>
      <c r="AM818" s="75"/>
      <c r="AN818" s="76"/>
      <c r="AO818" s="95"/>
      <c r="AP818" s="96"/>
      <c r="AQ818" s="85" t="str">
        <f t="shared" si="6"/>
        <v/>
      </c>
      <c r="AR818" s="86" t="str">
        <f t="array" ref="AR818">IF(A818="","",IFERROR(INDEX('2) Etapas'!L$3:L923,MATCH(B818,'2) Etapas'!$A$4:$A923,0),1),-1))</f>
        <v/>
      </c>
      <c r="AS818" s="87" t="str">
        <f t="shared" si="7"/>
        <v/>
      </c>
      <c r="AT818" s="87" t="str">
        <f t="shared" si="8"/>
        <v/>
      </c>
      <c r="AU818" s="87" t="str">
        <f t="shared" si="9"/>
        <v/>
      </c>
      <c r="AV818" s="89" t="str">
        <f t="array" ref="AV818">IF(OR($A818="",$AB818="", $AC818=""),"",MAXA(IF($A818=$A$4:$A923,$AC$4:$AC923)))</f>
        <v/>
      </c>
    </row>
    <row r="819" ht="22.5" customHeight="1">
      <c r="A819" s="76"/>
      <c r="B819" s="68" t="str">
        <f t="shared" si="1"/>
        <v/>
      </c>
      <c r="C819" s="110"/>
      <c r="D819" s="70" t="str">
        <f t="shared" si="2"/>
        <v/>
      </c>
      <c r="E819" s="76"/>
      <c r="F819" s="68" t="str">
        <f t="array" ref="F819">IF($A819="","",IFERROR(INDEX(MA_INDIVIDUALES!C$2:C923, MATCH($A819,MA_INDIVIDUALES!$B$2:$B923,0),1),"CÓDIGO DE EXPEDIENTE INVÁLIDO"))</f>
        <v/>
      </c>
      <c r="G819" s="68" t="str">
        <f t="array" ref="G819">IF($A819="","",IFERROR(INDEX(MA_INDIVIDUALES!K$2:K923, MATCH($A819,MA_INDIVIDUALES!$B$2:$B923,0),1),"CÓDIGO DE EXPEDIENTE INVÁLIDO"))</f>
        <v/>
      </c>
      <c r="H819" s="68" t="str">
        <f t="array" ref="H819">IF($A819="","",IFERROR(INDEX(MA_INDIVIDUALES!L$2:L923, MATCH($A819,MA_INDIVIDUALES!$B$2:$B923,0),1),"CÓDIGO DE EXPEDIENTE INVÁLIDO"))</f>
        <v/>
      </c>
      <c r="I819" s="76"/>
      <c r="J819" s="76"/>
      <c r="K819" s="75"/>
      <c r="L819" s="74" t="str">
        <f>IF(A819="","",IF(K819="","",_xlfn.WORKDAY.INTL(K819,5,1,FERIADOS)))</f>
        <v/>
      </c>
      <c r="M819" s="76"/>
      <c r="N819" s="75"/>
      <c r="O819" s="76"/>
      <c r="P819" s="77" t="str">
        <f t="shared" si="3"/>
        <v/>
      </c>
      <c r="Q819" s="75"/>
      <c r="R819" s="76"/>
      <c r="S819" s="75"/>
      <c r="T819" s="75"/>
      <c r="U819" s="76"/>
      <c r="V819" s="76"/>
      <c r="W819" s="75"/>
      <c r="X819" s="76"/>
      <c r="Y819" s="29" t="str">
        <f t="shared" si="4"/>
        <v/>
      </c>
      <c r="Z819" s="29" t="str">
        <f t="shared" si="5"/>
        <v/>
      </c>
      <c r="AA819" s="76"/>
      <c r="AB819" s="76"/>
      <c r="AC819" s="75"/>
      <c r="AD819" s="75"/>
      <c r="AE819" s="78" t="str">
        <f>IF(U819="","",IF(AD819="","",_xlfn.WORKDAY.INTL(AD819,7,1,FERIADOS)))</f>
        <v/>
      </c>
      <c r="AF819" s="104"/>
      <c r="AG819" s="80" t="str">
        <f t="array" ref="AG819">IF(A819="","",IF(AF819="","",AF819*INDEX(PARAMETROS!F$2:F1882,MATCH(YEAR(AC819),PARAMETROS!E$2:E1882,0),1)))</f>
        <v/>
      </c>
      <c r="AH819" s="81"/>
      <c r="AI819" s="82"/>
      <c r="AJ819" s="81"/>
      <c r="AK819" s="81"/>
      <c r="AL819" s="76"/>
      <c r="AM819" s="75"/>
      <c r="AN819" s="76"/>
      <c r="AO819" s="95"/>
      <c r="AP819" s="96"/>
      <c r="AQ819" s="85" t="str">
        <f t="shared" si="6"/>
        <v/>
      </c>
      <c r="AR819" s="86" t="str">
        <f t="array" ref="AR819">IF(A819="","",IFERROR(INDEX('2) Etapas'!L$3:L923,MATCH(B819,'2) Etapas'!$A$4:$A923,0),1),-1))</f>
        <v/>
      </c>
      <c r="AS819" s="87" t="str">
        <f t="shared" si="7"/>
        <v/>
      </c>
      <c r="AT819" s="87" t="str">
        <f t="shared" si="8"/>
        <v/>
      </c>
      <c r="AU819" s="87" t="str">
        <f t="shared" si="9"/>
        <v/>
      </c>
      <c r="AV819" s="89" t="str">
        <f t="array" ref="AV819">IF(OR($A819="",$AB819="", $AC819=""),"",MAXA(IF($A819=$A$4:$A923,$AC$4:$AC923)))</f>
        <v/>
      </c>
    </row>
    <row r="820" ht="22.5" customHeight="1">
      <c r="A820" s="76"/>
      <c r="B820" s="68" t="str">
        <f t="shared" si="1"/>
        <v/>
      </c>
      <c r="C820" s="110"/>
      <c r="D820" s="70" t="str">
        <f t="shared" si="2"/>
        <v/>
      </c>
      <c r="E820" s="76"/>
      <c r="F820" s="68" t="str">
        <f t="array" ref="F820">IF($A820="","",IFERROR(INDEX(MA_INDIVIDUALES!C$2:C923, MATCH($A820,MA_INDIVIDUALES!$B$2:$B923,0),1),"CÓDIGO DE EXPEDIENTE INVÁLIDO"))</f>
        <v/>
      </c>
      <c r="G820" s="68" t="str">
        <f t="array" ref="G820">IF($A820="","",IFERROR(INDEX(MA_INDIVIDUALES!K$2:K923, MATCH($A820,MA_INDIVIDUALES!$B$2:$B923,0),1),"CÓDIGO DE EXPEDIENTE INVÁLIDO"))</f>
        <v/>
      </c>
      <c r="H820" s="68" t="str">
        <f t="array" ref="H820">IF($A820="","",IFERROR(INDEX(MA_INDIVIDUALES!L$2:L923, MATCH($A820,MA_INDIVIDUALES!$B$2:$B923,0),1),"CÓDIGO DE EXPEDIENTE INVÁLIDO"))</f>
        <v/>
      </c>
      <c r="I820" s="76"/>
      <c r="J820" s="76"/>
      <c r="K820" s="75"/>
      <c r="L820" s="74" t="str">
        <f>IF(A820="","",IF(K820="","",_xlfn.WORKDAY.INTL(K820,5,1,FERIADOS)))</f>
        <v/>
      </c>
      <c r="M820" s="76"/>
      <c r="N820" s="75"/>
      <c r="O820" s="76"/>
      <c r="P820" s="77" t="str">
        <f t="shared" si="3"/>
        <v/>
      </c>
      <c r="Q820" s="75"/>
      <c r="R820" s="76"/>
      <c r="S820" s="75"/>
      <c r="T820" s="75"/>
      <c r="U820" s="76"/>
      <c r="V820" s="76"/>
      <c r="W820" s="75"/>
      <c r="X820" s="76"/>
      <c r="Y820" s="29" t="str">
        <f t="shared" si="4"/>
        <v/>
      </c>
      <c r="Z820" s="29" t="str">
        <f t="shared" si="5"/>
        <v/>
      </c>
      <c r="AA820" s="76"/>
      <c r="AB820" s="76"/>
      <c r="AC820" s="75"/>
      <c r="AD820" s="75"/>
      <c r="AE820" s="78" t="str">
        <f>IF(U820="","",IF(AD820="","",_xlfn.WORKDAY.INTL(AD820,7,1,FERIADOS)))</f>
        <v/>
      </c>
      <c r="AF820" s="104"/>
      <c r="AG820" s="80" t="str">
        <f t="array" ref="AG820">IF(A820="","",IF(AF820="","",AF820*INDEX(PARAMETROS!F$2:F1883,MATCH(YEAR(AC820),PARAMETROS!E$2:E1883,0),1)))</f>
        <v/>
      </c>
      <c r="AH820" s="81"/>
      <c r="AI820" s="82"/>
      <c r="AJ820" s="81"/>
      <c r="AK820" s="81"/>
      <c r="AL820" s="76"/>
      <c r="AM820" s="75"/>
      <c r="AN820" s="76"/>
      <c r="AO820" s="95"/>
      <c r="AP820" s="96"/>
      <c r="AQ820" s="85" t="str">
        <f t="shared" si="6"/>
        <v/>
      </c>
      <c r="AR820" s="86" t="str">
        <f t="array" ref="AR820">IF(A820="","",IFERROR(INDEX('2) Etapas'!L$3:L923,MATCH(B820,'2) Etapas'!$A$4:$A923,0),1),-1))</f>
        <v/>
      </c>
      <c r="AS820" s="87" t="str">
        <f t="shared" si="7"/>
        <v/>
      </c>
      <c r="AT820" s="87" t="str">
        <f t="shared" si="8"/>
        <v/>
      </c>
      <c r="AU820" s="87" t="str">
        <f t="shared" si="9"/>
        <v/>
      </c>
      <c r="AV820" s="89" t="str">
        <f t="array" ref="AV820">IF(OR($A820="",$AB820="", $AC820=""),"",MAXA(IF($A820=$A$4:$A923,$AC$4:$AC923)))</f>
        <v/>
      </c>
    </row>
    <row r="821" ht="22.5" customHeight="1">
      <c r="A821" s="76"/>
      <c r="B821" s="68" t="str">
        <f t="shared" si="1"/>
        <v/>
      </c>
      <c r="C821" s="110"/>
      <c r="D821" s="70" t="str">
        <f t="shared" si="2"/>
        <v/>
      </c>
      <c r="E821" s="76"/>
      <c r="F821" s="68" t="str">
        <f t="array" ref="F821">IF($A821="","",IFERROR(INDEX(MA_INDIVIDUALES!C$2:C923, MATCH($A821,MA_INDIVIDUALES!$B$2:$B923,0),1),"CÓDIGO DE EXPEDIENTE INVÁLIDO"))</f>
        <v/>
      </c>
      <c r="G821" s="68" t="str">
        <f t="array" ref="G821">IF($A821="","",IFERROR(INDEX(MA_INDIVIDUALES!K$2:K923, MATCH($A821,MA_INDIVIDUALES!$B$2:$B923,0),1),"CÓDIGO DE EXPEDIENTE INVÁLIDO"))</f>
        <v/>
      </c>
      <c r="H821" s="68" t="str">
        <f t="array" ref="H821">IF($A821="","",IFERROR(INDEX(MA_INDIVIDUALES!L$2:L923, MATCH($A821,MA_INDIVIDUALES!$B$2:$B923,0),1),"CÓDIGO DE EXPEDIENTE INVÁLIDO"))</f>
        <v/>
      </c>
      <c r="I821" s="76"/>
      <c r="J821" s="76"/>
      <c r="K821" s="75"/>
      <c r="L821" s="74" t="str">
        <f>IF(A821="","",IF(K821="","",_xlfn.WORKDAY.INTL(K821,5,1,FERIADOS)))</f>
        <v/>
      </c>
      <c r="M821" s="76"/>
      <c r="N821" s="75"/>
      <c r="O821" s="76"/>
      <c r="P821" s="77" t="str">
        <f t="shared" si="3"/>
        <v/>
      </c>
      <c r="Q821" s="75"/>
      <c r="R821" s="76"/>
      <c r="S821" s="75"/>
      <c r="T821" s="75"/>
      <c r="U821" s="76"/>
      <c r="V821" s="76"/>
      <c r="W821" s="75"/>
      <c r="X821" s="76"/>
      <c r="Y821" s="29" t="str">
        <f t="shared" si="4"/>
        <v/>
      </c>
      <c r="Z821" s="29" t="str">
        <f t="shared" si="5"/>
        <v/>
      </c>
      <c r="AA821" s="76"/>
      <c r="AB821" s="76"/>
      <c r="AC821" s="75"/>
      <c r="AD821" s="75"/>
      <c r="AE821" s="78" t="str">
        <f>IF(U821="","",IF(AD821="","",_xlfn.WORKDAY.INTL(AD821,7,1,FERIADOS)))</f>
        <v/>
      </c>
      <c r="AF821" s="104"/>
      <c r="AG821" s="80" t="str">
        <f t="array" ref="AG821">IF(A821="","",IF(AF821="","",AF821*INDEX(PARAMETROS!F$2:F1884,MATCH(YEAR(AC821),PARAMETROS!E$2:E1884,0),1)))</f>
        <v/>
      </c>
      <c r="AH821" s="81"/>
      <c r="AI821" s="82"/>
      <c r="AJ821" s="81"/>
      <c r="AK821" s="81"/>
      <c r="AL821" s="76"/>
      <c r="AM821" s="75"/>
      <c r="AN821" s="76"/>
      <c r="AO821" s="95"/>
      <c r="AP821" s="96"/>
      <c r="AQ821" s="85" t="str">
        <f t="shared" si="6"/>
        <v/>
      </c>
      <c r="AR821" s="86" t="str">
        <f t="array" ref="AR821">IF(A821="","",IFERROR(INDEX('2) Etapas'!L$3:L923,MATCH(B821,'2) Etapas'!$A$4:$A923,0),1),-1))</f>
        <v/>
      </c>
      <c r="AS821" s="87" t="str">
        <f t="shared" si="7"/>
        <v/>
      </c>
      <c r="AT821" s="87" t="str">
        <f t="shared" si="8"/>
        <v/>
      </c>
      <c r="AU821" s="87" t="str">
        <f t="shared" si="9"/>
        <v/>
      </c>
      <c r="AV821" s="89" t="str">
        <f t="array" ref="AV821">IF(OR($A821="",$AB821="", $AC821=""),"",MAXA(IF($A821=$A$4:$A923,$AC$4:$AC923)))</f>
        <v/>
      </c>
    </row>
    <row r="822" ht="22.5" customHeight="1">
      <c r="A822" s="76"/>
      <c r="B822" s="68" t="str">
        <f t="shared" si="1"/>
        <v/>
      </c>
      <c r="C822" s="110"/>
      <c r="D822" s="70" t="str">
        <f t="shared" si="2"/>
        <v/>
      </c>
      <c r="E822" s="76"/>
      <c r="F822" s="68" t="str">
        <f t="array" ref="F822">IF($A822="","",IFERROR(INDEX(MA_INDIVIDUALES!C$2:C923, MATCH($A822,MA_INDIVIDUALES!$B$2:$B923,0),1),"CÓDIGO DE EXPEDIENTE INVÁLIDO"))</f>
        <v/>
      </c>
      <c r="G822" s="68" t="str">
        <f t="array" ref="G822">IF($A822="","",IFERROR(INDEX(MA_INDIVIDUALES!K$2:K923, MATCH($A822,MA_INDIVIDUALES!$B$2:$B923,0),1),"CÓDIGO DE EXPEDIENTE INVÁLIDO"))</f>
        <v/>
      </c>
      <c r="H822" s="68" t="str">
        <f t="array" ref="H822">IF($A822="","",IFERROR(INDEX(MA_INDIVIDUALES!L$2:L923, MATCH($A822,MA_INDIVIDUALES!$B$2:$B923,0),1),"CÓDIGO DE EXPEDIENTE INVÁLIDO"))</f>
        <v/>
      </c>
      <c r="I822" s="76"/>
      <c r="J822" s="76"/>
      <c r="K822" s="75"/>
      <c r="L822" s="74" t="str">
        <f>IF(A822="","",IF(K822="","",_xlfn.WORKDAY.INTL(K822,5,1,FERIADOS)))</f>
        <v/>
      </c>
      <c r="M822" s="76"/>
      <c r="N822" s="75"/>
      <c r="O822" s="76"/>
      <c r="P822" s="77" t="str">
        <f t="shared" si="3"/>
        <v/>
      </c>
      <c r="Q822" s="75"/>
      <c r="R822" s="76"/>
      <c r="S822" s="75"/>
      <c r="T822" s="75"/>
      <c r="U822" s="76"/>
      <c r="V822" s="76"/>
      <c r="W822" s="75"/>
      <c r="X822" s="76"/>
      <c r="Y822" s="29" t="str">
        <f t="shared" si="4"/>
        <v/>
      </c>
      <c r="Z822" s="29" t="str">
        <f t="shared" si="5"/>
        <v/>
      </c>
      <c r="AA822" s="76"/>
      <c r="AB822" s="76"/>
      <c r="AC822" s="75"/>
      <c r="AD822" s="75"/>
      <c r="AE822" s="78" t="str">
        <f>IF(U822="","",IF(AD822="","",_xlfn.WORKDAY.INTL(AD822,7,1,FERIADOS)))</f>
        <v/>
      </c>
      <c r="AF822" s="104"/>
      <c r="AG822" s="80" t="str">
        <f t="array" ref="AG822">IF(A822="","",IF(AF822="","",AF822*INDEX(PARAMETROS!F$2:F1885,MATCH(YEAR(AC822),PARAMETROS!E$2:E1885,0),1)))</f>
        <v/>
      </c>
      <c r="AH822" s="81"/>
      <c r="AI822" s="82"/>
      <c r="AJ822" s="81"/>
      <c r="AK822" s="81"/>
      <c r="AL822" s="76"/>
      <c r="AM822" s="75"/>
      <c r="AN822" s="76"/>
      <c r="AO822" s="95"/>
      <c r="AP822" s="96"/>
      <c r="AQ822" s="85" t="str">
        <f t="shared" si="6"/>
        <v/>
      </c>
      <c r="AR822" s="86" t="str">
        <f t="array" ref="AR822">IF(A822="","",IFERROR(INDEX('2) Etapas'!L$3:L923,MATCH(B822,'2) Etapas'!$A$4:$A923,0),1),-1))</f>
        <v/>
      </c>
      <c r="AS822" s="87" t="str">
        <f t="shared" si="7"/>
        <v/>
      </c>
      <c r="AT822" s="87" t="str">
        <f t="shared" si="8"/>
        <v/>
      </c>
      <c r="AU822" s="87" t="str">
        <f t="shared" si="9"/>
        <v/>
      </c>
      <c r="AV822" s="89" t="str">
        <f t="array" ref="AV822">IF(OR($A822="",$AB822="", $AC822=""),"",MAXA(IF($A822=$A$4:$A923,$AC$4:$AC923)))</f>
        <v/>
      </c>
    </row>
    <row r="823" ht="22.5" customHeight="1">
      <c r="A823" s="76"/>
      <c r="B823" s="68" t="str">
        <f t="shared" si="1"/>
        <v/>
      </c>
      <c r="C823" s="110"/>
      <c r="D823" s="70" t="str">
        <f t="shared" si="2"/>
        <v/>
      </c>
      <c r="E823" s="76"/>
      <c r="F823" s="68" t="str">
        <f t="array" ref="F823">IF($A823="","",IFERROR(INDEX(MA_INDIVIDUALES!C$2:C923, MATCH($A823,MA_INDIVIDUALES!$B$2:$B923,0),1),"CÓDIGO DE EXPEDIENTE INVÁLIDO"))</f>
        <v/>
      </c>
      <c r="G823" s="68" t="str">
        <f t="array" ref="G823">IF($A823="","",IFERROR(INDEX(MA_INDIVIDUALES!K$2:K923, MATCH($A823,MA_INDIVIDUALES!$B$2:$B923,0),1),"CÓDIGO DE EXPEDIENTE INVÁLIDO"))</f>
        <v/>
      </c>
      <c r="H823" s="68" t="str">
        <f t="array" ref="H823">IF($A823="","",IFERROR(INDEX(MA_INDIVIDUALES!L$2:L923, MATCH($A823,MA_INDIVIDUALES!$B$2:$B923,0),1),"CÓDIGO DE EXPEDIENTE INVÁLIDO"))</f>
        <v/>
      </c>
      <c r="I823" s="76"/>
      <c r="J823" s="76"/>
      <c r="K823" s="75"/>
      <c r="L823" s="74" t="str">
        <f>IF(A823="","",IF(K823="","",_xlfn.WORKDAY.INTL(K823,5,1,FERIADOS)))</f>
        <v/>
      </c>
      <c r="M823" s="76"/>
      <c r="N823" s="75"/>
      <c r="O823" s="76"/>
      <c r="P823" s="77" t="str">
        <f t="shared" si="3"/>
        <v/>
      </c>
      <c r="Q823" s="75"/>
      <c r="R823" s="76"/>
      <c r="S823" s="75"/>
      <c r="T823" s="75"/>
      <c r="U823" s="76"/>
      <c r="V823" s="76"/>
      <c r="W823" s="75"/>
      <c r="X823" s="76"/>
      <c r="Y823" s="29" t="str">
        <f t="shared" si="4"/>
        <v/>
      </c>
      <c r="Z823" s="29" t="str">
        <f t="shared" si="5"/>
        <v/>
      </c>
      <c r="AA823" s="76"/>
      <c r="AB823" s="76"/>
      <c r="AC823" s="75"/>
      <c r="AD823" s="75"/>
      <c r="AE823" s="78" t="str">
        <f>IF(U823="","",IF(AD823="","",_xlfn.WORKDAY.INTL(AD823,7,1,FERIADOS)))</f>
        <v/>
      </c>
      <c r="AF823" s="104"/>
      <c r="AG823" s="80" t="str">
        <f t="array" ref="AG823">IF(A823="","",IF(AF823="","",AF823*INDEX(PARAMETROS!F$2:F1886,MATCH(YEAR(AC823),PARAMETROS!E$2:E1886,0),1)))</f>
        <v/>
      </c>
      <c r="AH823" s="81"/>
      <c r="AI823" s="82"/>
      <c r="AJ823" s="81"/>
      <c r="AK823" s="81"/>
      <c r="AL823" s="76"/>
      <c r="AM823" s="75"/>
      <c r="AN823" s="76"/>
      <c r="AO823" s="95"/>
      <c r="AP823" s="96"/>
      <c r="AQ823" s="85" t="str">
        <f t="shared" si="6"/>
        <v/>
      </c>
      <c r="AR823" s="86" t="str">
        <f t="array" ref="AR823">IF(A823="","",IFERROR(INDEX('2) Etapas'!L$3:L923,MATCH(B823,'2) Etapas'!$A$4:$A923,0),1),-1))</f>
        <v/>
      </c>
      <c r="AS823" s="87" t="str">
        <f t="shared" si="7"/>
        <v/>
      </c>
      <c r="AT823" s="87" t="str">
        <f t="shared" si="8"/>
        <v/>
      </c>
      <c r="AU823" s="87" t="str">
        <f t="shared" si="9"/>
        <v/>
      </c>
      <c r="AV823" s="89" t="str">
        <f t="array" ref="AV823">IF(OR($A823="",$AB823="", $AC823=""),"",MAXA(IF($A823=$A$4:$A923,$AC$4:$AC923)))</f>
        <v/>
      </c>
    </row>
    <row r="824" ht="22.5" customHeight="1">
      <c r="A824" s="76"/>
      <c r="B824" s="68" t="str">
        <f t="shared" si="1"/>
        <v/>
      </c>
      <c r="C824" s="110"/>
      <c r="D824" s="70" t="str">
        <f t="shared" si="2"/>
        <v/>
      </c>
      <c r="E824" s="76"/>
      <c r="F824" s="68" t="str">
        <f t="array" ref="F824">IF($A824="","",IFERROR(INDEX(MA_INDIVIDUALES!C$2:C923, MATCH($A824,MA_INDIVIDUALES!$B$2:$B923,0),1),"CÓDIGO DE EXPEDIENTE INVÁLIDO"))</f>
        <v/>
      </c>
      <c r="G824" s="68" t="str">
        <f t="array" ref="G824">IF($A824="","",IFERROR(INDEX(MA_INDIVIDUALES!K$2:K923, MATCH($A824,MA_INDIVIDUALES!$B$2:$B923,0),1),"CÓDIGO DE EXPEDIENTE INVÁLIDO"))</f>
        <v/>
      </c>
      <c r="H824" s="68" t="str">
        <f t="array" ref="H824">IF($A824="","",IFERROR(INDEX(MA_INDIVIDUALES!L$2:L923, MATCH($A824,MA_INDIVIDUALES!$B$2:$B923,0),1),"CÓDIGO DE EXPEDIENTE INVÁLIDO"))</f>
        <v/>
      </c>
      <c r="I824" s="76"/>
      <c r="J824" s="76"/>
      <c r="K824" s="75"/>
      <c r="L824" s="74" t="str">
        <f>IF(A824="","",IF(K824="","",_xlfn.WORKDAY.INTL(K824,5,1,FERIADOS)))</f>
        <v/>
      </c>
      <c r="M824" s="76"/>
      <c r="N824" s="75"/>
      <c r="O824" s="76"/>
      <c r="P824" s="77" t="str">
        <f t="shared" si="3"/>
        <v/>
      </c>
      <c r="Q824" s="75"/>
      <c r="R824" s="76"/>
      <c r="S824" s="75"/>
      <c r="T824" s="75"/>
      <c r="U824" s="76"/>
      <c r="V824" s="76"/>
      <c r="W824" s="75"/>
      <c r="X824" s="76"/>
      <c r="Y824" s="29" t="str">
        <f t="shared" si="4"/>
        <v/>
      </c>
      <c r="Z824" s="29" t="str">
        <f t="shared" si="5"/>
        <v/>
      </c>
      <c r="AA824" s="76"/>
      <c r="AB824" s="76"/>
      <c r="AC824" s="75"/>
      <c r="AD824" s="75"/>
      <c r="AE824" s="78" t="str">
        <f>IF(U824="","",IF(AD824="","",_xlfn.WORKDAY.INTL(AD824,7,1,FERIADOS)))</f>
        <v/>
      </c>
      <c r="AF824" s="104"/>
      <c r="AG824" s="80" t="str">
        <f t="array" ref="AG824">IF(A824="","",IF(AF824="","",AF824*INDEX(PARAMETROS!F$2:F1887,MATCH(YEAR(AC824),PARAMETROS!E$2:E1887,0),1)))</f>
        <v/>
      </c>
      <c r="AH824" s="81"/>
      <c r="AI824" s="82"/>
      <c r="AJ824" s="81"/>
      <c r="AK824" s="81"/>
      <c r="AL824" s="76"/>
      <c r="AM824" s="75"/>
      <c r="AN824" s="76"/>
      <c r="AO824" s="95"/>
      <c r="AP824" s="96"/>
      <c r="AQ824" s="85" t="str">
        <f t="shared" si="6"/>
        <v/>
      </c>
      <c r="AR824" s="86" t="str">
        <f t="array" ref="AR824">IF(A824="","",IFERROR(INDEX('2) Etapas'!L$3:L923,MATCH(B824,'2) Etapas'!$A$4:$A923,0),1),-1))</f>
        <v/>
      </c>
      <c r="AS824" s="87" t="str">
        <f t="shared" si="7"/>
        <v/>
      </c>
      <c r="AT824" s="87" t="str">
        <f t="shared" si="8"/>
        <v/>
      </c>
      <c r="AU824" s="87" t="str">
        <f t="shared" si="9"/>
        <v/>
      </c>
      <c r="AV824" s="89" t="str">
        <f t="array" ref="AV824">IF(OR($A824="",$AB824="", $AC824=""),"",MAXA(IF($A824=$A$4:$A923,$AC$4:$AC923)))</f>
        <v/>
      </c>
    </row>
    <row r="825" ht="22.5" customHeight="1">
      <c r="A825" s="76"/>
      <c r="B825" s="68" t="str">
        <f t="shared" si="1"/>
        <v/>
      </c>
      <c r="C825" s="110"/>
      <c r="D825" s="70" t="str">
        <f t="shared" si="2"/>
        <v/>
      </c>
      <c r="E825" s="76"/>
      <c r="F825" s="68" t="str">
        <f t="array" ref="F825">IF($A825="","",IFERROR(INDEX(MA_INDIVIDUALES!C$2:C923, MATCH($A825,MA_INDIVIDUALES!$B$2:$B923,0),1),"CÓDIGO DE EXPEDIENTE INVÁLIDO"))</f>
        <v/>
      </c>
      <c r="G825" s="68" t="str">
        <f t="array" ref="G825">IF($A825="","",IFERROR(INDEX(MA_INDIVIDUALES!K$2:K923, MATCH($A825,MA_INDIVIDUALES!$B$2:$B923,0),1),"CÓDIGO DE EXPEDIENTE INVÁLIDO"))</f>
        <v/>
      </c>
      <c r="H825" s="68" t="str">
        <f t="array" ref="H825">IF($A825="","",IFERROR(INDEX(MA_INDIVIDUALES!L$2:L923, MATCH($A825,MA_INDIVIDUALES!$B$2:$B923,0),1),"CÓDIGO DE EXPEDIENTE INVÁLIDO"))</f>
        <v/>
      </c>
      <c r="I825" s="76"/>
      <c r="J825" s="76"/>
      <c r="K825" s="75"/>
      <c r="L825" s="74" t="str">
        <f>IF(A825="","",IF(K825="","",_xlfn.WORKDAY.INTL(K825,5,1,FERIADOS)))</f>
        <v/>
      </c>
      <c r="M825" s="76"/>
      <c r="N825" s="75"/>
      <c r="O825" s="76"/>
      <c r="P825" s="77" t="str">
        <f t="shared" si="3"/>
        <v/>
      </c>
      <c r="Q825" s="75"/>
      <c r="R825" s="76"/>
      <c r="S825" s="75"/>
      <c r="T825" s="75"/>
      <c r="U825" s="76"/>
      <c r="V825" s="76"/>
      <c r="W825" s="75"/>
      <c r="X825" s="76"/>
      <c r="Y825" s="29" t="str">
        <f t="shared" si="4"/>
        <v/>
      </c>
      <c r="Z825" s="29" t="str">
        <f t="shared" si="5"/>
        <v/>
      </c>
      <c r="AA825" s="76"/>
      <c r="AB825" s="76"/>
      <c r="AC825" s="75"/>
      <c r="AD825" s="75"/>
      <c r="AE825" s="78" t="str">
        <f>IF(U825="","",IF(AD825="","",_xlfn.WORKDAY.INTL(AD825,7,1,FERIADOS)))</f>
        <v/>
      </c>
      <c r="AF825" s="104"/>
      <c r="AG825" s="80" t="str">
        <f t="array" ref="AG825">IF(A825="","",IF(AF825="","",AF825*INDEX(PARAMETROS!F$2:F1888,MATCH(YEAR(AC825),PARAMETROS!E$2:E1888,0),1)))</f>
        <v/>
      </c>
      <c r="AH825" s="81"/>
      <c r="AI825" s="82"/>
      <c r="AJ825" s="81"/>
      <c r="AK825" s="81"/>
      <c r="AL825" s="76"/>
      <c r="AM825" s="75"/>
      <c r="AN825" s="76"/>
      <c r="AO825" s="95"/>
      <c r="AP825" s="96"/>
      <c r="AQ825" s="85" t="str">
        <f t="shared" si="6"/>
        <v/>
      </c>
      <c r="AR825" s="86" t="str">
        <f t="array" ref="AR825">IF(A825="","",IFERROR(INDEX('2) Etapas'!L$3:L923,MATCH(B825,'2) Etapas'!$A$4:$A923,0),1),-1))</f>
        <v/>
      </c>
      <c r="AS825" s="87" t="str">
        <f t="shared" si="7"/>
        <v/>
      </c>
      <c r="AT825" s="87" t="str">
        <f t="shared" si="8"/>
        <v/>
      </c>
      <c r="AU825" s="87" t="str">
        <f t="shared" si="9"/>
        <v/>
      </c>
      <c r="AV825" s="89" t="str">
        <f t="array" ref="AV825">IF(OR($A825="",$AB825="", $AC825=""),"",MAXA(IF($A825=$A$4:$A923,$AC$4:$AC923)))</f>
        <v/>
      </c>
    </row>
    <row r="826" ht="22.5" customHeight="1">
      <c r="A826" s="76"/>
      <c r="B826" s="68" t="str">
        <f t="shared" si="1"/>
        <v/>
      </c>
      <c r="C826" s="110"/>
      <c r="D826" s="70" t="str">
        <f t="shared" si="2"/>
        <v/>
      </c>
      <c r="E826" s="76"/>
      <c r="F826" s="68" t="str">
        <f t="array" ref="F826">IF($A826="","",IFERROR(INDEX(MA_INDIVIDUALES!C$2:C923, MATCH($A826,MA_INDIVIDUALES!$B$2:$B923,0),1),"CÓDIGO DE EXPEDIENTE INVÁLIDO"))</f>
        <v/>
      </c>
      <c r="G826" s="68" t="str">
        <f t="array" ref="G826">IF($A826="","",IFERROR(INDEX(MA_INDIVIDUALES!K$2:K923, MATCH($A826,MA_INDIVIDUALES!$B$2:$B923,0),1),"CÓDIGO DE EXPEDIENTE INVÁLIDO"))</f>
        <v/>
      </c>
      <c r="H826" s="68" t="str">
        <f t="array" ref="H826">IF($A826="","",IFERROR(INDEX(MA_INDIVIDUALES!L$2:L923, MATCH($A826,MA_INDIVIDUALES!$B$2:$B923,0),1),"CÓDIGO DE EXPEDIENTE INVÁLIDO"))</f>
        <v/>
      </c>
      <c r="I826" s="76"/>
      <c r="J826" s="76"/>
      <c r="K826" s="75"/>
      <c r="L826" s="74" t="str">
        <f>IF(A826="","",IF(K826="","",_xlfn.WORKDAY.INTL(K826,5,1,FERIADOS)))</f>
        <v/>
      </c>
      <c r="M826" s="76"/>
      <c r="N826" s="75"/>
      <c r="O826" s="76"/>
      <c r="P826" s="77" t="str">
        <f t="shared" si="3"/>
        <v/>
      </c>
      <c r="Q826" s="75"/>
      <c r="R826" s="76"/>
      <c r="S826" s="75"/>
      <c r="T826" s="75"/>
      <c r="U826" s="76"/>
      <c r="V826" s="76"/>
      <c r="W826" s="75"/>
      <c r="X826" s="76"/>
      <c r="Y826" s="29" t="str">
        <f t="shared" si="4"/>
        <v/>
      </c>
      <c r="Z826" s="29" t="str">
        <f t="shared" si="5"/>
        <v/>
      </c>
      <c r="AA826" s="76"/>
      <c r="AB826" s="76"/>
      <c r="AC826" s="75"/>
      <c r="AD826" s="75"/>
      <c r="AE826" s="78" t="str">
        <f>IF(U826="","",IF(AD826="","",_xlfn.WORKDAY.INTL(AD826,7,1,FERIADOS)))</f>
        <v/>
      </c>
      <c r="AF826" s="104"/>
      <c r="AG826" s="80" t="str">
        <f t="array" ref="AG826">IF(A826="","",IF(AF826="","",AF826*INDEX(PARAMETROS!F$2:F1889,MATCH(YEAR(AC826),PARAMETROS!E$2:E1889,0),1)))</f>
        <v/>
      </c>
      <c r="AH826" s="81"/>
      <c r="AI826" s="82"/>
      <c r="AJ826" s="81"/>
      <c r="AK826" s="81"/>
      <c r="AL826" s="76"/>
      <c r="AM826" s="75"/>
      <c r="AN826" s="76"/>
      <c r="AO826" s="95"/>
      <c r="AP826" s="96"/>
      <c r="AQ826" s="85" t="str">
        <f t="shared" si="6"/>
        <v/>
      </c>
      <c r="AR826" s="86" t="str">
        <f t="array" ref="AR826">IF(A826="","",IFERROR(INDEX('2) Etapas'!L$3:L923,MATCH(B826,'2) Etapas'!$A$4:$A923,0),1),-1))</f>
        <v/>
      </c>
      <c r="AS826" s="87" t="str">
        <f t="shared" si="7"/>
        <v/>
      </c>
      <c r="AT826" s="87" t="str">
        <f t="shared" si="8"/>
        <v/>
      </c>
      <c r="AU826" s="87" t="str">
        <f t="shared" si="9"/>
        <v/>
      </c>
      <c r="AV826" s="89" t="str">
        <f t="array" ref="AV826">IF(OR($A826="",$AB826="", $AC826=""),"",MAXA(IF($A826=$A$4:$A923,$AC$4:$AC923)))</f>
        <v/>
      </c>
    </row>
    <row r="827" ht="22.5" customHeight="1">
      <c r="A827" s="76"/>
      <c r="B827" s="68" t="str">
        <f t="shared" si="1"/>
        <v/>
      </c>
      <c r="C827" s="110"/>
      <c r="D827" s="70" t="str">
        <f t="shared" si="2"/>
        <v/>
      </c>
      <c r="E827" s="76"/>
      <c r="F827" s="68" t="str">
        <f t="array" ref="F827">IF($A827="","",IFERROR(INDEX(MA_INDIVIDUALES!C$2:C923, MATCH($A827,MA_INDIVIDUALES!$B$2:$B923,0),1),"CÓDIGO DE EXPEDIENTE INVÁLIDO"))</f>
        <v/>
      </c>
      <c r="G827" s="68" t="str">
        <f t="array" ref="G827">IF($A827="","",IFERROR(INDEX(MA_INDIVIDUALES!K$2:K923, MATCH($A827,MA_INDIVIDUALES!$B$2:$B923,0),1),"CÓDIGO DE EXPEDIENTE INVÁLIDO"))</f>
        <v/>
      </c>
      <c r="H827" s="68" t="str">
        <f t="array" ref="H827">IF($A827="","",IFERROR(INDEX(MA_INDIVIDUALES!L$2:L923, MATCH($A827,MA_INDIVIDUALES!$B$2:$B923,0),1),"CÓDIGO DE EXPEDIENTE INVÁLIDO"))</f>
        <v/>
      </c>
      <c r="I827" s="76"/>
      <c r="J827" s="76"/>
      <c r="K827" s="75"/>
      <c r="L827" s="74" t="str">
        <f>IF(A827="","",IF(K827="","",_xlfn.WORKDAY.INTL(K827,5,1,FERIADOS)))</f>
        <v/>
      </c>
      <c r="M827" s="76"/>
      <c r="N827" s="75"/>
      <c r="O827" s="76"/>
      <c r="P827" s="77" t="str">
        <f t="shared" si="3"/>
        <v/>
      </c>
      <c r="Q827" s="75"/>
      <c r="R827" s="76"/>
      <c r="S827" s="75"/>
      <c r="T827" s="75"/>
      <c r="U827" s="76"/>
      <c r="V827" s="76"/>
      <c r="W827" s="75"/>
      <c r="X827" s="76"/>
      <c r="Y827" s="29" t="str">
        <f t="shared" si="4"/>
        <v/>
      </c>
      <c r="Z827" s="29" t="str">
        <f t="shared" si="5"/>
        <v/>
      </c>
      <c r="AA827" s="76"/>
      <c r="AB827" s="76"/>
      <c r="AC827" s="75"/>
      <c r="AD827" s="75"/>
      <c r="AE827" s="78" t="str">
        <f>IF(U827="","",IF(AD827="","",_xlfn.WORKDAY.INTL(AD827,7,1,FERIADOS)))</f>
        <v/>
      </c>
      <c r="AF827" s="104"/>
      <c r="AG827" s="80" t="str">
        <f t="array" ref="AG827">IF(A827="","",IF(AF827="","",AF827*INDEX(PARAMETROS!F$2:F1890,MATCH(YEAR(AC827),PARAMETROS!E$2:E1890,0),1)))</f>
        <v/>
      </c>
      <c r="AH827" s="81"/>
      <c r="AI827" s="82"/>
      <c r="AJ827" s="81"/>
      <c r="AK827" s="81"/>
      <c r="AL827" s="76"/>
      <c r="AM827" s="75"/>
      <c r="AN827" s="76"/>
      <c r="AO827" s="95"/>
      <c r="AP827" s="96"/>
      <c r="AQ827" s="85" t="str">
        <f t="shared" si="6"/>
        <v/>
      </c>
      <c r="AR827" s="86" t="str">
        <f t="array" ref="AR827">IF(A827="","",IFERROR(INDEX('2) Etapas'!L$3:L923,MATCH(B827,'2) Etapas'!$A$4:$A923,0),1),-1))</f>
        <v/>
      </c>
      <c r="AS827" s="87" t="str">
        <f t="shared" si="7"/>
        <v/>
      </c>
      <c r="AT827" s="87" t="str">
        <f t="shared" si="8"/>
        <v/>
      </c>
      <c r="AU827" s="87" t="str">
        <f t="shared" si="9"/>
        <v/>
      </c>
      <c r="AV827" s="89" t="str">
        <f t="array" ref="AV827">IF(OR($A827="",$AB827="", $AC827=""),"",MAXA(IF($A827=$A$4:$A923,$AC$4:$AC923)))</f>
        <v/>
      </c>
    </row>
    <row r="828" ht="22.5" customHeight="1">
      <c r="A828" s="76"/>
      <c r="B828" s="68" t="str">
        <f t="shared" si="1"/>
        <v/>
      </c>
      <c r="C828" s="110"/>
      <c r="D828" s="70" t="str">
        <f t="shared" si="2"/>
        <v/>
      </c>
      <c r="E828" s="76"/>
      <c r="F828" s="68" t="str">
        <f t="array" ref="F828">IF($A828="","",IFERROR(INDEX(MA_INDIVIDUALES!C$2:C923, MATCH($A828,MA_INDIVIDUALES!$B$2:$B923,0),1),"CÓDIGO DE EXPEDIENTE INVÁLIDO"))</f>
        <v/>
      </c>
      <c r="G828" s="68" t="str">
        <f t="array" ref="G828">IF($A828="","",IFERROR(INDEX(MA_INDIVIDUALES!K$2:K923, MATCH($A828,MA_INDIVIDUALES!$B$2:$B923,0),1),"CÓDIGO DE EXPEDIENTE INVÁLIDO"))</f>
        <v/>
      </c>
      <c r="H828" s="68" t="str">
        <f t="array" ref="H828">IF($A828="","",IFERROR(INDEX(MA_INDIVIDUALES!L$2:L923, MATCH($A828,MA_INDIVIDUALES!$B$2:$B923,0),1),"CÓDIGO DE EXPEDIENTE INVÁLIDO"))</f>
        <v/>
      </c>
      <c r="I828" s="76"/>
      <c r="J828" s="76"/>
      <c r="K828" s="75"/>
      <c r="L828" s="74" t="str">
        <f>IF(A828="","",IF(K828="","",_xlfn.WORKDAY.INTL(K828,5,1,FERIADOS)))</f>
        <v/>
      </c>
      <c r="M828" s="76"/>
      <c r="N828" s="75"/>
      <c r="O828" s="76"/>
      <c r="P828" s="77" t="str">
        <f t="shared" si="3"/>
        <v/>
      </c>
      <c r="Q828" s="75"/>
      <c r="R828" s="76"/>
      <c r="S828" s="75"/>
      <c r="T828" s="75"/>
      <c r="U828" s="76"/>
      <c r="V828" s="76"/>
      <c r="W828" s="75"/>
      <c r="X828" s="76"/>
      <c r="Y828" s="29" t="str">
        <f t="shared" si="4"/>
        <v/>
      </c>
      <c r="Z828" s="29" t="str">
        <f t="shared" si="5"/>
        <v/>
      </c>
      <c r="AA828" s="76"/>
      <c r="AB828" s="76"/>
      <c r="AC828" s="75"/>
      <c r="AD828" s="75"/>
      <c r="AE828" s="78" t="str">
        <f>IF(U828="","",IF(AD828="","",_xlfn.WORKDAY.INTL(AD828,7,1,FERIADOS)))</f>
        <v/>
      </c>
      <c r="AF828" s="104"/>
      <c r="AG828" s="80" t="str">
        <f t="array" ref="AG828">IF(A828="","",IF(AF828="","",AF828*INDEX(PARAMETROS!F$2:F1891,MATCH(YEAR(AC828),PARAMETROS!E$2:E1891,0),1)))</f>
        <v/>
      </c>
      <c r="AH828" s="81"/>
      <c r="AI828" s="82"/>
      <c r="AJ828" s="81"/>
      <c r="AK828" s="81"/>
      <c r="AL828" s="76"/>
      <c r="AM828" s="75"/>
      <c r="AN828" s="76"/>
      <c r="AO828" s="95"/>
      <c r="AP828" s="96"/>
      <c r="AQ828" s="85" t="str">
        <f t="shared" si="6"/>
        <v/>
      </c>
      <c r="AR828" s="86" t="str">
        <f t="array" ref="AR828">IF(A828="","",IFERROR(INDEX('2) Etapas'!L$3:L923,MATCH(B828,'2) Etapas'!$A$4:$A923,0),1),-1))</f>
        <v/>
      </c>
      <c r="AS828" s="87" t="str">
        <f t="shared" si="7"/>
        <v/>
      </c>
      <c r="AT828" s="87" t="str">
        <f t="shared" si="8"/>
        <v/>
      </c>
      <c r="AU828" s="87" t="str">
        <f t="shared" si="9"/>
        <v/>
      </c>
      <c r="AV828" s="89" t="str">
        <f t="array" ref="AV828">IF(OR($A828="",$AB828="", $AC828=""),"",MAXA(IF($A828=$A$4:$A923,$AC$4:$AC923)))</f>
        <v/>
      </c>
    </row>
    <row r="829" ht="22.5" customHeight="1">
      <c r="A829" s="76"/>
      <c r="B829" s="68" t="str">
        <f t="shared" si="1"/>
        <v/>
      </c>
      <c r="C829" s="110"/>
      <c r="D829" s="70" t="str">
        <f t="shared" si="2"/>
        <v/>
      </c>
      <c r="E829" s="76"/>
      <c r="F829" s="68" t="str">
        <f t="array" ref="F829">IF($A829="","",IFERROR(INDEX(MA_INDIVIDUALES!C$2:C923, MATCH($A829,MA_INDIVIDUALES!$B$2:$B923,0),1),"CÓDIGO DE EXPEDIENTE INVÁLIDO"))</f>
        <v/>
      </c>
      <c r="G829" s="68" t="str">
        <f t="array" ref="G829">IF($A829="","",IFERROR(INDEX(MA_INDIVIDUALES!K$2:K923, MATCH($A829,MA_INDIVIDUALES!$B$2:$B923,0),1),"CÓDIGO DE EXPEDIENTE INVÁLIDO"))</f>
        <v/>
      </c>
      <c r="H829" s="68" t="str">
        <f t="array" ref="H829">IF($A829="","",IFERROR(INDEX(MA_INDIVIDUALES!L$2:L923, MATCH($A829,MA_INDIVIDUALES!$B$2:$B923,0),1),"CÓDIGO DE EXPEDIENTE INVÁLIDO"))</f>
        <v/>
      </c>
      <c r="I829" s="76"/>
      <c r="J829" s="76"/>
      <c r="K829" s="75"/>
      <c r="L829" s="74" t="str">
        <f>IF(A829="","",IF(K829="","",_xlfn.WORKDAY.INTL(K829,5,1,FERIADOS)))</f>
        <v/>
      </c>
      <c r="M829" s="76"/>
      <c r="N829" s="75"/>
      <c r="O829" s="76"/>
      <c r="P829" s="77" t="str">
        <f t="shared" si="3"/>
        <v/>
      </c>
      <c r="Q829" s="75"/>
      <c r="R829" s="76"/>
      <c r="S829" s="75"/>
      <c r="T829" s="75"/>
      <c r="U829" s="76"/>
      <c r="V829" s="76"/>
      <c r="W829" s="75"/>
      <c r="X829" s="76"/>
      <c r="Y829" s="29" t="str">
        <f t="shared" si="4"/>
        <v/>
      </c>
      <c r="Z829" s="29" t="str">
        <f t="shared" si="5"/>
        <v/>
      </c>
      <c r="AA829" s="76"/>
      <c r="AB829" s="76"/>
      <c r="AC829" s="75"/>
      <c r="AD829" s="75"/>
      <c r="AE829" s="78" t="str">
        <f>IF(U829="","",IF(AD829="","",_xlfn.WORKDAY.INTL(AD829,7,1,FERIADOS)))</f>
        <v/>
      </c>
      <c r="AF829" s="104"/>
      <c r="AG829" s="80" t="str">
        <f t="array" ref="AG829">IF(A829="","",IF(AF829="","",AF829*INDEX(PARAMETROS!F$2:F1892,MATCH(YEAR(AC829),PARAMETROS!E$2:E1892,0),1)))</f>
        <v/>
      </c>
      <c r="AH829" s="81"/>
      <c r="AI829" s="82"/>
      <c r="AJ829" s="81"/>
      <c r="AK829" s="81"/>
      <c r="AL829" s="76"/>
      <c r="AM829" s="75"/>
      <c r="AN829" s="76"/>
      <c r="AO829" s="95"/>
      <c r="AP829" s="96"/>
      <c r="AQ829" s="85" t="str">
        <f t="shared" si="6"/>
        <v/>
      </c>
      <c r="AR829" s="86" t="str">
        <f t="array" ref="AR829">IF(A829="","",IFERROR(INDEX('2) Etapas'!L$3:L923,MATCH(B829,'2) Etapas'!$A$4:$A923,0),1),-1))</f>
        <v/>
      </c>
      <c r="AS829" s="87" t="str">
        <f t="shared" si="7"/>
        <v/>
      </c>
      <c r="AT829" s="87" t="str">
        <f t="shared" si="8"/>
        <v/>
      </c>
      <c r="AU829" s="87" t="str">
        <f t="shared" si="9"/>
        <v/>
      </c>
      <c r="AV829" s="89" t="str">
        <f t="array" ref="AV829">IF(OR($A829="",$AB829="", $AC829=""),"",MAXA(IF($A829=$A$4:$A923,$AC$4:$AC923)))</f>
        <v/>
      </c>
    </row>
    <row r="830" ht="22.5" customHeight="1">
      <c r="A830" s="76"/>
      <c r="B830" s="68" t="str">
        <f t="shared" si="1"/>
        <v/>
      </c>
      <c r="C830" s="110"/>
      <c r="D830" s="70" t="str">
        <f t="shared" si="2"/>
        <v/>
      </c>
      <c r="E830" s="76"/>
      <c r="F830" s="68" t="str">
        <f t="array" ref="F830">IF($A830="","",IFERROR(INDEX(MA_INDIVIDUALES!C$2:C923, MATCH($A830,MA_INDIVIDUALES!$B$2:$B923,0),1),"CÓDIGO DE EXPEDIENTE INVÁLIDO"))</f>
        <v/>
      </c>
      <c r="G830" s="68" t="str">
        <f t="array" ref="G830">IF($A830="","",IFERROR(INDEX(MA_INDIVIDUALES!K$2:K923, MATCH($A830,MA_INDIVIDUALES!$B$2:$B923,0),1),"CÓDIGO DE EXPEDIENTE INVÁLIDO"))</f>
        <v/>
      </c>
      <c r="H830" s="68" t="str">
        <f t="array" ref="H830">IF($A830="","",IFERROR(INDEX(MA_INDIVIDUALES!L$2:L923, MATCH($A830,MA_INDIVIDUALES!$B$2:$B923,0),1),"CÓDIGO DE EXPEDIENTE INVÁLIDO"))</f>
        <v/>
      </c>
      <c r="I830" s="76"/>
      <c r="J830" s="76"/>
      <c r="K830" s="75"/>
      <c r="L830" s="74" t="str">
        <f>IF(A830="","",IF(K830="","",_xlfn.WORKDAY.INTL(K830,5,1,FERIADOS)))</f>
        <v/>
      </c>
      <c r="M830" s="76"/>
      <c r="N830" s="75"/>
      <c r="O830" s="76"/>
      <c r="P830" s="77" t="str">
        <f t="shared" si="3"/>
        <v/>
      </c>
      <c r="Q830" s="75"/>
      <c r="R830" s="76"/>
      <c r="S830" s="75"/>
      <c r="T830" s="75"/>
      <c r="U830" s="76"/>
      <c r="V830" s="76"/>
      <c r="W830" s="75"/>
      <c r="X830" s="76"/>
      <c r="Y830" s="29" t="str">
        <f t="shared" si="4"/>
        <v/>
      </c>
      <c r="Z830" s="29" t="str">
        <f t="shared" si="5"/>
        <v/>
      </c>
      <c r="AA830" s="76"/>
      <c r="AB830" s="76"/>
      <c r="AC830" s="75"/>
      <c r="AD830" s="75"/>
      <c r="AE830" s="78" t="str">
        <f>IF(U830="","",IF(AD830="","",_xlfn.WORKDAY.INTL(AD830,7,1,FERIADOS)))</f>
        <v/>
      </c>
      <c r="AF830" s="104"/>
      <c r="AG830" s="80" t="str">
        <f t="array" ref="AG830">IF(A830="","",IF(AF830="","",AF830*INDEX(PARAMETROS!F$2:F1893,MATCH(YEAR(AC830),PARAMETROS!E$2:E1893,0),1)))</f>
        <v/>
      </c>
      <c r="AH830" s="81"/>
      <c r="AI830" s="82"/>
      <c r="AJ830" s="81"/>
      <c r="AK830" s="81"/>
      <c r="AL830" s="76"/>
      <c r="AM830" s="75"/>
      <c r="AN830" s="76"/>
      <c r="AO830" s="95"/>
      <c r="AP830" s="96"/>
      <c r="AQ830" s="85" t="str">
        <f t="shared" si="6"/>
        <v/>
      </c>
      <c r="AR830" s="86" t="str">
        <f t="array" ref="AR830">IF(A830="","",IFERROR(INDEX('2) Etapas'!L$3:L923,MATCH(B830,'2) Etapas'!$A$4:$A923,0),1),-1))</f>
        <v/>
      </c>
      <c r="AS830" s="87" t="str">
        <f t="shared" si="7"/>
        <v/>
      </c>
      <c r="AT830" s="87" t="str">
        <f t="shared" si="8"/>
        <v/>
      </c>
      <c r="AU830" s="87" t="str">
        <f t="shared" si="9"/>
        <v/>
      </c>
      <c r="AV830" s="89" t="str">
        <f t="array" ref="AV830">IF(OR($A830="",$AB830="", $AC830=""),"",MAXA(IF($A830=$A$4:$A923,$AC$4:$AC923)))</f>
        <v/>
      </c>
    </row>
    <row r="831" ht="22.5" customHeight="1">
      <c r="A831" s="76"/>
      <c r="B831" s="68" t="str">
        <f t="shared" si="1"/>
        <v/>
      </c>
      <c r="C831" s="110"/>
      <c r="D831" s="70" t="str">
        <f t="shared" si="2"/>
        <v/>
      </c>
      <c r="E831" s="76"/>
      <c r="F831" s="68" t="str">
        <f t="array" ref="F831">IF($A831="","",IFERROR(INDEX(MA_INDIVIDUALES!C$2:C923, MATCH($A831,MA_INDIVIDUALES!$B$2:$B923,0),1),"CÓDIGO DE EXPEDIENTE INVÁLIDO"))</f>
        <v/>
      </c>
      <c r="G831" s="68" t="str">
        <f t="array" ref="G831">IF($A831="","",IFERROR(INDEX(MA_INDIVIDUALES!K$2:K923, MATCH($A831,MA_INDIVIDUALES!$B$2:$B923,0),1),"CÓDIGO DE EXPEDIENTE INVÁLIDO"))</f>
        <v/>
      </c>
      <c r="H831" s="68" t="str">
        <f t="array" ref="H831">IF($A831="","",IFERROR(INDEX(MA_INDIVIDUALES!L$2:L923, MATCH($A831,MA_INDIVIDUALES!$B$2:$B923,0),1),"CÓDIGO DE EXPEDIENTE INVÁLIDO"))</f>
        <v/>
      </c>
      <c r="I831" s="76"/>
      <c r="J831" s="76"/>
      <c r="K831" s="75"/>
      <c r="L831" s="74" t="str">
        <f>IF(A831="","",IF(K831="","",_xlfn.WORKDAY.INTL(K831,5,1,FERIADOS)))</f>
        <v/>
      </c>
      <c r="M831" s="76"/>
      <c r="N831" s="75"/>
      <c r="O831" s="76"/>
      <c r="P831" s="77" t="str">
        <f t="shared" si="3"/>
        <v/>
      </c>
      <c r="Q831" s="75"/>
      <c r="R831" s="76"/>
      <c r="S831" s="75"/>
      <c r="T831" s="75"/>
      <c r="U831" s="76"/>
      <c r="V831" s="76"/>
      <c r="W831" s="75"/>
      <c r="X831" s="76"/>
      <c r="Y831" s="29" t="str">
        <f t="shared" si="4"/>
        <v/>
      </c>
      <c r="Z831" s="29" t="str">
        <f t="shared" si="5"/>
        <v/>
      </c>
      <c r="AA831" s="76"/>
      <c r="AB831" s="76"/>
      <c r="AC831" s="75"/>
      <c r="AD831" s="75"/>
      <c r="AE831" s="78" t="str">
        <f>IF(U831="","",IF(AD831="","",_xlfn.WORKDAY.INTL(AD831,7,1,FERIADOS)))</f>
        <v/>
      </c>
      <c r="AF831" s="104"/>
      <c r="AG831" s="80" t="str">
        <f t="array" ref="AG831">IF(A831="","",IF(AF831="","",AF831*INDEX(PARAMETROS!F$2:F1894,MATCH(YEAR(AC831),PARAMETROS!E$2:E1894,0),1)))</f>
        <v/>
      </c>
      <c r="AH831" s="81"/>
      <c r="AI831" s="82"/>
      <c r="AJ831" s="81"/>
      <c r="AK831" s="81"/>
      <c r="AL831" s="76"/>
      <c r="AM831" s="75"/>
      <c r="AN831" s="76"/>
      <c r="AO831" s="95"/>
      <c r="AP831" s="96"/>
      <c r="AQ831" s="85" t="str">
        <f t="shared" si="6"/>
        <v/>
      </c>
      <c r="AR831" s="86" t="str">
        <f t="array" ref="AR831">IF(A831="","",IFERROR(INDEX('2) Etapas'!L$3:L923,MATCH(B831,'2) Etapas'!$A$4:$A923,0),1),-1))</f>
        <v/>
      </c>
      <c r="AS831" s="87" t="str">
        <f t="shared" si="7"/>
        <v/>
      </c>
      <c r="AT831" s="87" t="str">
        <f t="shared" si="8"/>
        <v/>
      </c>
      <c r="AU831" s="87" t="str">
        <f t="shared" si="9"/>
        <v/>
      </c>
      <c r="AV831" s="89" t="str">
        <f t="array" ref="AV831">IF(OR($A831="",$AB831="", $AC831=""),"",MAXA(IF($A831=$A$4:$A923,$AC$4:$AC923)))</f>
        <v/>
      </c>
    </row>
    <row r="832" ht="22.5" customHeight="1">
      <c r="A832" s="76"/>
      <c r="B832" s="68" t="str">
        <f t="shared" si="1"/>
        <v/>
      </c>
      <c r="C832" s="110"/>
      <c r="D832" s="70" t="str">
        <f t="shared" si="2"/>
        <v/>
      </c>
      <c r="E832" s="76"/>
      <c r="F832" s="68" t="str">
        <f t="array" ref="F832">IF($A832="","",IFERROR(INDEX(MA_INDIVIDUALES!C$2:C923, MATCH($A832,MA_INDIVIDUALES!$B$2:$B923,0),1),"CÓDIGO DE EXPEDIENTE INVÁLIDO"))</f>
        <v/>
      </c>
      <c r="G832" s="68" t="str">
        <f t="array" ref="G832">IF($A832="","",IFERROR(INDEX(MA_INDIVIDUALES!K$2:K923, MATCH($A832,MA_INDIVIDUALES!$B$2:$B923,0),1),"CÓDIGO DE EXPEDIENTE INVÁLIDO"))</f>
        <v/>
      </c>
      <c r="H832" s="68" t="str">
        <f t="array" ref="H832">IF($A832="","",IFERROR(INDEX(MA_INDIVIDUALES!L$2:L923, MATCH($A832,MA_INDIVIDUALES!$B$2:$B923,0),1),"CÓDIGO DE EXPEDIENTE INVÁLIDO"))</f>
        <v/>
      </c>
      <c r="I832" s="76"/>
      <c r="J832" s="76"/>
      <c r="K832" s="75"/>
      <c r="L832" s="74" t="str">
        <f>IF(A832="","",IF(K832="","",_xlfn.WORKDAY.INTL(K832,5,1,FERIADOS)))</f>
        <v/>
      </c>
      <c r="M832" s="76"/>
      <c r="N832" s="75"/>
      <c r="O832" s="76"/>
      <c r="P832" s="77" t="str">
        <f t="shared" si="3"/>
        <v/>
      </c>
      <c r="Q832" s="75"/>
      <c r="R832" s="76"/>
      <c r="S832" s="75"/>
      <c r="T832" s="75"/>
      <c r="U832" s="76"/>
      <c r="V832" s="76"/>
      <c r="W832" s="75"/>
      <c r="X832" s="76"/>
      <c r="Y832" s="29" t="str">
        <f t="shared" si="4"/>
        <v/>
      </c>
      <c r="Z832" s="29" t="str">
        <f t="shared" si="5"/>
        <v/>
      </c>
      <c r="AA832" s="76"/>
      <c r="AB832" s="76"/>
      <c r="AC832" s="75"/>
      <c r="AD832" s="75"/>
      <c r="AE832" s="78" t="str">
        <f>IF(U832="","",IF(AD832="","",_xlfn.WORKDAY.INTL(AD832,7,1,FERIADOS)))</f>
        <v/>
      </c>
      <c r="AF832" s="104"/>
      <c r="AG832" s="80" t="str">
        <f t="array" ref="AG832">IF(A832="","",IF(AF832="","",AF832*INDEX(PARAMETROS!F$2:F1895,MATCH(YEAR(AC832),PARAMETROS!E$2:E1895,0),1)))</f>
        <v/>
      </c>
      <c r="AH832" s="81"/>
      <c r="AI832" s="82"/>
      <c r="AJ832" s="81"/>
      <c r="AK832" s="81"/>
      <c r="AL832" s="76"/>
      <c r="AM832" s="75"/>
      <c r="AN832" s="76"/>
      <c r="AO832" s="95"/>
      <c r="AP832" s="96"/>
      <c r="AQ832" s="85" t="str">
        <f t="shared" si="6"/>
        <v/>
      </c>
      <c r="AR832" s="86" t="str">
        <f t="array" ref="AR832">IF(A832="","",IFERROR(INDEX('2) Etapas'!L$3:L923,MATCH(B832,'2) Etapas'!$A$4:$A923,0),1),-1))</f>
        <v/>
      </c>
      <c r="AS832" s="87" t="str">
        <f t="shared" si="7"/>
        <v/>
      </c>
      <c r="AT832" s="87" t="str">
        <f t="shared" si="8"/>
        <v/>
      </c>
      <c r="AU832" s="87" t="str">
        <f t="shared" si="9"/>
        <v/>
      </c>
      <c r="AV832" s="89" t="str">
        <f t="array" ref="AV832">IF(OR($A832="",$AB832="", $AC832=""),"",MAXA(IF($A832=$A$4:$A923,$AC$4:$AC923)))</f>
        <v/>
      </c>
    </row>
    <row r="833" ht="22.5" customHeight="1">
      <c r="A833" s="76"/>
      <c r="B833" s="68" t="str">
        <f t="shared" si="1"/>
        <v/>
      </c>
      <c r="C833" s="110"/>
      <c r="D833" s="70" t="str">
        <f t="shared" si="2"/>
        <v/>
      </c>
      <c r="E833" s="76"/>
      <c r="F833" s="68" t="str">
        <f t="array" ref="F833">IF($A833="","",IFERROR(INDEX(MA_INDIVIDUALES!C$2:C923, MATCH($A833,MA_INDIVIDUALES!$B$2:$B923,0),1),"CÓDIGO DE EXPEDIENTE INVÁLIDO"))</f>
        <v/>
      </c>
      <c r="G833" s="68" t="str">
        <f t="array" ref="G833">IF($A833="","",IFERROR(INDEX(MA_INDIVIDUALES!K$2:K923, MATCH($A833,MA_INDIVIDUALES!$B$2:$B923,0),1),"CÓDIGO DE EXPEDIENTE INVÁLIDO"))</f>
        <v/>
      </c>
      <c r="H833" s="68" t="str">
        <f t="array" ref="H833">IF($A833="","",IFERROR(INDEX(MA_INDIVIDUALES!L$2:L923, MATCH($A833,MA_INDIVIDUALES!$B$2:$B923,0),1),"CÓDIGO DE EXPEDIENTE INVÁLIDO"))</f>
        <v/>
      </c>
      <c r="I833" s="76"/>
      <c r="J833" s="76"/>
      <c r="K833" s="75"/>
      <c r="L833" s="74" t="str">
        <f>IF(A833="","",IF(K833="","",_xlfn.WORKDAY.INTL(K833,5,1,FERIADOS)))</f>
        <v/>
      </c>
      <c r="M833" s="76"/>
      <c r="N833" s="75"/>
      <c r="O833" s="76"/>
      <c r="P833" s="77" t="str">
        <f t="shared" si="3"/>
        <v/>
      </c>
      <c r="Q833" s="75"/>
      <c r="R833" s="76"/>
      <c r="S833" s="75"/>
      <c r="T833" s="75"/>
      <c r="U833" s="76"/>
      <c r="V833" s="76"/>
      <c r="W833" s="75"/>
      <c r="X833" s="76"/>
      <c r="Y833" s="29" t="str">
        <f t="shared" si="4"/>
        <v/>
      </c>
      <c r="Z833" s="29" t="str">
        <f t="shared" si="5"/>
        <v/>
      </c>
      <c r="AA833" s="76"/>
      <c r="AB833" s="76"/>
      <c r="AC833" s="75"/>
      <c r="AD833" s="75"/>
      <c r="AE833" s="78" t="str">
        <f>IF(U833="","",IF(AD833="","",_xlfn.WORKDAY.INTL(AD833,7,1,FERIADOS)))</f>
        <v/>
      </c>
      <c r="AF833" s="104"/>
      <c r="AG833" s="80" t="str">
        <f t="array" ref="AG833">IF(A833="","",IF(AF833="","",AF833*INDEX(PARAMETROS!F$2:F1896,MATCH(YEAR(AC833),PARAMETROS!E$2:E1896,0),1)))</f>
        <v/>
      </c>
      <c r="AH833" s="81"/>
      <c r="AI833" s="82"/>
      <c r="AJ833" s="81"/>
      <c r="AK833" s="81"/>
      <c r="AL833" s="76"/>
      <c r="AM833" s="75"/>
      <c r="AN833" s="76"/>
      <c r="AO833" s="95"/>
      <c r="AP833" s="96"/>
      <c r="AQ833" s="85" t="str">
        <f t="shared" si="6"/>
        <v/>
      </c>
      <c r="AR833" s="86" t="str">
        <f t="array" ref="AR833">IF(A833="","",IFERROR(INDEX('2) Etapas'!L$3:L923,MATCH(B833,'2) Etapas'!$A$4:$A923,0),1),-1))</f>
        <v/>
      </c>
      <c r="AS833" s="87" t="str">
        <f t="shared" si="7"/>
        <v/>
      </c>
      <c r="AT833" s="87" t="str">
        <f t="shared" si="8"/>
        <v/>
      </c>
      <c r="AU833" s="87" t="str">
        <f t="shared" si="9"/>
        <v/>
      </c>
      <c r="AV833" s="89" t="str">
        <f t="array" ref="AV833">IF(OR($A833="",$AB833="", $AC833=""),"",MAXA(IF($A833=$A$4:$A923,$AC$4:$AC923)))</f>
        <v/>
      </c>
    </row>
    <row r="834" ht="22.5" customHeight="1">
      <c r="A834" s="76"/>
      <c r="B834" s="68" t="str">
        <f t="shared" si="1"/>
        <v/>
      </c>
      <c r="C834" s="110"/>
      <c r="D834" s="70" t="str">
        <f t="shared" si="2"/>
        <v/>
      </c>
      <c r="E834" s="76"/>
      <c r="F834" s="68" t="str">
        <f t="array" ref="F834">IF($A834="","",IFERROR(INDEX(MA_INDIVIDUALES!C$2:C923, MATCH($A834,MA_INDIVIDUALES!$B$2:$B923,0),1),"CÓDIGO DE EXPEDIENTE INVÁLIDO"))</f>
        <v/>
      </c>
      <c r="G834" s="68" t="str">
        <f t="array" ref="G834">IF($A834="","",IFERROR(INDEX(MA_INDIVIDUALES!K$2:K923, MATCH($A834,MA_INDIVIDUALES!$B$2:$B923,0),1),"CÓDIGO DE EXPEDIENTE INVÁLIDO"))</f>
        <v/>
      </c>
      <c r="H834" s="68" t="str">
        <f t="array" ref="H834">IF($A834="","",IFERROR(INDEX(MA_INDIVIDUALES!L$2:L923, MATCH($A834,MA_INDIVIDUALES!$B$2:$B923,0),1),"CÓDIGO DE EXPEDIENTE INVÁLIDO"))</f>
        <v/>
      </c>
      <c r="I834" s="76"/>
      <c r="J834" s="76"/>
      <c r="K834" s="75"/>
      <c r="L834" s="74" t="str">
        <f>IF(A834="","",IF(K834="","",_xlfn.WORKDAY.INTL(K834,5,1,FERIADOS)))</f>
        <v/>
      </c>
      <c r="M834" s="76"/>
      <c r="N834" s="75"/>
      <c r="O834" s="76"/>
      <c r="P834" s="77" t="str">
        <f t="shared" si="3"/>
        <v/>
      </c>
      <c r="Q834" s="75"/>
      <c r="R834" s="76"/>
      <c r="S834" s="75"/>
      <c r="T834" s="75"/>
      <c r="U834" s="76"/>
      <c r="V834" s="76"/>
      <c r="W834" s="75"/>
      <c r="X834" s="76"/>
      <c r="Y834" s="29" t="str">
        <f t="shared" si="4"/>
        <v/>
      </c>
      <c r="Z834" s="29" t="str">
        <f t="shared" si="5"/>
        <v/>
      </c>
      <c r="AA834" s="76"/>
      <c r="AB834" s="76"/>
      <c r="AC834" s="75"/>
      <c r="AD834" s="75"/>
      <c r="AE834" s="78" t="str">
        <f>IF(U834="","",IF(AD834="","",_xlfn.WORKDAY.INTL(AD834,7,1,FERIADOS)))</f>
        <v/>
      </c>
      <c r="AF834" s="104"/>
      <c r="AG834" s="80" t="str">
        <f t="array" ref="AG834">IF(A834="","",IF(AF834="","",AF834*INDEX(PARAMETROS!F$2:F1897,MATCH(YEAR(AC834),PARAMETROS!E$2:E1897,0),1)))</f>
        <v/>
      </c>
      <c r="AH834" s="81"/>
      <c r="AI834" s="82"/>
      <c r="AJ834" s="81"/>
      <c r="AK834" s="81"/>
      <c r="AL834" s="76"/>
      <c r="AM834" s="75"/>
      <c r="AN834" s="76"/>
      <c r="AO834" s="95"/>
      <c r="AP834" s="96"/>
      <c r="AQ834" s="85" t="str">
        <f t="shared" si="6"/>
        <v/>
      </c>
      <c r="AR834" s="86" t="str">
        <f t="array" ref="AR834">IF(A834="","",IFERROR(INDEX('2) Etapas'!L$3:L923,MATCH(B834,'2) Etapas'!$A$4:$A923,0),1),-1))</f>
        <v/>
      </c>
      <c r="AS834" s="87" t="str">
        <f t="shared" si="7"/>
        <v/>
      </c>
      <c r="AT834" s="87" t="str">
        <f t="shared" si="8"/>
        <v/>
      </c>
      <c r="AU834" s="87" t="str">
        <f t="shared" si="9"/>
        <v/>
      </c>
      <c r="AV834" s="89" t="str">
        <f t="array" ref="AV834">IF(OR($A834="",$AB834="", $AC834=""),"",MAXA(IF($A834=$A$4:$A923,$AC$4:$AC923)))</f>
        <v/>
      </c>
    </row>
    <row r="835" ht="22.5" customHeight="1">
      <c r="A835" s="76"/>
      <c r="B835" s="68" t="str">
        <f t="shared" si="1"/>
        <v/>
      </c>
      <c r="C835" s="110"/>
      <c r="D835" s="70" t="str">
        <f t="shared" si="2"/>
        <v/>
      </c>
      <c r="E835" s="76"/>
      <c r="F835" s="68" t="str">
        <f t="array" ref="F835">IF($A835="","",IFERROR(INDEX(MA_INDIVIDUALES!C$2:C923, MATCH($A835,MA_INDIVIDUALES!$B$2:$B923,0),1),"CÓDIGO DE EXPEDIENTE INVÁLIDO"))</f>
        <v/>
      </c>
      <c r="G835" s="68" t="str">
        <f t="array" ref="G835">IF($A835="","",IFERROR(INDEX(MA_INDIVIDUALES!K$2:K923, MATCH($A835,MA_INDIVIDUALES!$B$2:$B923,0),1),"CÓDIGO DE EXPEDIENTE INVÁLIDO"))</f>
        <v/>
      </c>
      <c r="H835" s="68" t="str">
        <f t="array" ref="H835">IF($A835="","",IFERROR(INDEX(MA_INDIVIDUALES!L$2:L923, MATCH($A835,MA_INDIVIDUALES!$B$2:$B923,0),1),"CÓDIGO DE EXPEDIENTE INVÁLIDO"))</f>
        <v/>
      </c>
      <c r="I835" s="76"/>
      <c r="J835" s="76"/>
      <c r="K835" s="75"/>
      <c r="L835" s="74" t="str">
        <f>IF(A835="","",IF(K835="","",_xlfn.WORKDAY.INTL(K835,5,1,FERIADOS)))</f>
        <v/>
      </c>
      <c r="M835" s="76"/>
      <c r="N835" s="75"/>
      <c r="O835" s="76"/>
      <c r="P835" s="77" t="str">
        <f t="shared" si="3"/>
        <v/>
      </c>
      <c r="Q835" s="75"/>
      <c r="R835" s="76"/>
      <c r="S835" s="75"/>
      <c r="T835" s="75"/>
      <c r="U835" s="76"/>
      <c r="V835" s="76"/>
      <c r="W835" s="75"/>
      <c r="X835" s="76"/>
      <c r="Y835" s="29" t="str">
        <f t="shared" si="4"/>
        <v/>
      </c>
      <c r="Z835" s="29" t="str">
        <f t="shared" si="5"/>
        <v/>
      </c>
      <c r="AA835" s="76"/>
      <c r="AB835" s="76"/>
      <c r="AC835" s="75"/>
      <c r="AD835" s="75"/>
      <c r="AE835" s="78" t="str">
        <f>IF(U835="","",IF(AD835="","",_xlfn.WORKDAY.INTL(AD835,7,1,FERIADOS)))</f>
        <v/>
      </c>
      <c r="AF835" s="104"/>
      <c r="AG835" s="80" t="str">
        <f t="array" ref="AG835">IF(A835="","",IF(AF835="","",AF835*INDEX(PARAMETROS!F$2:F1898,MATCH(YEAR(AC835),PARAMETROS!E$2:E1898,0),1)))</f>
        <v/>
      </c>
      <c r="AH835" s="81"/>
      <c r="AI835" s="82"/>
      <c r="AJ835" s="81"/>
      <c r="AK835" s="81"/>
      <c r="AL835" s="76"/>
      <c r="AM835" s="75"/>
      <c r="AN835" s="76"/>
      <c r="AO835" s="95"/>
      <c r="AP835" s="96"/>
      <c r="AQ835" s="85" t="str">
        <f t="shared" si="6"/>
        <v/>
      </c>
      <c r="AR835" s="86" t="str">
        <f t="array" ref="AR835">IF(A835="","",IFERROR(INDEX('2) Etapas'!L$3:L923,MATCH(B835,'2) Etapas'!$A$4:$A923,0),1),-1))</f>
        <v/>
      </c>
      <c r="AS835" s="87" t="str">
        <f t="shared" si="7"/>
        <v/>
      </c>
      <c r="AT835" s="87" t="str">
        <f t="shared" si="8"/>
        <v/>
      </c>
      <c r="AU835" s="87" t="str">
        <f t="shared" si="9"/>
        <v/>
      </c>
      <c r="AV835" s="89" t="str">
        <f t="array" ref="AV835">IF(OR($A835="",$AB835="", $AC835=""),"",MAXA(IF($A835=$A$4:$A923,$AC$4:$AC923)))</f>
        <v/>
      </c>
    </row>
    <row r="836" ht="22.5" customHeight="1">
      <c r="A836" s="76"/>
      <c r="B836" s="68" t="str">
        <f t="shared" si="1"/>
        <v/>
      </c>
      <c r="C836" s="110"/>
      <c r="D836" s="70" t="str">
        <f t="shared" si="2"/>
        <v/>
      </c>
      <c r="E836" s="76"/>
      <c r="F836" s="68" t="str">
        <f t="array" ref="F836">IF($A836="","",IFERROR(INDEX(MA_INDIVIDUALES!C$2:C923, MATCH($A836,MA_INDIVIDUALES!$B$2:$B923,0),1),"CÓDIGO DE EXPEDIENTE INVÁLIDO"))</f>
        <v/>
      </c>
      <c r="G836" s="68" t="str">
        <f t="array" ref="G836">IF($A836="","",IFERROR(INDEX(MA_INDIVIDUALES!K$2:K923, MATCH($A836,MA_INDIVIDUALES!$B$2:$B923,0),1),"CÓDIGO DE EXPEDIENTE INVÁLIDO"))</f>
        <v/>
      </c>
      <c r="H836" s="68" t="str">
        <f t="array" ref="H836">IF($A836="","",IFERROR(INDEX(MA_INDIVIDUALES!L$2:L923, MATCH($A836,MA_INDIVIDUALES!$B$2:$B923,0),1),"CÓDIGO DE EXPEDIENTE INVÁLIDO"))</f>
        <v/>
      </c>
      <c r="I836" s="76"/>
      <c r="J836" s="76"/>
      <c r="K836" s="75"/>
      <c r="L836" s="74" t="str">
        <f>IF(A836="","",IF(K836="","",_xlfn.WORKDAY.INTL(K836,5,1,FERIADOS)))</f>
        <v/>
      </c>
      <c r="M836" s="76"/>
      <c r="N836" s="75"/>
      <c r="O836" s="76"/>
      <c r="P836" s="77" t="str">
        <f t="shared" si="3"/>
        <v/>
      </c>
      <c r="Q836" s="75"/>
      <c r="R836" s="76"/>
      <c r="S836" s="75"/>
      <c r="T836" s="75"/>
      <c r="U836" s="76"/>
      <c r="V836" s="76"/>
      <c r="W836" s="75"/>
      <c r="X836" s="76"/>
      <c r="Y836" s="29" t="str">
        <f t="shared" si="4"/>
        <v/>
      </c>
      <c r="Z836" s="29" t="str">
        <f t="shared" si="5"/>
        <v/>
      </c>
      <c r="AA836" s="76"/>
      <c r="AB836" s="76"/>
      <c r="AC836" s="75"/>
      <c r="AD836" s="75"/>
      <c r="AE836" s="78" t="str">
        <f>IF(U836="","",IF(AD836="","",_xlfn.WORKDAY.INTL(AD836,7,1,FERIADOS)))</f>
        <v/>
      </c>
      <c r="AF836" s="104"/>
      <c r="AG836" s="80" t="str">
        <f t="array" ref="AG836">IF(A836="","",IF(AF836="","",AF836*INDEX(PARAMETROS!F$2:F1899,MATCH(YEAR(AC836),PARAMETROS!E$2:E1899,0),1)))</f>
        <v/>
      </c>
      <c r="AH836" s="81"/>
      <c r="AI836" s="82"/>
      <c r="AJ836" s="81"/>
      <c r="AK836" s="81"/>
      <c r="AL836" s="76"/>
      <c r="AM836" s="75"/>
      <c r="AN836" s="76"/>
      <c r="AO836" s="95"/>
      <c r="AP836" s="96"/>
      <c r="AQ836" s="85" t="str">
        <f t="shared" si="6"/>
        <v/>
      </c>
      <c r="AR836" s="86" t="str">
        <f t="array" ref="AR836">IF(A836="","",IFERROR(INDEX('2) Etapas'!L$3:L923,MATCH(B836,'2) Etapas'!$A$4:$A923,0),1),-1))</f>
        <v/>
      </c>
      <c r="AS836" s="87" t="str">
        <f t="shared" si="7"/>
        <v/>
      </c>
      <c r="AT836" s="87" t="str">
        <f t="shared" si="8"/>
        <v/>
      </c>
      <c r="AU836" s="87" t="str">
        <f t="shared" si="9"/>
        <v/>
      </c>
      <c r="AV836" s="89" t="str">
        <f t="array" ref="AV836">IF(OR($A836="",$AB836="", $AC836=""),"",MAXA(IF($A836=$A$4:$A923,$AC$4:$AC923)))</f>
        <v/>
      </c>
    </row>
    <row r="837" ht="22.5" customHeight="1">
      <c r="A837" s="76"/>
      <c r="B837" s="68" t="str">
        <f t="shared" si="1"/>
        <v/>
      </c>
      <c r="C837" s="110"/>
      <c r="D837" s="70" t="str">
        <f t="shared" si="2"/>
        <v/>
      </c>
      <c r="E837" s="76"/>
      <c r="F837" s="68" t="str">
        <f t="array" ref="F837">IF($A837="","",IFERROR(INDEX(MA_INDIVIDUALES!C$2:C923, MATCH($A837,MA_INDIVIDUALES!$B$2:$B923,0),1),"CÓDIGO DE EXPEDIENTE INVÁLIDO"))</f>
        <v/>
      </c>
      <c r="G837" s="68" t="str">
        <f t="array" ref="G837">IF($A837="","",IFERROR(INDEX(MA_INDIVIDUALES!K$2:K923, MATCH($A837,MA_INDIVIDUALES!$B$2:$B923,0),1),"CÓDIGO DE EXPEDIENTE INVÁLIDO"))</f>
        <v/>
      </c>
      <c r="H837" s="68" t="str">
        <f t="array" ref="H837">IF($A837="","",IFERROR(INDEX(MA_INDIVIDUALES!L$2:L923, MATCH($A837,MA_INDIVIDUALES!$B$2:$B923,0),1),"CÓDIGO DE EXPEDIENTE INVÁLIDO"))</f>
        <v/>
      </c>
      <c r="I837" s="76"/>
      <c r="J837" s="76"/>
      <c r="K837" s="75"/>
      <c r="L837" s="74" t="str">
        <f>IF(A837="","",IF(K837="","",_xlfn.WORKDAY.INTL(K837,5,1,FERIADOS)))</f>
        <v/>
      </c>
      <c r="M837" s="76"/>
      <c r="N837" s="75"/>
      <c r="O837" s="76"/>
      <c r="P837" s="77" t="str">
        <f t="shared" si="3"/>
        <v/>
      </c>
      <c r="Q837" s="75"/>
      <c r="R837" s="76"/>
      <c r="S837" s="75"/>
      <c r="T837" s="75"/>
      <c r="U837" s="76"/>
      <c r="V837" s="76"/>
      <c r="W837" s="75"/>
      <c r="X837" s="76"/>
      <c r="Y837" s="29" t="str">
        <f t="shared" si="4"/>
        <v/>
      </c>
      <c r="Z837" s="29" t="str">
        <f t="shared" si="5"/>
        <v/>
      </c>
      <c r="AA837" s="76"/>
      <c r="AB837" s="76"/>
      <c r="AC837" s="75"/>
      <c r="AD837" s="75"/>
      <c r="AE837" s="78" t="str">
        <f>IF(U837="","",IF(AD837="","",_xlfn.WORKDAY.INTL(AD837,7,1,FERIADOS)))</f>
        <v/>
      </c>
      <c r="AF837" s="104"/>
      <c r="AG837" s="80" t="str">
        <f t="array" ref="AG837">IF(A837="","",IF(AF837="","",AF837*INDEX(PARAMETROS!F$2:F1900,MATCH(YEAR(AC837),PARAMETROS!E$2:E1900,0),1)))</f>
        <v/>
      </c>
      <c r="AH837" s="81"/>
      <c r="AI837" s="82"/>
      <c r="AJ837" s="81"/>
      <c r="AK837" s="81"/>
      <c r="AL837" s="76"/>
      <c r="AM837" s="75"/>
      <c r="AN837" s="76"/>
      <c r="AO837" s="95"/>
      <c r="AP837" s="96"/>
      <c r="AQ837" s="85" t="str">
        <f t="shared" si="6"/>
        <v/>
      </c>
      <c r="AR837" s="86" t="str">
        <f t="array" ref="AR837">IF(A837="","",IFERROR(INDEX('2) Etapas'!L$3:L923,MATCH(B837,'2) Etapas'!$A$4:$A923,0),1),-1))</f>
        <v/>
      </c>
      <c r="AS837" s="87" t="str">
        <f t="shared" si="7"/>
        <v/>
      </c>
      <c r="AT837" s="87" t="str">
        <f t="shared" si="8"/>
        <v/>
      </c>
      <c r="AU837" s="87" t="str">
        <f t="shared" si="9"/>
        <v/>
      </c>
      <c r="AV837" s="89" t="str">
        <f t="array" ref="AV837">IF(OR($A837="",$AB837="", $AC837=""),"",MAXA(IF($A837=$A$4:$A923,$AC$4:$AC923)))</f>
        <v/>
      </c>
    </row>
    <row r="838" ht="22.5" customHeight="1">
      <c r="A838" s="76"/>
      <c r="B838" s="68" t="str">
        <f t="shared" si="1"/>
        <v/>
      </c>
      <c r="C838" s="110"/>
      <c r="D838" s="70" t="str">
        <f t="shared" si="2"/>
        <v/>
      </c>
      <c r="E838" s="76"/>
      <c r="F838" s="68" t="str">
        <f t="array" ref="F838">IF($A838="","",IFERROR(INDEX(MA_INDIVIDUALES!C$2:C923, MATCH($A838,MA_INDIVIDUALES!$B$2:$B923,0),1),"CÓDIGO DE EXPEDIENTE INVÁLIDO"))</f>
        <v/>
      </c>
      <c r="G838" s="68" t="str">
        <f t="array" ref="G838">IF($A838="","",IFERROR(INDEX(MA_INDIVIDUALES!K$2:K923, MATCH($A838,MA_INDIVIDUALES!$B$2:$B923,0),1),"CÓDIGO DE EXPEDIENTE INVÁLIDO"))</f>
        <v/>
      </c>
      <c r="H838" s="68" t="str">
        <f t="array" ref="H838">IF($A838="","",IFERROR(INDEX(MA_INDIVIDUALES!L$2:L923, MATCH($A838,MA_INDIVIDUALES!$B$2:$B923,0),1),"CÓDIGO DE EXPEDIENTE INVÁLIDO"))</f>
        <v/>
      </c>
      <c r="I838" s="76"/>
      <c r="J838" s="76"/>
      <c r="K838" s="75"/>
      <c r="L838" s="74" t="str">
        <f>IF(A838="","",IF(K838="","",_xlfn.WORKDAY.INTL(K838,5,1,FERIADOS)))</f>
        <v/>
      </c>
      <c r="M838" s="76"/>
      <c r="N838" s="75"/>
      <c r="O838" s="76"/>
      <c r="P838" s="77" t="str">
        <f t="shared" si="3"/>
        <v/>
      </c>
      <c r="Q838" s="75"/>
      <c r="R838" s="76"/>
      <c r="S838" s="75"/>
      <c r="T838" s="75"/>
      <c r="U838" s="76"/>
      <c r="V838" s="76"/>
      <c r="W838" s="75"/>
      <c r="X838" s="76"/>
      <c r="Y838" s="29" t="str">
        <f t="shared" si="4"/>
        <v/>
      </c>
      <c r="Z838" s="29" t="str">
        <f t="shared" si="5"/>
        <v/>
      </c>
      <c r="AA838" s="76"/>
      <c r="AB838" s="76"/>
      <c r="AC838" s="75"/>
      <c r="AD838" s="75"/>
      <c r="AE838" s="78" t="str">
        <f>IF(U838="","",IF(AD838="","",_xlfn.WORKDAY.INTL(AD838,7,1,FERIADOS)))</f>
        <v/>
      </c>
      <c r="AF838" s="104"/>
      <c r="AG838" s="80" t="str">
        <f t="array" ref="AG838">IF(A838="","",IF(AF838="","",AF838*INDEX(PARAMETROS!F$2:F1901,MATCH(YEAR(AC838),PARAMETROS!E$2:E1901,0),1)))</f>
        <v/>
      </c>
      <c r="AH838" s="81"/>
      <c r="AI838" s="82"/>
      <c r="AJ838" s="81"/>
      <c r="AK838" s="81"/>
      <c r="AL838" s="76"/>
      <c r="AM838" s="75"/>
      <c r="AN838" s="76"/>
      <c r="AO838" s="95"/>
      <c r="AP838" s="96"/>
      <c r="AQ838" s="85" t="str">
        <f t="shared" si="6"/>
        <v/>
      </c>
      <c r="AR838" s="86" t="str">
        <f t="array" ref="AR838">IF(A838="","",IFERROR(INDEX('2) Etapas'!L$3:L923,MATCH(B838,'2) Etapas'!$A$4:$A923,0),1),-1))</f>
        <v/>
      </c>
      <c r="AS838" s="87" t="str">
        <f t="shared" si="7"/>
        <v/>
      </c>
      <c r="AT838" s="87" t="str">
        <f t="shared" si="8"/>
        <v/>
      </c>
      <c r="AU838" s="87" t="str">
        <f t="shared" si="9"/>
        <v/>
      </c>
      <c r="AV838" s="89" t="str">
        <f t="array" ref="AV838">IF(OR($A838="",$AB838="", $AC838=""),"",MAXA(IF($A838=$A$4:$A923,$AC$4:$AC923)))</f>
        <v/>
      </c>
    </row>
    <row r="839" ht="22.5" customHeight="1">
      <c r="A839" s="76"/>
      <c r="B839" s="68" t="str">
        <f t="shared" si="1"/>
        <v/>
      </c>
      <c r="C839" s="110"/>
      <c r="D839" s="70" t="str">
        <f t="shared" si="2"/>
        <v/>
      </c>
      <c r="E839" s="76"/>
      <c r="F839" s="68" t="str">
        <f t="array" ref="F839">IF($A839="","",IFERROR(INDEX(MA_INDIVIDUALES!C$2:C923, MATCH($A839,MA_INDIVIDUALES!$B$2:$B923,0),1),"CÓDIGO DE EXPEDIENTE INVÁLIDO"))</f>
        <v/>
      </c>
      <c r="G839" s="68" t="str">
        <f t="array" ref="G839">IF($A839="","",IFERROR(INDEX(MA_INDIVIDUALES!K$2:K923, MATCH($A839,MA_INDIVIDUALES!$B$2:$B923,0),1),"CÓDIGO DE EXPEDIENTE INVÁLIDO"))</f>
        <v/>
      </c>
      <c r="H839" s="68" t="str">
        <f t="array" ref="H839">IF($A839="","",IFERROR(INDEX(MA_INDIVIDUALES!L$2:L923, MATCH($A839,MA_INDIVIDUALES!$B$2:$B923,0),1),"CÓDIGO DE EXPEDIENTE INVÁLIDO"))</f>
        <v/>
      </c>
      <c r="I839" s="76"/>
      <c r="J839" s="76"/>
      <c r="K839" s="75"/>
      <c r="L839" s="74" t="str">
        <f>IF(A839="","",IF(K839="","",_xlfn.WORKDAY.INTL(K839,5,1,FERIADOS)))</f>
        <v/>
      </c>
      <c r="M839" s="76"/>
      <c r="N839" s="75"/>
      <c r="O839" s="76"/>
      <c r="P839" s="77" t="str">
        <f t="shared" si="3"/>
        <v/>
      </c>
      <c r="Q839" s="75"/>
      <c r="R839" s="76"/>
      <c r="S839" s="75"/>
      <c r="T839" s="75"/>
      <c r="U839" s="76"/>
      <c r="V839" s="76"/>
      <c r="W839" s="75"/>
      <c r="X839" s="76"/>
      <c r="Y839" s="29" t="str">
        <f t="shared" si="4"/>
        <v/>
      </c>
      <c r="Z839" s="29" t="str">
        <f t="shared" si="5"/>
        <v/>
      </c>
      <c r="AA839" s="76"/>
      <c r="AB839" s="76"/>
      <c r="AC839" s="75"/>
      <c r="AD839" s="75"/>
      <c r="AE839" s="78" t="str">
        <f>IF(U839="","",IF(AD839="","",_xlfn.WORKDAY.INTL(AD839,7,1,FERIADOS)))</f>
        <v/>
      </c>
      <c r="AF839" s="104"/>
      <c r="AG839" s="80" t="str">
        <f t="array" ref="AG839">IF(A839="","",IF(AF839="","",AF839*INDEX(PARAMETROS!F$2:F1902,MATCH(YEAR(AC839),PARAMETROS!E$2:E1902,0),1)))</f>
        <v/>
      </c>
      <c r="AH839" s="81"/>
      <c r="AI839" s="82"/>
      <c r="AJ839" s="81"/>
      <c r="AK839" s="81"/>
      <c r="AL839" s="76"/>
      <c r="AM839" s="75"/>
      <c r="AN839" s="76"/>
      <c r="AO839" s="95"/>
      <c r="AP839" s="96"/>
      <c r="AQ839" s="85" t="str">
        <f t="shared" si="6"/>
        <v/>
      </c>
      <c r="AR839" s="86" t="str">
        <f t="array" ref="AR839">IF(A839="","",IFERROR(INDEX('2) Etapas'!L$3:L923,MATCH(B839,'2) Etapas'!$A$4:$A923,0),1),-1))</f>
        <v/>
      </c>
      <c r="AS839" s="87" t="str">
        <f t="shared" si="7"/>
        <v/>
      </c>
      <c r="AT839" s="87" t="str">
        <f t="shared" si="8"/>
        <v/>
      </c>
      <c r="AU839" s="87" t="str">
        <f t="shared" si="9"/>
        <v/>
      </c>
      <c r="AV839" s="89" t="str">
        <f t="array" ref="AV839">IF(OR($A839="",$AB839="", $AC839=""),"",MAXA(IF($A839=$A$4:$A923,$AC$4:$AC923)))</f>
        <v/>
      </c>
    </row>
    <row r="840" ht="22.5" customHeight="1">
      <c r="A840" s="76"/>
      <c r="B840" s="68" t="str">
        <f t="shared" si="1"/>
        <v/>
      </c>
      <c r="C840" s="110"/>
      <c r="D840" s="70" t="str">
        <f t="shared" si="2"/>
        <v/>
      </c>
      <c r="E840" s="76"/>
      <c r="F840" s="68" t="str">
        <f t="array" ref="F840">IF($A840="","",IFERROR(INDEX(MA_INDIVIDUALES!C$2:C923, MATCH($A840,MA_INDIVIDUALES!$B$2:$B923,0),1),"CÓDIGO DE EXPEDIENTE INVÁLIDO"))</f>
        <v/>
      </c>
      <c r="G840" s="68" t="str">
        <f t="array" ref="G840">IF($A840="","",IFERROR(INDEX(MA_INDIVIDUALES!K$2:K923, MATCH($A840,MA_INDIVIDUALES!$B$2:$B923,0),1),"CÓDIGO DE EXPEDIENTE INVÁLIDO"))</f>
        <v/>
      </c>
      <c r="H840" s="68" t="str">
        <f t="array" ref="H840">IF($A840="","",IFERROR(INDEX(MA_INDIVIDUALES!L$2:L923, MATCH($A840,MA_INDIVIDUALES!$B$2:$B923,0),1),"CÓDIGO DE EXPEDIENTE INVÁLIDO"))</f>
        <v/>
      </c>
      <c r="I840" s="76"/>
      <c r="J840" s="76"/>
      <c r="K840" s="75"/>
      <c r="L840" s="74" t="str">
        <f>IF(A840="","",IF(K840="","",_xlfn.WORKDAY.INTL(K840,5,1,FERIADOS)))</f>
        <v/>
      </c>
      <c r="M840" s="76"/>
      <c r="N840" s="75"/>
      <c r="O840" s="76"/>
      <c r="P840" s="77" t="str">
        <f t="shared" si="3"/>
        <v/>
      </c>
      <c r="Q840" s="75"/>
      <c r="R840" s="76"/>
      <c r="S840" s="75"/>
      <c r="T840" s="75"/>
      <c r="U840" s="76"/>
      <c r="V840" s="76"/>
      <c r="W840" s="75"/>
      <c r="X840" s="76"/>
      <c r="Y840" s="29" t="str">
        <f t="shared" si="4"/>
        <v/>
      </c>
      <c r="Z840" s="29" t="str">
        <f t="shared" si="5"/>
        <v/>
      </c>
      <c r="AA840" s="76"/>
      <c r="AB840" s="76"/>
      <c r="AC840" s="75"/>
      <c r="AD840" s="75"/>
      <c r="AE840" s="78" t="str">
        <f>IF(U840="","",IF(AD840="","",_xlfn.WORKDAY.INTL(AD840,7,1,FERIADOS)))</f>
        <v/>
      </c>
      <c r="AF840" s="104"/>
      <c r="AG840" s="80" t="str">
        <f t="array" ref="AG840">IF(A840="","",IF(AF840="","",AF840*INDEX(PARAMETROS!F$2:F1903,MATCH(YEAR(AC840),PARAMETROS!E$2:E1903,0),1)))</f>
        <v/>
      </c>
      <c r="AH840" s="81"/>
      <c r="AI840" s="82"/>
      <c r="AJ840" s="81"/>
      <c r="AK840" s="81"/>
      <c r="AL840" s="76"/>
      <c r="AM840" s="75"/>
      <c r="AN840" s="76"/>
      <c r="AO840" s="95"/>
      <c r="AP840" s="96"/>
      <c r="AQ840" s="85" t="str">
        <f t="shared" si="6"/>
        <v/>
      </c>
      <c r="AR840" s="86" t="str">
        <f t="array" ref="AR840">IF(A840="","",IFERROR(INDEX('2) Etapas'!L$3:L923,MATCH(B840,'2) Etapas'!$A$4:$A923,0),1),-1))</f>
        <v/>
      </c>
      <c r="AS840" s="87" t="str">
        <f t="shared" si="7"/>
        <v/>
      </c>
      <c r="AT840" s="87" t="str">
        <f t="shared" si="8"/>
        <v/>
      </c>
      <c r="AU840" s="87" t="str">
        <f t="shared" si="9"/>
        <v/>
      </c>
      <c r="AV840" s="89" t="str">
        <f t="array" ref="AV840">IF(OR($A840="",$AB840="", $AC840=""),"",MAXA(IF($A840=$A$4:$A923,$AC$4:$AC923)))</f>
        <v/>
      </c>
    </row>
    <row r="841" ht="22.5" customHeight="1">
      <c r="A841" s="76"/>
      <c r="B841" s="68" t="str">
        <f t="shared" si="1"/>
        <v/>
      </c>
      <c r="C841" s="110"/>
      <c r="D841" s="70" t="str">
        <f t="shared" si="2"/>
        <v/>
      </c>
      <c r="E841" s="76"/>
      <c r="F841" s="68" t="str">
        <f t="array" ref="F841">IF($A841="","",IFERROR(INDEX(MA_INDIVIDUALES!C$2:C923, MATCH($A841,MA_INDIVIDUALES!$B$2:$B923,0),1),"CÓDIGO DE EXPEDIENTE INVÁLIDO"))</f>
        <v/>
      </c>
      <c r="G841" s="68" t="str">
        <f t="array" ref="G841">IF($A841="","",IFERROR(INDEX(MA_INDIVIDUALES!K$2:K923, MATCH($A841,MA_INDIVIDUALES!$B$2:$B923,0),1),"CÓDIGO DE EXPEDIENTE INVÁLIDO"))</f>
        <v/>
      </c>
      <c r="H841" s="68" t="str">
        <f t="array" ref="H841">IF($A841="","",IFERROR(INDEX(MA_INDIVIDUALES!L$2:L923, MATCH($A841,MA_INDIVIDUALES!$B$2:$B923,0),1),"CÓDIGO DE EXPEDIENTE INVÁLIDO"))</f>
        <v/>
      </c>
      <c r="I841" s="76"/>
      <c r="J841" s="76"/>
      <c r="K841" s="75"/>
      <c r="L841" s="74" t="str">
        <f>IF(A841="","",IF(K841="","",_xlfn.WORKDAY.INTL(K841,5,1,FERIADOS)))</f>
        <v/>
      </c>
      <c r="M841" s="76"/>
      <c r="N841" s="75"/>
      <c r="O841" s="76"/>
      <c r="P841" s="77" t="str">
        <f t="shared" si="3"/>
        <v/>
      </c>
      <c r="Q841" s="75"/>
      <c r="R841" s="76"/>
      <c r="S841" s="75"/>
      <c r="T841" s="75"/>
      <c r="U841" s="76"/>
      <c r="V841" s="76"/>
      <c r="W841" s="75"/>
      <c r="X841" s="76"/>
      <c r="Y841" s="29" t="str">
        <f t="shared" si="4"/>
        <v/>
      </c>
      <c r="Z841" s="29" t="str">
        <f t="shared" si="5"/>
        <v/>
      </c>
      <c r="AA841" s="76"/>
      <c r="AB841" s="76"/>
      <c r="AC841" s="75"/>
      <c r="AD841" s="75"/>
      <c r="AE841" s="78" t="str">
        <f>IF(U841="","",IF(AD841="","",_xlfn.WORKDAY.INTL(AD841,7,1,FERIADOS)))</f>
        <v/>
      </c>
      <c r="AF841" s="104"/>
      <c r="AG841" s="80" t="str">
        <f t="array" ref="AG841">IF(A841="","",IF(AF841="","",AF841*INDEX(PARAMETROS!F$2:F1904,MATCH(YEAR(AC841),PARAMETROS!E$2:E1904,0),1)))</f>
        <v/>
      </c>
      <c r="AH841" s="81"/>
      <c r="AI841" s="82"/>
      <c r="AJ841" s="81"/>
      <c r="AK841" s="81"/>
      <c r="AL841" s="76"/>
      <c r="AM841" s="75"/>
      <c r="AN841" s="76"/>
      <c r="AO841" s="95"/>
      <c r="AP841" s="96"/>
      <c r="AQ841" s="85" t="str">
        <f t="shared" si="6"/>
        <v/>
      </c>
      <c r="AR841" s="86" t="str">
        <f t="array" ref="AR841">IF(A841="","",IFERROR(INDEX('2) Etapas'!L$3:L923,MATCH(B841,'2) Etapas'!$A$4:$A923,0),1),-1))</f>
        <v/>
      </c>
      <c r="AS841" s="87" t="str">
        <f t="shared" si="7"/>
        <v/>
      </c>
      <c r="AT841" s="87" t="str">
        <f t="shared" si="8"/>
        <v/>
      </c>
      <c r="AU841" s="87" t="str">
        <f t="shared" si="9"/>
        <v/>
      </c>
      <c r="AV841" s="89" t="str">
        <f t="array" ref="AV841">IF(OR($A841="",$AB841="", $AC841=""),"",MAXA(IF($A841=$A$4:$A923,$AC$4:$AC923)))</f>
        <v/>
      </c>
    </row>
    <row r="842" ht="22.5" customHeight="1">
      <c r="A842" s="76"/>
      <c r="B842" s="68" t="str">
        <f t="shared" si="1"/>
        <v/>
      </c>
      <c r="C842" s="110"/>
      <c r="D842" s="70" t="str">
        <f t="shared" si="2"/>
        <v/>
      </c>
      <c r="E842" s="76"/>
      <c r="F842" s="68" t="str">
        <f t="array" ref="F842">IF($A842="","",IFERROR(INDEX(MA_INDIVIDUALES!C$2:C923, MATCH($A842,MA_INDIVIDUALES!$B$2:$B923,0),1),"CÓDIGO DE EXPEDIENTE INVÁLIDO"))</f>
        <v/>
      </c>
      <c r="G842" s="68" t="str">
        <f t="array" ref="G842">IF($A842="","",IFERROR(INDEX(MA_INDIVIDUALES!K$2:K923, MATCH($A842,MA_INDIVIDUALES!$B$2:$B923,0),1),"CÓDIGO DE EXPEDIENTE INVÁLIDO"))</f>
        <v/>
      </c>
      <c r="H842" s="68" t="str">
        <f t="array" ref="H842">IF($A842="","",IFERROR(INDEX(MA_INDIVIDUALES!L$2:L923, MATCH($A842,MA_INDIVIDUALES!$B$2:$B923,0),1),"CÓDIGO DE EXPEDIENTE INVÁLIDO"))</f>
        <v/>
      </c>
      <c r="I842" s="76"/>
      <c r="J842" s="76"/>
      <c r="K842" s="75"/>
      <c r="L842" s="74" t="str">
        <f>IF(A842="","",IF(K842="","",_xlfn.WORKDAY.INTL(K842,5,1,FERIADOS)))</f>
        <v/>
      </c>
      <c r="M842" s="76"/>
      <c r="N842" s="75"/>
      <c r="O842" s="76"/>
      <c r="P842" s="77" t="str">
        <f t="shared" si="3"/>
        <v/>
      </c>
      <c r="Q842" s="75"/>
      <c r="R842" s="76"/>
      <c r="S842" s="75"/>
      <c r="T842" s="75"/>
      <c r="U842" s="76"/>
      <c r="V842" s="76"/>
      <c r="W842" s="75"/>
      <c r="X842" s="76"/>
      <c r="Y842" s="29" t="str">
        <f t="shared" si="4"/>
        <v/>
      </c>
      <c r="Z842" s="29" t="str">
        <f t="shared" si="5"/>
        <v/>
      </c>
      <c r="AA842" s="76"/>
      <c r="AB842" s="76"/>
      <c r="AC842" s="75"/>
      <c r="AD842" s="75"/>
      <c r="AE842" s="78" t="str">
        <f>IF(U842="","",IF(AD842="","",_xlfn.WORKDAY.INTL(AD842,7,1,FERIADOS)))</f>
        <v/>
      </c>
      <c r="AF842" s="104"/>
      <c r="AG842" s="80" t="str">
        <f t="array" ref="AG842">IF(A842="","",IF(AF842="","",AF842*INDEX(PARAMETROS!F$2:F1905,MATCH(YEAR(AC842),PARAMETROS!E$2:E1905,0),1)))</f>
        <v/>
      </c>
      <c r="AH842" s="81"/>
      <c r="AI842" s="82"/>
      <c r="AJ842" s="81"/>
      <c r="AK842" s="81"/>
      <c r="AL842" s="76"/>
      <c r="AM842" s="75"/>
      <c r="AN842" s="76"/>
      <c r="AO842" s="95"/>
      <c r="AP842" s="96"/>
      <c r="AQ842" s="85" t="str">
        <f t="shared" si="6"/>
        <v/>
      </c>
      <c r="AR842" s="86" t="str">
        <f t="array" ref="AR842">IF(A842="","",IFERROR(INDEX('2) Etapas'!L$3:L923,MATCH(B842,'2) Etapas'!$A$4:$A923,0),1),-1))</f>
        <v/>
      </c>
      <c r="AS842" s="87" t="str">
        <f t="shared" si="7"/>
        <v/>
      </c>
      <c r="AT842" s="87" t="str">
        <f t="shared" si="8"/>
        <v/>
      </c>
      <c r="AU842" s="87" t="str">
        <f t="shared" si="9"/>
        <v/>
      </c>
      <c r="AV842" s="89" t="str">
        <f t="array" ref="AV842">IF(OR($A842="",$AB842="", $AC842=""),"",MAXA(IF($A842=$A$4:$A923,$AC$4:$AC923)))</f>
        <v/>
      </c>
    </row>
    <row r="843" ht="22.5" customHeight="1">
      <c r="A843" s="76"/>
      <c r="B843" s="68" t="str">
        <f t="shared" si="1"/>
        <v/>
      </c>
      <c r="C843" s="110"/>
      <c r="D843" s="70" t="str">
        <f t="shared" si="2"/>
        <v/>
      </c>
      <c r="E843" s="76"/>
      <c r="F843" s="68" t="str">
        <f t="array" ref="F843">IF($A843="","",IFERROR(INDEX(MA_INDIVIDUALES!C$2:C923, MATCH($A843,MA_INDIVIDUALES!$B$2:$B923,0),1),"CÓDIGO DE EXPEDIENTE INVÁLIDO"))</f>
        <v/>
      </c>
      <c r="G843" s="68" t="str">
        <f t="array" ref="G843">IF($A843="","",IFERROR(INDEX(MA_INDIVIDUALES!K$2:K923, MATCH($A843,MA_INDIVIDUALES!$B$2:$B923,0),1),"CÓDIGO DE EXPEDIENTE INVÁLIDO"))</f>
        <v/>
      </c>
      <c r="H843" s="68" t="str">
        <f t="array" ref="H843">IF($A843="","",IFERROR(INDEX(MA_INDIVIDUALES!L$2:L923, MATCH($A843,MA_INDIVIDUALES!$B$2:$B923,0),1),"CÓDIGO DE EXPEDIENTE INVÁLIDO"))</f>
        <v/>
      </c>
      <c r="I843" s="76"/>
      <c r="J843" s="76"/>
      <c r="K843" s="75"/>
      <c r="L843" s="74" t="str">
        <f>IF(A843="","",IF(K843="","",_xlfn.WORKDAY.INTL(K843,5,1,FERIADOS)))</f>
        <v/>
      </c>
      <c r="M843" s="76"/>
      <c r="N843" s="75"/>
      <c r="O843" s="76"/>
      <c r="P843" s="77" t="str">
        <f t="shared" si="3"/>
        <v/>
      </c>
      <c r="Q843" s="75"/>
      <c r="R843" s="76"/>
      <c r="S843" s="75"/>
      <c r="T843" s="75"/>
      <c r="U843" s="76"/>
      <c r="V843" s="76"/>
      <c r="W843" s="75"/>
      <c r="X843" s="76"/>
      <c r="Y843" s="29" t="str">
        <f t="shared" si="4"/>
        <v/>
      </c>
      <c r="Z843" s="29" t="str">
        <f t="shared" si="5"/>
        <v/>
      </c>
      <c r="AA843" s="76"/>
      <c r="AB843" s="76"/>
      <c r="AC843" s="75"/>
      <c r="AD843" s="75"/>
      <c r="AE843" s="78" t="str">
        <f>IF(U843="","",IF(AD843="","",_xlfn.WORKDAY.INTL(AD843,7,1,FERIADOS)))</f>
        <v/>
      </c>
      <c r="AF843" s="104"/>
      <c r="AG843" s="80" t="str">
        <f t="array" ref="AG843">IF(A843="","",IF(AF843="","",AF843*INDEX(PARAMETROS!F$2:F1906,MATCH(YEAR(AC843),PARAMETROS!E$2:E1906,0),1)))</f>
        <v/>
      </c>
      <c r="AH843" s="81"/>
      <c r="AI843" s="82"/>
      <c r="AJ843" s="81"/>
      <c r="AK843" s="81"/>
      <c r="AL843" s="76"/>
      <c r="AM843" s="75"/>
      <c r="AN843" s="76"/>
      <c r="AO843" s="95"/>
      <c r="AP843" s="96"/>
      <c r="AQ843" s="85" t="str">
        <f t="shared" si="6"/>
        <v/>
      </c>
      <c r="AR843" s="86" t="str">
        <f t="array" ref="AR843">IF(A843="","",IFERROR(INDEX('2) Etapas'!L$3:L923,MATCH(B843,'2) Etapas'!$A$4:$A923,0),1),-1))</f>
        <v/>
      </c>
      <c r="AS843" s="87" t="str">
        <f t="shared" si="7"/>
        <v/>
      </c>
      <c r="AT843" s="87" t="str">
        <f t="shared" si="8"/>
        <v/>
      </c>
      <c r="AU843" s="87" t="str">
        <f t="shared" si="9"/>
        <v/>
      </c>
      <c r="AV843" s="89" t="str">
        <f t="array" ref="AV843">IF(OR($A843="",$AB843="", $AC843=""),"",MAXA(IF($A843=$A$4:$A923,$AC$4:$AC923)))</f>
        <v/>
      </c>
    </row>
    <row r="844" ht="22.5" customHeight="1">
      <c r="A844" s="76"/>
      <c r="B844" s="68" t="str">
        <f t="shared" si="1"/>
        <v/>
      </c>
      <c r="C844" s="110"/>
      <c r="D844" s="70" t="str">
        <f t="shared" si="2"/>
        <v/>
      </c>
      <c r="E844" s="76"/>
      <c r="F844" s="68" t="str">
        <f t="array" ref="F844">IF($A844="","",IFERROR(INDEX(MA_INDIVIDUALES!C$2:C923, MATCH($A844,MA_INDIVIDUALES!$B$2:$B923,0),1),"CÓDIGO DE EXPEDIENTE INVÁLIDO"))</f>
        <v/>
      </c>
      <c r="G844" s="68" t="str">
        <f t="array" ref="G844">IF($A844="","",IFERROR(INDEX(MA_INDIVIDUALES!K$2:K923, MATCH($A844,MA_INDIVIDUALES!$B$2:$B923,0),1),"CÓDIGO DE EXPEDIENTE INVÁLIDO"))</f>
        <v/>
      </c>
      <c r="H844" s="68" t="str">
        <f t="array" ref="H844">IF($A844="","",IFERROR(INDEX(MA_INDIVIDUALES!L$2:L923, MATCH($A844,MA_INDIVIDUALES!$B$2:$B923,0),1),"CÓDIGO DE EXPEDIENTE INVÁLIDO"))</f>
        <v/>
      </c>
      <c r="I844" s="76"/>
      <c r="J844" s="76"/>
      <c r="K844" s="75"/>
      <c r="L844" s="74" t="str">
        <f>IF(A844="","",IF(K844="","",_xlfn.WORKDAY.INTL(K844,5,1,FERIADOS)))</f>
        <v/>
      </c>
      <c r="M844" s="76"/>
      <c r="N844" s="75"/>
      <c r="O844" s="76"/>
      <c r="P844" s="77" t="str">
        <f t="shared" si="3"/>
        <v/>
      </c>
      <c r="Q844" s="75"/>
      <c r="R844" s="76"/>
      <c r="S844" s="75"/>
      <c r="T844" s="75"/>
      <c r="U844" s="76"/>
      <c r="V844" s="76"/>
      <c r="W844" s="75"/>
      <c r="X844" s="76"/>
      <c r="Y844" s="29" t="str">
        <f t="shared" si="4"/>
        <v/>
      </c>
      <c r="Z844" s="29" t="str">
        <f t="shared" si="5"/>
        <v/>
      </c>
      <c r="AA844" s="76"/>
      <c r="AB844" s="76"/>
      <c r="AC844" s="75"/>
      <c r="AD844" s="75"/>
      <c r="AE844" s="78" t="str">
        <f>IF(U844="","",IF(AD844="","",_xlfn.WORKDAY.INTL(AD844,7,1,FERIADOS)))</f>
        <v/>
      </c>
      <c r="AF844" s="104"/>
      <c r="AG844" s="80" t="str">
        <f t="array" ref="AG844">IF(A844="","",IF(AF844="","",AF844*INDEX(PARAMETROS!F$2:F1907,MATCH(YEAR(AC844),PARAMETROS!E$2:E1907,0),1)))</f>
        <v/>
      </c>
      <c r="AH844" s="81"/>
      <c r="AI844" s="82"/>
      <c r="AJ844" s="81"/>
      <c r="AK844" s="81"/>
      <c r="AL844" s="76"/>
      <c r="AM844" s="75"/>
      <c r="AN844" s="76"/>
      <c r="AO844" s="95"/>
      <c r="AP844" s="96"/>
      <c r="AQ844" s="85" t="str">
        <f t="shared" si="6"/>
        <v/>
      </c>
      <c r="AR844" s="86" t="str">
        <f t="array" ref="AR844">IF(A844="","",IFERROR(INDEX('2) Etapas'!L$3:L923,MATCH(B844,'2) Etapas'!$A$4:$A923,0),1),-1))</f>
        <v/>
      </c>
      <c r="AS844" s="87" t="str">
        <f t="shared" si="7"/>
        <v/>
      </c>
      <c r="AT844" s="87" t="str">
        <f t="shared" si="8"/>
        <v/>
      </c>
      <c r="AU844" s="87" t="str">
        <f t="shared" si="9"/>
        <v/>
      </c>
      <c r="AV844" s="89" t="str">
        <f t="array" ref="AV844">IF(OR($A844="",$AB844="", $AC844=""),"",MAXA(IF($A844=$A$4:$A923,$AC$4:$AC923)))</f>
        <v/>
      </c>
    </row>
    <row r="845" ht="22.5" customHeight="1">
      <c r="A845" s="76"/>
      <c r="B845" s="68" t="str">
        <f t="shared" si="1"/>
        <v/>
      </c>
      <c r="C845" s="110"/>
      <c r="D845" s="70" t="str">
        <f t="shared" si="2"/>
        <v/>
      </c>
      <c r="E845" s="76"/>
      <c r="F845" s="68" t="str">
        <f t="array" ref="F845">IF($A845="","",IFERROR(INDEX(MA_INDIVIDUALES!C$2:C923, MATCH($A845,MA_INDIVIDUALES!$B$2:$B923,0),1),"CÓDIGO DE EXPEDIENTE INVÁLIDO"))</f>
        <v/>
      </c>
      <c r="G845" s="68" t="str">
        <f t="array" ref="G845">IF($A845="","",IFERROR(INDEX(MA_INDIVIDUALES!K$2:K923, MATCH($A845,MA_INDIVIDUALES!$B$2:$B923,0),1),"CÓDIGO DE EXPEDIENTE INVÁLIDO"))</f>
        <v/>
      </c>
      <c r="H845" s="68" t="str">
        <f t="array" ref="H845">IF($A845="","",IFERROR(INDEX(MA_INDIVIDUALES!L$2:L923, MATCH($A845,MA_INDIVIDUALES!$B$2:$B923,0),1),"CÓDIGO DE EXPEDIENTE INVÁLIDO"))</f>
        <v/>
      </c>
      <c r="I845" s="76"/>
      <c r="J845" s="76"/>
      <c r="K845" s="75"/>
      <c r="L845" s="74" t="str">
        <f>IF(A845="","",IF(K845="","",_xlfn.WORKDAY.INTL(K845,5,1,FERIADOS)))</f>
        <v/>
      </c>
      <c r="M845" s="76"/>
      <c r="N845" s="75"/>
      <c r="O845" s="76"/>
      <c r="P845" s="77" t="str">
        <f t="shared" si="3"/>
        <v/>
      </c>
      <c r="Q845" s="75"/>
      <c r="R845" s="76"/>
      <c r="S845" s="75"/>
      <c r="T845" s="75"/>
      <c r="U845" s="76"/>
      <c r="V845" s="76"/>
      <c r="W845" s="75"/>
      <c r="X845" s="76"/>
      <c r="Y845" s="29" t="str">
        <f t="shared" si="4"/>
        <v/>
      </c>
      <c r="Z845" s="29" t="str">
        <f t="shared" si="5"/>
        <v/>
      </c>
      <c r="AA845" s="76"/>
      <c r="AB845" s="76"/>
      <c r="AC845" s="75"/>
      <c r="AD845" s="75"/>
      <c r="AE845" s="78" t="str">
        <f>IF(U845="","",IF(AD845="","",_xlfn.WORKDAY.INTL(AD845,7,1,FERIADOS)))</f>
        <v/>
      </c>
      <c r="AF845" s="104"/>
      <c r="AG845" s="80" t="str">
        <f t="array" ref="AG845">IF(A845="","",IF(AF845="","",AF845*INDEX(PARAMETROS!F$2:F1908,MATCH(YEAR(AC845),PARAMETROS!E$2:E1908,0),1)))</f>
        <v/>
      </c>
      <c r="AH845" s="81"/>
      <c r="AI845" s="82"/>
      <c r="AJ845" s="81"/>
      <c r="AK845" s="81"/>
      <c r="AL845" s="76"/>
      <c r="AM845" s="75"/>
      <c r="AN845" s="76"/>
      <c r="AO845" s="95"/>
      <c r="AP845" s="96"/>
      <c r="AQ845" s="85" t="str">
        <f t="shared" si="6"/>
        <v/>
      </c>
      <c r="AR845" s="86" t="str">
        <f t="array" ref="AR845">IF(A845="","",IFERROR(INDEX('2) Etapas'!L$3:L923,MATCH(B845,'2) Etapas'!$A$4:$A923,0),1),-1))</f>
        <v/>
      </c>
      <c r="AS845" s="87" t="str">
        <f t="shared" si="7"/>
        <v/>
      </c>
      <c r="AT845" s="87" t="str">
        <f t="shared" si="8"/>
        <v/>
      </c>
      <c r="AU845" s="87" t="str">
        <f t="shared" si="9"/>
        <v/>
      </c>
      <c r="AV845" s="89" t="str">
        <f t="array" ref="AV845">IF(OR($A845="",$AB845="", $AC845=""),"",MAXA(IF($A845=$A$4:$A923,$AC$4:$AC923)))</f>
        <v/>
      </c>
    </row>
    <row r="846" ht="22.5" customHeight="1">
      <c r="A846" s="76"/>
      <c r="B846" s="68" t="str">
        <f t="shared" si="1"/>
        <v/>
      </c>
      <c r="C846" s="110"/>
      <c r="D846" s="70" t="str">
        <f t="shared" si="2"/>
        <v/>
      </c>
      <c r="E846" s="76"/>
      <c r="F846" s="68" t="str">
        <f t="array" ref="F846">IF($A846="","",IFERROR(INDEX(MA_INDIVIDUALES!C$2:C923, MATCH($A846,MA_INDIVIDUALES!$B$2:$B923,0),1),"CÓDIGO DE EXPEDIENTE INVÁLIDO"))</f>
        <v/>
      </c>
      <c r="G846" s="68" t="str">
        <f t="array" ref="G846">IF($A846="","",IFERROR(INDEX(MA_INDIVIDUALES!K$2:K923, MATCH($A846,MA_INDIVIDUALES!$B$2:$B923,0),1),"CÓDIGO DE EXPEDIENTE INVÁLIDO"))</f>
        <v/>
      </c>
      <c r="H846" s="68" t="str">
        <f t="array" ref="H846">IF($A846="","",IFERROR(INDEX(MA_INDIVIDUALES!L$2:L923, MATCH($A846,MA_INDIVIDUALES!$B$2:$B923,0),1),"CÓDIGO DE EXPEDIENTE INVÁLIDO"))</f>
        <v/>
      </c>
      <c r="I846" s="76"/>
      <c r="J846" s="76"/>
      <c r="K846" s="75"/>
      <c r="L846" s="74" t="str">
        <f>IF(A846="","",IF(K846="","",_xlfn.WORKDAY.INTL(K846,5,1,FERIADOS)))</f>
        <v/>
      </c>
      <c r="M846" s="76"/>
      <c r="N846" s="75"/>
      <c r="O846" s="76"/>
      <c r="P846" s="77" t="str">
        <f t="shared" si="3"/>
        <v/>
      </c>
      <c r="Q846" s="75"/>
      <c r="R846" s="76"/>
      <c r="S846" s="75"/>
      <c r="T846" s="75"/>
      <c r="U846" s="76"/>
      <c r="V846" s="76"/>
      <c r="W846" s="75"/>
      <c r="X846" s="76"/>
      <c r="Y846" s="29" t="str">
        <f t="shared" si="4"/>
        <v/>
      </c>
      <c r="Z846" s="29" t="str">
        <f t="shared" si="5"/>
        <v/>
      </c>
      <c r="AA846" s="76"/>
      <c r="AB846" s="76"/>
      <c r="AC846" s="75"/>
      <c r="AD846" s="75"/>
      <c r="AE846" s="78" t="str">
        <f>IF(U846="","",IF(AD846="","",_xlfn.WORKDAY.INTL(AD846,7,1,FERIADOS)))</f>
        <v/>
      </c>
      <c r="AF846" s="104"/>
      <c r="AG846" s="80" t="str">
        <f t="array" ref="AG846">IF(A846="","",IF(AF846="","",AF846*INDEX(PARAMETROS!F$2:F1909,MATCH(YEAR(AC846),PARAMETROS!E$2:E1909,0),1)))</f>
        <v/>
      </c>
      <c r="AH846" s="81"/>
      <c r="AI846" s="82"/>
      <c r="AJ846" s="81"/>
      <c r="AK846" s="81"/>
      <c r="AL846" s="76"/>
      <c r="AM846" s="75"/>
      <c r="AN846" s="76"/>
      <c r="AO846" s="95"/>
      <c r="AP846" s="96"/>
      <c r="AQ846" s="85" t="str">
        <f t="shared" si="6"/>
        <v/>
      </c>
      <c r="AR846" s="86" t="str">
        <f t="array" ref="AR846">IF(A846="","",IFERROR(INDEX('2) Etapas'!L$3:L923,MATCH(B846,'2) Etapas'!$A$4:$A923,0),1),-1))</f>
        <v/>
      </c>
      <c r="AS846" s="87" t="str">
        <f t="shared" si="7"/>
        <v/>
      </c>
      <c r="AT846" s="87" t="str">
        <f t="shared" si="8"/>
        <v/>
      </c>
      <c r="AU846" s="87" t="str">
        <f t="shared" si="9"/>
        <v/>
      </c>
      <c r="AV846" s="89" t="str">
        <f t="array" ref="AV846">IF(OR($A846="",$AB846="", $AC846=""),"",MAXA(IF($A846=$A$4:$A923,$AC$4:$AC923)))</f>
        <v/>
      </c>
    </row>
    <row r="847" ht="22.5" customHeight="1">
      <c r="A847" s="76"/>
      <c r="B847" s="68" t="str">
        <f t="shared" si="1"/>
        <v/>
      </c>
      <c r="C847" s="110"/>
      <c r="D847" s="70" t="str">
        <f t="shared" si="2"/>
        <v/>
      </c>
      <c r="E847" s="76"/>
      <c r="F847" s="68" t="str">
        <f t="array" ref="F847">IF($A847="","",IFERROR(INDEX(MA_INDIVIDUALES!C$2:C923, MATCH($A847,MA_INDIVIDUALES!$B$2:$B923,0),1),"CÓDIGO DE EXPEDIENTE INVÁLIDO"))</f>
        <v/>
      </c>
      <c r="G847" s="68" t="str">
        <f t="array" ref="G847">IF($A847="","",IFERROR(INDEX(MA_INDIVIDUALES!K$2:K923, MATCH($A847,MA_INDIVIDUALES!$B$2:$B923,0),1),"CÓDIGO DE EXPEDIENTE INVÁLIDO"))</f>
        <v/>
      </c>
      <c r="H847" s="68" t="str">
        <f t="array" ref="H847">IF($A847="","",IFERROR(INDEX(MA_INDIVIDUALES!L$2:L923, MATCH($A847,MA_INDIVIDUALES!$B$2:$B923,0),1),"CÓDIGO DE EXPEDIENTE INVÁLIDO"))</f>
        <v/>
      </c>
      <c r="I847" s="76"/>
      <c r="J847" s="76"/>
      <c r="K847" s="75"/>
      <c r="L847" s="74" t="str">
        <f>IF(A847="","",IF(K847="","",_xlfn.WORKDAY.INTL(K847,5,1,FERIADOS)))</f>
        <v/>
      </c>
      <c r="M847" s="76"/>
      <c r="N847" s="75"/>
      <c r="O847" s="76"/>
      <c r="P847" s="77" t="str">
        <f t="shared" si="3"/>
        <v/>
      </c>
      <c r="Q847" s="75"/>
      <c r="R847" s="76"/>
      <c r="S847" s="75"/>
      <c r="T847" s="75"/>
      <c r="U847" s="76"/>
      <c r="V847" s="76"/>
      <c r="W847" s="75"/>
      <c r="X847" s="76"/>
      <c r="Y847" s="29" t="str">
        <f t="shared" si="4"/>
        <v/>
      </c>
      <c r="Z847" s="29" t="str">
        <f t="shared" si="5"/>
        <v/>
      </c>
      <c r="AA847" s="76"/>
      <c r="AB847" s="76"/>
      <c r="AC847" s="75"/>
      <c r="AD847" s="75"/>
      <c r="AE847" s="78" t="str">
        <f>IF(U847="","",IF(AD847="","",_xlfn.WORKDAY.INTL(AD847,7,1,FERIADOS)))</f>
        <v/>
      </c>
      <c r="AF847" s="104"/>
      <c r="AG847" s="80" t="str">
        <f t="array" ref="AG847">IF(A847="","",IF(AF847="","",AF847*INDEX(PARAMETROS!F$2:F1910,MATCH(YEAR(AC847),PARAMETROS!E$2:E1910,0),1)))</f>
        <v/>
      </c>
      <c r="AH847" s="81"/>
      <c r="AI847" s="82"/>
      <c r="AJ847" s="81"/>
      <c r="AK847" s="81"/>
      <c r="AL847" s="76"/>
      <c r="AM847" s="75"/>
      <c r="AN847" s="76"/>
      <c r="AO847" s="95"/>
      <c r="AP847" s="96"/>
      <c r="AQ847" s="85" t="str">
        <f t="shared" si="6"/>
        <v/>
      </c>
      <c r="AR847" s="86" t="str">
        <f t="array" ref="AR847">IF(A847="","",IFERROR(INDEX('2) Etapas'!L$3:L923,MATCH(B847,'2) Etapas'!$A$4:$A923,0),1),-1))</f>
        <v/>
      </c>
      <c r="AS847" s="87" t="str">
        <f t="shared" si="7"/>
        <v/>
      </c>
      <c r="AT847" s="87" t="str">
        <f t="shared" si="8"/>
        <v/>
      </c>
      <c r="AU847" s="87" t="str">
        <f t="shared" si="9"/>
        <v/>
      </c>
      <c r="AV847" s="89" t="str">
        <f t="array" ref="AV847">IF(OR($A847="",$AB847="", $AC847=""),"",MAXA(IF($A847=$A$4:$A923,$AC$4:$AC923)))</f>
        <v/>
      </c>
    </row>
    <row r="848" ht="22.5" customHeight="1">
      <c r="A848" s="76"/>
      <c r="B848" s="68" t="str">
        <f t="shared" si="1"/>
        <v/>
      </c>
      <c r="C848" s="110"/>
      <c r="D848" s="70" t="str">
        <f t="shared" si="2"/>
        <v/>
      </c>
      <c r="E848" s="76"/>
      <c r="F848" s="68" t="str">
        <f t="array" ref="F848">IF($A848="","",IFERROR(INDEX(MA_INDIVIDUALES!C$2:C923, MATCH($A848,MA_INDIVIDUALES!$B$2:$B923,0),1),"CÓDIGO DE EXPEDIENTE INVÁLIDO"))</f>
        <v/>
      </c>
      <c r="G848" s="68" t="str">
        <f t="array" ref="G848">IF($A848="","",IFERROR(INDEX(MA_INDIVIDUALES!K$2:K923, MATCH($A848,MA_INDIVIDUALES!$B$2:$B923,0),1),"CÓDIGO DE EXPEDIENTE INVÁLIDO"))</f>
        <v/>
      </c>
      <c r="H848" s="68" t="str">
        <f t="array" ref="H848">IF($A848="","",IFERROR(INDEX(MA_INDIVIDUALES!L$2:L923, MATCH($A848,MA_INDIVIDUALES!$B$2:$B923,0),1),"CÓDIGO DE EXPEDIENTE INVÁLIDO"))</f>
        <v/>
      </c>
      <c r="I848" s="76"/>
      <c r="J848" s="76"/>
      <c r="K848" s="75"/>
      <c r="L848" s="74" t="str">
        <f>IF(A848="","",IF(K848="","",_xlfn.WORKDAY.INTL(K848,5,1,FERIADOS)))</f>
        <v/>
      </c>
      <c r="M848" s="76"/>
      <c r="N848" s="75"/>
      <c r="O848" s="76"/>
      <c r="P848" s="77" t="str">
        <f t="shared" si="3"/>
        <v/>
      </c>
      <c r="Q848" s="75"/>
      <c r="R848" s="76"/>
      <c r="S848" s="75"/>
      <c r="T848" s="75"/>
      <c r="U848" s="76"/>
      <c r="V848" s="76"/>
      <c r="W848" s="75"/>
      <c r="X848" s="76"/>
      <c r="Y848" s="29" t="str">
        <f t="shared" si="4"/>
        <v/>
      </c>
      <c r="Z848" s="29" t="str">
        <f t="shared" si="5"/>
        <v/>
      </c>
      <c r="AA848" s="76"/>
      <c r="AB848" s="76"/>
      <c r="AC848" s="75"/>
      <c r="AD848" s="75"/>
      <c r="AE848" s="78" t="str">
        <f>IF(U848="","",IF(AD848="","",_xlfn.WORKDAY.INTL(AD848,7,1,FERIADOS)))</f>
        <v/>
      </c>
      <c r="AF848" s="104"/>
      <c r="AG848" s="80" t="str">
        <f t="array" ref="AG848">IF(A848="","",IF(AF848="","",AF848*INDEX(PARAMETROS!F$2:F1911,MATCH(YEAR(AC848),PARAMETROS!E$2:E1911,0),1)))</f>
        <v/>
      </c>
      <c r="AH848" s="81"/>
      <c r="AI848" s="82"/>
      <c r="AJ848" s="81"/>
      <c r="AK848" s="81"/>
      <c r="AL848" s="76"/>
      <c r="AM848" s="75"/>
      <c r="AN848" s="76"/>
      <c r="AO848" s="95"/>
      <c r="AP848" s="96"/>
      <c r="AQ848" s="85" t="str">
        <f t="shared" si="6"/>
        <v/>
      </c>
      <c r="AR848" s="86" t="str">
        <f t="array" ref="AR848">IF(A848="","",IFERROR(INDEX('2) Etapas'!L$3:L923,MATCH(B848,'2) Etapas'!$A$4:$A923,0),1),-1))</f>
        <v/>
      </c>
      <c r="AS848" s="87" t="str">
        <f t="shared" si="7"/>
        <v/>
      </c>
      <c r="AT848" s="87" t="str">
        <f t="shared" si="8"/>
        <v/>
      </c>
      <c r="AU848" s="87" t="str">
        <f t="shared" si="9"/>
        <v/>
      </c>
      <c r="AV848" s="89" t="str">
        <f t="array" ref="AV848">IF(OR($A848="",$AB848="", $AC848=""),"",MAXA(IF($A848=$A$4:$A923,$AC$4:$AC923)))</f>
        <v/>
      </c>
    </row>
    <row r="849" ht="22.5" customHeight="1">
      <c r="A849" s="76"/>
      <c r="B849" s="68" t="str">
        <f t="shared" si="1"/>
        <v/>
      </c>
      <c r="C849" s="110"/>
      <c r="D849" s="70" t="str">
        <f t="shared" si="2"/>
        <v/>
      </c>
      <c r="E849" s="76"/>
      <c r="F849" s="68" t="str">
        <f t="array" ref="F849">IF($A849="","",IFERROR(INDEX(MA_INDIVIDUALES!C$2:C923, MATCH($A849,MA_INDIVIDUALES!$B$2:$B923,0),1),"CÓDIGO DE EXPEDIENTE INVÁLIDO"))</f>
        <v/>
      </c>
      <c r="G849" s="68" t="str">
        <f t="array" ref="G849">IF($A849="","",IFERROR(INDEX(MA_INDIVIDUALES!K$2:K923, MATCH($A849,MA_INDIVIDUALES!$B$2:$B923,0),1),"CÓDIGO DE EXPEDIENTE INVÁLIDO"))</f>
        <v/>
      </c>
      <c r="H849" s="68" t="str">
        <f t="array" ref="H849">IF($A849="","",IFERROR(INDEX(MA_INDIVIDUALES!L$2:L923, MATCH($A849,MA_INDIVIDUALES!$B$2:$B923,0),1),"CÓDIGO DE EXPEDIENTE INVÁLIDO"))</f>
        <v/>
      </c>
      <c r="I849" s="76"/>
      <c r="J849" s="76"/>
      <c r="K849" s="75"/>
      <c r="L849" s="74" t="str">
        <f>IF(A849="","",IF(K849="","",_xlfn.WORKDAY.INTL(K849,5,1,FERIADOS)))</f>
        <v/>
      </c>
      <c r="M849" s="76"/>
      <c r="N849" s="75"/>
      <c r="O849" s="76"/>
      <c r="P849" s="77" t="str">
        <f t="shared" si="3"/>
        <v/>
      </c>
      <c r="Q849" s="75"/>
      <c r="R849" s="76"/>
      <c r="S849" s="75"/>
      <c r="T849" s="75"/>
      <c r="U849" s="76"/>
      <c r="V849" s="76"/>
      <c r="W849" s="75"/>
      <c r="X849" s="76"/>
      <c r="Y849" s="29" t="str">
        <f t="shared" si="4"/>
        <v/>
      </c>
      <c r="Z849" s="29" t="str">
        <f t="shared" si="5"/>
        <v/>
      </c>
      <c r="AA849" s="76"/>
      <c r="AB849" s="76"/>
      <c r="AC849" s="75"/>
      <c r="AD849" s="75"/>
      <c r="AE849" s="78" t="str">
        <f>IF(U849="","",IF(AD849="","",_xlfn.WORKDAY.INTL(AD849,7,1,FERIADOS)))</f>
        <v/>
      </c>
      <c r="AF849" s="104"/>
      <c r="AG849" s="80" t="str">
        <f t="array" ref="AG849">IF(A849="","",IF(AF849="","",AF849*INDEX(PARAMETROS!F$2:F1912,MATCH(YEAR(AC849),PARAMETROS!E$2:E1912,0),1)))</f>
        <v/>
      </c>
      <c r="AH849" s="81"/>
      <c r="AI849" s="82"/>
      <c r="AJ849" s="81"/>
      <c r="AK849" s="81"/>
      <c r="AL849" s="76"/>
      <c r="AM849" s="75"/>
      <c r="AN849" s="76"/>
      <c r="AO849" s="95"/>
      <c r="AP849" s="96"/>
      <c r="AQ849" s="85" t="str">
        <f t="shared" si="6"/>
        <v/>
      </c>
      <c r="AR849" s="86" t="str">
        <f t="array" ref="AR849">IF(A849="","",IFERROR(INDEX('2) Etapas'!L$3:L923,MATCH(B849,'2) Etapas'!$A$4:$A923,0),1),-1))</f>
        <v/>
      </c>
      <c r="AS849" s="87" t="str">
        <f t="shared" si="7"/>
        <v/>
      </c>
      <c r="AT849" s="87" t="str">
        <f t="shared" si="8"/>
        <v/>
      </c>
      <c r="AU849" s="87" t="str">
        <f t="shared" si="9"/>
        <v/>
      </c>
      <c r="AV849" s="89" t="str">
        <f t="array" ref="AV849">IF(OR($A849="",$AB849="", $AC849=""),"",MAXA(IF($A849=$A$4:$A923,$AC$4:$AC923)))</f>
        <v/>
      </c>
    </row>
    <row r="850" ht="22.5" customHeight="1">
      <c r="A850" s="76"/>
      <c r="B850" s="68" t="str">
        <f t="shared" si="1"/>
        <v/>
      </c>
      <c r="C850" s="110"/>
      <c r="D850" s="70" t="str">
        <f t="shared" si="2"/>
        <v/>
      </c>
      <c r="E850" s="76"/>
      <c r="F850" s="68" t="str">
        <f t="array" ref="F850">IF($A850="","",IFERROR(INDEX(MA_INDIVIDUALES!C$2:C923, MATCH($A850,MA_INDIVIDUALES!$B$2:$B923,0),1),"CÓDIGO DE EXPEDIENTE INVÁLIDO"))</f>
        <v/>
      </c>
      <c r="G850" s="68" t="str">
        <f t="array" ref="G850">IF($A850="","",IFERROR(INDEX(MA_INDIVIDUALES!K$2:K923, MATCH($A850,MA_INDIVIDUALES!$B$2:$B923,0),1),"CÓDIGO DE EXPEDIENTE INVÁLIDO"))</f>
        <v/>
      </c>
      <c r="H850" s="68" t="str">
        <f t="array" ref="H850">IF($A850="","",IFERROR(INDEX(MA_INDIVIDUALES!L$2:L923, MATCH($A850,MA_INDIVIDUALES!$B$2:$B923,0),1),"CÓDIGO DE EXPEDIENTE INVÁLIDO"))</f>
        <v/>
      </c>
      <c r="I850" s="76"/>
      <c r="J850" s="76"/>
      <c r="K850" s="75"/>
      <c r="L850" s="74" t="str">
        <f>IF(A850="","",IF(K850="","",_xlfn.WORKDAY.INTL(K850,5,1,FERIADOS)))</f>
        <v/>
      </c>
      <c r="M850" s="76"/>
      <c r="N850" s="75"/>
      <c r="O850" s="76"/>
      <c r="P850" s="77" t="str">
        <f t="shared" si="3"/>
        <v/>
      </c>
      <c r="Q850" s="75"/>
      <c r="R850" s="76"/>
      <c r="S850" s="75"/>
      <c r="T850" s="75"/>
      <c r="U850" s="76"/>
      <c r="V850" s="76"/>
      <c r="W850" s="75"/>
      <c r="X850" s="76"/>
      <c r="Y850" s="29" t="str">
        <f t="shared" si="4"/>
        <v/>
      </c>
      <c r="Z850" s="29" t="str">
        <f t="shared" si="5"/>
        <v/>
      </c>
      <c r="AA850" s="76"/>
      <c r="AB850" s="76"/>
      <c r="AC850" s="75"/>
      <c r="AD850" s="75"/>
      <c r="AE850" s="78" t="str">
        <f>IF(U850="","",IF(AD850="","",_xlfn.WORKDAY.INTL(AD850,7,1,FERIADOS)))</f>
        <v/>
      </c>
      <c r="AF850" s="104"/>
      <c r="AG850" s="80" t="str">
        <f t="array" ref="AG850">IF(A850="","",IF(AF850="","",AF850*INDEX(PARAMETROS!F$2:F1913,MATCH(YEAR(AC850),PARAMETROS!E$2:E1913,0),1)))</f>
        <v/>
      </c>
      <c r="AH850" s="81"/>
      <c r="AI850" s="82"/>
      <c r="AJ850" s="81"/>
      <c r="AK850" s="81"/>
      <c r="AL850" s="76"/>
      <c r="AM850" s="75"/>
      <c r="AN850" s="76"/>
      <c r="AO850" s="95"/>
      <c r="AP850" s="96"/>
      <c r="AQ850" s="85" t="str">
        <f t="shared" si="6"/>
        <v/>
      </c>
      <c r="AR850" s="86" t="str">
        <f t="array" ref="AR850">IF(A850="","",IFERROR(INDEX('2) Etapas'!L$3:L923,MATCH(B850,'2) Etapas'!$A$4:$A923,0),1),-1))</f>
        <v/>
      </c>
      <c r="AS850" s="87" t="str">
        <f t="shared" si="7"/>
        <v/>
      </c>
      <c r="AT850" s="87" t="str">
        <f t="shared" si="8"/>
        <v/>
      </c>
      <c r="AU850" s="87" t="str">
        <f t="shared" si="9"/>
        <v/>
      </c>
      <c r="AV850" s="89" t="str">
        <f t="array" ref="AV850">IF(OR($A850="",$AB850="", $AC850=""),"",MAXA(IF($A850=$A$4:$A923,$AC$4:$AC923)))</f>
        <v/>
      </c>
    </row>
    <row r="851" ht="22.5" customHeight="1">
      <c r="A851" s="76"/>
      <c r="B851" s="68" t="str">
        <f t="shared" si="1"/>
        <v/>
      </c>
      <c r="C851" s="110"/>
      <c r="D851" s="70" t="str">
        <f t="shared" si="2"/>
        <v/>
      </c>
      <c r="E851" s="76"/>
      <c r="F851" s="68" t="str">
        <f t="array" ref="F851">IF($A851="","",IFERROR(INDEX(MA_INDIVIDUALES!C$2:C923, MATCH($A851,MA_INDIVIDUALES!$B$2:$B923,0),1),"CÓDIGO DE EXPEDIENTE INVÁLIDO"))</f>
        <v/>
      </c>
      <c r="G851" s="68" t="str">
        <f t="array" ref="G851">IF($A851="","",IFERROR(INDEX(MA_INDIVIDUALES!K$2:K923, MATCH($A851,MA_INDIVIDUALES!$B$2:$B923,0),1),"CÓDIGO DE EXPEDIENTE INVÁLIDO"))</f>
        <v/>
      </c>
      <c r="H851" s="68" t="str">
        <f t="array" ref="H851">IF($A851="","",IFERROR(INDEX(MA_INDIVIDUALES!L$2:L923, MATCH($A851,MA_INDIVIDUALES!$B$2:$B923,0),1),"CÓDIGO DE EXPEDIENTE INVÁLIDO"))</f>
        <v/>
      </c>
      <c r="I851" s="76"/>
      <c r="J851" s="76"/>
      <c r="K851" s="75"/>
      <c r="L851" s="74" t="str">
        <f>IF(A851="","",IF(K851="","",_xlfn.WORKDAY.INTL(K851,5,1,FERIADOS)))</f>
        <v/>
      </c>
      <c r="M851" s="76"/>
      <c r="N851" s="75"/>
      <c r="O851" s="76"/>
      <c r="P851" s="77" t="str">
        <f t="shared" si="3"/>
        <v/>
      </c>
      <c r="Q851" s="75"/>
      <c r="R851" s="76"/>
      <c r="S851" s="75"/>
      <c r="T851" s="75"/>
      <c r="U851" s="76"/>
      <c r="V851" s="76"/>
      <c r="W851" s="75"/>
      <c r="X851" s="76"/>
      <c r="Y851" s="29" t="str">
        <f t="shared" si="4"/>
        <v/>
      </c>
      <c r="Z851" s="29" t="str">
        <f t="shared" si="5"/>
        <v/>
      </c>
      <c r="AA851" s="76"/>
      <c r="AB851" s="76"/>
      <c r="AC851" s="75"/>
      <c r="AD851" s="75"/>
      <c r="AE851" s="78" t="str">
        <f>IF(U851="","",IF(AD851="","",_xlfn.WORKDAY.INTL(AD851,7,1,FERIADOS)))</f>
        <v/>
      </c>
      <c r="AF851" s="104"/>
      <c r="AG851" s="80" t="str">
        <f t="array" ref="AG851">IF(A851="","",IF(AF851="","",AF851*INDEX(PARAMETROS!F$2:F1914,MATCH(YEAR(AC851),PARAMETROS!E$2:E1914,0),1)))</f>
        <v/>
      </c>
      <c r="AH851" s="81"/>
      <c r="AI851" s="82"/>
      <c r="AJ851" s="81"/>
      <c r="AK851" s="81"/>
      <c r="AL851" s="76"/>
      <c r="AM851" s="75"/>
      <c r="AN851" s="76"/>
      <c r="AO851" s="95"/>
      <c r="AP851" s="96"/>
      <c r="AQ851" s="85" t="str">
        <f t="shared" si="6"/>
        <v/>
      </c>
      <c r="AR851" s="86" t="str">
        <f t="array" ref="AR851">IF(A851="","",IFERROR(INDEX('2) Etapas'!L$3:L923,MATCH(B851,'2) Etapas'!$A$4:$A923,0),1),-1))</f>
        <v/>
      </c>
      <c r="AS851" s="87" t="str">
        <f t="shared" si="7"/>
        <v/>
      </c>
      <c r="AT851" s="87" t="str">
        <f t="shared" si="8"/>
        <v/>
      </c>
      <c r="AU851" s="87" t="str">
        <f t="shared" si="9"/>
        <v/>
      </c>
      <c r="AV851" s="89" t="str">
        <f t="array" ref="AV851">IF(OR($A851="",$AB851="", $AC851=""),"",MAXA(IF($A851=$A$4:$A923,$AC$4:$AC923)))</f>
        <v/>
      </c>
    </row>
    <row r="852" ht="22.5" customHeight="1">
      <c r="A852" s="76"/>
      <c r="B852" s="68" t="str">
        <f t="shared" si="1"/>
        <v/>
      </c>
      <c r="C852" s="110"/>
      <c r="D852" s="70" t="str">
        <f t="shared" si="2"/>
        <v/>
      </c>
      <c r="E852" s="76"/>
      <c r="F852" s="68" t="str">
        <f t="array" ref="F852">IF($A852="","",IFERROR(INDEX(MA_INDIVIDUALES!C$2:C923, MATCH($A852,MA_INDIVIDUALES!$B$2:$B923,0),1),"CÓDIGO DE EXPEDIENTE INVÁLIDO"))</f>
        <v/>
      </c>
      <c r="G852" s="68" t="str">
        <f t="array" ref="G852">IF($A852="","",IFERROR(INDEX(MA_INDIVIDUALES!K$2:K923, MATCH($A852,MA_INDIVIDUALES!$B$2:$B923,0),1),"CÓDIGO DE EXPEDIENTE INVÁLIDO"))</f>
        <v/>
      </c>
      <c r="H852" s="68" t="str">
        <f t="array" ref="H852">IF($A852="","",IFERROR(INDEX(MA_INDIVIDUALES!L$2:L923, MATCH($A852,MA_INDIVIDUALES!$B$2:$B923,0),1),"CÓDIGO DE EXPEDIENTE INVÁLIDO"))</f>
        <v/>
      </c>
      <c r="I852" s="76"/>
      <c r="J852" s="76"/>
      <c r="K852" s="75"/>
      <c r="L852" s="74" t="str">
        <f>IF(A852="","",IF(K852="","",_xlfn.WORKDAY.INTL(K852,5,1,FERIADOS)))</f>
        <v/>
      </c>
      <c r="M852" s="76"/>
      <c r="N852" s="75"/>
      <c r="O852" s="76"/>
      <c r="P852" s="77" t="str">
        <f t="shared" si="3"/>
        <v/>
      </c>
      <c r="Q852" s="75"/>
      <c r="R852" s="76"/>
      <c r="S852" s="75"/>
      <c r="T852" s="75"/>
      <c r="U852" s="76"/>
      <c r="V852" s="76"/>
      <c r="W852" s="75"/>
      <c r="X852" s="76"/>
      <c r="Y852" s="29" t="str">
        <f t="shared" si="4"/>
        <v/>
      </c>
      <c r="Z852" s="29" t="str">
        <f t="shared" si="5"/>
        <v/>
      </c>
      <c r="AA852" s="76"/>
      <c r="AB852" s="76"/>
      <c r="AC852" s="75"/>
      <c r="AD852" s="75"/>
      <c r="AE852" s="78" t="str">
        <f>IF(U852="","",IF(AD852="","",_xlfn.WORKDAY.INTL(AD852,7,1,FERIADOS)))</f>
        <v/>
      </c>
      <c r="AF852" s="104"/>
      <c r="AG852" s="80" t="str">
        <f t="array" ref="AG852">IF(A852="","",IF(AF852="","",AF852*INDEX(PARAMETROS!F$2:F1915,MATCH(YEAR(AC852),PARAMETROS!E$2:E1915,0),1)))</f>
        <v/>
      </c>
      <c r="AH852" s="81"/>
      <c r="AI852" s="82"/>
      <c r="AJ852" s="81"/>
      <c r="AK852" s="81"/>
      <c r="AL852" s="76"/>
      <c r="AM852" s="75"/>
      <c r="AN852" s="76"/>
      <c r="AO852" s="95"/>
      <c r="AP852" s="96"/>
      <c r="AQ852" s="85" t="str">
        <f t="shared" si="6"/>
        <v/>
      </c>
      <c r="AR852" s="86" t="str">
        <f t="array" ref="AR852">IF(A852="","",IFERROR(INDEX('2) Etapas'!L$3:L923,MATCH(B852,'2) Etapas'!$A$4:$A923,0),1),-1))</f>
        <v/>
      </c>
      <c r="AS852" s="87" t="str">
        <f t="shared" si="7"/>
        <v/>
      </c>
      <c r="AT852" s="87" t="str">
        <f t="shared" si="8"/>
        <v/>
      </c>
      <c r="AU852" s="87" t="str">
        <f t="shared" si="9"/>
        <v/>
      </c>
      <c r="AV852" s="89" t="str">
        <f t="array" ref="AV852">IF(OR($A852="",$AB852="", $AC852=""),"",MAXA(IF($A852=$A$4:$A923,$AC$4:$AC923)))</f>
        <v/>
      </c>
    </row>
    <row r="853" ht="22.5" customHeight="1">
      <c r="A853" s="76"/>
      <c r="B853" s="68" t="str">
        <f t="shared" si="1"/>
        <v/>
      </c>
      <c r="C853" s="110"/>
      <c r="D853" s="70" t="str">
        <f t="shared" si="2"/>
        <v/>
      </c>
      <c r="E853" s="76"/>
      <c r="F853" s="68" t="str">
        <f t="array" ref="F853">IF($A853="","",IFERROR(INDEX(MA_INDIVIDUALES!C$2:C923, MATCH($A853,MA_INDIVIDUALES!$B$2:$B923,0),1),"CÓDIGO DE EXPEDIENTE INVÁLIDO"))</f>
        <v/>
      </c>
      <c r="G853" s="68" t="str">
        <f t="array" ref="G853">IF($A853="","",IFERROR(INDEX(MA_INDIVIDUALES!K$2:K923, MATCH($A853,MA_INDIVIDUALES!$B$2:$B923,0),1),"CÓDIGO DE EXPEDIENTE INVÁLIDO"))</f>
        <v/>
      </c>
      <c r="H853" s="68" t="str">
        <f t="array" ref="H853">IF($A853="","",IFERROR(INDEX(MA_INDIVIDUALES!L$2:L923, MATCH($A853,MA_INDIVIDUALES!$B$2:$B923,0),1),"CÓDIGO DE EXPEDIENTE INVÁLIDO"))</f>
        <v/>
      </c>
      <c r="I853" s="76"/>
      <c r="J853" s="76"/>
      <c r="K853" s="75"/>
      <c r="L853" s="74" t="str">
        <f>IF(A853="","",IF(K853="","",_xlfn.WORKDAY.INTL(K853,5,1,FERIADOS)))</f>
        <v/>
      </c>
      <c r="M853" s="76"/>
      <c r="N853" s="75"/>
      <c r="O853" s="76"/>
      <c r="P853" s="77" t="str">
        <f t="shared" si="3"/>
        <v/>
      </c>
      <c r="Q853" s="75"/>
      <c r="R853" s="76"/>
      <c r="S853" s="75"/>
      <c r="T853" s="75"/>
      <c r="U853" s="76"/>
      <c r="V853" s="76"/>
      <c r="W853" s="75"/>
      <c r="X853" s="76"/>
      <c r="Y853" s="29" t="str">
        <f t="shared" si="4"/>
        <v/>
      </c>
      <c r="Z853" s="29" t="str">
        <f t="shared" si="5"/>
        <v/>
      </c>
      <c r="AA853" s="76"/>
      <c r="AB853" s="76"/>
      <c r="AC853" s="75"/>
      <c r="AD853" s="75"/>
      <c r="AE853" s="78" t="str">
        <f>IF(U853="","",IF(AD853="","",_xlfn.WORKDAY.INTL(AD853,7,1,FERIADOS)))</f>
        <v/>
      </c>
      <c r="AF853" s="104"/>
      <c r="AG853" s="80" t="str">
        <f t="array" ref="AG853">IF(A853="","",IF(AF853="","",AF853*INDEX(PARAMETROS!F$2:F1916,MATCH(YEAR(AC853),PARAMETROS!E$2:E1916,0),1)))</f>
        <v/>
      </c>
      <c r="AH853" s="81"/>
      <c r="AI853" s="82"/>
      <c r="AJ853" s="81"/>
      <c r="AK853" s="81"/>
      <c r="AL853" s="76"/>
      <c r="AM853" s="75"/>
      <c r="AN853" s="76"/>
      <c r="AO853" s="95"/>
      <c r="AP853" s="96"/>
      <c r="AQ853" s="85" t="str">
        <f t="shared" si="6"/>
        <v/>
      </c>
      <c r="AR853" s="86" t="str">
        <f t="array" ref="AR853">IF(A853="","",IFERROR(INDEX('2) Etapas'!L$3:L923,MATCH(B853,'2) Etapas'!$A$4:$A923,0),1),-1))</f>
        <v/>
      </c>
      <c r="AS853" s="87" t="str">
        <f t="shared" si="7"/>
        <v/>
      </c>
      <c r="AT853" s="87" t="str">
        <f t="shared" si="8"/>
        <v/>
      </c>
      <c r="AU853" s="87" t="str">
        <f t="shared" si="9"/>
        <v/>
      </c>
      <c r="AV853" s="89" t="str">
        <f t="array" ref="AV853">IF(OR($A853="",$AB853="", $AC853=""),"",MAXA(IF($A853=$A$4:$A923,$AC$4:$AC923)))</f>
        <v/>
      </c>
    </row>
    <row r="854" ht="22.5" customHeight="1">
      <c r="A854" s="76"/>
      <c r="B854" s="68" t="str">
        <f t="shared" si="1"/>
        <v/>
      </c>
      <c r="C854" s="110"/>
      <c r="D854" s="70" t="str">
        <f t="shared" si="2"/>
        <v/>
      </c>
      <c r="E854" s="76"/>
      <c r="F854" s="68" t="str">
        <f t="array" ref="F854">IF($A854="","",IFERROR(INDEX(MA_INDIVIDUALES!C$2:C923, MATCH($A854,MA_INDIVIDUALES!$B$2:$B923,0),1),"CÓDIGO DE EXPEDIENTE INVÁLIDO"))</f>
        <v/>
      </c>
      <c r="G854" s="68" t="str">
        <f t="array" ref="G854">IF($A854="","",IFERROR(INDEX(MA_INDIVIDUALES!K$2:K923, MATCH($A854,MA_INDIVIDUALES!$B$2:$B923,0),1),"CÓDIGO DE EXPEDIENTE INVÁLIDO"))</f>
        <v/>
      </c>
      <c r="H854" s="68" t="str">
        <f t="array" ref="H854">IF($A854="","",IFERROR(INDEX(MA_INDIVIDUALES!L$2:L923, MATCH($A854,MA_INDIVIDUALES!$B$2:$B923,0),1),"CÓDIGO DE EXPEDIENTE INVÁLIDO"))</f>
        <v/>
      </c>
      <c r="I854" s="76"/>
      <c r="J854" s="76"/>
      <c r="K854" s="75"/>
      <c r="L854" s="74" t="str">
        <f>IF(A854="","",IF(K854="","",_xlfn.WORKDAY.INTL(K854,5,1,FERIADOS)))</f>
        <v/>
      </c>
      <c r="M854" s="76"/>
      <c r="N854" s="75"/>
      <c r="O854" s="76"/>
      <c r="P854" s="77" t="str">
        <f t="shared" si="3"/>
        <v/>
      </c>
      <c r="Q854" s="75"/>
      <c r="R854" s="76"/>
      <c r="S854" s="75"/>
      <c r="T854" s="75"/>
      <c r="U854" s="76"/>
      <c r="V854" s="76"/>
      <c r="W854" s="75"/>
      <c r="X854" s="76"/>
      <c r="Y854" s="29" t="str">
        <f t="shared" si="4"/>
        <v/>
      </c>
      <c r="Z854" s="29" t="str">
        <f t="shared" si="5"/>
        <v/>
      </c>
      <c r="AA854" s="76"/>
      <c r="AB854" s="76"/>
      <c r="AC854" s="75"/>
      <c r="AD854" s="75"/>
      <c r="AE854" s="78" t="str">
        <f>IF(U854="","",IF(AD854="","",_xlfn.WORKDAY.INTL(AD854,7,1,FERIADOS)))</f>
        <v/>
      </c>
      <c r="AF854" s="104"/>
      <c r="AG854" s="80" t="str">
        <f t="array" ref="AG854">IF(A854="","",IF(AF854="","",AF854*INDEX(PARAMETROS!F$2:F1917,MATCH(YEAR(AC854),PARAMETROS!E$2:E1917,0),1)))</f>
        <v/>
      </c>
      <c r="AH854" s="81"/>
      <c r="AI854" s="82"/>
      <c r="AJ854" s="81"/>
      <c r="AK854" s="81"/>
      <c r="AL854" s="76"/>
      <c r="AM854" s="75"/>
      <c r="AN854" s="76"/>
      <c r="AO854" s="95"/>
      <c r="AP854" s="96"/>
      <c r="AQ854" s="85" t="str">
        <f t="shared" si="6"/>
        <v/>
      </c>
      <c r="AR854" s="86" t="str">
        <f t="array" ref="AR854">IF(A854="","",IFERROR(INDEX('2) Etapas'!L$3:L923,MATCH(B854,'2) Etapas'!$A$4:$A923,0),1),-1))</f>
        <v/>
      </c>
      <c r="AS854" s="87" t="str">
        <f t="shared" si="7"/>
        <v/>
      </c>
      <c r="AT854" s="87" t="str">
        <f t="shared" si="8"/>
        <v/>
      </c>
      <c r="AU854" s="87" t="str">
        <f t="shared" si="9"/>
        <v/>
      </c>
      <c r="AV854" s="89" t="str">
        <f t="array" ref="AV854">IF(OR($A854="",$AB854="", $AC854=""),"",MAXA(IF($A854=$A$4:$A923,$AC$4:$AC923)))</f>
        <v/>
      </c>
    </row>
    <row r="855" ht="22.5" customHeight="1">
      <c r="A855" s="76"/>
      <c r="B855" s="68" t="str">
        <f t="shared" si="1"/>
        <v/>
      </c>
      <c r="C855" s="110"/>
      <c r="D855" s="70" t="str">
        <f t="shared" si="2"/>
        <v/>
      </c>
      <c r="E855" s="76"/>
      <c r="F855" s="68" t="str">
        <f t="array" ref="F855">IF($A855="","",IFERROR(INDEX(MA_INDIVIDUALES!C$2:C923, MATCH($A855,MA_INDIVIDUALES!$B$2:$B923,0),1),"CÓDIGO DE EXPEDIENTE INVÁLIDO"))</f>
        <v/>
      </c>
      <c r="G855" s="68" t="str">
        <f t="array" ref="G855">IF($A855="","",IFERROR(INDEX(MA_INDIVIDUALES!K$2:K923, MATCH($A855,MA_INDIVIDUALES!$B$2:$B923,0),1),"CÓDIGO DE EXPEDIENTE INVÁLIDO"))</f>
        <v/>
      </c>
      <c r="H855" s="68" t="str">
        <f t="array" ref="H855">IF($A855="","",IFERROR(INDEX(MA_INDIVIDUALES!L$2:L923, MATCH($A855,MA_INDIVIDUALES!$B$2:$B923,0),1),"CÓDIGO DE EXPEDIENTE INVÁLIDO"))</f>
        <v/>
      </c>
      <c r="I855" s="76"/>
      <c r="J855" s="76"/>
      <c r="K855" s="75"/>
      <c r="L855" s="74" t="str">
        <f>IF(A855="","",IF(K855="","",_xlfn.WORKDAY.INTL(K855,5,1,FERIADOS)))</f>
        <v/>
      </c>
      <c r="M855" s="76"/>
      <c r="N855" s="75"/>
      <c r="O855" s="76"/>
      <c r="P855" s="77" t="str">
        <f t="shared" si="3"/>
        <v/>
      </c>
      <c r="Q855" s="75"/>
      <c r="R855" s="76"/>
      <c r="S855" s="75"/>
      <c r="T855" s="75"/>
      <c r="U855" s="76"/>
      <c r="V855" s="76"/>
      <c r="W855" s="75"/>
      <c r="X855" s="76"/>
      <c r="Y855" s="29" t="str">
        <f t="shared" si="4"/>
        <v/>
      </c>
      <c r="Z855" s="29" t="str">
        <f t="shared" si="5"/>
        <v/>
      </c>
      <c r="AA855" s="76"/>
      <c r="AB855" s="76"/>
      <c r="AC855" s="75"/>
      <c r="AD855" s="75"/>
      <c r="AE855" s="78" t="str">
        <f>IF(U855="","",IF(AD855="","",_xlfn.WORKDAY.INTL(AD855,7,1,FERIADOS)))</f>
        <v/>
      </c>
      <c r="AF855" s="104"/>
      <c r="AG855" s="80" t="str">
        <f t="array" ref="AG855">IF(A855="","",IF(AF855="","",AF855*INDEX(PARAMETROS!F$2:F1918,MATCH(YEAR(AC855),PARAMETROS!E$2:E1918,0),1)))</f>
        <v/>
      </c>
      <c r="AH855" s="81"/>
      <c r="AI855" s="82"/>
      <c r="AJ855" s="81"/>
      <c r="AK855" s="81"/>
      <c r="AL855" s="76"/>
      <c r="AM855" s="75"/>
      <c r="AN855" s="76"/>
      <c r="AO855" s="95"/>
      <c r="AP855" s="96"/>
      <c r="AQ855" s="85" t="str">
        <f t="shared" si="6"/>
        <v/>
      </c>
      <c r="AR855" s="86" t="str">
        <f t="array" ref="AR855">IF(A855="","",IFERROR(INDEX('2) Etapas'!L$3:L923,MATCH(B855,'2) Etapas'!$A$4:$A923,0),1),-1))</f>
        <v/>
      </c>
      <c r="AS855" s="87" t="str">
        <f t="shared" si="7"/>
        <v/>
      </c>
      <c r="AT855" s="87" t="str">
        <f t="shared" si="8"/>
        <v/>
      </c>
      <c r="AU855" s="87" t="str">
        <f t="shared" si="9"/>
        <v/>
      </c>
      <c r="AV855" s="89" t="str">
        <f t="array" ref="AV855">IF(OR($A855="",$AB855="", $AC855=""),"",MAXA(IF($A855=$A$4:$A923,$AC$4:$AC923)))</f>
        <v/>
      </c>
    </row>
    <row r="856" ht="22.5" customHeight="1">
      <c r="A856" s="76"/>
      <c r="B856" s="68" t="str">
        <f t="shared" si="1"/>
        <v/>
      </c>
      <c r="C856" s="110"/>
      <c r="D856" s="70" t="str">
        <f t="shared" si="2"/>
        <v/>
      </c>
      <c r="E856" s="76"/>
      <c r="F856" s="68" t="str">
        <f t="array" ref="F856">IF($A856="","",IFERROR(INDEX(MA_INDIVIDUALES!C$2:C923, MATCH($A856,MA_INDIVIDUALES!$B$2:$B923,0),1),"CÓDIGO DE EXPEDIENTE INVÁLIDO"))</f>
        <v/>
      </c>
      <c r="G856" s="68" t="str">
        <f t="array" ref="G856">IF($A856="","",IFERROR(INDEX(MA_INDIVIDUALES!K$2:K923, MATCH($A856,MA_INDIVIDUALES!$B$2:$B923,0),1),"CÓDIGO DE EXPEDIENTE INVÁLIDO"))</f>
        <v/>
      </c>
      <c r="H856" s="68" t="str">
        <f t="array" ref="H856">IF($A856="","",IFERROR(INDEX(MA_INDIVIDUALES!L$2:L923, MATCH($A856,MA_INDIVIDUALES!$B$2:$B923,0),1),"CÓDIGO DE EXPEDIENTE INVÁLIDO"))</f>
        <v/>
      </c>
      <c r="I856" s="76"/>
      <c r="J856" s="76"/>
      <c r="K856" s="75"/>
      <c r="L856" s="74" t="str">
        <f>IF(A856="","",IF(K856="","",_xlfn.WORKDAY.INTL(K856,5,1,FERIADOS)))</f>
        <v/>
      </c>
      <c r="M856" s="76"/>
      <c r="N856" s="75"/>
      <c r="O856" s="76"/>
      <c r="P856" s="77" t="str">
        <f t="shared" si="3"/>
        <v/>
      </c>
      <c r="Q856" s="75"/>
      <c r="R856" s="76"/>
      <c r="S856" s="75"/>
      <c r="T856" s="75"/>
      <c r="U856" s="76"/>
      <c r="V856" s="76"/>
      <c r="W856" s="75"/>
      <c r="X856" s="76"/>
      <c r="Y856" s="29" t="str">
        <f t="shared" si="4"/>
        <v/>
      </c>
      <c r="Z856" s="29" t="str">
        <f t="shared" si="5"/>
        <v/>
      </c>
      <c r="AA856" s="76"/>
      <c r="AB856" s="76"/>
      <c r="AC856" s="75"/>
      <c r="AD856" s="75"/>
      <c r="AE856" s="78" t="str">
        <f>IF(U856="","",IF(AD856="","",_xlfn.WORKDAY.INTL(AD856,7,1,FERIADOS)))</f>
        <v/>
      </c>
      <c r="AF856" s="104"/>
      <c r="AG856" s="80" t="str">
        <f t="array" ref="AG856">IF(A856="","",IF(AF856="","",AF856*INDEX(PARAMETROS!F$2:F1919,MATCH(YEAR(AC856),PARAMETROS!E$2:E1919,0),1)))</f>
        <v/>
      </c>
      <c r="AH856" s="81"/>
      <c r="AI856" s="82"/>
      <c r="AJ856" s="81"/>
      <c r="AK856" s="81"/>
      <c r="AL856" s="76"/>
      <c r="AM856" s="75"/>
      <c r="AN856" s="76"/>
      <c r="AO856" s="95"/>
      <c r="AP856" s="96"/>
      <c r="AQ856" s="85" t="str">
        <f t="shared" si="6"/>
        <v/>
      </c>
      <c r="AR856" s="86" t="str">
        <f t="array" ref="AR856">IF(A856="","",IFERROR(INDEX('2) Etapas'!L$3:L923,MATCH(B856,'2) Etapas'!$A$4:$A923,0),1),-1))</f>
        <v/>
      </c>
      <c r="AS856" s="87" t="str">
        <f t="shared" si="7"/>
        <v/>
      </c>
      <c r="AT856" s="87" t="str">
        <f t="shared" si="8"/>
        <v/>
      </c>
      <c r="AU856" s="87" t="str">
        <f t="shared" si="9"/>
        <v/>
      </c>
      <c r="AV856" s="89" t="str">
        <f t="array" ref="AV856">IF(OR($A856="",$AB856="", $AC856=""),"",MAXA(IF($A856=$A$4:$A923,$AC$4:$AC923)))</f>
        <v/>
      </c>
    </row>
    <row r="857" ht="22.5" customHeight="1">
      <c r="A857" s="76"/>
      <c r="B857" s="68" t="str">
        <f t="shared" si="1"/>
        <v/>
      </c>
      <c r="C857" s="110"/>
      <c r="D857" s="70" t="str">
        <f t="shared" si="2"/>
        <v/>
      </c>
      <c r="E857" s="76"/>
      <c r="F857" s="68" t="str">
        <f t="array" ref="F857">IF($A857="","",IFERROR(INDEX(MA_INDIVIDUALES!C$2:C923, MATCH($A857,MA_INDIVIDUALES!$B$2:$B923,0),1),"CÓDIGO DE EXPEDIENTE INVÁLIDO"))</f>
        <v/>
      </c>
      <c r="G857" s="68" t="str">
        <f t="array" ref="G857">IF($A857="","",IFERROR(INDEX(MA_INDIVIDUALES!K$2:K923, MATCH($A857,MA_INDIVIDUALES!$B$2:$B923,0),1),"CÓDIGO DE EXPEDIENTE INVÁLIDO"))</f>
        <v/>
      </c>
      <c r="H857" s="68" t="str">
        <f t="array" ref="H857">IF($A857="","",IFERROR(INDEX(MA_INDIVIDUALES!L$2:L923, MATCH($A857,MA_INDIVIDUALES!$B$2:$B923,0),1),"CÓDIGO DE EXPEDIENTE INVÁLIDO"))</f>
        <v/>
      </c>
      <c r="I857" s="76"/>
      <c r="J857" s="76"/>
      <c r="K857" s="75"/>
      <c r="L857" s="74" t="str">
        <f>IF(A857="","",IF(K857="","",_xlfn.WORKDAY.INTL(K857,5,1,FERIADOS)))</f>
        <v/>
      </c>
      <c r="M857" s="76"/>
      <c r="N857" s="75"/>
      <c r="O857" s="76"/>
      <c r="P857" s="77" t="str">
        <f t="shared" si="3"/>
        <v/>
      </c>
      <c r="Q857" s="75"/>
      <c r="R857" s="76"/>
      <c r="S857" s="75"/>
      <c r="T857" s="75"/>
      <c r="U857" s="76"/>
      <c r="V857" s="76"/>
      <c r="W857" s="75"/>
      <c r="X857" s="76"/>
      <c r="Y857" s="29" t="str">
        <f t="shared" si="4"/>
        <v/>
      </c>
      <c r="Z857" s="29" t="str">
        <f t="shared" si="5"/>
        <v/>
      </c>
      <c r="AA857" s="76"/>
      <c r="AB857" s="76"/>
      <c r="AC857" s="75"/>
      <c r="AD857" s="75"/>
      <c r="AE857" s="78" t="str">
        <f>IF(U857="","",IF(AD857="","",_xlfn.WORKDAY.INTL(AD857,7,1,FERIADOS)))</f>
        <v/>
      </c>
      <c r="AF857" s="104"/>
      <c r="AG857" s="80" t="str">
        <f t="array" ref="AG857">IF(A857="","",IF(AF857="","",AF857*INDEX(PARAMETROS!F$2:F1920,MATCH(YEAR(AC857),PARAMETROS!E$2:E1920,0),1)))</f>
        <v/>
      </c>
      <c r="AH857" s="81"/>
      <c r="AI857" s="82"/>
      <c r="AJ857" s="81"/>
      <c r="AK857" s="81"/>
      <c r="AL857" s="76"/>
      <c r="AM857" s="75"/>
      <c r="AN857" s="76"/>
      <c r="AO857" s="95"/>
      <c r="AP857" s="96"/>
      <c r="AQ857" s="85" t="str">
        <f t="shared" si="6"/>
        <v/>
      </c>
      <c r="AR857" s="86" t="str">
        <f t="array" ref="AR857">IF(A857="","",IFERROR(INDEX('2) Etapas'!L$3:L923,MATCH(B857,'2) Etapas'!$A$4:$A923,0),1),-1))</f>
        <v/>
      </c>
      <c r="AS857" s="87" t="str">
        <f t="shared" si="7"/>
        <v/>
      </c>
      <c r="AT857" s="87" t="str">
        <f t="shared" si="8"/>
        <v/>
      </c>
      <c r="AU857" s="87" t="str">
        <f t="shared" si="9"/>
        <v/>
      </c>
      <c r="AV857" s="89" t="str">
        <f t="array" ref="AV857">IF(OR($A857="",$AB857="", $AC857=""),"",MAXA(IF($A857=$A$4:$A923,$AC$4:$AC923)))</f>
        <v/>
      </c>
    </row>
    <row r="858" ht="22.5" customHeight="1">
      <c r="A858" s="76"/>
      <c r="B858" s="68" t="str">
        <f t="shared" si="1"/>
        <v/>
      </c>
      <c r="C858" s="110"/>
      <c r="D858" s="70" t="str">
        <f t="shared" si="2"/>
        <v/>
      </c>
      <c r="E858" s="76"/>
      <c r="F858" s="68" t="str">
        <f t="array" ref="F858">IF($A858="","",IFERROR(INDEX(MA_INDIVIDUALES!C$2:C923, MATCH($A858,MA_INDIVIDUALES!$B$2:$B923,0),1),"CÓDIGO DE EXPEDIENTE INVÁLIDO"))</f>
        <v/>
      </c>
      <c r="G858" s="68" t="str">
        <f t="array" ref="G858">IF($A858="","",IFERROR(INDEX(MA_INDIVIDUALES!K$2:K923, MATCH($A858,MA_INDIVIDUALES!$B$2:$B923,0),1),"CÓDIGO DE EXPEDIENTE INVÁLIDO"))</f>
        <v/>
      </c>
      <c r="H858" s="68" t="str">
        <f t="array" ref="H858">IF($A858="","",IFERROR(INDEX(MA_INDIVIDUALES!L$2:L923, MATCH($A858,MA_INDIVIDUALES!$B$2:$B923,0),1),"CÓDIGO DE EXPEDIENTE INVÁLIDO"))</f>
        <v/>
      </c>
      <c r="I858" s="76"/>
      <c r="J858" s="76"/>
      <c r="K858" s="75"/>
      <c r="L858" s="74" t="str">
        <f>IF(A858="","",IF(K858="","",_xlfn.WORKDAY.INTL(K858,5,1,FERIADOS)))</f>
        <v/>
      </c>
      <c r="M858" s="76"/>
      <c r="N858" s="75"/>
      <c r="O858" s="76"/>
      <c r="P858" s="77" t="str">
        <f t="shared" si="3"/>
        <v/>
      </c>
      <c r="Q858" s="75"/>
      <c r="R858" s="76"/>
      <c r="S858" s="75"/>
      <c r="T858" s="75"/>
      <c r="U858" s="76"/>
      <c r="V858" s="76"/>
      <c r="W858" s="75"/>
      <c r="X858" s="76"/>
      <c r="Y858" s="29" t="str">
        <f t="shared" si="4"/>
        <v/>
      </c>
      <c r="Z858" s="29" t="str">
        <f t="shared" si="5"/>
        <v/>
      </c>
      <c r="AA858" s="76"/>
      <c r="AB858" s="76"/>
      <c r="AC858" s="75"/>
      <c r="AD858" s="75"/>
      <c r="AE858" s="78" t="str">
        <f>IF(U858="","",IF(AD858="","",_xlfn.WORKDAY.INTL(AD858,7,1,FERIADOS)))</f>
        <v/>
      </c>
      <c r="AF858" s="104"/>
      <c r="AG858" s="80" t="str">
        <f t="array" ref="AG858">IF(A858="","",IF(AF858="","",AF858*INDEX(PARAMETROS!F$2:F1921,MATCH(YEAR(AC858),PARAMETROS!E$2:E1921,0),1)))</f>
        <v/>
      </c>
      <c r="AH858" s="81"/>
      <c r="AI858" s="82"/>
      <c r="AJ858" s="81"/>
      <c r="AK858" s="81"/>
      <c r="AL858" s="76"/>
      <c r="AM858" s="75"/>
      <c r="AN858" s="76"/>
      <c r="AO858" s="95"/>
      <c r="AP858" s="96"/>
      <c r="AQ858" s="85" t="str">
        <f t="shared" si="6"/>
        <v/>
      </c>
      <c r="AR858" s="86" t="str">
        <f t="array" ref="AR858">IF(A858="","",IFERROR(INDEX('2) Etapas'!L$3:L923,MATCH(B858,'2) Etapas'!$A$4:$A923,0),1),-1))</f>
        <v/>
      </c>
      <c r="AS858" s="87" t="str">
        <f t="shared" si="7"/>
        <v/>
      </c>
      <c r="AT858" s="87" t="str">
        <f t="shared" si="8"/>
        <v/>
      </c>
      <c r="AU858" s="87" t="str">
        <f t="shared" si="9"/>
        <v/>
      </c>
      <c r="AV858" s="89" t="str">
        <f t="array" ref="AV858">IF(OR($A858="",$AB858="", $AC858=""),"",MAXA(IF($A858=$A$4:$A923,$AC$4:$AC923)))</f>
        <v/>
      </c>
    </row>
    <row r="859" ht="22.5" customHeight="1">
      <c r="A859" s="76"/>
      <c r="B859" s="68" t="str">
        <f t="shared" si="1"/>
        <v/>
      </c>
      <c r="C859" s="110"/>
      <c r="D859" s="70" t="str">
        <f t="shared" si="2"/>
        <v/>
      </c>
      <c r="E859" s="76"/>
      <c r="F859" s="68" t="str">
        <f t="array" ref="F859">IF($A859="","",IFERROR(INDEX(MA_INDIVIDUALES!C$2:C923, MATCH($A859,MA_INDIVIDUALES!$B$2:$B923,0),1),"CÓDIGO DE EXPEDIENTE INVÁLIDO"))</f>
        <v/>
      </c>
      <c r="G859" s="68" t="str">
        <f t="array" ref="G859">IF($A859="","",IFERROR(INDEX(MA_INDIVIDUALES!K$2:K923, MATCH($A859,MA_INDIVIDUALES!$B$2:$B923,0),1),"CÓDIGO DE EXPEDIENTE INVÁLIDO"))</f>
        <v/>
      </c>
      <c r="H859" s="68" t="str">
        <f t="array" ref="H859">IF($A859="","",IFERROR(INDEX(MA_INDIVIDUALES!L$2:L923, MATCH($A859,MA_INDIVIDUALES!$B$2:$B923,0),1),"CÓDIGO DE EXPEDIENTE INVÁLIDO"))</f>
        <v/>
      </c>
      <c r="I859" s="76"/>
      <c r="J859" s="76"/>
      <c r="K859" s="75"/>
      <c r="L859" s="74" t="str">
        <f>IF(A859="","",IF(K859="","",_xlfn.WORKDAY.INTL(K859,5,1,FERIADOS)))</f>
        <v/>
      </c>
      <c r="M859" s="76"/>
      <c r="N859" s="75"/>
      <c r="O859" s="76"/>
      <c r="P859" s="77" t="str">
        <f t="shared" si="3"/>
        <v/>
      </c>
      <c r="Q859" s="75"/>
      <c r="R859" s="76"/>
      <c r="S859" s="75"/>
      <c r="T859" s="75"/>
      <c r="U859" s="76"/>
      <c r="V859" s="76"/>
      <c r="W859" s="75"/>
      <c r="X859" s="76"/>
      <c r="Y859" s="29" t="str">
        <f t="shared" si="4"/>
        <v/>
      </c>
      <c r="Z859" s="29" t="str">
        <f t="shared" si="5"/>
        <v/>
      </c>
      <c r="AA859" s="76"/>
      <c r="AB859" s="76"/>
      <c r="AC859" s="75"/>
      <c r="AD859" s="75"/>
      <c r="AE859" s="78" t="str">
        <f>IF(U859="","",IF(AD859="","",_xlfn.WORKDAY.INTL(AD859,7,1,FERIADOS)))</f>
        <v/>
      </c>
      <c r="AF859" s="104"/>
      <c r="AG859" s="80" t="str">
        <f t="array" ref="AG859">IF(A859="","",IF(AF859="","",AF859*INDEX(PARAMETROS!F$2:F1922,MATCH(YEAR(AC859),PARAMETROS!E$2:E1922,0),1)))</f>
        <v/>
      </c>
      <c r="AH859" s="81"/>
      <c r="AI859" s="82"/>
      <c r="AJ859" s="81"/>
      <c r="AK859" s="81"/>
      <c r="AL859" s="76"/>
      <c r="AM859" s="75"/>
      <c r="AN859" s="76"/>
      <c r="AO859" s="95"/>
      <c r="AP859" s="96"/>
      <c r="AQ859" s="85" t="str">
        <f t="shared" si="6"/>
        <v/>
      </c>
      <c r="AR859" s="86" t="str">
        <f t="array" ref="AR859">IF(A859="","",IFERROR(INDEX('2) Etapas'!L$3:L923,MATCH(B859,'2) Etapas'!$A$4:$A923,0),1),-1))</f>
        <v/>
      </c>
      <c r="AS859" s="87" t="str">
        <f t="shared" si="7"/>
        <v/>
      </c>
      <c r="AT859" s="87" t="str">
        <f t="shared" si="8"/>
        <v/>
      </c>
      <c r="AU859" s="87" t="str">
        <f t="shared" si="9"/>
        <v/>
      </c>
      <c r="AV859" s="89" t="str">
        <f t="array" ref="AV859">IF(OR($A859="",$AB859="", $AC859=""),"",MAXA(IF($A859=$A$4:$A923,$AC$4:$AC923)))</f>
        <v/>
      </c>
    </row>
    <row r="860" ht="22.5" customHeight="1">
      <c r="A860" s="76"/>
      <c r="B860" s="68" t="str">
        <f t="shared" si="1"/>
        <v/>
      </c>
      <c r="C860" s="110"/>
      <c r="D860" s="70" t="str">
        <f t="shared" si="2"/>
        <v/>
      </c>
      <c r="E860" s="76"/>
      <c r="F860" s="68" t="str">
        <f t="array" ref="F860">IF($A860="","",IFERROR(INDEX(MA_INDIVIDUALES!C$2:C923, MATCH($A860,MA_INDIVIDUALES!$B$2:$B923,0),1),"CÓDIGO DE EXPEDIENTE INVÁLIDO"))</f>
        <v/>
      </c>
      <c r="G860" s="68" t="str">
        <f t="array" ref="G860">IF($A860="","",IFERROR(INDEX(MA_INDIVIDUALES!K$2:K923, MATCH($A860,MA_INDIVIDUALES!$B$2:$B923,0),1),"CÓDIGO DE EXPEDIENTE INVÁLIDO"))</f>
        <v/>
      </c>
      <c r="H860" s="68" t="str">
        <f t="array" ref="H860">IF($A860="","",IFERROR(INDEX(MA_INDIVIDUALES!L$2:L923, MATCH($A860,MA_INDIVIDUALES!$B$2:$B923,0),1),"CÓDIGO DE EXPEDIENTE INVÁLIDO"))</f>
        <v/>
      </c>
      <c r="I860" s="76"/>
      <c r="J860" s="76"/>
      <c r="K860" s="75"/>
      <c r="L860" s="74" t="str">
        <f>IF(A860="","",IF(K860="","",_xlfn.WORKDAY.INTL(K860,5,1,FERIADOS)))</f>
        <v/>
      </c>
      <c r="M860" s="76"/>
      <c r="N860" s="75"/>
      <c r="O860" s="76"/>
      <c r="P860" s="77" t="str">
        <f t="shared" si="3"/>
        <v/>
      </c>
      <c r="Q860" s="75"/>
      <c r="R860" s="76"/>
      <c r="S860" s="75"/>
      <c r="T860" s="75"/>
      <c r="U860" s="76"/>
      <c r="V860" s="76"/>
      <c r="W860" s="75"/>
      <c r="X860" s="76"/>
      <c r="Y860" s="29" t="str">
        <f t="shared" si="4"/>
        <v/>
      </c>
      <c r="Z860" s="29" t="str">
        <f t="shared" si="5"/>
        <v/>
      </c>
      <c r="AA860" s="76"/>
      <c r="AB860" s="76"/>
      <c r="AC860" s="75"/>
      <c r="AD860" s="75"/>
      <c r="AE860" s="78" t="str">
        <f>IF(U860="","",IF(AD860="","",_xlfn.WORKDAY.INTL(AD860,7,1,FERIADOS)))</f>
        <v/>
      </c>
      <c r="AF860" s="104"/>
      <c r="AG860" s="80" t="str">
        <f t="array" ref="AG860">IF(A860="","",IF(AF860="","",AF860*INDEX(PARAMETROS!F$2:F1923,MATCH(YEAR(AC860),PARAMETROS!E$2:E1923,0),1)))</f>
        <v/>
      </c>
      <c r="AH860" s="81"/>
      <c r="AI860" s="82"/>
      <c r="AJ860" s="81"/>
      <c r="AK860" s="81"/>
      <c r="AL860" s="76"/>
      <c r="AM860" s="75"/>
      <c r="AN860" s="76"/>
      <c r="AO860" s="95"/>
      <c r="AP860" s="96"/>
      <c r="AQ860" s="85" t="str">
        <f t="shared" si="6"/>
        <v/>
      </c>
      <c r="AR860" s="86" t="str">
        <f t="array" ref="AR860">IF(A860="","",IFERROR(INDEX('2) Etapas'!L$3:L923,MATCH(B860,'2) Etapas'!$A$4:$A923,0),1),-1))</f>
        <v/>
      </c>
      <c r="AS860" s="87" t="str">
        <f t="shared" si="7"/>
        <v/>
      </c>
      <c r="AT860" s="87" t="str">
        <f t="shared" si="8"/>
        <v/>
      </c>
      <c r="AU860" s="87" t="str">
        <f t="shared" si="9"/>
        <v/>
      </c>
      <c r="AV860" s="89" t="str">
        <f t="array" ref="AV860">IF(OR($A860="",$AB860="", $AC860=""),"",MAXA(IF($A860=$A$4:$A923,$AC$4:$AC923)))</f>
        <v/>
      </c>
    </row>
    <row r="861" ht="22.5" customHeight="1">
      <c r="A861" s="76"/>
      <c r="B861" s="68" t="str">
        <f t="shared" si="1"/>
        <v/>
      </c>
      <c r="C861" s="110"/>
      <c r="D861" s="70" t="str">
        <f t="shared" si="2"/>
        <v/>
      </c>
      <c r="E861" s="76"/>
      <c r="F861" s="68" t="str">
        <f t="array" ref="F861">IF($A861="","",IFERROR(INDEX(MA_INDIVIDUALES!C$2:C923, MATCH($A861,MA_INDIVIDUALES!$B$2:$B923,0),1),"CÓDIGO DE EXPEDIENTE INVÁLIDO"))</f>
        <v/>
      </c>
      <c r="G861" s="68" t="str">
        <f t="array" ref="G861">IF($A861="","",IFERROR(INDEX(MA_INDIVIDUALES!K$2:K923, MATCH($A861,MA_INDIVIDUALES!$B$2:$B923,0),1),"CÓDIGO DE EXPEDIENTE INVÁLIDO"))</f>
        <v/>
      </c>
      <c r="H861" s="68" t="str">
        <f t="array" ref="H861">IF($A861="","",IFERROR(INDEX(MA_INDIVIDUALES!L$2:L923, MATCH($A861,MA_INDIVIDUALES!$B$2:$B923,0),1),"CÓDIGO DE EXPEDIENTE INVÁLIDO"))</f>
        <v/>
      </c>
      <c r="I861" s="76"/>
      <c r="J861" s="76"/>
      <c r="K861" s="75"/>
      <c r="L861" s="74" t="str">
        <f>IF(A861="","",IF(K861="","",_xlfn.WORKDAY.INTL(K861,5,1,FERIADOS)))</f>
        <v/>
      </c>
      <c r="M861" s="76"/>
      <c r="N861" s="75"/>
      <c r="O861" s="76"/>
      <c r="P861" s="77" t="str">
        <f t="shared" si="3"/>
        <v/>
      </c>
      <c r="Q861" s="75"/>
      <c r="R861" s="76"/>
      <c r="S861" s="75"/>
      <c r="T861" s="75"/>
      <c r="U861" s="76"/>
      <c r="V861" s="76"/>
      <c r="W861" s="75"/>
      <c r="X861" s="76"/>
      <c r="Y861" s="29" t="str">
        <f t="shared" si="4"/>
        <v/>
      </c>
      <c r="Z861" s="29" t="str">
        <f t="shared" si="5"/>
        <v/>
      </c>
      <c r="AA861" s="76"/>
      <c r="AB861" s="76"/>
      <c r="AC861" s="75"/>
      <c r="AD861" s="75"/>
      <c r="AE861" s="78" t="str">
        <f>IF(U861="","",IF(AD861="","",_xlfn.WORKDAY.INTL(AD861,7,1,FERIADOS)))</f>
        <v/>
      </c>
      <c r="AF861" s="104"/>
      <c r="AG861" s="80" t="str">
        <f t="array" ref="AG861">IF(A861="","",IF(AF861="","",AF861*INDEX(PARAMETROS!F$2:F1924,MATCH(YEAR(AC861),PARAMETROS!E$2:E1924,0),1)))</f>
        <v/>
      </c>
      <c r="AH861" s="81"/>
      <c r="AI861" s="82"/>
      <c r="AJ861" s="81"/>
      <c r="AK861" s="81"/>
      <c r="AL861" s="76"/>
      <c r="AM861" s="75"/>
      <c r="AN861" s="76"/>
      <c r="AO861" s="95"/>
      <c r="AP861" s="96"/>
      <c r="AQ861" s="85" t="str">
        <f t="shared" si="6"/>
        <v/>
      </c>
      <c r="AR861" s="86" t="str">
        <f t="array" ref="AR861">IF(A861="","",IFERROR(INDEX('2) Etapas'!L$3:L923,MATCH(B861,'2) Etapas'!$A$4:$A923,0),1),-1))</f>
        <v/>
      </c>
      <c r="AS861" s="87" t="str">
        <f t="shared" si="7"/>
        <v/>
      </c>
      <c r="AT861" s="87" t="str">
        <f t="shared" si="8"/>
        <v/>
      </c>
      <c r="AU861" s="87" t="str">
        <f t="shared" si="9"/>
        <v/>
      </c>
      <c r="AV861" s="89" t="str">
        <f t="array" ref="AV861">IF(OR($A861="",$AB861="", $AC861=""),"",MAXA(IF($A861=$A$4:$A923,$AC$4:$AC923)))</f>
        <v/>
      </c>
    </row>
    <row r="862" ht="22.5" customHeight="1">
      <c r="A862" s="76"/>
      <c r="B862" s="68" t="str">
        <f t="shared" si="1"/>
        <v/>
      </c>
      <c r="C862" s="110"/>
      <c r="D862" s="70" t="str">
        <f t="shared" si="2"/>
        <v/>
      </c>
      <c r="E862" s="76"/>
      <c r="F862" s="68" t="str">
        <f t="array" ref="F862">IF($A862="","",IFERROR(INDEX(MA_INDIVIDUALES!C$2:C923, MATCH($A862,MA_INDIVIDUALES!$B$2:$B923,0),1),"CÓDIGO DE EXPEDIENTE INVÁLIDO"))</f>
        <v/>
      </c>
      <c r="G862" s="68" t="str">
        <f t="array" ref="G862">IF($A862="","",IFERROR(INDEX(MA_INDIVIDUALES!K$2:K923, MATCH($A862,MA_INDIVIDUALES!$B$2:$B923,0),1),"CÓDIGO DE EXPEDIENTE INVÁLIDO"))</f>
        <v/>
      </c>
      <c r="H862" s="68" t="str">
        <f t="array" ref="H862">IF($A862="","",IFERROR(INDEX(MA_INDIVIDUALES!L$2:L923, MATCH($A862,MA_INDIVIDUALES!$B$2:$B923,0),1),"CÓDIGO DE EXPEDIENTE INVÁLIDO"))</f>
        <v/>
      </c>
      <c r="I862" s="76"/>
      <c r="J862" s="76"/>
      <c r="K862" s="75"/>
      <c r="L862" s="74" t="str">
        <f>IF(A862="","",IF(K862="","",_xlfn.WORKDAY.INTL(K862,5,1,FERIADOS)))</f>
        <v/>
      </c>
      <c r="M862" s="76"/>
      <c r="N862" s="75"/>
      <c r="O862" s="76"/>
      <c r="P862" s="77" t="str">
        <f t="shared" si="3"/>
        <v/>
      </c>
      <c r="Q862" s="75"/>
      <c r="R862" s="76"/>
      <c r="S862" s="75"/>
      <c r="T862" s="75"/>
      <c r="U862" s="76"/>
      <c r="V862" s="76"/>
      <c r="W862" s="75"/>
      <c r="X862" s="76"/>
      <c r="Y862" s="29" t="str">
        <f t="shared" si="4"/>
        <v/>
      </c>
      <c r="Z862" s="29" t="str">
        <f t="shared" si="5"/>
        <v/>
      </c>
      <c r="AA862" s="76"/>
      <c r="AB862" s="76"/>
      <c r="AC862" s="75"/>
      <c r="AD862" s="75"/>
      <c r="AE862" s="78" t="str">
        <f>IF(U862="","",IF(AD862="","",_xlfn.WORKDAY.INTL(AD862,7,1,FERIADOS)))</f>
        <v/>
      </c>
      <c r="AF862" s="104"/>
      <c r="AG862" s="80" t="str">
        <f t="array" ref="AG862">IF(A862="","",IF(AF862="","",AF862*INDEX(PARAMETROS!F$2:F1925,MATCH(YEAR(AC862),PARAMETROS!E$2:E1925,0),1)))</f>
        <v/>
      </c>
      <c r="AH862" s="81"/>
      <c r="AI862" s="82"/>
      <c r="AJ862" s="81"/>
      <c r="AK862" s="81"/>
      <c r="AL862" s="76"/>
      <c r="AM862" s="75"/>
      <c r="AN862" s="76"/>
      <c r="AO862" s="95"/>
      <c r="AP862" s="96"/>
      <c r="AQ862" s="85" t="str">
        <f t="shared" si="6"/>
        <v/>
      </c>
      <c r="AR862" s="86" t="str">
        <f t="array" ref="AR862">IF(A862="","",IFERROR(INDEX('2) Etapas'!L$3:L923,MATCH(B862,'2) Etapas'!$A$4:$A923,0),1),-1))</f>
        <v/>
      </c>
      <c r="AS862" s="87" t="str">
        <f t="shared" si="7"/>
        <v/>
      </c>
      <c r="AT862" s="87" t="str">
        <f t="shared" si="8"/>
        <v/>
      </c>
      <c r="AU862" s="87" t="str">
        <f t="shared" si="9"/>
        <v/>
      </c>
      <c r="AV862" s="89" t="str">
        <f t="array" ref="AV862">IF(OR($A862="",$AB862="", $AC862=""),"",MAXA(IF($A862=$A$4:$A923,$AC$4:$AC923)))</f>
        <v/>
      </c>
    </row>
    <row r="863" ht="22.5" customHeight="1">
      <c r="A863" s="76"/>
      <c r="B863" s="68" t="str">
        <f t="shared" si="1"/>
        <v/>
      </c>
      <c r="C863" s="110"/>
      <c r="D863" s="70" t="str">
        <f t="shared" si="2"/>
        <v/>
      </c>
      <c r="E863" s="76"/>
      <c r="F863" s="68" t="str">
        <f t="array" ref="F863">IF($A863="","",IFERROR(INDEX(MA_INDIVIDUALES!C$2:C923, MATCH($A863,MA_INDIVIDUALES!$B$2:$B923,0),1),"CÓDIGO DE EXPEDIENTE INVÁLIDO"))</f>
        <v/>
      </c>
      <c r="G863" s="68" t="str">
        <f t="array" ref="G863">IF($A863="","",IFERROR(INDEX(MA_INDIVIDUALES!K$2:K923, MATCH($A863,MA_INDIVIDUALES!$B$2:$B923,0),1),"CÓDIGO DE EXPEDIENTE INVÁLIDO"))</f>
        <v/>
      </c>
      <c r="H863" s="68" t="str">
        <f t="array" ref="H863">IF($A863="","",IFERROR(INDEX(MA_INDIVIDUALES!L$2:L923, MATCH($A863,MA_INDIVIDUALES!$B$2:$B923,0),1),"CÓDIGO DE EXPEDIENTE INVÁLIDO"))</f>
        <v/>
      </c>
      <c r="I863" s="76"/>
      <c r="J863" s="76"/>
      <c r="K863" s="75"/>
      <c r="L863" s="74" t="str">
        <f>IF(A863="","",IF(K863="","",_xlfn.WORKDAY.INTL(K863,5,1,FERIADOS)))</f>
        <v/>
      </c>
      <c r="M863" s="76"/>
      <c r="N863" s="75"/>
      <c r="O863" s="76"/>
      <c r="P863" s="77" t="str">
        <f t="shared" si="3"/>
        <v/>
      </c>
      <c r="Q863" s="75"/>
      <c r="R863" s="76"/>
      <c r="S863" s="75"/>
      <c r="T863" s="75"/>
      <c r="U863" s="76"/>
      <c r="V863" s="76"/>
      <c r="W863" s="75"/>
      <c r="X863" s="76"/>
      <c r="Y863" s="29" t="str">
        <f t="shared" si="4"/>
        <v/>
      </c>
      <c r="Z863" s="29" t="str">
        <f t="shared" si="5"/>
        <v/>
      </c>
      <c r="AA863" s="76"/>
      <c r="AB863" s="76"/>
      <c r="AC863" s="75"/>
      <c r="AD863" s="75"/>
      <c r="AE863" s="78" t="str">
        <f>IF(U863="","",IF(AD863="","",_xlfn.WORKDAY.INTL(AD863,7,1,FERIADOS)))</f>
        <v/>
      </c>
      <c r="AF863" s="104"/>
      <c r="AG863" s="80" t="str">
        <f t="array" ref="AG863">IF(A863="","",IF(AF863="","",AF863*INDEX(PARAMETROS!F$2:F1926,MATCH(YEAR(AC863),PARAMETROS!E$2:E1926,0),1)))</f>
        <v/>
      </c>
      <c r="AH863" s="81"/>
      <c r="AI863" s="82"/>
      <c r="AJ863" s="81"/>
      <c r="AK863" s="81"/>
      <c r="AL863" s="76"/>
      <c r="AM863" s="75"/>
      <c r="AN863" s="76"/>
      <c r="AO863" s="95"/>
      <c r="AP863" s="96"/>
      <c r="AQ863" s="85" t="str">
        <f t="shared" si="6"/>
        <v/>
      </c>
      <c r="AR863" s="86" t="str">
        <f t="array" ref="AR863">IF(A863="","",IFERROR(INDEX('2) Etapas'!L$3:L923,MATCH(B863,'2) Etapas'!$A$4:$A923,0),1),-1))</f>
        <v/>
      </c>
      <c r="AS863" s="87" t="str">
        <f t="shared" si="7"/>
        <v/>
      </c>
      <c r="AT863" s="87" t="str">
        <f t="shared" si="8"/>
        <v/>
      </c>
      <c r="AU863" s="87" t="str">
        <f t="shared" si="9"/>
        <v/>
      </c>
      <c r="AV863" s="89" t="str">
        <f t="array" ref="AV863">IF(OR($A863="",$AB863="", $AC863=""),"",MAXA(IF($A863=$A$4:$A923,$AC$4:$AC923)))</f>
        <v/>
      </c>
    </row>
    <row r="864" ht="22.5" customHeight="1">
      <c r="A864" s="76"/>
      <c r="B864" s="68" t="str">
        <f t="shared" si="1"/>
        <v/>
      </c>
      <c r="C864" s="110"/>
      <c r="D864" s="70" t="str">
        <f t="shared" si="2"/>
        <v/>
      </c>
      <c r="E864" s="76"/>
      <c r="F864" s="68" t="str">
        <f t="array" ref="F864">IF($A864="","",IFERROR(INDEX(MA_INDIVIDUALES!C$2:C923, MATCH($A864,MA_INDIVIDUALES!$B$2:$B923,0),1),"CÓDIGO DE EXPEDIENTE INVÁLIDO"))</f>
        <v/>
      </c>
      <c r="G864" s="68" t="str">
        <f t="array" ref="G864">IF($A864="","",IFERROR(INDEX(MA_INDIVIDUALES!K$2:K923, MATCH($A864,MA_INDIVIDUALES!$B$2:$B923,0),1),"CÓDIGO DE EXPEDIENTE INVÁLIDO"))</f>
        <v/>
      </c>
      <c r="H864" s="68" t="str">
        <f t="array" ref="H864">IF($A864="","",IFERROR(INDEX(MA_INDIVIDUALES!L$2:L923, MATCH($A864,MA_INDIVIDUALES!$B$2:$B923,0),1),"CÓDIGO DE EXPEDIENTE INVÁLIDO"))</f>
        <v/>
      </c>
      <c r="I864" s="76"/>
      <c r="J864" s="76"/>
      <c r="K864" s="75"/>
      <c r="L864" s="74" t="str">
        <f>IF(A864="","",IF(K864="","",_xlfn.WORKDAY.INTL(K864,5,1,FERIADOS)))</f>
        <v/>
      </c>
      <c r="M864" s="76"/>
      <c r="N864" s="75"/>
      <c r="O864" s="76"/>
      <c r="P864" s="77" t="str">
        <f t="shared" si="3"/>
        <v/>
      </c>
      <c r="Q864" s="75"/>
      <c r="R864" s="76"/>
      <c r="S864" s="75"/>
      <c r="T864" s="75"/>
      <c r="U864" s="76"/>
      <c r="V864" s="76"/>
      <c r="W864" s="75"/>
      <c r="X864" s="76"/>
      <c r="Y864" s="29" t="str">
        <f t="shared" si="4"/>
        <v/>
      </c>
      <c r="Z864" s="29" t="str">
        <f t="shared" si="5"/>
        <v/>
      </c>
      <c r="AA864" s="76"/>
      <c r="AB864" s="76"/>
      <c r="AC864" s="75"/>
      <c r="AD864" s="75"/>
      <c r="AE864" s="78" t="str">
        <f>IF(U864="","",IF(AD864="","",_xlfn.WORKDAY.INTL(AD864,7,1,FERIADOS)))</f>
        <v/>
      </c>
      <c r="AF864" s="104"/>
      <c r="AG864" s="80" t="str">
        <f t="array" ref="AG864">IF(A864="","",IF(AF864="","",AF864*INDEX(PARAMETROS!F$2:F1927,MATCH(YEAR(AC864),PARAMETROS!E$2:E1927,0),1)))</f>
        <v/>
      </c>
      <c r="AH864" s="81"/>
      <c r="AI864" s="82"/>
      <c r="AJ864" s="81"/>
      <c r="AK864" s="81"/>
      <c r="AL864" s="76"/>
      <c r="AM864" s="75"/>
      <c r="AN864" s="76"/>
      <c r="AO864" s="95"/>
      <c r="AP864" s="96"/>
      <c r="AQ864" s="85" t="str">
        <f t="shared" si="6"/>
        <v/>
      </c>
      <c r="AR864" s="86" t="str">
        <f t="array" ref="AR864">IF(A864="","",IFERROR(INDEX('2) Etapas'!L$3:L923,MATCH(B864,'2) Etapas'!$A$4:$A923,0),1),-1))</f>
        <v/>
      </c>
      <c r="AS864" s="87" t="str">
        <f t="shared" si="7"/>
        <v/>
      </c>
      <c r="AT864" s="87" t="str">
        <f t="shared" si="8"/>
        <v/>
      </c>
      <c r="AU864" s="87" t="str">
        <f t="shared" si="9"/>
        <v/>
      </c>
      <c r="AV864" s="89" t="str">
        <f t="array" ref="AV864">IF(OR($A864="",$AB864="", $AC864=""),"",MAXA(IF($A864=$A$4:$A923,$AC$4:$AC923)))</f>
        <v/>
      </c>
    </row>
    <row r="865" ht="22.5" customHeight="1">
      <c r="A865" s="76"/>
      <c r="B865" s="68" t="str">
        <f t="shared" si="1"/>
        <v/>
      </c>
      <c r="C865" s="110"/>
      <c r="D865" s="70" t="str">
        <f t="shared" si="2"/>
        <v/>
      </c>
      <c r="E865" s="76"/>
      <c r="F865" s="68" t="str">
        <f t="array" ref="F865">IF($A865="","",IFERROR(INDEX(MA_INDIVIDUALES!C$2:C923, MATCH($A865,MA_INDIVIDUALES!$B$2:$B923,0),1),"CÓDIGO DE EXPEDIENTE INVÁLIDO"))</f>
        <v/>
      </c>
      <c r="G865" s="68" t="str">
        <f t="array" ref="G865">IF($A865="","",IFERROR(INDEX(MA_INDIVIDUALES!K$2:K923, MATCH($A865,MA_INDIVIDUALES!$B$2:$B923,0),1),"CÓDIGO DE EXPEDIENTE INVÁLIDO"))</f>
        <v/>
      </c>
      <c r="H865" s="68" t="str">
        <f t="array" ref="H865">IF($A865="","",IFERROR(INDEX(MA_INDIVIDUALES!L$2:L923, MATCH($A865,MA_INDIVIDUALES!$B$2:$B923,0),1),"CÓDIGO DE EXPEDIENTE INVÁLIDO"))</f>
        <v/>
      </c>
      <c r="I865" s="76"/>
      <c r="J865" s="76"/>
      <c r="K865" s="75"/>
      <c r="L865" s="74" t="str">
        <f>IF(A865="","",IF(K865="","",_xlfn.WORKDAY.INTL(K865,5,1,FERIADOS)))</f>
        <v/>
      </c>
      <c r="M865" s="76"/>
      <c r="N865" s="75"/>
      <c r="O865" s="76"/>
      <c r="P865" s="77" t="str">
        <f t="shared" si="3"/>
        <v/>
      </c>
      <c r="Q865" s="75"/>
      <c r="R865" s="76"/>
      <c r="S865" s="75"/>
      <c r="T865" s="75"/>
      <c r="U865" s="76"/>
      <c r="V865" s="76"/>
      <c r="W865" s="75"/>
      <c r="X865" s="76"/>
      <c r="Y865" s="29" t="str">
        <f t="shared" si="4"/>
        <v/>
      </c>
      <c r="Z865" s="29" t="str">
        <f t="shared" si="5"/>
        <v/>
      </c>
      <c r="AA865" s="76"/>
      <c r="AB865" s="76"/>
      <c r="AC865" s="75"/>
      <c r="AD865" s="75"/>
      <c r="AE865" s="78" t="str">
        <f>IF(U865="","",IF(AD865="","",_xlfn.WORKDAY.INTL(AD865,7,1,FERIADOS)))</f>
        <v/>
      </c>
      <c r="AF865" s="104"/>
      <c r="AG865" s="80" t="str">
        <f t="array" ref="AG865">IF(A865="","",IF(AF865="","",AF865*INDEX(PARAMETROS!F$2:F1928,MATCH(YEAR(AC865),PARAMETROS!E$2:E1928,0),1)))</f>
        <v/>
      </c>
      <c r="AH865" s="81"/>
      <c r="AI865" s="82"/>
      <c r="AJ865" s="81"/>
      <c r="AK865" s="81"/>
      <c r="AL865" s="76"/>
      <c r="AM865" s="75"/>
      <c r="AN865" s="76"/>
      <c r="AO865" s="95"/>
      <c r="AP865" s="96"/>
      <c r="AQ865" s="85" t="str">
        <f t="shared" si="6"/>
        <v/>
      </c>
      <c r="AR865" s="86" t="str">
        <f t="array" ref="AR865">IF(A865="","",IFERROR(INDEX('2) Etapas'!L$3:L923,MATCH(B865,'2) Etapas'!$A$4:$A923,0),1),-1))</f>
        <v/>
      </c>
      <c r="AS865" s="87" t="str">
        <f t="shared" si="7"/>
        <v/>
      </c>
      <c r="AT865" s="87" t="str">
        <f t="shared" si="8"/>
        <v/>
      </c>
      <c r="AU865" s="87" t="str">
        <f t="shared" si="9"/>
        <v/>
      </c>
      <c r="AV865" s="89" t="str">
        <f t="array" ref="AV865">IF(OR($A865="",$AB865="", $AC865=""),"",MAXA(IF($A865=$A$4:$A923,$AC$4:$AC923)))</f>
        <v/>
      </c>
    </row>
    <row r="866" ht="22.5" customHeight="1">
      <c r="A866" s="76"/>
      <c r="B866" s="68" t="str">
        <f t="shared" si="1"/>
        <v/>
      </c>
      <c r="C866" s="110"/>
      <c r="D866" s="70" t="str">
        <f t="shared" si="2"/>
        <v/>
      </c>
      <c r="E866" s="76"/>
      <c r="F866" s="68" t="str">
        <f t="array" ref="F866">IF($A866="","",IFERROR(INDEX(MA_INDIVIDUALES!C$2:C923, MATCH($A866,MA_INDIVIDUALES!$B$2:$B923,0),1),"CÓDIGO DE EXPEDIENTE INVÁLIDO"))</f>
        <v/>
      </c>
      <c r="G866" s="68" t="str">
        <f t="array" ref="G866">IF($A866="","",IFERROR(INDEX(MA_INDIVIDUALES!K$2:K923, MATCH($A866,MA_INDIVIDUALES!$B$2:$B923,0),1),"CÓDIGO DE EXPEDIENTE INVÁLIDO"))</f>
        <v/>
      </c>
      <c r="H866" s="68" t="str">
        <f t="array" ref="H866">IF($A866="","",IFERROR(INDEX(MA_INDIVIDUALES!L$2:L923, MATCH($A866,MA_INDIVIDUALES!$B$2:$B923,0),1),"CÓDIGO DE EXPEDIENTE INVÁLIDO"))</f>
        <v/>
      </c>
      <c r="I866" s="76"/>
      <c r="J866" s="76"/>
      <c r="K866" s="75"/>
      <c r="L866" s="74" t="str">
        <f>IF(A866="","",IF(K866="","",_xlfn.WORKDAY.INTL(K866,5,1,FERIADOS)))</f>
        <v/>
      </c>
      <c r="M866" s="76"/>
      <c r="N866" s="75"/>
      <c r="O866" s="76"/>
      <c r="P866" s="77" t="str">
        <f t="shared" si="3"/>
        <v/>
      </c>
      <c r="Q866" s="75"/>
      <c r="R866" s="76"/>
      <c r="S866" s="75"/>
      <c r="T866" s="75"/>
      <c r="U866" s="76"/>
      <c r="V866" s="76"/>
      <c r="W866" s="75"/>
      <c r="X866" s="76"/>
      <c r="Y866" s="29" t="str">
        <f t="shared" si="4"/>
        <v/>
      </c>
      <c r="Z866" s="29" t="str">
        <f t="shared" si="5"/>
        <v/>
      </c>
      <c r="AA866" s="76"/>
      <c r="AB866" s="76"/>
      <c r="AC866" s="75"/>
      <c r="AD866" s="75"/>
      <c r="AE866" s="78" t="str">
        <f>IF(U866="","",IF(AD866="","",_xlfn.WORKDAY.INTL(AD866,7,1,FERIADOS)))</f>
        <v/>
      </c>
      <c r="AF866" s="104"/>
      <c r="AG866" s="80" t="str">
        <f t="array" ref="AG866">IF(A866="","",IF(AF866="","",AF866*INDEX(PARAMETROS!F$2:F1929,MATCH(YEAR(AC866),PARAMETROS!E$2:E1929,0),1)))</f>
        <v/>
      </c>
      <c r="AH866" s="81"/>
      <c r="AI866" s="82"/>
      <c r="AJ866" s="81"/>
      <c r="AK866" s="81"/>
      <c r="AL866" s="76"/>
      <c r="AM866" s="75"/>
      <c r="AN866" s="76"/>
      <c r="AO866" s="95"/>
      <c r="AP866" s="96"/>
      <c r="AQ866" s="85" t="str">
        <f t="shared" si="6"/>
        <v/>
      </c>
      <c r="AR866" s="86" t="str">
        <f t="array" ref="AR866">IF(A866="","",IFERROR(INDEX('2) Etapas'!L$3:L923,MATCH(B866,'2) Etapas'!$A$4:$A923,0),1),-1))</f>
        <v/>
      </c>
      <c r="AS866" s="87" t="str">
        <f t="shared" si="7"/>
        <v/>
      </c>
      <c r="AT866" s="87" t="str">
        <f t="shared" si="8"/>
        <v/>
      </c>
      <c r="AU866" s="87" t="str">
        <f t="shared" si="9"/>
        <v/>
      </c>
      <c r="AV866" s="89" t="str">
        <f t="array" ref="AV866">IF(OR($A866="",$AB866="", $AC866=""),"",MAXA(IF($A866=$A$4:$A923,$AC$4:$AC923)))</f>
        <v/>
      </c>
    </row>
    <row r="867" ht="22.5" customHeight="1">
      <c r="A867" s="76"/>
      <c r="B867" s="68" t="str">
        <f t="shared" si="1"/>
        <v/>
      </c>
      <c r="C867" s="110"/>
      <c r="D867" s="70" t="str">
        <f t="shared" si="2"/>
        <v/>
      </c>
      <c r="E867" s="76"/>
      <c r="F867" s="68" t="str">
        <f t="array" ref="F867">IF($A867="","",IFERROR(INDEX(MA_INDIVIDUALES!C$2:C923, MATCH($A867,MA_INDIVIDUALES!$B$2:$B923,0),1),"CÓDIGO DE EXPEDIENTE INVÁLIDO"))</f>
        <v/>
      </c>
      <c r="G867" s="68" t="str">
        <f t="array" ref="G867">IF($A867="","",IFERROR(INDEX(MA_INDIVIDUALES!K$2:K923, MATCH($A867,MA_INDIVIDUALES!$B$2:$B923,0),1),"CÓDIGO DE EXPEDIENTE INVÁLIDO"))</f>
        <v/>
      </c>
      <c r="H867" s="68" t="str">
        <f t="array" ref="H867">IF($A867="","",IFERROR(INDEX(MA_INDIVIDUALES!L$2:L923, MATCH($A867,MA_INDIVIDUALES!$B$2:$B923,0),1),"CÓDIGO DE EXPEDIENTE INVÁLIDO"))</f>
        <v/>
      </c>
      <c r="I867" s="76"/>
      <c r="J867" s="76"/>
      <c r="K867" s="75"/>
      <c r="L867" s="74" t="str">
        <f>IF(A867="","",IF(K867="","",_xlfn.WORKDAY.INTL(K867,5,1,FERIADOS)))</f>
        <v/>
      </c>
      <c r="M867" s="76"/>
      <c r="N867" s="75"/>
      <c r="O867" s="76"/>
      <c r="P867" s="77" t="str">
        <f t="shared" si="3"/>
        <v/>
      </c>
      <c r="Q867" s="75"/>
      <c r="R867" s="76"/>
      <c r="S867" s="75"/>
      <c r="T867" s="75"/>
      <c r="U867" s="76"/>
      <c r="V867" s="76"/>
      <c r="W867" s="75"/>
      <c r="X867" s="76"/>
      <c r="Y867" s="29" t="str">
        <f t="shared" si="4"/>
        <v/>
      </c>
      <c r="Z867" s="29" t="str">
        <f t="shared" si="5"/>
        <v/>
      </c>
      <c r="AA867" s="76"/>
      <c r="AB867" s="76"/>
      <c r="AC867" s="75"/>
      <c r="AD867" s="75"/>
      <c r="AE867" s="78" t="str">
        <f>IF(U867="","",IF(AD867="","",_xlfn.WORKDAY.INTL(AD867,7,1,FERIADOS)))</f>
        <v/>
      </c>
      <c r="AF867" s="104"/>
      <c r="AG867" s="80" t="str">
        <f t="array" ref="AG867">IF(A867="","",IF(AF867="","",AF867*INDEX(PARAMETROS!F$2:F1930,MATCH(YEAR(AC867),PARAMETROS!E$2:E1930,0),1)))</f>
        <v/>
      </c>
      <c r="AH867" s="81"/>
      <c r="AI867" s="82"/>
      <c r="AJ867" s="81"/>
      <c r="AK867" s="81"/>
      <c r="AL867" s="76"/>
      <c r="AM867" s="75"/>
      <c r="AN867" s="76"/>
      <c r="AO867" s="95"/>
      <c r="AP867" s="96"/>
      <c r="AQ867" s="85" t="str">
        <f t="shared" si="6"/>
        <v/>
      </c>
      <c r="AR867" s="86" t="str">
        <f t="array" ref="AR867">IF(A867="","",IFERROR(INDEX('2) Etapas'!L$3:L923,MATCH(B867,'2) Etapas'!$A$4:$A923,0),1),-1))</f>
        <v/>
      </c>
      <c r="AS867" s="87" t="str">
        <f t="shared" si="7"/>
        <v/>
      </c>
      <c r="AT867" s="87" t="str">
        <f t="shared" si="8"/>
        <v/>
      </c>
      <c r="AU867" s="87" t="str">
        <f t="shared" si="9"/>
        <v/>
      </c>
      <c r="AV867" s="89" t="str">
        <f t="array" ref="AV867">IF(OR($A867="",$AB867="", $AC867=""),"",MAXA(IF($A867=$A$4:$A923,$AC$4:$AC923)))</f>
        <v/>
      </c>
    </row>
    <row r="868" ht="22.5" customHeight="1">
      <c r="A868" s="76"/>
      <c r="B868" s="68" t="str">
        <f t="shared" si="1"/>
        <v/>
      </c>
      <c r="C868" s="110"/>
      <c r="D868" s="70" t="str">
        <f t="shared" si="2"/>
        <v/>
      </c>
      <c r="E868" s="76"/>
      <c r="F868" s="68" t="str">
        <f t="array" ref="F868">IF($A868="","",IFERROR(INDEX(MA_INDIVIDUALES!C$2:C923, MATCH($A868,MA_INDIVIDUALES!$B$2:$B923,0),1),"CÓDIGO DE EXPEDIENTE INVÁLIDO"))</f>
        <v/>
      </c>
      <c r="G868" s="68" t="str">
        <f t="array" ref="G868">IF($A868="","",IFERROR(INDEX(MA_INDIVIDUALES!K$2:K923, MATCH($A868,MA_INDIVIDUALES!$B$2:$B923,0),1),"CÓDIGO DE EXPEDIENTE INVÁLIDO"))</f>
        <v/>
      </c>
      <c r="H868" s="68" t="str">
        <f t="array" ref="H868">IF($A868="","",IFERROR(INDEX(MA_INDIVIDUALES!L$2:L923, MATCH($A868,MA_INDIVIDUALES!$B$2:$B923,0),1),"CÓDIGO DE EXPEDIENTE INVÁLIDO"))</f>
        <v/>
      </c>
      <c r="I868" s="76"/>
      <c r="J868" s="76"/>
      <c r="K868" s="75"/>
      <c r="L868" s="74" t="str">
        <f>IF(A868="","",IF(K868="","",_xlfn.WORKDAY.INTL(K868,5,1,FERIADOS)))</f>
        <v/>
      </c>
      <c r="M868" s="76"/>
      <c r="N868" s="75"/>
      <c r="O868" s="76"/>
      <c r="P868" s="77" t="str">
        <f t="shared" si="3"/>
        <v/>
      </c>
      <c r="Q868" s="75"/>
      <c r="R868" s="76"/>
      <c r="S868" s="75"/>
      <c r="T868" s="75"/>
      <c r="U868" s="76"/>
      <c r="V868" s="76"/>
      <c r="W868" s="75"/>
      <c r="X868" s="76"/>
      <c r="Y868" s="29" t="str">
        <f t="shared" si="4"/>
        <v/>
      </c>
      <c r="Z868" s="29" t="str">
        <f t="shared" si="5"/>
        <v/>
      </c>
      <c r="AA868" s="76"/>
      <c r="AB868" s="76"/>
      <c r="AC868" s="75"/>
      <c r="AD868" s="75"/>
      <c r="AE868" s="78" t="str">
        <f>IF(U868="","",IF(AD868="","",_xlfn.WORKDAY.INTL(AD868,7,1,FERIADOS)))</f>
        <v/>
      </c>
      <c r="AF868" s="104"/>
      <c r="AG868" s="80" t="str">
        <f t="array" ref="AG868">IF(A868="","",IF(AF868="","",AF868*INDEX(PARAMETROS!F$2:F1931,MATCH(YEAR(AC868),PARAMETROS!E$2:E1931,0),1)))</f>
        <v/>
      </c>
      <c r="AH868" s="81"/>
      <c r="AI868" s="82"/>
      <c r="AJ868" s="81"/>
      <c r="AK868" s="81"/>
      <c r="AL868" s="76"/>
      <c r="AM868" s="75"/>
      <c r="AN868" s="76"/>
      <c r="AO868" s="95"/>
      <c r="AP868" s="96"/>
      <c r="AQ868" s="85" t="str">
        <f t="shared" si="6"/>
        <v/>
      </c>
      <c r="AR868" s="86" t="str">
        <f t="array" ref="AR868">IF(A868="","",IFERROR(INDEX('2) Etapas'!L$3:L923,MATCH(B868,'2) Etapas'!$A$4:$A923,0),1),-1))</f>
        <v/>
      </c>
      <c r="AS868" s="87" t="str">
        <f t="shared" si="7"/>
        <v/>
      </c>
      <c r="AT868" s="87" t="str">
        <f t="shared" si="8"/>
        <v/>
      </c>
      <c r="AU868" s="87" t="str">
        <f t="shared" si="9"/>
        <v/>
      </c>
      <c r="AV868" s="89" t="str">
        <f t="array" ref="AV868">IF(OR($A868="",$AB868="", $AC868=""),"",MAXA(IF($A868=$A$4:$A923,$AC$4:$AC923)))</f>
        <v/>
      </c>
    </row>
    <row r="869" ht="22.5" customHeight="1">
      <c r="A869" s="76"/>
      <c r="B869" s="68" t="str">
        <f t="shared" si="1"/>
        <v/>
      </c>
      <c r="C869" s="110"/>
      <c r="D869" s="70" t="str">
        <f t="shared" si="2"/>
        <v/>
      </c>
      <c r="E869" s="76"/>
      <c r="F869" s="68" t="str">
        <f t="array" ref="F869">IF($A869="","",IFERROR(INDEX(MA_INDIVIDUALES!C$2:C923, MATCH($A869,MA_INDIVIDUALES!$B$2:$B923,0),1),"CÓDIGO DE EXPEDIENTE INVÁLIDO"))</f>
        <v/>
      </c>
      <c r="G869" s="68" t="str">
        <f t="array" ref="G869">IF($A869="","",IFERROR(INDEX(MA_INDIVIDUALES!K$2:K923, MATCH($A869,MA_INDIVIDUALES!$B$2:$B923,0),1),"CÓDIGO DE EXPEDIENTE INVÁLIDO"))</f>
        <v/>
      </c>
      <c r="H869" s="68" t="str">
        <f t="array" ref="H869">IF($A869="","",IFERROR(INDEX(MA_INDIVIDUALES!L$2:L923, MATCH($A869,MA_INDIVIDUALES!$B$2:$B923,0),1),"CÓDIGO DE EXPEDIENTE INVÁLIDO"))</f>
        <v/>
      </c>
      <c r="I869" s="76"/>
      <c r="J869" s="76"/>
      <c r="K869" s="75"/>
      <c r="L869" s="74" t="str">
        <f>IF(A869="","",IF(K869="","",_xlfn.WORKDAY.INTL(K869,5,1,FERIADOS)))</f>
        <v/>
      </c>
      <c r="M869" s="76"/>
      <c r="N869" s="75"/>
      <c r="O869" s="76"/>
      <c r="P869" s="77" t="str">
        <f t="shared" si="3"/>
        <v/>
      </c>
      <c r="Q869" s="75"/>
      <c r="R869" s="76"/>
      <c r="S869" s="75"/>
      <c r="T869" s="75"/>
      <c r="U869" s="76"/>
      <c r="V869" s="76"/>
      <c r="W869" s="75"/>
      <c r="X869" s="76"/>
      <c r="Y869" s="29" t="str">
        <f t="shared" si="4"/>
        <v/>
      </c>
      <c r="Z869" s="29" t="str">
        <f t="shared" si="5"/>
        <v/>
      </c>
      <c r="AA869" s="76"/>
      <c r="AB869" s="76"/>
      <c r="AC869" s="75"/>
      <c r="AD869" s="75"/>
      <c r="AE869" s="78" t="str">
        <f>IF(U869="","",IF(AD869="","",_xlfn.WORKDAY.INTL(AD869,7,1,FERIADOS)))</f>
        <v/>
      </c>
      <c r="AF869" s="104"/>
      <c r="AG869" s="80" t="str">
        <f t="array" ref="AG869">IF(A869="","",IF(AF869="","",AF869*INDEX(PARAMETROS!F$2:F1932,MATCH(YEAR(AC869),PARAMETROS!E$2:E1932,0),1)))</f>
        <v/>
      </c>
      <c r="AH869" s="81"/>
      <c r="AI869" s="82"/>
      <c r="AJ869" s="81"/>
      <c r="AK869" s="81"/>
      <c r="AL869" s="76"/>
      <c r="AM869" s="75"/>
      <c r="AN869" s="76"/>
      <c r="AO869" s="95"/>
      <c r="AP869" s="96"/>
      <c r="AQ869" s="85" t="str">
        <f t="shared" si="6"/>
        <v/>
      </c>
      <c r="AR869" s="86" t="str">
        <f t="array" ref="AR869">IF(A869="","",IFERROR(INDEX('2) Etapas'!L$3:L923,MATCH(B869,'2) Etapas'!$A$4:$A923,0),1),-1))</f>
        <v/>
      </c>
      <c r="AS869" s="87" t="str">
        <f t="shared" si="7"/>
        <v/>
      </c>
      <c r="AT869" s="87" t="str">
        <f t="shared" si="8"/>
        <v/>
      </c>
      <c r="AU869" s="87" t="str">
        <f t="shared" si="9"/>
        <v/>
      </c>
      <c r="AV869" s="89" t="str">
        <f t="array" ref="AV869">IF(OR($A869="",$AB869="", $AC869=""),"",MAXA(IF($A869=$A$4:$A923,$AC$4:$AC923)))</f>
        <v/>
      </c>
    </row>
    <row r="870" ht="22.5" customHeight="1">
      <c r="A870" s="76"/>
      <c r="B870" s="68" t="str">
        <f t="shared" si="1"/>
        <v/>
      </c>
      <c r="C870" s="110"/>
      <c r="D870" s="70" t="str">
        <f t="shared" si="2"/>
        <v/>
      </c>
      <c r="E870" s="76"/>
      <c r="F870" s="68" t="str">
        <f t="array" ref="F870">IF($A870="","",IFERROR(INDEX(MA_INDIVIDUALES!C$2:C923, MATCH($A870,MA_INDIVIDUALES!$B$2:$B923,0),1),"CÓDIGO DE EXPEDIENTE INVÁLIDO"))</f>
        <v/>
      </c>
      <c r="G870" s="68" t="str">
        <f t="array" ref="G870">IF($A870="","",IFERROR(INDEX(MA_INDIVIDUALES!K$2:K923, MATCH($A870,MA_INDIVIDUALES!$B$2:$B923,0),1),"CÓDIGO DE EXPEDIENTE INVÁLIDO"))</f>
        <v/>
      </c>
      <c r="H870" s="68" t="str">
        <f t="array" ref="H870">IF($A870="","",IFERROR(INDEX(MA_INDIVIDUALES!L$2:L923, MATCH($A870,MA_INDIVIDUALES!$B$2:$B923,0),1),"CÓDIGO DE EXPEDIENTE INVÁLIDO"))</f>
        <v/>
      </c>
      <c r="I870" s="76"/>
      <c r="J870" s="76"/>
      <c r="K870" s="75"/>
      <c r="L870" s="74" t="str">
        <f>IF(A870="","",IF(K870="","",_xlfn.WORKDAY.INTL(K870,5,1,FERIADOS)))</f>
        <v/>
      </c>
      <c r="M870" s="76"/>
      <c r="N870" s="75"/>
      <c r="O870" s="76"/>
      <c r="P870" s="77" t="str">
        <f t="shared" si="3"/>
        <v/>
      </c>
      <c r="Q870" s="75"/>
      <c r="R870" s="76"/>
      <c r="S870" s="75"/>
      <c r="T870" s="75"/>
      <c r="U870" s="76"/>
      <c r="V870" s="76"/>
      <c r="W870" s="75"/>
      <c r="X870" s="76"/>
      <c r="Y870" s="29" t="str">
        <f t="shared" si="4"/>
        <v/>
      </c>
      <c r="Z870" s="29" t="str">
        <f t="shared" si="5"/>
        <v/>
      </c>
      <c r="AA870" s="76"/>
      <c r="AB870" s="76"/>
      <c r="AC870" s="75"/>
      <c r="AD870" s="75"/>
      <c r="AE870" s="78" t="str">
        <f>IF(U870="","",IF(AD870="","",_xlfn.WORKDAY.INTL(AD870,7,1,FERIADOS)))</f>
        <v/>
      </c>
      <c r="AF870" s="104"/>
      <c r="AG870" s="80" t="str">
        <f t="array" ref="AG870">IF(A870="","",IF(AF870="","",AF870*INDEX(PARAMETROS!F$2:F1933,MATCH(YEAR(AC870),PARAMETROS!E$2:E1933,0),1)))</f>
        <v/>
      </c>
      <c r="AH870" s="81"/>
      <c r="AI870" s="82"/>
      <c r="AJ870" s="81"/>
      <c r="AK870" s="81"/>
      <c r="AL870" s="76"/>
      <c r="AM870" s="75"/>
      <c r="AN870" s="76"/>
      <c r="AO870" s="95"/>
      <c r="AP870" s="96"/>
      <c r="AQ870" s="85" t="str">
        <f t="shared" si="6"/>
        <v/>
      </c>
      <c r="AR870" s="86" t="str">
        <f t="array" ref="AR870">IF(A870="","",IFERROR(INDEX('2) Etapas'!L$3:L923,MATCH(B870,'2) Etapas'!$A$4:$A923,0),1),-1))</f>
        <v/>
      </c>
      <c r="AS870" s="87" t="str">
        <f t="shared" si="7"/>
        <v/>
      </c>
      <c r="AT870" s="87" t="str">
        <f t="shared" si="8"/>
        <v/>
      </c>
      <c r="AU870" s="87" t="str">
        <f t="shared" si="9"/>
        <v/>
      </c>
      <c r="AV870" s="89" t="str">
        <f t="array" ref="AV870">IF(OR($A870="",$AB870="", $AC870=""),"",MAXA(IF($A870=$A$4:$A923,$AC$4:$AC923)))</f>
        <v/>
      </c>
    </row>
    <row r="871" ht="22.5" customHeight="1">
      <c r="A871" s="76"/>
      <c r="B871" s="68" t="str">
        <f t="shared" si="1"/>
        <v/>
      </c>
      <c r="C871" s="110"/>
      <c r="D871" s="70" t="str">
        <f t="shared" si="2"/>
        <v/>
      </c>
      <c r="E871" s="76"/>
      <c r="F871" s="68" t="str">
        <f t="array" ref="F871">IF($A871="","",IFERROR(INDEX(MA_INDIVIDUALES!C$2:C923, MATCH($A871,MA_INDIVIDUALES!$B$2:$B923,0),1),"CÓDIGO DE EXPEDIENTE INVÁLIDO"))</f>
        <v/>
      </c>
      <c r="G871" s="68" t="str">
        <f t="array" ref="G871">IF($A871="","",IFERROR(INDEX(MA_INDIVIDUALES!K$2:K923, MATCH($A871,MA_INDIVIDUALES!$B$2:$B923,0),1),"CÓDIGO DE EXPEDIENTE INVÁLIDO"))</f>
        <v/>
      </c>
      <c r="H871" s="68" t="str">
        <f t="array" ref="H871">IF($A871="","",IFERROR(INDEX(MA_INDIVIDUALES!L$2:L923, MATCH($A871,MA_INDIVIDUALES!$B$2:$B923,0),1),"CÓDIGO DE EXPEDIENTE INVÁLIDO"))</f>
        <v/>
      </c>
      <c r="I871" s="76"/>
      <c r="J871" s="76"/>
      <c r="K871" s="75"/>
      <c r="L871" s="74" t="str">
        <f>IF(A871="","",IF(K871="","",_xlfn.WORKDAY.INTL(K871,5,1,FERIADOS)))</f>
        <v/>
      </c>
      <c r="M871" s="76"/>
      <c r="N871" s="75"/>
      <c r="O871" s="76"/>
      <c r="P871" s="77" t="str">
        <f t="shared" si="3"/>
        <v/>
      </c>
      <c r="Q871" s="75"/>
      <c r="R871" s="76"/>
      <c r="S871" s="75"/>
      <c r="T871" s="75"/>
      <c r="U871" s="76"/>
      <c r="V871" s="76"/>
      <c r="W871" s="75"/>
      <c r="X871" s="76"/>
      <c r="Y871" s="29" t="str">
        <f t="shared" si="4"/>
        <v/>
      </c>
      <c r="Z871" s="29" t="str">
        <f t="shared" si="5"/>
        <v/>
      </c>
      <c r="AA871" s="76"/>
      <c r="AB871" s="76"/>
      <c r="AC871" s="75"/>
      <c r="AD871" s="75"/>
      <c r="AE871" s="78" t="str">
        <f>IF(U871="","",IF(AD871="","",_xlfn.WORKDAY.INTL(AD871,7,1,FERIADOS)))</f>
        <v/>
      </c>
      <c r="AF871" s="104"/>
      <c r="AG871" s="80" t="str">
        <f t="array" ref="AG871">IF(A871="","",IF(AF871="","",AF871*INDEX(PARAMETROS!F$2:F1934,MATCH(YEAR(AC871),PARAMETROS!E$2:E1934,0),1)))</f>
        <v/>
      </c>
      <c r="AH871" s="81"/>
      <c r="AI871" s="82"/>
      <c r="AJ871" s="81"/>
      <c r="AK871" s="81"/>
      <c r="AL871" s="76"/>
      <c r="AM871" s="75"/>
      <c r="AN871" s="76"/>
      <c r="AO871" s="95"/>
      <c r="AP871" s="96"/>
      <c r="AQ871" s="85" t="str">
        <f t="shared" si="6"/>
        <v/>
      </c>
      <c r="AR871" s="86" t="str">
        <f t="array" ref="AR871">IF(A871="","",IFERROR(INDEX('2) Etapas'!L$3:L923,MATCH(B871,'2) Etapas'!$A$4:$A923,0),1),-1))</f>
        <v/>
      </c>
      <c r="AS871" s="87" t="str">
        <f t="shared" si="7"/>
        <v/>
      </c>
      <c r="AT871" s="87" t="str">
        <f t="shared" si="8"/>
        <v/>
      </c>
      <c r="AU871" s="87" t="str">
        <f t="shared" si="9"/>
        <v/>
      </c>
      <c r="AV871" s="89" t="str">
        <f t="array" ref="AV871">IF(OR($A871="",$AB871="", $AC871=""),"",MAXA(IF($A871=$A$4:$A923,$AC$4:$AC923)))</f>
        <v/>
      </c>
    </row>
    <row r="872" ht="22.5" customHeight="1">
      <c r="A872" s="76"/>
      <c r="B872" s="68" t="str">
        <f t="shared" si="1"/>
        <v/>
      </c>
      <c r="C872" s="110"/>
      <c r="D872" s="70" t="str">
        <f t="shared" si="2"/>
        <v/>
      </c>
      <c r="E872" s="76"/>
      <c r="F872" s="68" t="str">
        <f t="array" ref="F872">IF($A872="","",IFERROR(INDEX(MA_INDIVIDUALES!C$2:C923, MATCH($A872,MA_INDIVIDUALES!$B$2:$B923,0),1),"CÓDIGO DE EXPEDIENTE INVÁLIDO"))</f>
        <v/>
      </c>
      <c r="G872" s="68" t="str">
        <f t="array" ref="G872">IF($A872="","",IFERROR(INDEX(MA_INDIVIDUALES!K$2:K923, MATCH($A872,MA_INDIVIDUALES!$B$2:$B923,0),1),"CÓDIGO DE EXPEDIENTE INVÁLIDO"))</f>
        <v/>
      </c>
      <c r="H872" s="68" t="str">
        <f t="array" ref="H872">IF($A872="","",IFERROR(INDEX(MA_INDIVIDUALES!L$2:L923, MATCH($A872,MA_INDIVIDUALES!$B$2:$B923,0),1),"CÓDIGO DE EXPEDIENTE INVÁLIDO"))</f>
        <v/>
      </c>
      <c r="I872" s="76"/>
      <c r="J872" s="76"/>
      <c r="K872" s="75"/>
      <c r="L872" s="74" t="str">
        <f>IF(A872="","",IF(K872="","",_xlfn.WORKDAY.INTL(K872,5,1,FERIADOS)))</f>
        <v/>
      </c>
      <c r="M872" s="76"/>
      <c r="N872" s="75"/>
      <c r="O872" s="76"/>
      <c r="P872" s="77" t="str">
        <f t="shared" si="3"/>
        <v/>
      </c>
      <c r="Q872" s="75"/>
      <c r="R872" s="76"/>
      <c r="S872" s="75"/>
      <c r="T872" s="75"/>
      <c r="U872" s="76"/>
      <c r="V872" s="76"/>
      <c r="W872" s="75"/>
      <c r="X872" s="76"/>
      <c r="Y872" s="29" t="str">
        <f t="shared" si="4"/>
        <v/>
      </c>
      <c r="Z872" s="29" t="str">
        <f t="shared" si="5"/>
        <v/>
      </c>
      <c r="AA872" s="76"/>
      <c r="AB872" s="76"/>
      <c r="AC872" s="75"/>
      <c r="AD872" s="75"/>
      <c r="AE872" s="78" t="str">
        <f>IF(U872="","",IF(AD872="","",_xlfn.WORKDAY.INTL(AD872,7,1,FERIADOS)))</f>
        <v/>
      </c>
      <c r="AF872" s="104"/>
      <c r="AG872" s="80" t="str">
        <f t="array" ref="AG872">IF(A872="","",IF(AF872="","",AF872*INDEX(PARAMETROS!F$2:F1935,MATCH(YEAR(AC872),PARAMETROS!E$2:E1935,0),1)))</f>
        <v/>
      </c>
      <c r="AH872" s="81"/>
      <c r="AI872" s="82"/>
      <c r="AJ872" s="81"/>
      <c r="AK872" s="81"/>
      <c r="AL872" s="76"/>
      <c r="AM872" s="75"/>
      <c r="AN872" s="76"/>
      <c r="AO872" s="95"/>
      <c r="AP872" s="96"/>
      <c r="AQ872" s="85" t="str">
        <f t="shared" si="6"/>
        <v/>
      </c>
      <c r="AR872" s="86" t="str">
        <f t="array" ref="AR872">IF(A872="","",IFERROR(INDEX('2) Etapas'!L$3:L923,MATCH(B872,'2) Etapas'!$A$4:$A923,0),1),-1))</f>
        <v/>
      </c>
      <c r="AS872" s="87" t="str">
        <f t="shared" si="7"/>
        <v/>
      </c>
      <c r="AT872" s="87" t="str">
        <f t="shared" si="8"/>
        <v/>
      </c>
      <c r="AU872" s="87" t="str">
        <f t="shared" si="9"/>
        <v/>
      </c>
      <c r="AV872" s="89" t="str">
        <f t="array" ref="AV872">IF(OR($A872="",$AB872="", $AC872=""),"",MAXA(IF($A872=$A$4:$A923,$AC$4:$AC923)))</f>
        <v/>
      </c>
    </row>
    <row r="873" ht="22.5" customHeight="1">
      <c r="A873" s="76"/>
      <c r="B873" s="68" t="str">
        <f t="shared" si="1"/>
        <v/>
      </c>
      <c r="C873" s="110"/>
      <c r="D873" s="70" t="str">
        <f t="shared" si="2"/>
        <v/>
      </c>
      <c r="E873" s="76"/>
      <c r="F873" s="68" t="str">
        <f t="array" ref="F873">IF($A873="","",IFERROR(INDEX(MA_INDIVIDUALES!C$2:C923, MATCH($A873,MA_INDIVIDUALES!$B$2:$B923,0),1),"CÓDIGO DE EXPEDIENTE INVÁLIDO"))</f>
        <v/>
      </c>
      <c r="G873" s="68" t="str">
        <f t="array" ref="G873">IF($A873="","",IFERROR(INDEX(MA_INDIVIDUALES!K$2:K923, MATCH($A873,MA_INDIVIDUALES!$B$2:$B923,0),1),"CÓDIGO DE EXPEDIENTE INVÁLIDO"))</f>
        <v/>
      </c>
      <c r="H873" s="68" t="str">
        <f t="array" ref="H873">IF($A873="","",IFERROR(INDEX(MA_INDIVIDUALES!L$2:L923, MATCH($A873,MA_INDIVIDUALES!$B$2:$B923,0),1),"CÓDIGO DE EXPEDIENTE INVÁLIDO"))</f>
        <v/>
      </c>
      <c r="I873" s="76"/>
      <c r="J873" s="76"/>
      <c r="K873" s="75"/>
      <c r="L873" s="74" t="str">
        <f>IF(A873="","",IF(K873="","",_xlfn.WORKDAY.INTL(K873,5,1,FERIADOS)))</f>
        <v/>
      </c>
      <c r="M873" s="76"/>
      <c r="N873" s="75"/>
      <c r="O873" s="76"/>
      <c r="P873" s="77" t="str">
        <f t="shared" si="3"/>
        <v/>
      </c>
      <c r="Q873" s="75"/>
      <c r="R873" s="76"/>
      <c r="S873" s="75"/>
      <c r="T873" s="75"/>
      <c r="U873" s="76"/>
      <c r="V873" s="76"/>
      <c r="W873" s="75"/>
      <c r="X873" s="76"/>
      <c r="Y873" s="29" t="str">
        <f t="shared" si="4"/>
        <v/>
      </c>
      <c r="Z873" s="29" t="str">
        <f t="shared" si="5"/>
        <v/>
      </c>
      <c r="AA873" s="76"/>
      <c r="AB873" s="76"/>
      <c r="AC873" s="75"/>
      <c r="AD873" s="75"/>
      <c r="AE873" s="78" t="str">
        <f>IF(U873="","",IF(AD873="","",_xlfn.WORKDAY.INTL(AD873,7,1,FERIADOS)))</f>
        <v/>
      </c>
      <c r="AF873" s="104"/>
      <c r="AG873" s="80" t="str">
        <f t="array" ref="AG873">IF(A873="","",IF(AF873="","",AF873*INDEX(PARAMETROS!F$2:F1936,MATCH(YEAR(AC873),PARAMETROS!E$2:E1936,0),1)))</f>
        <v/>
      </c>
      <c r="AH873" s="81"/>
      <c r="AI873" s="82"/>
      <c r="AJ873" s="81"/>
      <c r="AK873" s="81"/>
      <c r="AL873" s="76"/>
      <c r="AM873" s="75"/>
      <c r="AN873" s="76"/>
      <c r="AO873" s="95"/>
      <c r="AP873" s="96"/>
      <c r="AQ873" s="85" t="str">
        <f t="shared" si="6"/>
        <v/>
      </c>
      <c r="AR873" s="86" t="str">
        <f t="array" ref="AR873">IF(A873="","",IFERROR(INDEX('2) Etapas'!L$3:L923,MATCH(B873,'2) Etapas'!$A$4:$A923,0),1),-1))</f>
        <v/>
      </c>
      <c r="AS873" s="87" t="str">
        <f t="shared" si="7"/>
        <v/>
      </c>
      <c r="AT873" s="87" t="str">
        <f t="shared" si="8"/>
        <v/>
      </c>
      <c r="AU873" s="87" t="str">
        <f t="shared" si="9"/>
        <v/>
      </c>
      <c r="AV873" s="89" t="str">
        <f t="array" ref="AV873">IF(OR($A873="",$AB873="", $AC873=""),"",MAXA(IF($A873=$A$4:$A923,$AC$4:$AC923)))</f>
        <v/>
      </c>
    </row>
    <row r="874" ht="22.5" customHeight="1">
      <c r="A874" s="76"/>
      <c r="B874" s="68" t="str">
        <f t="shared" si="1"/>
        <v/>
      </c>
      <c r="C874" s="110"/>
      <c r="D874" s="70" t="str">
        <f t="shared" si="2"/>
        <v/>
      </c>
      <c r="E874" s="76"/>
      <c r="F874" s="68" t="str">
        <f t="array" ref="F874">IF($A874="","",IFERROR(INDEX(MA_INDIVIDUALES!C$2:C923, MATCH($A874,MA_INDIVIDUALES!$B$2:$B923,0),1),"CÓDIGO DE EXPEDIENTE INVÁLIDO"))</f>
        <v/>
      </c>
      <c r="G874" s="68" t="str">
        <f t="array" ref="G874">IF($A874="","",IFERROR(INDEX(MA_INDIVIDUALES!K$2:K923, MATCH($A874,MA_INDIVIDUALES!$B$2:$B923,0),1),"CÓDIGO DE EXPEDIENTE INVÁLIDO"))</f>
        <v/>
      </c>
      <c r="H874" s="68" t="str">
        <f t="array" ref="H874">IF($A874="","",IFERROR(INDEX(MA_INDIVIDUALES!L$2:L923, MATCH($A874,MA_INDIVIDUALES!$B$2:$B923,0),1),"CÓDIGO DE EXPEDIENTE INVÁLIDO"))</f>
        <v/>
      </c>
      <c r="I874" s="76"/>
      <c r="J874" s="76"/>
      <c r="K874" s="75"/>
      <c r="L874" s="74" t="str">
        <f>IF(A874="","",IF(K874="","",_xlfn.WORKDAY.INTL(K874,5,1,FERIADOS)))</f>
        <v/>
      </c>
      <c r="M874" s="76"/>
      <c r="N874" s="75"/>
      <c r="O874" s="76"/>
      <c r="P874" s="77" t="str">
        <f t="shared" si="3"/>
        <v/>
      </c>
      <c r="Q874" s="75"/>
      <c r="R874" s="76"/>
      <c r="S874" s="75"/>
      <c r="T874" s="75"/>
      <c r="U874" s="76"/>
      <c r="V874" s="76"/>
      <c r="W874" s="75"/>
      <c r="X874" s="76"/>
      <c r="Y874" s="29" t="str">
        <f t="shared" si="4"/>
        <v/>
      </c>
      <c r="Z874" s="29" t="str">
        <f t="shared" si="5"/>
        <v/>
      </c>
      <c r="AA874" s="76"/>
      <c r="AB874" s="76"/>
      <c r="AC874" s="75"/>
      <c r="AD874" s="75"/>
      <c r="AE874" s="78" t="str">
        <f>IF(U874="","",IF(AD874="","",_xlfn.WORKDAY.INTL(AD874,7,1,FERIADOS)))</f>
        <v/>
      </c>
      <c r="AF874" s="104"/>
      <c r="AG874" s="80" t="str">
        <f t="array" ref="AG874">IF(A874="","",IF(AF874="","",AF874*INDEX(PARAMETROS!F$2:F1937,MATCH(YEAR(AC874),PARAMETROS!E$2:E1937,0),1)))</f>
        <v/>
      </c>
      <c r="AH874" s="81"/>
      <c r="AI874" s="82"/>
      <c r="AJ874" s="81"/>
      <c r="AK874" s="81"/>
      <c r="AL874" s="76"/>
      <c r="AM874" s="75"/>
      <c r="AN874" s="76"/>
      <c r="AO874" s="95"/>
      <c r="AP874" s="96"/>
      <c r="AQ874" s="85" t="str">
        <f t="shared" si="6"/>
        <v/>
      </c>
      <c r="AR874" s="86" t="str">
        <f t="array" ref="AR874">IF(A874="","",IFERROR(INDEX('2) Etapas'!L$3:L923,MATCH(B874,'2) Etapas'!$A$4:$A923,0),1),-1))</f>
        <v/>
      </c>
      <c r="AS874" s="87" t="str">
        <f t="shared" si="7"/>
        <v/>
      </c>
      <c r="AT874" s="87" t="str">
        <f t="shared" si="8"/>
        <v/>
      </c>
      <c r="AU874" s="87" t="str">
        <f t="shared" si="9"/>
        <v/>
      </c>
      <c r="AV874" s="89" t="str">
        <f t="array" ref="AV874">IF(OR($A874="",$AB874="", $AC874=""),"",MAXA(IF($A874=$A$4:$A923,$AC$4:$AC923)))</f>
        <v/>
      </c>
    </row>
    <row r="875" ht="22.5" customHeight="1">
      <c r="A875" s="76"/>
      <c r="B875" s="68" t="str">
        <f t="shared" si="1"/>
        <v/>
      </c>
      <c r="C875" s="110"/>
      <c r="D875" s="70" t="str">
        <f t="shared" si="2"/>
        <v/>
      </c>
      <c r="E875" s="76"/>
      <c r="F875" s="68" t="str">
        <f t="array" ref="F875">IF($A875="","",IFERROR(INDEX(MA_INDIVIDUALES!C$2:C923, MATCH($A875,MA_INDIVIDUALES!$B$2:$B923,0),1),"CÓDIGO DE EXPEDIENTE INVÁLIDO"))</f>
        <v/>
      </c>
      <c r="G875" s="68" t="str">
        <f t="array" ref="G875">IF($A875="","",IFERROR(INDEX(MA_INDIVIDUALES!K$2:K923, MATCH($A875,MA_INDIVIDUALES!$B$2:$B923,0),1),"CÓDIGO DE EXPEDIENTE INVÁLIDO"))</f>
        <v/>
      </c>
      <c r="H875" s="68" t="str">
        <f t="array" ref="H875">IF($A875="","",IFERROR(INDEX(MA_INDIVIDUALES!L$2:L923, MATCH($A875,MA_INDIVIDUALES!$B$2:$B923,0),1),"CÓDIGO DE EXPEDIENTE INVÁLIDO"))</f>
        <v/>
      </c>
      <c r="I875" s="76"/>
      <c r="J875" s="76"/>
      <c r="K875" s="75"/>
      <c r="L875" s="74" t="str">
        <f>IF(A875="","",IF(K875="","",_xlfn.WORKDAY.INTL(K875,5,1,FERIADOS)))</f>
        <v/>
      </c>
      <c r="M875" s="76"/>
      <c r="N875" s="75"/>
      <c r="O875" s="76"/>
      <c r="P875" s="77" t="str">
        <f t="shared" si="3"/>
        <v/>
      </c>
      <c r="Q875" s="75"/>
      <c r="R875" s="76"/>
      <c r="S875" s="75"/>
      <c r="T875" s="75"/>
      <c r="U875" s="76"/>
      <c r="V875" s="76"/>
      <c r="W875" s="75"/>
      <c r="X875" s="76"/>
      <c r="Y875" s="29" t="str">
        <f t="shared" si="4"/>
        <v/>
      </c>
      <c r="Z875" s="29" t="str">
        <f t="shared" si="5"/>
        <v/>
      </c>
      <c r="AA875" s="76"/>
      <c r="AB875" s="76"/>
      <c r="AC875" s="75"/>
      <c r="AD875" s="75"/>
      <c r="AE875" s="78" t="str">
        <f>IF(U875="","",IF(AD875="","",_xlfn.WORKDAY.INTL(AD875,7,1,FERIADOS)))</f>
        <v/>
      </c>
      <c r="AF875" s="104"/>
      <c r="AG875" s="80" t="str">
        <f t="array" ref="AG875">IF(A875="","",IF(AF875="","",AF875*INDEX(PARAMETROS!F$2:F1938,MATCH(YEAR(AC875),PARAMETROS!E$2:E1938,0),1)))</f>
        <v/>
      </c>
      <c r="AH875" s="81"/>
      <c r="AI875" s="82"/>
      <c r="AJ875" s="81"/>
      <c r="AK875" s="81"/>
      <c r="AL875" s="76"/>
      <c r="AM875" s="75"/>
      <c r="AN875" s="76"/>
      <c r="AO875" s="95"/>
      <c r="AP875" s="96"/>
      <c r="AQ875" s="85" t="str">
        <f t="shared" si="6"/>
        <v/>
      </c>
      <c r="AR875" s="86" t="str">
        <f t="array" ref="AR875">IF(A875="","",IFERROR(INDEX('2) Etapas'!L$3:L923,MATCH(B875,'2) Etapas'!$A$4:$A923,0),1),-1))</f>
        <v/>
      </c>
      <c r="AS875" s="87" t="str">
        <f t="shared" si="7"/>
        <v/>
      </c>
      <c r="AT875" s="87" t="str">
        <f t="shared" si="8"/>
        <v/>
      </c>
      <c r="AU875" s="87" t="str">
        <f t="shared" si="9"/>
        <v/>
      </c>
      <c r="AV875" s="89" t="str">
        <f t="array" ref="AV875">IF(OR($A875="",$AB875="", $AC875=""),"",MAXA(IF($A875=$A$4:$A923,$AC$4:$AC923)))</f>
        <v/>
      </c>
    </row>
    <row r="876" ht="22.5" customHeight="1">
      <c r="A876" s="76"/>
      <c r="B876" s="68" t="str">
        <f t="shared" si="1"/>
        <v/>
      </c>
      <c r="C876" s="110"/>
      <c r="D876" s="70" t="str">
        <f t="shared" si="2"/>
        <v/>
      </c>
      <c r="E876" s="76"/>
      <c r="F876" s="68" t="str">
        <f t="array" ref="F876">IF($A876="","",IFERROR(INDEX(MA_INDIVIDUALES!C$2:C923, MATCH($A876,MA_INDIVIDUALES!$B$2:$B923,0),1),"CÓDIGO DE EXPEDIENTE INVÁLIDO"))</f>
        <v/>
      </c>
      <c r="G876" s="68" t="str">
        <f t="array" ref="G876">IF($A876="","",IFERROR(INDEX(MA_INDIVIDUALES!K$2:K923, MATCH($A876,MA_INDIVIDUALES!$B$2:$B923,0),1),"CÓDIGO DE EXPEDIENTE INVÁLIDO"))</f>
        <v/>
      </c>
      <c r="H876" s="68" t="str">
        <f t="array" ref="H876">IF($A876="","",IFERROR(INDEX(MA_INDIVIDUALES!L$2:L923, MATCH($A876,MA_INDIVIDUALES!$B$2:$B923,0),1),"CÓDIGO DE EXPEDIENTE INVÁLIDO"))</f>
        <v/>
      </c>
      <c r="I876" s="76"/>
      <c r="J876" s="76"/>
      <c r="K876" s="75"/>
      <c r="L876" s="74" t="str">
        <f>IF(A876="","",IF(K876="","",_xlfn.WORKDAY.INTL(K876,5,1,FERIADOS)))</f>
        <v/>
      </c>
      <c r="M876" s="76"/>
      <c r="N876" s="75"/>
      <c r="O876" s="76"/>
      <c r="P876" s="77" t="str">
        <f t="shared" si="3"/>
        <v/>
      </c>
      <c r="Q876" s="75"/>
      <c r="R876" s="76"/>
      <c r="S876" s="75"/>
      <c r="T876" s="75"/>
      <c r="U876" s="76"/>
      <c r="V876" s="76"/>
      <c r="W876" s="75"/>
      <c r="X876" s="76"/>
      <c r="Y876" s="29" t="str">
        <f t="shared" si="4"/>
        <v/>
      </c>
      <c r="Z876" s="29" t="str">
        <f t="shared" si="5"/>
        <v/>
      </c>
      <c r="AA876" s="76"/>
      <c r="AB876" s="76"/>
      <c r="AC876" s="75"/>
      <c r="AD876" s="75"/>
      <c r="AE876" s="78" t="str">
        <f>IF(U876="","",IF(AD876="","",_xlfn.WORKDAY.INTL(AD876,7,1,FERIADOS)))</f>
        <v/>
      </c>
      <c r="AF876" s="104"/>
      <c r="AG876" s="80" t="str">
        <f t="array" ref="AG876">IF(A876="","",IF(AF876="","",AF876*INDEX(PARAMETROS!F$2:F1939,MATCH(YEAR(AC876),PARAMETROS!E$2:E1939,0),1)))</f>
        <v/>
      </c>
      <c r="AH876" s="81"/>
      <c r="AI876" s="82"/>
      <c r="AJ876" s="81"/>
      <c r="AK876" s="81"/>
      <c r="AL876" s="76"/>
      <c r="AM876" s="75"/>
      <c r="AN876" s="76"/>
      <c r="AO876" s="95"/>
      <c r="AP876" s="96"/>
      <c r="AQ876" s="85" t="str">
        <f t="shared" si="6"/>
        <v/>
      </c>
      <c r="AR876" s="86" t="str">
        <f t="array" ref="AR876">IF(A876="","",IFERROR(INDEX('2) Etapas'!L$3:L923,MATCH(B876,'2) Etapas'!$A$4:$A923,0),1),-1))</f>
        <v/>
      </c>
      <c r="AS876" s="87" t="str">
        <f t="shared" si="7"/>
        <v/>
      </c>
      <c r="AT876" s="87" t="str">
        <f t="shared" si="8"/>
        <v/>
      </c>
      <c r="AU876" s="87" t="str">
        <f t="shared" si="9"/>
        <v/>
      </c>
      <c r="AV876" s="89" t="str">
        <f t="array" ref="AV876">IF(OR($A876="",$AB876="", $AC876=""),"",MAXA(IF($A876=$A$4:$A923,$AC$4:$AC923)))</f>
        <v/>
      </c>
    </row>
    <row r="877" ht="22.5" customHeight="1">
      <c r="A877" s="76"/>
      <c r="B877" s="68" t="str">
        <f t="shared" si="1"/>
        <v/>
      </c>
      <c r="C877" s="110"/>
      <c r="D877" s="70" t="str">
        <f t="shared" si="2"/>
        <v/>
      </c>
      <c r="E877" s="76"/>
      <c r="F877" s="68" t="str">
        <f t="array" ref="F877">IF($A877="","",IFERROR(INDEX(MA_INDIVIDUALES!C$2:C923, MATCH($A877,MA_INDIVIDUALES!$B$2:$B923,0),1),"CÓDIGO DE EXPEDIENTE INVÁLIDO"))</f>
        <v/>
      </c>
      <c r="G877" s="68" t="str">
        <f t="array" ref="G877">IF($A877="","",IFERROR(INDEX(MA_INDIVIDUALES!K$2:K923, MATCH($A877,MA_INDIVIDUALES!$B$2:$B923,0),1),"CÓDIGO DE EXPEDIENTE INVÁLIDO"))</f>
        <v/>
      </c>
      <c r="H877" s="68" t="str">
        <f t="array" ref="H877">IF($A877="","",IFERROR(INDEX(MA_INDIVIDUALES!L$2:L923, MATCH($A877,MA_INDIVIDUALES!$B$2:$B923,0),1),"CÓDIGO DE EXPEDIENTE INVÁLIDO"))</f>
        <v/>
      </c>
      <c r="I877" s="76"/>
      <c r="J877" s="76"/>
      <c r="K877" s="75"/>
      <c r="L877" s="74" t="str">
        <f>IF(A877="","",IF(K877="","",_xlfn.WORKDAY.INTL(K877,5,1,FERIADOS)))</f>
        <v/>
      </c>
      <c r="M877" s="76"/>
      <c r="N877" s="75"/>
      <c r="O877" s="76"/>
      <c r="P877" s="77" t="str">
        <f t="shared" si="3"/>
        <v/>
      </c>
      <c r="Q877" s="75"/>
      <c r="R877" s="76"/>
      <c r="S877" s="75"/>
      <c r="T877" s="75"/>
      <c r="U877" s="76"/>
      <c r="V877" s="76"/>
      <c r="W877" s="75"/>
      <c r="X877" s="76"/>
      <c r="Y877" s="29" t="str">
        <f t="shared" si="4"/>
        <v/>
      </c>
      <c r="Z877" s="29" t="str">
        <f t="shared" si="5"/>
        <v/>
      </c>
      <c r="AA877" s="76"/>
      <c r="AB877" s="76"/>
      <c r="AC877" s="75"/>
      <c r="AD877" s="75"/>
      <c r="AE877" s="78" t="str">
        <f>IF(U877="","",IF(AD877="","",_xlfn.WORKDAY.INTL(AD877,7,1,FERIADOS)))</f>
        <v/>
      </c>
      <c r="AF877" s="104"/>
      <c r="AG877" s="80" t="str">
        <f t="array" ref="AG877">IF(A877="","",IF(AF877="","",AF877*INDEX(PARAMETROS!F$2:F1940,MATCH(YEAR(AC877),PARAMETROS!E$2:E1940,0),1)))</f>
        <v/>
      </c>
      <c r="AH877" s="81"/>
      <c r="AI877" s="82"/>
      <c r="AJ877" s="81"/>
      <c r="AK877" s="81"/>
      <c r="AL877" s="76"/>
      <c r="AM877" s="75"/>
      <c r="AN877" s="76"/>
      <c r="AO877" s="95"/>
      <c r="AP877" s="96"/>
      <c r="AQ877" s="85" t="str">
        <f t="shared" si="6"/>
        <v/>
      </c>
      <c r="AR877" s="86" t="str">
        <f t="array" ref="AR877">IF(A877="","",IFERROR(INDEX('2) Etapas'!L$3:L923,MATCH(B877,'2) Etapas'!$A$4:$A923,0),1),-1))</f>
        <v/>
      </c>
      <c r="AS877" s="87" t="str">
        <f t="shared" si="7"/>
        <v/>
      </c>
      <c r="AT877" s="87" t="str">
        <f t="shared" si="8"/>
        <v/>
      </c>
      <c r="AU877" s="87" t="str">
        <f t="shared" si="9"/>
        <v/>
      </c>
      <c r="AV877" s="89" t="str">
        <f t="array" ref="AV877">IF(OR($A877="",$AB877="", $AC877=""),"",MAXA(IF($A877=$A$4:$A923,$AC$4:$AC923)))</f>
        <v/>
      </c>
    </row>
    <row r="878" ht="22.5" customHeight="1">
      <c r="A878" s="76"/>
      <c r="B878" s="68" t="str">
        <f t="shared" si="1"/>
        <v/>
      </c>
      <c r="C878" s="110"/>
      <c r="D878" s="70" t="str">
        <f t="shared" si="2"/>
        <v/>
      </c>
      <c r="E878" s="76"/>
      <c r="F878" s="68" t="str">
        <f t="array" ref="F878">IF($A878="","",IFERROR(INDEX(MA_INDIVIDUALES!C$2:C923, MATCH($A878,MA_INDIVIDUALES!$B$2:$B923,0),1),"CÓDIGO DE EXPEDIENTE INVÁLIDO"))</f>
        <v/>
      </c>
      <c r="G878" s="68" t="str">
        <f t="array" ref="G878">IF($A878="","",IFERROR(INDEX(MA_INDIVIDUALES!K$2:K923, MATCH($A878,MA_INDIVIDUALES!$B$2:$B923,0),1),"CÓDIGO DE EXPEDIENTE INVÁLIDO"))</f>
        <v/>
      </c>
      <c r="H878" s="68" t="str">
        <f t="array" ref="H878">IF($A878="","",IFERROR(INDEX(MA_INDIVIDUALES!L$2:L923, MATCH($A878,MA_INDIVIDUALES!$B$2:$B923,0),1),"CÓDIGO DE EXPEDIENTE INVÁLIDO"))</f>
        <v/>
      </c>
      <c r="I878" s="76"/>
      <c r="J878" s="76"/>
      <c r="K878" s="75"/>
      <c r="L878" s="74" t="str">
        <f>IF(A878="","",IF(K878="","",_xlfn.WORKDAY.INTL(K878,5,1,FERIADOS)))</f>
        <v/>
      </c>
      <c r="M878" s="76"/>
      <c r="N878" s="75"/>
      <c r="O878" s="76"/>
      <c r="P878" s="77" t="str">
        <f t="shared" si="3"/>
        <v/>
      </c>
      <c r="Q878" s="75"/>
      <c r="R878" s="76"/>
      <c r="S878" s="75"/>
      <c r="T878" s="75"/>
      <c r="U878" s="76"/>
      <c r="V878" s="76"/>
      <c r="W878" s="75"/>
      <c r="X878" s="76"/>
      <c r="Y878" s="29" t="str">
        <f t="shared" si="4"/>
        <v/>
      </c>
      <c r="Z878" s="29" t="str">
        <f t="shared" si="5"/>
        <v/>
      </c>
      <c r="AA878" s="76"/>
      <c r="AB878" s="76"/>
      <c r="AC878" s="75"/>
      <c r="AD878" s="75"/>
      <c r="AE878" s="78" t="str">
        <f>IF(U878="","",IF(AD878="","",_xlfn.WORKDAY.INTL(AD878,7,1,FERIADOS)))</f>
        <v/>
      </c>
      <c r="AF878" s="104"/>
      <c r="AG878" s="80" t="str">
        <f t="array" ref="AG878">IF(A878="","",IF(AF878="","",AF878*INDEX(PARAMETROS!F$2:F1941,MATCH(YEAR(AC878),PARAMETROS!E$2:E1941,0),1)))</f>
        <v/>
      </c>
      <c r="AH878" s="81"/>
      <c r="AI878" s="82"/>
      <c r="AJ878" s="81"/>
      <c r="AK878" s="81"/>
      <c r="AL878" s="76"/>
      <c r="AM878" s="75"/>
      <c r="AN878" s="76"/>
      <c r="AO878" s="95"/>
      <c r="AP878" s="96"/>
      <c r="AQ878" s="85" t="str">
        <f t="shared" si="6"/>
        <v/>
      </c>
      <c r="AR878" s="86" t="str">
        <f t="array" ref="AR878">IF(A878="","",IFERROR(INDEX('2) Etapas'!L$3:L923,MATCH(B878,'2) Etapas'!$A$4:$A923,0),1),-1))</f>
        <v/>
      </c>
      <c r="AS878" s="87" t="str">
        <f t="shared" si="7"/>
        <v/>
      </c>
      <c r="AT878" s="87" t="str">
        <f t="shared" si="8"/>
        <v/>
      </c>
      <c r="AU878" s="87" t="str">
        <f t="shared" si="9"/>
        <v/>
      </c>
      <c r="AV878" s="89" t="str">
        <f t="array" ref="AV878">IF(OR($A878="",$AB878="", $AC878=""),"",MAXA(IF($A878=$A$4:$A923,$AC$4:$AC923)))</f>
        <v/>
      </c>
    </row>
    <row r="879" ht="22.5" customHeight="1">
      <c r="A879" s="76"/>
      <c r="B879" s="68" t="str">
        <f t="shared" si="1"/>
        <v/>
      </c>
      <c r="C879" s="110"/>
      <c r="D879" s="70" t="str">
        <f t="shared" si="2"/>
        <v/>
      </c>
      <c r="E879" s="76"/>
      <c r="F879" s="68" t="str">
        <f t="array" ref="F879">IF($A879="","",IFERROR(INDEX(MA_INDIVIDUALES!C$2:C923, MATCH($A879,MA_INDIVIDUALES!$B$2:$B923,0),1),"CÓDIGO DE EXPEDIENTE INVÁLIDO"))</f>
        <v/>
      </c>
      <c r="G879" s="68" t="str">
        <f t="array" ref="G879">IF($A879="","",IFERROR(INDEX(MA_INDIVIDUALES!K$2:K923, MATCH($A879,MA_INDIVIDUALES!$B$2:$B923,0),1),"CÓDIGO DE EXPEDIENTE INVÁLIDO"))</f>
        <v/>
      </c>
      <c r="H879" s="68" t="str">
        <f t="array" ref="H879">IF($A879="","",IFERROR(INDEX(MA_INDIVIDUALES!L$2:L923, MATCH($A879,MA_INDIVIDUALES!$B$2:$B923,0),1),"CÓDIGO DE EXPEDIENTE INVÁLIDO"))</f>
        <v/>
      </c>
      <c r="I879" s="76"/>
      <c r="J879" s="76"/>
      <c r="K879" s="75"/>
      <c r="L879" s="74" t="str">
        <f>IF(A879="","",IF(K879="","",_xlfn.WORKDAY.INTL(K879,5,1,FERIADOS)))</f>
        <v/>
      </c>
      <c r="M879" s="76"/>
      <c r="N879" s="75"/>
      <c r="O879" s="76"/>
      <c r="P879" s="77" t="str">
        <f t="shared" si="3"/>
        <v/>
      </c>
      <c r="Q879" s="75"/>
      <c r="R879" s="76"/>
      <c r="S879" s="75"/>
      <c r="T879" s="75"/>
      <c r="U879" s="76"/>
      <c r="V879" s="76"/>
      <c r="W879" s="75"/>
      <c r="X879" s="76"/>
      <c r="Y879" s="29" t="str">
        <f t="shared" si="4"/>
        <v/>
      </c>
      <c r="Z879" s="29" t="str">
        <f t="shared" si="5"/>
        <v/>
      </c>
      <c r="AA879" s="76"/>
      <c r="AB879" s="76"/>
      <c r="AC879" s="75"/>
      <c r="AD879" s="75"/>
      <c r="AE879" s="78" t="str">
        <f>IF(U879="","",IF(AD879="","",_xlfn.WORKDAY.INTL(AD879,7,1,FERIADOS)))</f>
        <v/>
      </c>
      <c r="AF879" s="104"/>
      <c r="AG879" s="80" t="str">
        <f t="array" ref="AG879">IF(A879="","",IF(AF879="","",AF879*INDEX(PARAMETROS!F$2:F1942,MATCH(YEAR(AC879),PARAMETROS!E$2:E1942,0),1)))</f>
        <v/>
      </c>
      <c r="AH879" s="81"/>
      <c r="AI879" s="82"/>
      <c r="AJ879" s="81"/>
      <c r="AK879" s="81"/>
      <c r="AL879" s="76"/>
      <c r="AM879" s="75"/>
      <c r="AN879" s="76"/>
      <c r="AO879" s="95"/>
      <c r="AP879" s="96"/>
      <c r="AQ879" s="85" t="str">
        <f t="shared" si="6"/>
        <v/>
      </c>
      <c r="AR879" s="86" t="str">
        <f t="array" ref="AR879">IF(A879="","",IFERROR(INDEX('2) Etapas'!L$3:L923,MATCH(B879,'2) Etapas'!$A$4:$A923,0),1),-1))</f>
        <v/>
      </c>
      <c r="AS879" s="87" t="str">
        <f t="shared" si="7"/>
        <v/>
      </c>
      <c r="AT879" s="87" t="str">
        <f t="shared" si="8"/>
        <v/>
      </c>
      <c r="AU879" s="87" t="str">
        <f t="shared" si="9"/>
        <v/>
      </c>
      <c r="AV879" s="89" t="str">
        <f t="array" ref="AV879">IF(OR($A879="",$AB879="", $AC879=""),"",MAXA(IF($A879=$A$4:$A923,$AC$4:$AC923)))</f>
        <v/>
      </c>
    </row>
    <row r="880" ht="22.5" customHeight="1">
      <c r="A880" s="76"/>
      <c r="B880" s="68" t="str">
        <f t="shared" si="1"/>
        <v/>
      </c>
      <c r="C880" s="110"/>
      <c r="D880" s="70" t="str">
        <f t="shared" si="2"/>
        <v/>
      </c>
      <c r="E880" s="76"/>
      <c r="F880" s="68" t="str">
        <f t="array" ref="F880">IF($A880="","",IFERROR(INDEX(MA_INDIVIDUALES!C$2:C923, MATCH($A880,MA_INDIVIDUALES!$B$2:$B923,0),1),"CÓDIGO DE EXPEDIENTE INVÁLIDO"))</f>
        <v/>
      </c>
      <c r="G880" s="68" t="str">
        <f t="array" ref="G880">IF($A880="","",IFERROR(INDEX(MA_INDIVIDUALES!K$2:K923, MATCH($A880,MA_INDIVIDUALES!$B$2:$B923,0),1),"CÓDIGO DE EXPEDIENTE INVÁLIDO"))</f>
        <v/>
      </c>
      <c r="H880" s="68" t="str">
        <f t="array" ref="H880">IF($A880="","",IFERROR(INDEX(MA_INDIVIDUALES!L$2:L923, MATCH($A880,MA_INDIVIDUALES!$B$2:$B923,0),1),"CÓDIGO DE EXPEDIENTE INVÁLIDO"))</f>
        <v/>
      </c>
      <c r="I880" s="76"/>
      <c r="J880" s="76"/>
      <c r="K880" s="75"/>
      <c r="L880" s="74" t="str">
        <f>IF(A880="","",IF(K880="","",_xlfn.WORKDAY.INTL(K880,5,1,FERIADOS)))</f>
        <v/>
      </c>
      <c r="M880" s="76"/>
      <c r="N880" s="75"/>
      <c r="O880" s="76"/>
      <c r="P880" s="77" t="str">
        <f t="shared" si="3"/>
        <v/>
      </c>
      <c r="Q880" s="75"/>
      <c r="R880" s="76"/>
      <c r="S880" s="75"/>
      <c r="T880" s="75"/>
      <c r="U880" s="76"/>
      <c r="V880" s="76"/>
      <c r="W880" s="75"/>
      <c r="X880" s="76"/>
      <c r="Y880" s="29" t="str">
        <f t="shared" si="4"/>
        <v/>
      </c>
      <c r="Z880" s="29" t="str">
        <f t="shared" si="5"/>
        <v/>
      </c>
      <c r="AA880" s="76"/>
      <c r="AB880" s="76"/>
      <c r="AC880" s="75"/>
      <c r="AD880" s="75"/>
      <c r="AE880" s="78" t="str">
        <f>IF(U880="","",IF(AD880="","",_xlfn.WORKDAY.INTL(AD880,7,1,FERIADOS)))</f>
        <v/>
      </c>
      <c r="AF880" s="104"/>
      <c r="AG880" s="80" t="str">
        <f t="array" ref="AG880">IF(A880="","",IF(AF880="","",AF880*INDEX(PARAMETROS!F$2:F1943,MATCH(YEAR(AC880),PARAMETROS!E$2:E1943,0),1)))</f>
        <v/>
      </c>
      <c r="AH880" s="81"/>
      <c r="AI880" s="82"/>
      <c r="AJ880" s="81"/>
      <c r="AK880" s="81"/>
      <c r="AL880" s="76"/>
      <c r="AM880" s="75"/>
      <c r="AN880" s="76"/>
      <c r="AO880" s="95"/>
      <c r="AP880" s="96"/>
      <c r="AQ880" s="85" t="str">
        <f t="shared" si="6"/>
        <v/>
      </c>
      <c r="AR880" s="86" t="str">
        <f t="array" ref="AR880">IF(A880="","",IFERROR(INDEX('2) Etapas'!L$3:L923,MATCH(B880,'2) Etapas'!$A$4:$A923,0),1),-1))</f>
        <v/>
      </c>
      <c r="AS880" s="87" t="str">
        <f t="shared" si="7"/>
        <v/>
      </c>
      <c r="AT880" s="87" t="str">
        <f t="shared" si="8"/>
        <v/>
      </c>
      <c r="AU880" s="87" t="str">
        <f t="shared" si="9"/>
        <v/>
      </c>
      <c r="AV880" s="89" t="str">
        <f t="array" ref="AV880">IF(OR($A880="",$AB880="", $AC880=""),"",MAXA(IF($A880=$A$4:$A923,$AC$4:$AC923)))</f>
        <v/>
      </c>
    </row>
    <row r="881" ht="22.5" customHeight="1">
      <c r="A881" s="76"/>
      <c r="B881" s="68" t="str">
        <f t="shared" si="1"/>
        <v/>
      </c>
      <c r="C881" s="110"/>
      <c r="D881" s="70" t="str">
        <f t="shared" si="2"/>
        <v/>
      </c>
      <c r="E881" s="76"/>
      <c r="F881" s="68" t="str">
        <f t="array" ref="F881">IF($A881="","",IFERROR(INDEX(MA_INDIVIDUALES!C$2:C923, MATCH($A881,MA_INDIVIDUALES!$B$2:$B923,0),1),"CÓDIGO DE EXPEDIENTE INVÁLIDO"))</f>
        <v/>
      </c>
      <c r="G881" s="68" t="str">
        <f t="array" ref="G881">IF($A881="","",IFERROR(INDEX(MA_INDIVIDUALES!K$2:K923, MATCH($A881,MA_INDIVIDUALES!$B$2:$B923,0),1),"CÓDIGO DE EXPEDIENTE INVÁLIDO"))</f>
        <v/>
      </c>
      <c r="H881" s="68" t="str">
        <f t="array" ref="H881">IF($A881="","",IFERROR(INDEX(MA_INDIVIDUALES!L$2:L923, MATCH($A881,MA_INDIVIDUALES!$B$2:$B923,0),1),"CÓDIGO DE EXPEDIENTE INVÁLIDO"))</f>
        <v/>
      </c>
      <c r="I881" s="76"/>
      <c r="J881" s="76"/>
      <c r="K881" s="75"/>
      <c r="L881" s="74" t="str">
        <f>IF(A881="","",IF(K881="","",_xlfn.WORKDAY.INTL(K881,5,1,FERIADOS)))</f>
        <v/>
      </c>
      <c r="M881" s="76"/>
      <c r="N881" s="75"/>
      <c r="O881" s="76"/>
      <c r="P881" s="77" t="str">
        <f t="shared" si="3"/>
        <v/>
      </c>
      <c r="Q881" s="75"/>
      <c r="R881" s="76"/>
      <c r="S881" s="75"/>
      <c r="T881" s="75"/>
      <c r="U881" s="76"/>
      <c r="V881" s="76"/>
      <c r="W881" s="75"/>
      <c r="X881" s="76"/>
      <c r="Y881" s="29" t="str">
        <f t="shared" si="4"/>
        <v/>
      </c>
      <c r="Z881" s="29" t="str">
        <f t="shared" si="5"/>
        <v/>
      </c>
      <c r="AA881" s="76"/>
      <c r="AB881" s="76"/>
      <c r="AC881" s="75"/>
      <c r="AD881" s="75"/>
      <c r="AE881" s="78" t="str">
        <f>IF(U881="","",IF(AD881="","",_xlfn.WORKDAY.INTL(AD881,7,1,FERIADOS)))</f>
        <v/>
      </c>
      <c r="AF881" s="104"/>
      <c r="AG881" s="80" t="str">
        <f t="array" ref="AG881">IF(A881="","",IF(AF881="","",AF881*INDEX(PARAMETROS!F$2:F1944,MATCH(YEAR(AC881),PARAMETROS!E$2:E1944,0),1)))</f>
        <v/>
      </c>
      <c r="AH881" s="81"/>
      <c r="AI881" s="82"/>
      <c r="AJ881" s="81"/>
      <c r="AK881" s="81"/>
      <c r="AL881" s="76"/>
      <c r="AM881" s="75"/>
      <c r="AN881" s="76"/>
      <c r="AO881" s="95"/>
      <c r="AP881" s="96"/>
      <c r="AQ881" s="85" t="str">
        <f t="shared" si="6"/>
        <v/>
      </c>
      <c r="AR881" s="86" t="str">
        <f t="array" ref="AR881">IF(A881="","",IFERROR(INDEX('2) Etapas'!L$3:L923,MATCH(B881,'2) Etapas'!$A$4:$A923,0),1),-1))</f>
        <v/>
      </c>
      <c r="AS881" s="87" t="str">
        <f t="shared" si="7"/>
        <v/>
      </c>
      <c r="AT881" s="87" t="str">
        <f t="shared" si="8"/>
        <v/>
      </c>
      <c r="AU881" s="87" t="str">
        <f t="shared" si="9"/>
        <v/>
      </c>
      <c r="AV881" s="89" t="str">
        <f t="array" ref="AV881">IF(OR($A881="",$AB881="", $AC881=""),"",MAXA(IF($A881=$A$4:$A923,$AC$4:$AC923)))</f>
        <v/>
      </c>
    </row>
    <row r="882" ht="22.5" customHeight="1">
      <c r="A882" s="76"/>
      <c r="B882" s="68" t="str">
        <f t="shared" si="1"/>
        <v/>
      </c>
      <c r="C882" s="110"/>
      <c r="D882" s="70" t="str">
        <f t="shared" si="2"/>
        <v/>
      </c>
      <c r="E882" s="76"/>
      <c r="F882" s="68" t="str">
        <f t="array" ref="F882">IF($A882="","",IFERROR(INDEX(MA_INDIVIDUALES!C$2:C923, MATCH($A882,MA_INDIVIDUALES!$B$2:$B923,0),1),"CÓDIGO DE EXPEDIENTE INVÁLIDO"))</f>
        <v/>
      </c>
      <c r="G882" s="68" t="str">
        <f t="array" ref="G882">IF($A882="","",IFERROR(INDEX(MA_INDIVIDUALES!K$2:K923, MATCH($A882,MA_INDIVIDUALES!$B$2:$B923,0),1),"CÓDIGO DE EXPEDIENTE INVÁLIDO"))</f>
        <v/>
      </c>
      <c r="H882" s="68" t="str">
        <f t="array" ref="H882">IF($A882="","",IFERROR(INDEX(MA_INDIVIDUALES!L$2:L923, MATCH($A882,MA_INDIVIDUALES!$B$2:$B923,0),1),"CÓDIGO DE EXPEDIENTE INVÁLIDO"))</f>
        <v/>
      </c>
      <c r="I882" s="76"/>
      <c r="J882" s="76"/>
      <c r="K882" s="75"/>
      <c r="L882" s="74" t="str">
        <f>IF(A882="","",IF(K882="","",_xlfn.WORKDAY.INTL(K882,5,1,FERIADOS)))</f>
        <v/>
      </c>
      <c r="M882" s="76"/>
      <c r="N882" s="75"/>
      <c r="O882" s="76"/>
      <c r="P882" s="77" t="str">
        <f t="shared" si="3"/>
        <v/>
      </c>
      <c r="Q882" s="75"/>
      <c r="R882" s="76"/>
      <c r="S882" s="75"/>
      <c r="T882" s="75"/>
      <c r="U882" s="76"/>
      <c r="V882" s="76"/>
      <c r="W882" s="75"/>
      <c r="X882" s="76"/>
      <c r="Y882" s="29" t="str">
        <f t="shared" si="4"/>
        <v/>
      </c>
      <c r="Z882" s="29" t="str">
        <f t="shared" si="5"/>
        <v/>
      </c>
      <c r="AA882" s="76"/>
      <c r="AB882" s="76"/>
      <c r="AC882" s="75"/>
      <c r="AD882" s="75"/>
      <c r="AE882" s="78" t="str">
        <f>IF(U882="","",IF(AD882="","",_xlfn.WORKDAY.INTL(AD882,7,1,FERIADOS)))</f>
        <v/>
      </c>
      <c r="AF882" s="104"/>
      <c r="AG882" s="80" t="str">
        <f t="array" ref="AG882">IF(A882="","",IF(AF882="","",AF882*INDEX(PARAMETROS!F$2:F1945,MATCH(YEAR(AC882),PARAMETROS!E$2:E1945,0),1)))</f>
        <v/>
      </c>
      <c r="AH882" s="81"/>
      <c r="AI882" s="82"/>
      <c r="AJ882" s="81"/>
      <c r="AK882" s="81"/>
      <c r="AL882" s="76"/>
      <c r="AM882" s="75"/>
      <c r="AN882" s="76"/>
      <c r="AO882" s="95"/>
      <c r="AP882" s="96"/>
      <c r="AQ882" s="85" t="str">
        <f t="shared" si="6"/>
        <v/>
      </c>
      <c r="AR882" s="86" t="str">
        <f t="array" ref="AR882">IF(A882="","",IFERROR(INDEX('2) Etapas'!L$3:L923,MATCH(B882,'2) Etapas'!$A$4:$A923,0),1),-1))</f>
        <v/>
      </c>
      <c r="AS882" s="87" t="str">
        <f t="shared" si="7"/>
        <v/>
      </c>
      <c r="AT882" s="87" t="str">
        <f t="shared" si="8"/>
        <v/>
      </c>
      <c r="AU882" s="87" t="str">
        <f t="shared" si="9"/>
        <v/>
      </c>
      <c r="AV882" s="89" t="str">
        <f t="array" ref="AV882">IF(OR($A882="",$AB882="", $AC882=""),"",MAXA(IF($A882=$A$4:$A923,$AC$4:$AC923)))</f>
        <v/>
      </c>
    </row>
    <row r="883" ht="22.5" customHeight="1">
      <c r="A883" s="76"/>
      <c r="B883" s="68" t="str">
        <f t="shared" si="1"/>
        <v/>
      </c>
      <c r="C883" s="110"/>
      <c r="D883" s="70" t="str">
        <f t="shared" si="2"/>
        <v/>
      </c>
      <c r="E883" s="76"/>
      <c r="F883" s="68" t="str">
        <f t="array" ref="F883">IF($A883="","",IFERROR(INDEX(MA_INDIVIDUALES!C$2:C923, MATCH($A883,MA_INDIVIDUALES!$B$2:$B923,0),1),"CÓDIGO DE EXPEDIENTE INVÁLIDO"))</f>
        <v/>
      </c>
      <c r="G883" s="68" t="str">
        <f t="array" ref="G883">IF($A883="","",IFERROR(INDEX(MA_INDIVIDUALES!K$2:K923, MATCH($A883,MA_INDIVIDUALES!$B$2:$B923,0),1),"CÓDIGO DE EXPEDIENTE INVÁLIDO"))</f>
        <v/>
      </c>
      <c r="H883" s="68" t="str">
        <f t="array" ref="H883">IF($A883="","",IFERROR(INDEX(MA_INDIVIDUALES!L$2:L923, MATCH($A883,MA_INDIVIDUALES!$B$2:$B923,0),1),"CÓDIGO DE EXPEDIENTE INVÁLIDO"))</f>
        <v/>
      </c>
      <c r="I883" s="76"/>
      <c r="J883" s="76"/>
      <c r="K883" s="75"/>
      <c r="L883" s="74" t="str">
        <f>IF(A883="","",IF(K883="","",_xlfn.WORKDAY.INTL(K883,5,1,FERIADOS)))</f>
        <v/>
      </c>
      <c r="M883" s="76"/>
      <c r="N883" s="75"/>
      <c r="O883" s="76"/>
      <c r="P883" s="77" t="str">
        <f t="shared" si="3"/>
        <v/>
      </c>
      <c r="Q883" s="75"/>
      <c r="R883" s="76"/>
      <c r="S883" s="75"/>
      <c r="T883" s="75"/>
      <c r="U883" s="76"/>
      <c r="V883" s="76"/>
      <c r="W883" s="75"/>
      <c r="X883" s="76"/>
      <c r="Y883" s="29" t="str">
        <f t="shared" si="4"/>
        <v/>
      </c>
      <c r="Z883" s="29" t="str">
        <f t="shared" si="5"/>
        <v/>
      </c>
      <c r="AA883" s="76"/>
      <c r="AB883" s="76"/>
      <c r="AC883" s="75"/>
      <c r="AD883" s="75"/>
      <c r="AE883" s="78" t="str">
        <f>IF(U883="","",IF(AD883="","",_xlfn.WORKDAY.INTL(AD883,7,1,FERIADOS)))</f>
        <v/>
      </c>
      <c r="AF883" s="104"/>
      <c r="AG883" s="80" t="str">
        <f t="array" ref="AG883">IF(A883="","",IF(AF883="","",AF883*INDEX(PARAMETROS!F$2:F1946,MATCH(YEAR(AC883),PARAMETROS!E$2:E1946,0),1)))</f>
        <v/>
      </c>
      <c r="AH883" s="81"/>
      <c r="AI883" s="82"/>
      <c r="AJ883" s="81"/>
      <c r="AK883" s="81"/>
      <c r="AL883" s="76"/>
      <c r="AM883" s="75"/>
      <c r="AN883" s="76"/>
      <c r="AO883" s="95"/>
      <c r="AP883" s="96"/>
      <c r="AQ883" s="85" t="str">
        <f t="shared" si="6"/>
        <v/>
      </c>
      <c r="AR883" s="86" t="str">
        <f t="array" ref="AR883">IF(A883="","",IFERROR(INDEX('2) Etapas'!L$3:L923,MATCH(B883,'2) Etapas'!$A$4:$A923,0),1),-1))</f>
        <v/>
      </c>
      <c r="AS883" s="87" t="str">
        <f t="shared" si="7"/>
        <v/>
      </c>
      <c r="AT883" s="87" t="str">
        <f t="shared" si="8"/>
        <v/>
      </c>
      <c r="AU883" s="87" t="str">
        <f t="shared" si="9"/>
        <v/>
      </c>
      <c r="AV883" s="89" t="str">
        <f t="array" ref="AV883">IF(OR($A883="",$AB883="", $AC883=""),"",MAXA(IF($A883=$A$4:$A923,$AC$4:$AC923)))</f>
        <v/>
      </c>
    </row>
    <row r="884" ht="22.5" customHeight="1">
      <c r="A884" s="76"/>
      <c r="B884" s="68" t="str">
        <f t="shared" si="1"/>
        <v/>
      </c>
      <c r="C884" s="110"/>
      <c r="D884" s="70" t="str">
        <f t="shared" si="2"/>
        <v/>
      </c>
      <c r="E884" s="76"/>
      <c r="F884" s="68" t="str">
        <f t="array" ref="F884">IF($A884="","",IFERROR(INDEX(MA_INDIVIDUALES!C$2:C923, MATCH($A884,MA_INDIVIDUALES!$B$2:$B923,0),1),"CÓDIGO DE EXPEDIENTE INVÁLIDO"))</f>
        <v/>
      </c>
      <c r="G884" s="68" t="str">
        <f t="array" ref="G884">IF($A884="","",IFERROR(INDEX(MA_INDIVIDUALES!K$2:K923, MATCH($A884,MA_INDIVIDUALES!$B$2:$B923,0),1),"CÓDIGO DE EXPEDIENTE INVÁLIDO"))</f>
        <v/>
      </c>
      <c r="H884" s="68" t="str">
        <f t="array" ref="H884">IF($A884="","",IFERROR(INDEX(MA_INDIVIDUALES!L$2:L923, MATCH($A884,MA_INDIVIDUALES!$B$2:$B923,0),1),"CÓDIGO DE EXPEDIENTE INVÁLIDO"))</f>
        <v/>
      </c>
      <c r="I884" s="76"/>
      <c r="J884" s="76"/>
      <c r="K884" s="75"/>
      <c r="L884" s="74" t="str">
        <f>IF(A884="","",IF(K884="","",_xlfn.WORKDAY.INTL(K884,5,1,FERIADOS)))</f>
        <v/>
      </c>
      <c r="M884" s="76"/>
      <c r="N884" s="75"/>
      <c r="O884" s="76"/>
      <c r="P884" s="77" t="str">
        <f t="shared" si="3"/>
        <v/>
      </c>
      <c r="Q884" s="75"/>
      <c r="R884" s="76"/>
      <c r="S884" s="75"/>
      <c r="T884" s="75"/>
      <c r="U884" s="76"/>
      <c r="V884" s="76"/>
      <c r="W884" s="75"/>
      <c r="X884" s="76"/>
      <c r="Y884" s="29" t="str">
        <f t="shared" si="4"/>
        <v/>
      </c>
      <c r="Z884" s="29" t="str">
        <f t="shared" si="5"/>
        <v/>
      </c>
      <c r="AA884" s="76"/>
      <c r="AB884" s="76"/>
      <c r="AC884" s="75"/>
      <c r="AD884" s="75"/>
      <c r="AE884" s="78" t="str">
        <f>IF(U884="","",IF(AD884="","",_xlfn.WORKDAY.INTL(AD884,7,1,FERIADOS)))</f>
        <v/>
      </c>
      <c r="AF884" s="104"/>
      <c r="AG884" s="80" t="str">
        <f t="array" ref="AG884">IF(A884="","",IF(AF884="","",AF884*INDEX(PARAMETROS!F$2:F1947,MATCH(YEAR(AC884),PARAMETROS!E$2:E1947,0),1)))</f>
        <v/>
      </c>
      <c r="AH884" s="81"/>
      <c r="AI884" s="82"/>
      <c r="AJ884" s="81"/>
      <c r="AK884" s="81"/>
      <c r="AL884" s="76"/>
      <c r="AM884" s="75"/>
      <c r="AN884" s="76"/>
      <c r="AO884" s="95"/>
      <c r="AP884" s="96"/>
      <c r="AQ884" s="85" t="str">
        <f t="shared" si="6"/>
        <v/>
      </c>
      <c r="AR884" s="86" t="str">
        <f t="array" ref="AR884">IF(A884="","",IFERROR(INDEX('2) Etapas'!L$3:L923,MATCH(B884,'2) Etapas'!$A$4:$A923,0),1),-1))</f>
        <v/>
      </c>
      <c r="AS884" s="87" t="str">
        <f t="shared" si="7"/>
        <v/>
      </c>
      <c r="AT884" s="87" t="str">
        <f t="shared" si="8"/>
        <v/>
      </c>
      <c r="AU884" s="87" t="str">
        <f t="shared" si="9"/>
        <v/>
      </c>
      <c r="AV884" s="89" t="str">
        <f t="array" ref="AV884">IF(OR($A884="",$AB884="", $AC884=""),"",MAXA(IF($A884=$A$4:$A923,$AC$4:$AC923)))</f>
        <v/>
      </c>
    </row>
    <row r="885" ht="22.5" customHeight="1">
      <c r="A885" s="76"/>
      <c r="B885" s="68" t="str">
        <f t="shared" si="1"/>
        <v/>
      </c>
      <c r="C885" s="110"/>
      <c r="D885" s="70" t="str">
        <f t="shared" si="2"/>
        <v/>
      </c>
      <c r="E885" s="76"/>
      <c r="F885" s="68" t="str">
        <f t="array" ref="F885">IF($A885="","",IFERROR(INDEX(MA_INDIVIDUALES!C$2:C923, MATCH($A885,MA_INDIVIDUALES!$B$2:$B923,0),1),"CÓDIGO DE EXPEDIENTE INVÁLIDO"))</f>
        <v/>
      </c>
      <c r="G885" s="68" t="str">
        <f t="array" ref="G885">IF($A885="","",IFERROR(INDEX(MA_INDIVIDUALES!K$2:K923, MATCH($A885,MA_INDIVIDUALES!$B$2:$B923,0),1),"CÓDIGO DE EXPEDIENTE INVÁLIDO"))</f>
        <v/>
      </c>
      <c r="H885" s="68" t="str">
        <f t="array" ref="H885">IF($A885="","",IFERROR(INDEX(MA_INDIVIDUALES!L$2:L923, MATCH($A885,MA_INDIVIDUALES!$B$2:$B923,0),1),"CÓDIGO DE EXPEDIENTE INVÁLIDO"))</f>
        <v/>
      </c>
      <c r="I885" s="76"/>
      <c r="J885" s="76"/>
      <c r="K885" s="75"/>
      <c r="L885" s="74" t="str">
        <f>IF(A885="","",IF(K885="","",_xlfn.WORKDAY.INTL(K885,5,1,FERIADOS)))</f>
        <v/>
      </c>
      <c r="M885" s="76"/>
      <c r="N885" s="75"/>
      <c r="O885" s="76"/>
      <c r="P885" s="77" t="str">
        <f t="shared" si="3"/>
        <v/>
      </c>
      <c r="Q885" s="75"/>
      <c r="R885" s="76"/>
      <c r="S885" s="75"/>
      <c r="T885" s="75"/>
      <c r="U885" s="76"/>
      <c r="V885" s="76"/>
      <c r="W885" s="75"/>
      <c r="X885" s="76"/>
      <c r="Y885" s="29" t="str">
        <f t="shared" si="4"/>
        <v/>
      </c>
      <c r="Z885" s="29" t="str">
        <f t="shared" si="5"/>
        <v/>
      </c>
      <c r="AA885" s="76"/>
      <c r="AB885" s="76"/>
      <c r="AC885" s="75"/>
      <c r="AD885" s="75"/>
      <c r="AE885" s="78" t="str">
        <f>IF(U885="","",IF(AD885="","",_xlfn.WORKDAY.INTL(AD885,7,1,FERIADOS)))</f>
        <v/>
      </c>
      <c r="AF885" s="104"/>
      <c r="AG885" s="80" t="str">
        <f t="array" ref="AG885">IF(A885="","",IF(AF885="","",AF885*INDEX(PARAMETROS!F$2:F1948,MATCH(YEAR(AC885),PARAMETROS!E$2:E1948,0),1)))</f>
        <v/>
      </c>
      <c r="AH885" s="81"/>
      <c r="AI885" s="82"/>
      <c r="AJ885" s="81"/>
      <c r="AK885" s="81"/>
      <c r="AL885" s="76"/>
      <c r="AM885" s="75"/>
      <c r="AN885" s="76"/>
      <c r="AO885" s="95"/>
      <c r="AP885" s="96"/>
      <c r="AQ885" s="85" t="str">
        <f t="shared" si="6"/>
        <v/>
      </c>
      <c r="AR885" s="86" t="str">
        <f t="array" ref="AR885">IF(A885="","",IFERROR(INDEX('2) Etapas'!L$3:L923,MATCH(B885,'2) Etapas'!$A$4:$A923,0),1),-1))</f>
        <v/>
      </c>
      <c r="AS885" s="87" t="str">
        <f t="shared" si="7"/>
        <v/>
      </c>
      <c r="AT885" s="87" t="str">
        <f t="shared" si="8"/>
        <v/>
      </c>
      <c r="AU885" s="87" t="str">
        <f t="shared" si="9"/>
        <v/>
      </c>
      <c r="AV885" s="89" t="str">
        <f t="array" ref="AV885">IF(OR($A885="",$AB885="", $AC885=""),"",MAXA(IF($A885=$A$4:$A923,$AC$4:$AC923)))</f>
        <v/>
      </c>
    </row>
    <row r="886" ht="22.5" customHeight="1">
      <c r="A886" s="76"/>
      <c r="B886" s="68" t="str">
        <f t="shared" si="1"/>
        <v/>
      </c>
      <c r="C886" s="110"/>
      <c r="D886" s="70" t="str">
        <f t="shared" si="2"/>
        <v/>
      </c>
      <c r="E886" s="76"/>
      <c r="F886" s="68" t="str">
        <f t="array" ref="F886">IF($A886="","",IFERROR(INDEX(MA_INDIVIDUALES!C$2:C923, MATCH($A886,MA_INDIVIDUALES!$B$2:$B923,0),1),"CÓDIGO DE EXPEDIENTE INVÁLIDO"))</f>
        <v/>
      </c>
      <c r="G886" s="68" t="str">
        <f t="array" ref="G886">IF($A886="","",IFERROR(INDEX(MA_INDIVIDUALES!K$2:K923, MATCH($A886,MA_INDIVIDUALES!$B$2:$B923,0),1),"CÓDIGO DE EXPEDIENTE INVÁLIDO"))</f>
        <v/>
      </c>
      <c r="H886" s="68" t="str">
        <f t="array" ref="H886">IF($A886="","",IFERROR(INDEX(MA_INDIVIDUALES!L$2:L923, MATCH($A886,MA_INDIVIDUALES!$B$2:$B923,0),1),"CÓDIGO DE EXPEDIENTE INVÁLIDO"))</f>
        <v/>
      </c>
      <c r="I886" s="76"/>
      <c r="J886" s="76"/>
      <c r="K886" s="75"/>
      <c r="L886" s="74" t="str">
        <f>IF(A886="","",IF(K886="","",_xlfn.WORKDAY.INTL(K886,5,1,FERIADOS)))</f>
        <v/>
      </c>
      <c r="M886" s="76"/>
      <c r="N886" s="75"/>
      <c r="O886" s="76"/>
      <c r="P886" s="77" t="str">
        <f t="shared" si="3"/>
        <v/>
      </c>
      <c r="Q886" s="75"/>
      <c r="R886" s="76"/>
      <c r="S886" s="75"/>
      <c r="T886" s="75"/>
      <c r="U886" s="76"/>
      <c r="V886" s="76"/>
      <c r="W886" s="75"/>
      <c r="X886" s="76"/>
      <c r="Y886" s="29" t="str">
        <f t="shared" si="4"/>
        <v/>
      </c>
      <c r="Z886" s="29" t="str">
        <f t="shared" si="5"/>
        <v/>
      </c>
      <c r="AA886" s="76"/>
      <c r="AB886" s="76"/>
      <c r="AC886" s="75"/>
      <c r="AD886" s="75"/>
      <c r="AE886" s="78" t="str">
        <f>IF(U886="","",IF(AD886="","",_xlfn.WORKDAY.INTL(AD886,7,1,FERIADOS)))</f>
        <v/>
      </c>
      <c r="AF886" s="104"/>
      <c r="AG886" s="80" t="str">
        <f t="array" ref="AG886">IF(A886="","",IF(AF886="","",AF886*INDEX(PARAMETROS!F$2:F1949,MATCH(YEAR(AC886),PARAMETROS!E$2:E1949,0),1)))</f>
        <v/>
      </c>
      <c r="AH886" s="81"/>
      <c r="AI886" s="82"/>
      <c r="AJ886" s="81"/>
      <c r="AK886" s="81"/>
      <c r="AL886" s="76"/>
      <c r="AM886" s="75"/>
      <c r="AN886" s="76"/>
      <c r="AO886" s="95"/>
      <c r="AP886" s="96"/>
      <c r="AQ886" s="85" t="str">
        <f t="shared" si="6"/>
        <v/>
      </c>
      <c r="AR886" s="86" t="str">
        <f t="array" ref="AR886">IF(A886="","",IFERROR(INDEX('2) Etapas'!L$3:L923,MATCH(B886,'2) Etapas'!$A$4:$A923,0),1),-1))</f>
        <v/>
      </c>
      <c r="AS886" s="87" t="str">
        <f t="shared" si="7"/>
        <v/>
      </c>
      <c r="AT886" s="87" t="str">
        <f t="shared" si="8"/>
        <v/>
      </c>
      <c r="AU886" s="87" t="str">
        <f t="shared" si="9"/>
        <v/>
      </c>
      <c r="AV886" s="89" t="str">
        <f t="array" ref="AV886">IF(OR($A886="",$AB886="", $AC886=""),"",MAXA(IF($A886=$A$4:$A923,$AC$4:$AC923)))</f>
        <v/>
      </c>
    </row>
    <row r="887" ht="22.5" customHeight="1">
      <c r="A887" s="76"/>
      <c r="B887" s="68" t="str">
        <f t="shared" si="1"/>
        <v/>
      </c>
      <c r="C887" s="110"/>
      <c r="D887" s="70" t="str">
        <f t="shared" si="2"/>
        <v/>
      </c>
      <c r="E887" s="76"/>
      <c r="F887" s="68" t="str">
        <f t="array" ref="F887">IF($A887="","",IFERROR(INDEX(MA_INDIVIDUALES!C$2:C923, MATCH($A887,MA_INDIVIDUALES!$B$2:$B923,0),1),"CÓDIGO DE EXPEDIENTE INVÁLIDO"))</f>
        <v/>
      </c>
      <c r="G887" s="68" t="str">
        <f t="array" ref="G887">IF($A887="","",IFERROR(INDEX(MA_INDIVIDUALES!K$2:K923, MATCH($A887,MA_INDIVIDUALES!$B$2:$B923,0),1),"CÓDIGO DE EXPEDIENTE INVÁLIDO"))</f>
        <v/>
      </c>
      <c r="H887" s="68" t="str">
        <f t="array" ref="H887">IF($A887="","",IFERROR(INDEX(MA_INDIVIDUALES!L$2:L923, MATCH($A887,MA_INDIVIDUALES!$B$2:$B923,0),1),"CÓDIGO DE EXPEDIENTE INVÁLIDO"))</f>
        <v/>
      </c>
      <c r="I887" s="76"/>
      <c r="J887" s="76"/>
      <c r="K887" s="75"/>
      <c r="L887" s="74" t="str">
        <f>IF(A887="","",IF(K887="","",_xlfn.WORKDAY.INTL(K887,5,1,FERIADOS)))</f>
        <v/>
      </c>
      <c r="M887" s="76"/>
      <c r="N887" s="75"/>
      <c r="O887" s="76"/>
      <c r="P887" s="77" t="str">
        <f t="shared" si="3"/>
        <v/>
      </c>
      <c r="Q887" s="75"/>
      <c r="R887" s="76"/>
      <c r="S887" s="75"/>
      <c r="T887" s="75"/>
      <c r="U887" s="76"/>
      <c r="V887" s="76"/>
      <c r="W887" s="75"/>
      <c r="X887" s="76"/>
      <c r="Y887" s="29" t="str">
        <f t="shared" si="4"/>
        <v/>
      </c>
      <c r="Z887" s="29" t="str">
        <f t="shared" si="5"/>
        <v/>
      </c>
      <c r="AA887" s="76"/>
      <c r="AB887" s="76"/>
      <c r="AC887" s="75"/>
      <c r="AD887" s="75"/>
      <c r="AE887" s="78" t="str">
        <f>IF(U887="","",IF(AD887="","",_xlfn.WORKDAY.INTL(AD887,7,1,FERIADOS)))</f>
        <v/>
      </c>
      <c r="AF887" s="104"/>
      <c r="AG887" s="80" t="str">
        <f t="array" ref="AG887">IF(A887="","",IF(AF887="","",AF887*INDEX(PARAMETROS!F$2:F1950,MATCH(YEAR(AC887),PARAMETROS!E$2:E1950,0),1)))</f>
        <v/>
      </c>
      <c r="AH887" s="81"/>
      <c r="AI887" s="82"/>
      <c r="AJ887" s="81"/>
      <c r="AK887" s="81"/>
      <c r="AL887" s="76"/>
      <c r="AM887" s="75"/>
      <c r="AN887" s="76"/>
      <c r="AO887" s="95"/>
      <c r="AP887" s="96"/>
      <c r="AQ887" s="85" t="str">
        <f t="shared" si="6"/>
        <v/>
      </c>
      <c r="AR887" s="86" t="str">
        <f t="array" ref="AR887">IF(A887="","",IFERROR(INDEX('2) Etapas'!L$3:L923,MATCH(B887,'2) Etapas'!$A$4:$A923,0),1),-1))</f>
        <v/>
      </c>
      <c r="AS887" s="87" t="str">
        <f t="shared" si="7"/>
        <v/>
      </c>
      <c r="AT887" s="87" t="str">
        <f t="shared" si="8"/>
        <v/>
      </c>
      <c r="AU887" s="87" t="str">
        <f t="shared" si="9"/>
        <v/>
      </c>
      <c r="AV887" s="89" t="str">
        <f t="array" ref="AV887">IF(OR($A887="",$AB887="", $AC887=""),"",MAXA(IF($A887=$A$4:$A923,$AC$4:$AC923)))</f>
        <v/>
      </c>
    </row>
    <row r="888" ht="22.5" customHeight="1">
      <c r="A888" s="76"/>
      <c r="B888" s="68" t="str">
        <f t="shared" si="1"/>
        <v/>
      </c>
      <c r="C888" s="110"/>
      <c r="D888" s="70" t="str">
        <f t="shared" si="2"/>
        <v/>
      </c>
      <c r="E888" s="76"/>
      <c r="F888" s="68" t="str">
        <f t="array" ref="F888">IF($A888="","",IFERROR(INDEX(MA_INDIVIDUALES!C$2:C923, MATCH($A888,MA_INDIVIDUALES!$B$2:$B923,0),1),"CÓDIGO DE EXPEDIENTE INVÁLIDO"))</f>
        <v/>
      </c>
      <c r="G888" s="68" t="str">
        <f t="array" ref="G888">IF($A888="","",IFERROR(INDEX(MA_INDIVIDUALES!K$2:K923, MATCH($A888,MA_INDIVIDUALES!$B$2:$B923,0),1),"CÓDIGO DE EXPEDIENTE INVÁLIDO"))</f>
        <v/>
      </c>
      <c r="H888" s="68" t="str">
        <f t="array" ref="H888">IF($A888="","",IFERROR(INDEX(MA_INDIVIDUALES!L$2:L923, MATCH($A888,MA_INDIVIDUALES!$B$2:$B923,0),1),"CÓDIGO DE EXPEDIENTE INVÁLIDO"))</f>
        <v/>
      </c>
      <c r="I888" s="76"/>
      <c r="J888" s="76"/>
      <c r="K888" s="75"/>
      <c r="L888" s="74" t="str">
        <f>IF(A888="","",IF(K888="","",_xlfn.WORKDAY.INTL(K888,5,1,FERIADOS)))</f>
        <v/>
      </c>
      <c r="M888" s="76"/>
      <c r="N888" s="75"/>
      <c r="O888" s="76"/>
      <c r="P888" s="77" t="str">
        <f t="shared" si="3"/>
        <v/>
      </c>
      <c r="Q888" s="75"/>
      <c r="R888" s="76"/>
      <c r="S888" s="75"/>
      <c r="T888" s="75"/>
      <c r="U888" s="76"/>
      <c r="V888" s="76"/>
      <c r="W888" s="75"/>
      <c r="X888" s="76"/>
      <c r="Y888" s="29" t="str">
        <f t="shared" si="4"/>
        <v/>
      </c>
      <c r="Z888" s="29" t="str">
        <f t="shared" si="5"/>
        <v/>
      </c>
      <c r="AA888" s="76"/>
      <c r="AB888" s="76"/>
      <c r="AC888" s="75"/>
      <c r="AD888" s="75"/>
      <c r="AE888" s="78" t="str">
        <f>IF(U888="","",IF(AD888="","",_xlfn.WORKDAY.INTL(AD888,7,1,FERIADOS)))</f>
        <v/>
      </c>
      <c r="AF888" s="104"/>
      <c r="AG888" s="80" t="str">
        <f t="array" ref="AG888">IF(A888="","",IF(AF888="","",AF888*INDEX(PARAMETROS!F$2:F1951,MATCH(YEAR(AC888),PARAMETROS!E$2:E1951,0),1)))</f>
        <v/>
      </c>
      <c r="AH888" s="81"/>
      <c r="AI888" s="82"/>
      <c r="AJ888" s="81"/>
      <c r="AK888" s="81"/>
      <c r="AL888" s="76"/>
      <c r="AM888" s="75"/>
      <c r="AN888" s="76"/>
      <c r="AO888" s="95"/>
      <c r="AP888" s="96"/>
      <c r="AQ888" s="85" t="str">
        <f t="shared" si="6"/>
        <v/>
      </c>
      <c r="AR888" s="86" t="str">
        <f t="array" ref="AR888">IF(A888="","",IFERROR(INDEX('2) Etapas'!L$3:L923,MATCH(B888,'2) Etapas'!$A$4:$A923,0),1),-1))</f>
        <v/>
      </c>
      <c r="AS888" s="87" t="str">
        <f t="shared" si="7"/>
        <v/>
      </c>
      <c r="AT888" s="87" t="str">
        <f t="shared" si="8"/>
        <v/>
      </c>
      <c r="AU888" s="87" t="str">
        <f t="shared" si="9"/>
        <v/>
      </c>
      <c r="AV888" s="89" t="str">
        <f t="array" ref="AV888">IF(OR($A888="",$AB888="", $AC888=""),"",MAXA(IF($A888=$A$4:$A923,$AC$4:$AC923)))</f>
        <v/>
      </c>
    </row>
    <row r="889" ht="22.5" customHeight="1">
      <c r="A889" s="76"/>
      <c r="B889" s="68" t="str">
        <f t="shared" si="1"/>
        <v/>
      </c>
      <c r="C889" s="110"/>
      <c r="D889" s="70" t="str">
        <f t="shared" si="2"/>
        <v/>
      </c>
      <c r="E889" s="76"/>
      <c r="F889" s="68" t="str">
        <f t="array" ref="F889">IF($A889="","",IFERROR(INDEX(MA_INDIVIDUALES!C$2:C923, MATCH($A889,MA_INDIVIDUALES!$B$2:$B923,0),1),"CÓDIGO DE EXPEDIENTE INVÁLIDO"))</f>
        <v/>
      </c>
      <c r="G889" s="68" t="str">
        <f t="array" ref="G889">IF($A889="","",IFERROR(INDEX(MA_INDIVIDUALES!K$2:K923, MATCH($A889,MA_INDIVIDUALES!$B$2:$B923,0),1),"CÓDIGO DE EXPEDIENTE INVÁLIDO"))</f>
        <v/>
      </c>
      <c r="H889" s="68" t="str">
        <f t="array" ref="H889">IF($A889="","",IFERROR(INDEX(MA_INDIVIDUALES!L$2:L923, MATCH($A889,MA_INDIVIDUALES!$B$2:$B923,0),1),"CÓDIGO DE EXPEDIENTE INVÁLIDO"))</f>
        <v/>
      </c>
      <c r="I889" s="76"/>
      <c r="J889" s="76"/>
      <c r="K889" s="75"/>
      <c r="L889" s="74" t="str">
        <f>IF(A889="","",IF(K889="","",_xlfn.WORKDAY.INTL(K889,5,1,FERIADOS)))</f>
        <v/>
      </c>
      <c r="M889" s="76"/>
      <c r="N889" s="75"/>
      <c r="O889" s="76"/>
      <c r="P889" s="77" t="str">
        <f t="shared" si="3"/>
        <v/>
      </c>
      <c r="Q889" s="75"/>
      <c r="R889" s="76"/>
      <c r="S889" s="75"/>
      <c r="T889" s="75"/>
      <c r="U889" s="76"/>
      <c r="V889" s="76"/>
      <c r="W889" s="75"/>
      <c r="X889" s="76"/>
      <c r="Y889" s="29" t="str">
        <f t="shared" si="4"/>
        <v/>
      </c>
      <c r="Z889" s="29" t="str">
        <f t="shared" si="5"/>
        <v/>
      </c>
      <c r="AA889" s="76"/>
      <c r="AB889" s="76"/>
      <c r="AC889" s="75"/>
      <c r="AD889" s="75"/>
      <c r="AE889" s="78" t="str">
        <f>IF(U889="","",IF(AD889="","",_xlfn.WORKDAY.INTL(AD889,7,1,FERIADOS)))</f>
        <v/>
      </c>
      <c r="AF889" s="104"/>
      <c r="AG889" s="80" t="str">
        <f t="array" ref="AG889">IF(A889="","",IF(AF889="","",AF889*INDEX(PARAMETROS!F$2:F1952,MATCH(YEAR(AC889),PARAMETROS!E$2:E1952,0),1)))</f>
        <v/>
      </c>
      <c r="AH889" s="81"/>
      <c r="AI889" s="82"/>
      <c r="AJ889" s="81"/>
      <c r="AK889" s="81"/>
      <c r="AL889" s="76"/>
      <c r="AM889" s="75"/>
      <c r="AN889" s="76"/>
      <c r="AO889" s="95"/>
      <c r="AP889" s="96"/>
      <c r="AQ889" s="85" t="str">
        <f t="shared" si="6"/>
        <v/>
      </c>
      <c r="AR889" s="86" t="str">
        <f t="array" ref="AR889">IF(A889="","",IFERROR(INDEX('2) Etapas'!L$3:L923,MATCH(B889,'2) Etapas'!$A$4:$A923,0),1),-1))</f>
        <v/>
      </c>
      <c r="AS889" s="87" t="str">
        <f t="shared" si="7"/>
        <v/>
      </c>
      <c r="AT889" s="87" t="str">
        <f t="shared" si="8"/>
        <v/>
      </c>
      <c r="AU889" s="87" t="str">
        <f t="shared" si="9"/>
        <v/>
      </c>
      <c r="AV889" s="89" t="str">
        <f t="array" ref="AV889">IF(OR($A889="",$AB889="", $AC889=""),"",MAXA(IF($A889=$A$4:$A923,$AC$4:$AC923)))</f>
        <v/>
      </c>
    </row>
    <row r="890" ht="22.5" customHeight="1">
      <c r="A890" s="76"/>
      <c r="B890" s="68" t="str">
        <f t="shared" si="1"/>
        <v/>
      </c>
      <c r="C890" s="110"/>
      <c r="D890" s="70" t="str">
        <f t="shared" si="2"/>
        <v/>
      </c>
      <c r="E890" s="76"/>
      <c r="F890" s="68" t="str">
        <f t="array" ref="F890">IF($A890="","",IFERROR(INDEX(MA_INDIVIDUALES!C$2:C923, MATCH($A890,MA_INDIVIDUALES!$B$2:$B923,0),1),"CÓDIGO DE EXPEDIENTE INVÁLIDO"))</f>
        <v/>
      </c>
      <c r="G890" s="68" t="str">
        <f t="array" ref="G890">IF($A890="","",IFERROR(INDEX(MA_INDIVIDUALES!K$2:K923, MATCH($A890,MA_INDIVIDUALES!$B$2:$B923,0),1),"CÓDIGO DE EXPEDIENTE INVÁLIDO"))</f>
        <v/>
      </c>
      <c r="H890" s="68" t="str">
        <f t="array" ref="H890">IF($A890="","",IFERROR(INDEX(MA_INDIVIDUALES!L$2:L923, MATCH($A890,MA_INDIVIDUALES!$B$2:$B923,0),1),"CÓDIGO DE EXPEDIENTE INVÁLIDO"))</f>
        <v/>
      </c>
      <c r="I890" s="76"/>
      <c r="J890" s="76"/>
      <c r="K890" s="75"/>
      <c r="L890" s="74" t="str">
        <f>IF(A890="","",IF(K890="","",_xlfn.WORKDAY.INTL(K890,5,1,FERIADOS)))</f>
        <v/>
      </c>
      <c r="M890" s="76"/>
      <c r="N890" s="75"/>
      <c r="O890" s="76"/>
      <c r="P890" s="77" t="str">
        <f t="shared" si="3"/>
        <v/>
      </c>
      <c r="Q890" s="75"/>
      <c r="R890" s="76"/>
      <c r="S890" s="75"/>
      <c r="T890" s="75"/>
      <c r="U890" s="76"/>
      <c r="V890" s="76"/>
      <c r="W890" s="75"/>
      <c r="X890" s="76"/>
      <c r="Y890" s="29" t="str">
        <f t="shared" si="4"/>
        <v/>
      </c>
      <c r="Z890" s="29" t="str">
        <f t="shared" si="5"/>
        <v/>
      </c>
      <c r="AA890" s="76"/>
      <c r="AB890" s="76"/>
      <c r="AC890" s="75"/>
      <c r="AD890" s="75"/>
      <c r="AE890" s="78" t="str">
        <f>IF(U890="","",IF(AD890="","",_xlfn.WORKDAY.INTL(AD890,7,1,FERIADOS)))</f>
        <v/>
      </c>
      <c r="AF890" s="104"/>
      <c r="AG890" s="80" t="str">
        <f t="array" ref="AG890">IF(A890="","",IF(AF890="","",AF890*INDEX(PARAMETROS!F$2:F1953,MATCH(YEAR(AC890),PARAMETROS!E$2:E1953,0),1)))</f>
        <v/>
      </c>
      <c r="AH890" s="81"/>
      <c r="AI890" s="82"/>
      <c r="AJ890" s="81"/>
      <c r="AK890" s="81"/>
      <c r="AL890" s="76"/>
      <c r="AM890" s="75"/>
      <c r="AN890" s="76"/>
      <c r="AO890" s="95"/>
      <c r="AP890" s="96"/>
      <c r="AQ890" s="85" t="str">
        <f t="shared" si="6"/>
        <v/>
      </c>
      <c r="AR890" s="86" t="str">
        <f t="array" ref="AR890">IF(A890="","",IFERROR(INDEX('2) Etapas'!L$3:L923,MATCH(B890,'2) Etapas'!$A$4:$A923,0),1),-1))</f>
        <v/>
      </c>
      <c r="AS890" s="87" t="str">
        <f t="shared" si="7"/>
        <v/>
      </c>
      <c r="AT890" s="87" t="str">
        <f t="shared" si="8"/>
        <v/>
      </c>
      <c r="AU890" s="87" t="str">
        <f t="shared" si="9"/>
        <v/>
      </c>
      <c r="AV890" s="89" t="str">
        <f t="array" ref="AV890">IF(OR($A890="",$AB890="", $AC890=""),"",MAXA(IF($A890=$A$4:$A923,$AC$4:$AC923)))</f>
        <v/>
      </c>
    </row>
    <row r="891" ht="22.5" customHeight="1">
      <c r="A891" s="76"/>
      <c r="B891" s="68" t="str">
        <f t="shared" si="1"/>
        <v/>
      </c>
      <c r="C891" s="110"/>
      <c r="D891" s="70" t="str">
        <f t="shared" si="2"/>
        <v/>
      </c>
      <c r="E891" s="76"/>
      <c r="F891" s="68" t="str">
        <f t="array" ref="F891">IF($A891="","",IFERROR(INDEX(MA_INDIVIDUALES!C$2:C923, MATCH($A891,MA_INDIVIDUALES!$B$2:$B923,0),1),"CÓDIGO DE EXPEDIENTE INVÁLIDO"))</f>
        <v/>
      </c>
      <c r="G891" s="68" t="str">
        <f t="array" ref="G891">IF($A891="","",IFERROR(INDEX(MA_INDIVIDUALES!K$2:K923, MATCH($A891,MA_INDIVIDUALES!$B$2:$B923,0),1),"CÓDIGO DE EXPEDIENTE INVÁLIDO"))</f>
        <v/>
      </c>
      <c r="H891" s="68" t="str">
        <f t="array" ref="H891">IF($A891="","",IFERROR(INDEX(MA_INDIVIDUALES!L$2:L923, MATCH($A891,MA_INDIVIDUALES!$B$2:$B923,0),1),"CÓDIGO DE EXPEDIENTE INVÁLIDO"))</f>
        <v/>
      </c>
      <c r="I891" s="76"/>
      <c r="J891" s="76"/>
      <c r="K891" s="75"/>
      <c r="L891" s="74" t="str">
        <f>IF(A891="","",IF(K891="","",_xlfn.WORKDAY.INTL(K891,5,1,FERIADOS)))</f>
        <v/>
      </c>
      <c r="M891" s="76"/>
      <c r="N891" s="75"/>
      <c r="O891" s="76"/>
      <c r="P891" s="77" t="str">
        <f t="shared" si="3"/>
        <v/>
      </c>
      <c r="Q891" s="75"/>
      <c r="R891" s="76"/>
      <c r="S891" s="75"/>
      <c r="T891" s="75"/>
      <c r="U891" s="76"/>
      <c r="V891" s="76"/>
      <c r="W891" s="75"/>
      <c r="X891" s="76"/>
      <c r="Y891" s="29" t="str">
        <f t="shared" si="4"/>
        <v/>
      </c>
      <c r="Z891" s="29" t="str">
        <f t="shared" si="5"/>
        <v/>
      </c>
      <c r="AA891" s="76"/>
      <c r="AB891" s="76"/>
      <c r="AC891" s="75"/>
      <c r="AD891" s="75"/>
      <c r="AE891" s="78" t="str">
        <f>IF(U891="","",IF(AD891="","",_xlfn.WORKDAY.INTL(AD891,7,1,FERIADOS)))</f>
        <v/>
      </c>
      <c r="AF891" s="104"/>
      <c r="AG891" s="80" t="str">
        <f t="array" ref="AG891">IF(A891="","",IF(AF891="","",AF891*INDEX(PARAMETROS!F$2:F1954,MATCH(YEAR(AC891),PARAMETROS!E$2:E1954,0),1)))</f>
        <v/>
      </c>
      <c r="AH891" s="81"/>
      <c r="AI891" s="82"/>
      <c r="AJ891" s="81"/>
      <c r="AK891" s="81"/>
      <c r="AL891" s="76"/>
      <c r="AM891" s="75"/>
      <c r="AN891" s="76"/>
      <c r="AO891" s="95"/>
      <c r="AP891" s="96"/>
      <c r="AQ891" s="85" t="str">
        <f t="shared" si="6"/>
        <v/>
      </c>
      <c r="AR891" s="86" t="str">
        <f t="array" ref="AR891">IF(A891="","",IFERROR(INDEX('2) Etapas'!L$3:L923,MATCH(B891,'2) Etapas'!$A$4:$A923,0),1),-1))</f>
        <v/>
      </c>
      <c r="AS891" s="87" t="str">
        <f t="shared" si="7"/>
        <v/>
      </c>
      <c r="AT891" s="87" t="str">
        <f t="shared" si="8"/>
        <v/>
      </c>
      <c r="AU891" s="87" t="str">
        <f t="shared" si="9"/>
        <v/>
      </c>
      <c r="AV891" s="89" t="str">
        <f t="array" ref="AV891">IF(OR($A891="",$AB891="", $AC891=""),"",MAXA(IF($A891=$A$4:$A923,$AC$4:$AC923)))</f>
        <v/>
      </c>
    </row>
    <row r="892" ht="22.5" customHeight="1">
      <c r="A892" s="76"/>
      <c r="B892" s="68" t="str">
        <f t="shared" si="1"/>
        <v/>
      </c>
      <c r="C892" s="110"/>
      <c r="D892" s="70" t="str">
        <f t="shared" si="2"/>
        <v/>
      </c>
      <c r="E892" s="76"/>
      <c r="F892" s="68" t="str">
        <f t="array" ref="F892">IF($A892="","",IFERROR(INDEX(MA_INDIVIDUALES!C$2:C923, MATCH($A892,MA_INDIVIDUALES!$B$2:$B923,0),1),"CÓDIGO DE EXPEDIENTE INVÁLIDO"))</f>
        <v/>
      </c>
      <c r="G892" s="68" t="str">
        <f t="array" ref="G892">IF($A892="","",IFERROR(INDEX(MA_INDIVIDUALES!K$2:K923, MATCH($A892,MA_INDIVIDUALES!$B$2:$B923,0),1),"CÓDIGO DE EXPEDIENTE INVÁLIDO"))</f>
        <v/>
      </c>
      <c r="H892" s="68" t="str">
        <f t="array" ref="H892">IF($A892="","",IFERROR(INDEX(MA_INDIVIDUALES!L$2:L923, MATCH($A892,MA_INDIVIDUALES!$B$2:$B923,0),1),"CÓDIGO DE EXPEDIENTE INVÁLIDO"))</f>
        <v/>
      </c>
      <c r="I892" s="76"/>
      <c r="J892" s="76"/>
      <c r="K892" s="75"/>
      <c r="L892" s="74" t="str">
        <f>IF(A892="","",IF(K892="","",_xlfn.WORKDAY.INTL(K892,5,1,FERIADOS)))</f>
        <v/>
      </c>
      <c r="M892" s="76"/>
      <c r="N892" s="75"/>
      <c r="O892" s="76"/>
      <c r="P892" s="77" t="str">
        <f t="shared" si="3"/>
        <v/>
      </c>
      <c r="Q892" s="75"/>
      <c r="R892" s="76"/>
      <c r="S892" s="75"/>
      <c r="T892" s="75"/>
      <c r="U892" s="76"/>
      <c r="V892" s="76"/>
      <c r="W892" s="75"/>
      <c r="X892" s="76"/>
      <c r="Y892" s="29" t="str">
        <f t="shared" si="4"/>
        <v/>
      </c>
      <c r="Z892" s="29" t="str">
        <f t="shared" si="5"/>
        <v/>
      </c>
      <c r="AA892" s="76"/>
      <c r="AB892" s="76"/>
      <c r="AC892" s="75"/>
      <c r="AD892" s="75"/>
      <c r="AE892" s="78" t="str">
        <f>IF(U892="","",IF(AD892="","",_xlfn.WORKDAY.INTL(AD892,7,1,FERIADOS)))</f>
        <v/>
      </c>
      <c r="AF892" s="104"/>
      <c r="AG892" s="80" t="str">
        <f t="array" ref="AG892">IF(A892="","",IF(AF892="","",AF892*INDEX(PARAMETROS!F$2:F1955,MATCH(YEAR(AC892),PARAMETROS!E$2:E1955,0),1)))</f>
        <v/>
      </c>
      <c r="AH892" s="81"/>
      <c r="AI892" s="82"/>
      <c r="AJ892" s="81"/>
      <c r="AK892" s="81"/>
      <c r="AL892" s="76"/>
      <c r="AM892" s="75"/>
      <c r="AN892" s="76"/>
      <c r="AO892" s="95"/>
      <c r="AP892" s="96"/>
      <c r="AQ892" s="85" t="str">
        <f t="shared" si="6"/>
        <v/>
      </c>
      <c r="AR892" s="86" t="str">
        <f t="array" ref="AR892">IF(A892="","",IFERROR(INDEX('2) Etapas'!L$3:L923,MATCH(B892,'2) Etapas'!$A$4:$A923,0),1),-1))</f>
        <v/>
      </c>
      <c r="AS892" s="87" t="str">
        <f t="shared" si="7"/>
        <v/>
      </c>
      <c r="AT892" s="87" t="str">
        <f t="shared" si="8"/>
        <v/>
      </c>
      <c r="AU892" s="87" t="str">
        <f t="shared" si="9"/>
        <v/>
      </c>
      <c r="AV892" s="89" t="str">
        <f t="array" ref="AV892">IF(OR($A892="",$AB892="", $AC892=""),"",MAXA(IF($A892=$A$4:$A923,$AC$4:$AC923)))</f>
        <v/>
      </c>
    </row>
    <row r="893" ht="22.5" customHeight="1">
      <c r="A893" s="76"/>
      <c r="B893" s="68" t="str">
        <f t="shared" si="1"/>
        <v/>
      </c>
      <c r="C893" s="110"/>
      <c r="D893" s="70" t="str">
        <f t="shared" si="2"/>
        <v/>
      </c>
      <c r="E893" s="76"/>
      <c r="F893" s="68" t="str">
        <f t="array" ref="F893">IF($A893="","",IFERROR(INDEX(MA_INDIVIDUALES!C$2:C923, MATCH($A893,MA_INDIVIDUALES!$B$2:$B923,0),1),"CÓDIGO DE EXPEDIENTE INVÁLIDO"))</f>
        <v/>
      </c>
      <c r="G893" s="68" t="str">
        <f t="array" ref="G893">IF($A893="","",IFERROR(INDEX(MA_INDIVIDUALES!K$2:K923, MATCH($A893,MA_INDIVIDUALES!$B$2:$B923,0),1),"CÓDIGO DE EXPEDIENTE INVÁLIDO"))</f>
        <v/>
      </c>
      <c r="H893" s="68" t="str">
        <f t="array" ref="H893">IF($A893="","",IFERROR(INDEX(MA_INDIVIDUALES!L$2:L923, MATCH($A893,MA_INDIVIDUALES!$B$2:$B923,0),1),"CÓDIGO DE EXPEDIENTE INVÁLIDO"))</f>
        <v/>
      </c>
      <c r="I893" s="76"/>
      <c r="J893" s="76"/>
      <c r="K893" s="75"/>
      <c r="L893" s="74" t="str">
        <f>IF(A893="","",IF(K893="","",_xlfn.WORKDAY.INTL(K893,5,1,FERIADOS)))</f>
        <v/>
      </c>
      <c r="M893" s="76"/>
      <c r="N893" s="75"/>
      <c r="O893" s="76"/>
      <c r="P893" s="77" t="str">
        <f t="shared" si="3"/>
        <v/>
      </c>
      <c r="Q893" s="75"/>
      <c r="R893" s="76"/>
      <c r="S893" s="75"/>
      <c r="T893" s="75"/>
      <c r="U893" s="76"/>
      <c r="V893" s="76"/>
      <c r="W893" s="75"/>
      <c r="X893" s="76"/>
      <c r="Y893" s="29" t="str">
        <f t="shared" si="4"/>
        <v/>
      </c>
      <c r="Z893" s="29" t="str">
        <f t="shared" si="5"/>
        <v/>
      </c>
      <c r="AA893" s="76"/>
      <c r="AB893" s="76"/>
      <c r="AC893" s="75"/>
      <c r="AD893" s="75"/>
      <c r="AE893" s="78" t="str">
        <f>IF(U893="","",IF(AD893="","",_xlfn.WORKDAY.INTL(AD893,7,1,FERIADOS)))</f>
        <v/>
      </c>
      <c r="AF893" s="104"/>
      <c r="AG893" s="80" t="str">
        <f t="array" ref="AG893">IF(A893="","",IF(AF893="","",AF893*INDEX(PARAMETROS!F$2:F1956,MATCH(YEAR(AC893),PARAMETROS!E$2:E1956,0),1)))</f>
        <v/>
      </c>
      <c r="AH893" s="81"/>
      <c r="AI893" s="82"/>
      <c r="AJ893" s="81"/>
      <c r="AK893" s="81"/>
      <c r="AL893" s="76"/>
      <c r="AM893" s="75"/>
      <c r="AN893" s="76"/>
      <c r="AO893" s="95"/>
      <c r="AP893" s="96"/>
      <c r="AQ893" s="85" t="str">
        <f t="shared" si="6"/>
        <v/>
      </c>
      <c r="AR893" s="86" t="str">
        <f t="array" ref="AR893">IF(A893="","",IFERROR(INDEX('2) Etapas'!L$3:L923,MATCH(B893,'2) Etapas'!$A$4:$A923,0),1),-1))</f>
        <v/>
      </c>
      <c r="AS893" s="87" t="str">
        <f t="shared" si="7"/>
        <v/>
      </c>
      <c r="AT893" s="87" t="str">
        <f t="shared" si="8"/>
        <v/>
      </c>
      <c r="AU893" s="87" t="str">
        <f t="shared" si="9"/>
        <v/>
      </c>
      <c r="AV893" s="89" t="str">
        <f t="array" ref="AV893">IF(OR($A893="",$AB893="", $AC893=""),"",MAXA(IF($A893=$A$4:$A923,$AC$4:$AC923)))</f>
        <v/>
      </c>
    </row>
    <row r="894" ht="22.5" customHeight="1">
      <c r="A894" s="76"/>
      <c r="B894" s="68" t="str">
        <f t="shared" si="1"/>
        <v/>
      </c>
      <c r="C894" s="110"/>
      <c r="D894" s="70" t="str">
        <f t="shared" si="2"/>
        <v/>
      </c>
      <c r="E894" s="76"/>
      <c r="F894" s="68" t="str">
        <f t="array" ref="F894">IF($A894="","",IFERROR(INDEX(MA_INDIVIDUALES!C$2:C923, MATCH($A894,MA_INDIVIDUALES!$B$2:$B923,0),1),"CÓDIGO DE EXPEDIENTE INVÁLIDO"))</f>
        <v/>
      </c>
      <c r="G894" s="68" t="str">
        <f t="array" ref="G894">IF($A894="","",IFERROR(INDEX(MA_INDIVIDUALES!K$2:K923, MATCH($A894,MA_INDIVIDUALES!$B$2:$B923,0),1),"CÓDIGO DE EXPEDIENTE INVÁLIDO"))</f>
        <v/>
      </c>
      <c r="H894" s="68" t="str">
        <f t="array" ref="H894">IF($A894="","",IFERROR(INDEX(MA_INDIVIDUALES!L$2:L923, MATCH($A894,MA_INDIVIDUALES!$B$2:$B923,0),1),"CÓDIGO DE EXPEDIENTE INVÁLIDO"))</f>
        <v/>
      </c>
      <c r="I894" s="76"/>
      <c r="J894" s="76"/>
      <c r="K894" s="75"/>
      <c r="L894" s="74" t="str">
        <f>IF(A894="","",IF(K894="","",_xlfn.WORKDAY.INTL(K894,5,1,FERIADOS)))</f>
        <v/>
      </c>
      <c r="M894" s="76"/>
      <c r="N894" s="75"/>
      <c r="O894" s="76"/>
      <c r="P894" s="77" t="str">
        <f t="shared" si="3"/>
        <v/>
      </c>
      <c r="Q894" s="75"/>
      <c r="R894" s="76"/>
      <c r="S894" s="75"/>
      <c r="T894" s="75"/>
      <c r="U894" s="76"/>
      <c r="V894" s="76"/>
      <c r="W894" s="75"/>
      <c r="X894" s="76"/>
      <c r="Y894" s="29" t="str">
        <f t="shared" si="4"/>
        <v/>
      </c>
      <c r="Z894" s="29" t="str">
        <f t="shared" si="5"/>
        <v/>
      </c>
      <c r="AA894" s="76"/>
      <c r="AB894" s="76"/>
      <c r="AC894" s="75"/>
      <c r="AD894" s="75"/>
      <c r="AE894" s="78" t="str">
        <f>IF(U894="","",IF(AD894="","",_xlfn.WORKDAY.INTL(AD894,7,1,FERIADOS)))</f>
        <v/>
      </c>
      <c r="AF894" s="104"/>
      <c r="AG894" s="80" t="str">
        <f t="array" ref="AG894">IF(A894="","",IF(AF894="","",AF894*INDEX(PARAMETROS!F$2:F1957,MATCH(YEAR(AC894),PARAMETROS!E$2:E1957,0),1)))</f>
        <v/>
      </c>
      <c r="AH894" s="81"/>
      <c r="AI894" s="82"/>
      <c r="AJ894" s="81"/>
      <c r="AK894" s="81"/>
      <c r="AL894" s="76"/>
      <c r="AM894" s="75"/>
      <c r="AN894" s="76"/>
      <c r="AO894" s="95"/>
      <c r="AP894" s="96"/>
      <c r="AQ894" s="85" t="str">
        <f t="shared" si="6"/>
        <v/>
      </c>
      <c r="AR894" s="86" t="str">
        <f t="array" ref="AR894">IF(A894="","",IFERROR(INDEX('2) Etapas'!L$3:L923,MATCH(B894,'2) Etapas'!$A$4:$A923,0),1),-1))</f>
        <v/>
      </c>
      <c r="AS894" s="87" t="str">
        <f t="shared" si="7"/>
        <v/>
      </c>
      <c r="AT894" s="87" t="str">
        <f t="shared" si="8"/>
        <v/>
      </c>
      <c r="AU894" s="87" t="str">
        <f t="shared" si="9"/>
        <v/>
      </c>
      <c r="AV894" s="89" t="str">
        <f t="array" ref="AV894">IF(OR($A894="",$AB894="", $AC894=""),"",MAXA(IF($A894=$A$4:$A923,$AC$4:$AC923)))</f>
        <v/>
      </c>
    </row>
    <row r="895" ht="22.5" customHeight="1">
      <c r="A895" s="76"/>
      <c r="B895" s="68" t="str">
        <f t="shared" si="1"/>
        <v/>
      </c>
      <c r="C895" s="110"/>
      <c r="D895" s="70" t="str">
        <f t="shared" si="2"/>
        <v/>
      </c>
      <c r="E895" s="76"/>
      <c r="F895" s="68" t="str">
        <f t="array" ref="F895">IF($A895="","",IFERROR(INDEX(MA_INDIVIDUALES!C$2:C923, MATCH($A895,MA_INDIVIDUALES!$B$2:$B923,0),1),"CÓDIGO DE EXPEDIENTE INVÁLIDO"))</f>
        <v/>
      </c>
      <c r="G895" s="68" t="str">
        <f t="array" ref="G895">IF($A895="","",IFERROR(INDEX(MA_INDIVIDUALES!K$2:K923, MATCH($A895,MA_INDIVIDUALES!$B$2:$B923,0),1),"CÓDIGO DE EXPEDIENTE INVÁLIDO"))</f>
        <v/>
      </c>
      <c r="H895" s="68" t="str">
        <f t="array" ref="H895">IF($A895="","",IFERROR(INDEX(MA_INDIVIDUALES!L$2:L923, MATCH($A895,MA_INDIVIDUALES!$B$2:$B923,0),1),"CÓDIGO DE EXPEDIENTE INVÁLIDO"))</f>
        <v/>
      </c>
      <c r="I895" s="76"/>
      <c r="J895" s="76"/>
      <c r="K895" s="75"/>
      <c r="L895" s="74" t="str">
        <f>IF(A895="","",IF(K895="","",_xlfn.WORKDAY.INTL(K895,5,1,FERIADOS)))</f>
        <v/>
      </c>
      <c r="M895" s="76"/>
      <c r="N895" s="75"/>
      <c r="O895" s="76"/>
      <c r="P895" s="77" t="str">
        <f t="shared" si="3"/>
        <v/>
      </c>
      <c r="Q895" s="75"/>
      <c r="R895" s="76"/>
      <c r="S895" s="75"/>
      <c r="T895" s="75"/>
      <c r="U895" s="76"/>
      <c r="V895" s="76"/>
      <c r="W895" s="75"/>
      <c r="X895" s="76"/>
      <c r="Y895" s="29" t="str">
        <f t="shared" si="4"/>
        <v/>
      </c>
      <c r="Z895" s="29" t="str">
        <f t="shared" si="5"/>
        <v/>
      </c>
      <c r="AA895" s="76"/>
      <c r="AB895" s="76"/>
      <c r="AC895" s="75"/>
      <c r="AD895" s="75"/>
      <c r="AE895" s="78" t="str">
        <f>IF(U895="","",IF(AD895="","",_xlfn.WORKDAY.INTL(AD895,7,1,FERIADOS)))</f>
        <v/>
      </c>
      <c r="AF895" s="104"/>
      <c r="AG895" s="80" t="str">
        <f t="array" ref="AG895">IF(A895="","",IF(AF895="","",AF895*INDEX(PARAMETROS!F$2:F1958,MATCH(YEAR(AC895),PARAMETROS!E$2:E1958,0),1)))</f>
        <v/>
      </c>
      <c r="AH895" s="81"/>
      <c r="AI895" s="82"/>
      <c r="AJ895" s="81"/>
      <c r="AK895" s="81"/>
      <c r="AL895" s="76"/>
      <c r="AM895" s="75"/>
      <c r="AN895" s="76"/>
      <c r="AO895" s="95"/>
      <c r="AP895" s="96"/>
      <c r="AQ895" s="85" t="str">
        <f t="shared" si="6"/>
        <v/>
      </c>
      <c r="AR895" s="86" t="str">
        <f t="array" ref="AR895">IF(A895="","",IFERROR(INDEX('2) Etapas'!L$3:L923,MATCH(B895,'2) Etapas'!$A$4:$A923,0),1),-1))</f>
        <v/>
      </c>
      <c r="AS895" s="87" t="str">
        <f t="shared" si="7"/>
        <v/>
      </c>
      <c r="AT895" s="87" t="str">
        <f t="shared" si="8"/>
        <v/>
      </c>
      <c r="AU895" s="87" t="str">
        <f t="shared" si="9"/>
        <v/>
      </c>
      <c r="AV895" s="89" t="str">
        <f t="array" ref="AV895">IF(OR($A895="",$AB895="", $AC895=""),"",MAXA(IF($A895=$A$4:$A923,$AC$4:$AC923)))</f>
        <v/>
      </c>
    </row>
    <row r="896" ht="22.5" customHeight="1">
      <c r="A896" s="76"/>
      <c r="B896" s="68" t="str">
        <f t="shared" si="1"/>
        <v/>
      </c>
      <c r="C896" s="110"/>
      <c r="D896" s="70" t="str">
        <f t="shared" si="2"/>
        <v/>
      </c>
      <c r="E896" s="76"/>
      <c r="F896" s="68" t="str">
        <f t="array" ref="F896">IF($A896="","",IFERROR(INDEX(MA_INDIVIDUALES!C$2:C923, MATCH($A896,MA_INDIVIDUALES!$B$2:$B923,0),1),"CÓDIGO DE EXPEDIENTE INVÁLIDO"))</f>
        <v/>
      </c>
      <c r="G896" s="68" t="str">
        <f t="array" ref="G896">IF($A896="","",IFERROR(INDEX(MA_INDIVIDUALES!K$2:K923, MATCH($A896,MA_INDIVIDUALES!$B$2:$B923,0),1),"CÓDIGO DE EXPEDIENTE INVÁLIDO"))</f>
        <v/>
      </c>
      <c r="H896" s="68" t="str">
        <f t="array" ref="H896">IF($A896="","",IFERROR(INDEX(MA_INDIVIDUALES!L$2:L923, MATCH($A896,MA_INDIVIDUALES!$B$2:$B923,0),1),"CÓDIGO DE EXPEDIENTE INVÁLIDO"))</f>
        <v/>
      </c>
      <c r="I896" s="76"/>
      <c r="J896" s="76"/>
      <c r="K896" s="75"/>
      <c r="L896" s="74" t="str">
        <f>IF(A896="","",IF(K896="","",_xlfn.WORKDAY.INTL(K896,5,1,FERIADOS)))</f>
        <v/>
      </c>
      <c r="M896" s="76"/>
      <c r="N896" s="75"/>
      <c r="O896" s="76"/>
      <c r="P896" s="77" t="str">
        <f t="shared" si="3"/>
        <v/>
      </c>
      <c r="Q896" s="75"/>
      <c r="R896" s="76"/>
      <c r="S896" s="75"/>
      <c r="T896" s="75"/>
      <c r="U896" s="76"/>
      <c r="V896" s="76"/>
      <c r="W896" s="75"/>
      <c r="X896" s="76"/>
      <c r="Y896" s="29" t="str">
        <f t="shared" si="4"/>
        <v/>
      </c>
      <c r="Z896" s="29" t="str">
        <f t="shared" si="5"/>
        <v/>
      </c>
      <c r="AA896" s="76"/>
      <c r="AB896" s="76"/>
      <c r="AC896" s="75"/>
      <c r="AD896" s="75"/>
      <c r="AE896" s="78" t="str">
        <f>IF(U896="","",IF(AD896="","",_xlfn.WORKDAY.INTL(AD896,7,1,FERIADOS)))</f>
        <v/>
      </c>
      <c r="AF896" s="104"/>
      <c r="AG896" s="80" t="str">
        <f t="array" ref="AG896">IF(A896="","",IF(AF896="","",AF896*INDEX(PARAMETROS!F$2:F1959,MATCH(YEAR(AC896),PARAMETROS!E$2:E1959,0),1)))</f>
        <v/>
      </c>
      <c r="AH896" s="81"/>
      <c r="AI896" s="82"/>
      <c r="AJ896" s="81"/>
      <c r="AK896" s="81"/>
      <c r="AL896" s="76"/>
      <c r="AM896" s="75"/>
      <c r="AN896" s="76"/>
      <c r="AO896" s="95"/>
      <c r="AP896" s="96"/>
      <c r="AQ896" s="85" t="str">
        <f t="shared" si="6"/>
        <v/>
      </c>
      <c r="AR896" s="86" t="str">
        <f t="array" ref="AR896">IF(A896="","",IFERROR(INDEX('2) Etapas'!L$3:L923,MATCH(B896,'2) Etapas'!$A$4:$A923,0),1),-1))</f>
        <v/>
      </c>
      <c r="AS896" s="87" t="str">
        <f t="shared" si="7"/>
        <v/>
      </c>
      <c r="AT896" s="87" t="str">
        <f t="shared" si="8"/>
        <v/>
      </c>
      <c r="AU896" s="87" t="str">
        <f t="shared" si="9"/>
        <v/>
      </c>
      <c r="AV896" s="89" t="str">
        <f t="array" ref="AV896">IF(OR($A896="",$AB896="", $AC896=""),"",MAXA(IF($A896=$A$4:$A923,$AC$4:$AC923)))</f>
        <v/>
      </c>
    </row>
    <row r="897" ht="22.5" customHeight="1">
      <c r="A897" s="76"/>
      <c r="B897" s="68" t="str">
        <f t="shared" si="1"/>
        <v/>
      </c>
      <c r="C897" s="110"/>
      <c r="D897" s="70" t="str">
        <f t="shared" si="2"/>
        <v/>
      </c>
      <c r="E897" s="76"/>
      <c r="F897" s="68" t="str">
        <f t="array" ref="F897">IF($A897="","",IFERROR(INDEX(MA_INDIVIDUALES!C$2:C923, MATCH($A897,MA_INDIVIDUALES!$B$2:$B923,0),1),"CÓDIGO DE EXPEDIENTE INVÁLIDO"))</f>
        <v/>
      </c>
      <c r="G897" s="68" t="str">
        <f t="array" ref="G897">IF($A897="","",IFERROR(INDEX(MA_INDIVIDUALES!K$2:K923, MATCH($A897,MA_INDIVIDUALES!$B$2:$B923,0),1),"CÓDIGO DE EXPEDIENTE INVÁLIDO"))</f>
        <v/>
      </c>
      <c r="H897" s="68" t="str">
        <f t="array" ref="H897">IF($A897="","",IFERROR(INDEX(MA_INDIVIDUALES!L$2:L923, MATCH($A897,MA_INDIVIDUALES!$B$2:$B923,0),1),"CÓDIGO DE EXPEDIENTE INVÁLIDO"))</f>
        <v/>
      </c>
      <c r="I897" s="76"/>
      <c r="J897" s="76"/>
      <c r="K897" s="75"/>
      <c r="L897" s="74" t="str">
        <f>IF(A897="","",IF(K897="","",_xlfn.WORKDAY.INTL(K897,5,1,FERIADOS)))</f>
        <v/>
      </c>
      <c r="M897" s="76"/>
      <c r="N897" s="75"/>
      <c r="O897" s="76"/>
      <c r="P897" s="77" t="str">
        <f t="shared" si="3"/>
        <v/>
      </c>
      <c r="Q897" s="75"/>
      <c r="R897" s="76"/>
      <c r="S897" s="75"/>
      <c r="T897" s="75"/>
      <c r="U897" s="76"/>
      <c r="V897" s="76"/>
      <c r="W897" s="75"/>
      <c r="X897" s="76"/>
      <c r="Y897" s="29" t="str">
        <f t="shared" si="4"/>
        <v/>
      </c>
      <c r="Z897" s="29" t="str">
        <f t="shared" si="5"/>
        <v/>
      </c>
      <c r="AA897" s="76"/>
      <c r="AB897" s="76"/>
      <c r="AC897" s="75"/>
      <c r="AD897" s="75"/>
      <c r="AE897" s="78" t="str">
        <f>IF(U897="","",IF(AD897="","",_xlfn.WORKDAY.INTL(AD897,7,1,FERIADOS)))</f>
        <v/>
      </c>
      <c r="AF897" s="104"/>
      <c r="AG897" s="80" t="str">
        <f t="array" ref="AG897">IF(A897="","",IF(AF897="","",AF897*INDEX(PARAMETROS!F$2:F1960,MATCH(YEAR(AC897),PARAMETROS!E$2:E1960,0),1)))</f>
        <v/>
      </c>
      <c r="AH897" s="81"/>
      <c r="AI897" s="82"/>
      <c r="AJ897" s="81"/>
      <c r="AK897" s="81"/>
      <c r="AL897" s="76"/>
      <c r="AM897" s="75"/>
      <c r="AN897" s="76"/>
      <c r="AO897" s="95"/>
      <c r="AP897" s="96"/>
      <c r="AQ897" s="85" t="str">
        <f t="shared" si="6"/>
        <v/>
      </c>
      <c r="AR897" s="86" t="str">
        <f t="array" ref="AR897">IF(A897="","",IFERROR(INDEX('2) Etapas'!L$3:L923,MATCH(B897,'2) Etapas'!$A$4:$A923,0),1),-1))</f>
        <v/>
      </c>
      <c r="AS897" s="87" t="str">
        <f t="shared" si="7"/>
        <v/>
      </c>
      <c r="AT897" s="87" t="str">
        <f t="shared" si="8"/>
        <v/>
      </c>
      <c r="AU897" s="87" t="str">
        <f t="shared" si="9"/>
        <v/>
      </c>
      <c r="AV897" s="89" t="str">
        <f t="array" ref="AV897">IF(OR($A897="",$AB897="", $AC897=""),"",MAXA(IF($A897=$A$4:$A923,$AC$4:$AC923)))</f>
        <v/>
      </c>
    </row>
    <row r="898" ht="22.5" customHeight="1">
      <c r="A898" s="76"/>
      <c r="B898" s="68" t="str">
        <f t="shared" si="1"/>
        <v/>
      </c>
      <c r="C898" s="110"/>
      <c r="D898" s="70" t="str">
        <f t="shared" si="2"/>
        <v/>
      </c>
      <c r="E898" s="76"/>
      <c r="F898" s="68" t="str">
        <f t="array" ref="F898">IF($A898="","",IFERROR(INDEX(MA_INDIVIDUALES!C$2:C923, MATCH($A898,MA_INDIVIDUALES!$B$2:$B923,0),1),"CÓDIGO DE EXPEDIENTE INVÁLIDO"))</f>
        <v/>
      </c>
      <c r="G898" s="68" t="str">
        <f t="array" ref="G898">IF($A898="","",IFERROR(INDEX(MA_INDIVIDUALES!K$2:K923, MATCH($A898,MA_INDIVIDUALES!$B$2:$B923,0),1),"CÓDIGO DE EXPEDIENTE INVÁLIDO"))</f>
        <v/>
      </c>
      <c r="H898" s="68" t="str">
        <f t="array" ref="H898">IF($A898="","",IFERROR(INDEX(MA_INDIVIDUALES!L$2:L923, MATCH($A898,MA_INDIVIDUALES!$B$2:$B923,0),1),"CÓDIGO DE EXPEDIENTE INVÁLIDO"))</f>
        <v/>
      </c>
      <c r="I898" s="76"/>
      <c r="J898" s="76"/>
      <c r="K898" s="75"/>
      <c r="L898" s="74" t="str">
        <f>IF(A898="","",IF(K898="","",_xlfn.WORKDAY.INTL(K898,5,1,FERIADOS)))</f>
        <v/>
      </c>
      <c r="M898" s="76"/>
      <c r="N898" s="75"/>
      <c r="O898" s="76"/>
      <c r="P898" s="77" t="str">
        <f t="shared" si="3"/>
        <v/>
      </c>
      <c r="Q898" s="75"/>
      <c r="R898" s="76"/>
      <c r="S898" s="75"/>
      <c r="T898" s="75"/>
      <c r="U898" s="76"/>
      <c r="V898" s="76"/>
      <c r="W898" s="75"/>
      <c r="X898" s="76"/>
      <c r="Y898" s="29" t="str">
        <f t="shared" si="4"/>
        <v/>
      </c>
      <c r="Z898" s="29" t="str">
        <f t="shared" si="5"/>
        <v/>
      </c>
      <c r="AA898" s="76"/>
      <c r="AB898" s="76"/>
      <c r="AC898" s="75"/>
      <c r="AD898" s="75"/>
      <c r="AE898" s="78" t="str">
        <f>IF(U898="","",IF(AD898="","",_xlfn.WORKDAY.INTL(AD898,7,1,FERIADOS)))</f>
        <v/>
      </c>
      <c r="AF898" s="104"/>
      <c r="AG898" s="80" t="str">
        <f t="array" ref="AG898">IF(A898="","",IF(AF898="","",AF898*INDEX(PARAMETROS!F$2:F1961,MATCH(YEAR(AC898),PARAMETROS!E$2:E1961,0),1)))</f>
        <v/>
      </c>
      <c r="AH898" s="81"/>
      <c r="AI898" s="82"/>
      <c r="AJ898" s="81"/>
      <c r="AK898" s="81"/>
      <c r="AL898" s="76"/>
      <c r="AM898" s="75"/>
      <c r="AN898" s="76"/>
      <c r="AO898" s="95"/>
      <c r="AP898" s="96"/>
      <c r="AQ898" s="85" t="str">
        <f t="shared" si="6"/>
        <v/>
      </c>
      <c r="AR898" s="86" t="str">
        <f t="array" ref="AR898">IF(A898="","",IFERROR(INDEX('2) Etapas'!L$3:L923,MATCH(B898,'2) Etapas'!$A$4:$A923,0),1),-1))</f>
        <v/>
      </c>
      <c r="AS898" s="87" t="str">
        <f t="shared" si="7"/>
        <v/>
      </c>
      <c r="AT898" s="87" t="str">
        <f t="shared" si="8"/>
        <v/>
      </c>
      <c r="AU898" s="87" t="str">
        <f t="shared" si="9"/>
        <v/>
      </c>
      <c r="AV898" s="89" t="str">
        <f t="array" ref="AV898">IF(OR($A898="",$AB898="", $AC898=""),"",MAXA(IF($A898=$A$4:$A923,$AC$4:$AC923)))</f>
        <v/>
      </c>
    </row>
    <row r="899" ht="22.5" customHeight="1">
      <c r="A899" s="76"/>
      <c r="B899" s="68" t="str">
        <f t="shared" si="1"/>
        <v/>
      </c>
      <c r="C899" s="110"/>
      <c r="D899" s="70" t="str">
        <f t="shared" si="2"/>
        <v/>
      </c>
      <c r="E899" s="76"/>
      <c r="F899" s="68" t="str">
        <f t="array" ref="F899">IF($A899="","",IFERROR(INDEX(MA_INDIVIDUALES!C$2:C923, MATCH($A899,MA_INDIVIDUALES!$B$2:$B923,0),1),"CÓDIGO DE EXPEDIENTE INVÁLIDO"))</f>
        <v/>
      </c>
      <c r="G899" s="68" t="str">
        <f t="array" ref="G899">IF($A899="","",IFERROR(INDEX(MA_INDIVIDUALES!K$2:K923, MATCH($A899,MA_INDIVIDUALES!$B$2:$B923,0),1),"CÓDIGO DE EXPEDIENTE INVÁLIDO"))</f>
        <v/>
      </c>
      <c r="H899" s="68" t="str">
        <f t="array" ref="H899">IF($A899="","",IFERROR(INDEX(MA_INDIVIDUALES!L$2:L923, MATCH($A899,MA_INDIVIDUALES!$B$2:$B923,0),1),"CÓDIGO DE EXPEDIENTE INVÁLIDO"))</f>
        <v/>
      </c>
      <c r="I899" s="76"/>
      <c r="J899" s="76"/>
      <c r="K899" s="75"/>
      <c r="L899" s="74" t="str">
        <f>IF(A899="","",IF(K899="","",_xlfn.WORKDAY.INTL(K899,5,1,FERIADOS)))</f>
        <v/>
      </c>
      <c r="M899" s="76"/>
      <c r="N899" s="75"/>
      <c r="O899" s="76"/>
      <c r="P899" s="77" t="str">
        <f t="shared" si="3"/>
        <v/>
      </c>
      <c r="Q899" s="75"/>
      <c r="R899" s="76"/>
      <c r="S899" s="75"/>
      <c r="T899" s="75"/>
      <c r="U899" s="76"/>
      <c r="V899" s="76"/>
      <c r="W899" s="75"/>
      <c r="X899" s="76"/>
      <c r="Y899" s="29" t="str">
        <f t="shared" si="4"/>
        <v/>
      </c>
      <c r="Z899" s="29" t="str">
        <f t="shared" si="5"/>
        <v/>
      </c>
      <c r="AA899" s="76"/>
      <c r="AB899" s="76"/>
      <c r="AC899" s="75"/>
      <c r="AD899" s="75"/>
      <c r="AE899" s="78" t="str">
        <f>IF(U899="","",IF(AD899="","",_xlfn.WORKDAY.INTL(AD899,7,1,FERIADOS)))</f>
        <v/>
      </c>
      <c r="AF899" s="104"/>
      <c r="AG899" s="80" t="str">
        <f t="array" ref="AG899">IF(A899="","",IF(AF899="","",AF899*INDEX(PARAMETROS!F$2:F1962,MATCH(YEAR(AC899),PARAMETROS!E$2:E1962,0),1)))</f>
        <v/>
      </c>
      <c r="AH899" s="81"/>
      <c r="AI899" s="82"/>
      <c r="AJ899" s="81"/>
      <c r="AK899" s="81"/>
      <c r="AL899" s="76"/>
      <c r="AM899" s="75"/>
      <c r="AN899" s="76"/>
      <c r="AO899" s="95"/>
      <c r="AP899" s="96"/>
      <c r="AQ899" s="85" t="str">
        <f t="shared" si="6"/>
        <v/>
      </c>
      <c r="AR899" s="86" t="str">
        <f t="array" ref="AR899">IF(A899="","",IFERROR(INDEX('2) Etapas'!L$3:L923,MATCH(B899,'2) Etapas'!$A$4:$A923,0),1),-1))</f>
        <v/>
      </c>
      <c r="AS899" s="87" t="str">
        <f t="shared" si="7"/>
        <v/>
      </c>
      <c r="AT899" s="87" t="str">
        <f t="shared" si="8"/>
        <v/>
      </c>
      <c r="AU899" s="87" t="str">
        <f t="shared" si="9"/>
        <v/>
      </c>
      <c r="AV899" s="89" t="str">
        <f t="array" ref="AV899">IF(OR($A899="",$AB899="", $AC899=""),"",MAXA(IF($A899=$A$4:$A923,$AC$4:$AC923)))</f>
        <v/>
      </c>
    </row>
    <row r="900" ht="22.5" customHeight="1">
      <c r="A900" s="76"/>
      <c r="B900" s="68" t="str">
        <f t="shared" si="1"/>
        <v/>
      </c>
      <c r="C900" s="110"/>
      <c r="D900" s="70" t="str">
        <f t="shared" si="2"/>
        <v/>
      </c>
      <c r="E900" s="76"/>
      <c r="F900" s="68" t="str">
        <f t="array" ref="F900">IF($A900="","",IFERROR(INDEX(MA_INDIVIDUALES!C$2:C923, MATCH($A900,MA_INDIVIDUALES!$B$2:$B923,0),1),"CÓDIGO DE EXPEDIENTE INVÁLIDO"))</f>
        <v/>
      </c>
      <c r="G900" s="68" t="str">
        <f t="array" ref="G900">IF($A900="","",IFERROR(INDEX(MA_INDIVIDUALES!K$2:K923, MATCH($A900,MA_INDIVIDUALES!$B$2:$B923,0),1),"CÓDIGO DE EXPEDIENTE INVÁLIDO"))</f>
        <v/>
      </c>
      <c r="H900" s="68" t="str">
        <f t="array" ref="H900">IF($A900="","",IFERROR(INDEX(MA_INDIVIDUALES!L$2:L923, MATCH($A900,MA_INDIVIDUALES!$B$2:$B923,0),1),"CÓDIGO DE EXPEDIENTE INVÁLIDO"))</f>
        <v/>
      </c>
      <c r="I900" s="76"/>
      <c r="J900" s="76"/>
      <c r="K900" s="75"/>
      <c r="L900" s="74" t="str">
        <f>IF(A900="","",IF(K900="","",_xlfn.WORKDAY.INTL(K900,5,1,FERIADOS)))</f>
        <v/>
      </c>
      <c r="M900" s="76"/>
      <c r="N900" s="75"/>
      <c r="O900" s="76"/>
      <c r="P900" s="77" t="str">
        <f t="shared" si="3"/>
        <v/>
      </c>
      <c r="Q900" s="75"/>
      <c r="R900" s="76"/>
      <c r="S900" s="75"/>
      <c r="T900" s="75"/>
      <c r="U900" s="76"/>
      <c r="V900" s="76"/>
      <c r="W900" s="75"/>
      <c r="X900" s="76"/>
      <c r="Y900" s="29" t="str">
        <f t="shared" si="4"/>
        <v/>
      </c>
      <c r="Z900" s="29" t="str">
        <f t="shared" si="5"/>
        <v/>
      </c>
      <c r="AA900" s="76"/>
      <c r="AB900" s="76"/>
      <c r="AC900" s="75"/>
      <c r="AD900" s="75"/>
      <c r="AE900" s="78" t="str">
        <f>IF(U900="","",IF(AD900="","",_xlfn.WORKDAY.INTL(AD900,7,1,FERIADOS)))</f>
        <v/>
      </c>
      <c r="AF900" s="104"/>
      <c r="AG900" s="80" t="str">
        <f t="array" ref="AG900">IF(A900="","",IF(AF900="","",AF900*INDEX(PARAMETROS!F$2:F1963,MATCH(YEAR(AC900),PARAMETROS!E$2:E1963,0),1)))</f>
        <v/>
      </c>
      <c r="AH900" s="81"/>
      <c r="AI900" s="82"/>
      <c r="AJ900" s="81"/>
      <c r="AK900" s="81"/>
      <c r="AL900" s="76"/>
      <c r="AM900" s="75"/>
      <c r="AN900" s="76"/>
      <c r="AO900" s="95"/>
      <c r="AP900" s="96"/>
      <c r="AQ900" s="85" t="str">
        <f t="shared" si="6"/>
        <v/>
      </c>
      <c r="AR900" s="86" t="str">
        <f t="array" ref="AR900">IF(A900="","",IFERROR(INDEX('2) Etapas'!L$3:L923,MATCH(B900,'2) Etapas'!$A$4:$A923,0),1),-1))</f>
        <v/>
      </c>
      <c r="AS900" s="87" t="str">
        <f t="shared" si="7"/>
        <v/>
      </c>
      <c r="AT900" s="87" t="str">
        <f t="shared" si="8"/>
        <v/>
      </c>
      <c r="AU900" s="87" t="str">
        <f t="shared" si="9"/>
        <v/>
      </c>
      <c r="AV900" s="89" t="str">
        <f t="array" ref="AV900">IF(OR($A900="",$AB900="", $AC900=""),"",MAXA(IF($A900=$A$4:$A923,$AC$4:$AC923)))</f>
        <v/>
      </c>
    </row>
    <row r="901" ht="22.5" customHeight="1">
      <c r="A901" s="76"/>
      <c r="B901" s="68" t="str">
        <f t="shared" si="1"/>
        <v/>
      </c>
      <c r="C901" s="110"/>
      <c r="D901" s="70" t="str">
        <f t="shared" si="2"/>
        <v/>
      </c>
      <c r="E901" s="76"/>
      <c r="F901" s="68" t="str">
        <f t="array" ref="F901">IF($A901="","",IFERROR(INDEX(MA_INDIVIDUALES!C$2:C923, MATCH($A901,MA_INDIVIDUALES!$B$2:$B923,0),1),"CÓDIGO DE EXPEDIENTE INVÁLIDO"))</f>
        <v/>
      </c>
      <c r="G901" s="68" t="str">
        <f t="array" ref="G901">IF($A901="","",IFERROR(INDEX(MA_INDIVIDUALES!K$2:K923, MATCH($A901,MA_INDIVIDUALES!$B$2:$B923,0),1),"CÓDIGO DE EXPEDIENTE INVÁLIDO"))</f>
        <v/>
      </c>
      <c r="H901" s="68" t="str">
        <f t="array" ref="H901">IF($A901="","",IFERROR(INDEX(MA_INDIVIDUALES!L$2:L923, MATCH($A901,MA_INDIVIDUALES!$B$2:$B923,0),1),"CÓDIGO DE EXPEDIENTE INVÁLIDO"))</f>
        <v/>
      </c>
      <c r="I901" s="76"/>
      <c r="J901" s="76"/>
      <c r="K901" s="75"/>
      <c r="L901" s="74" t="str">
        <f>IF(A901="","",IF(K901="","",_xlfn.WORKDAY.INTL(K901,5,1,FERIADOS)))</f>
        <v/>
      </c>
      <c r="M901" s="76"/>
      <c r="N901" s="75"/>
      <c r="O901" s="76"/>
      <c r="P901" s="77" t="str">
        <f t="shared" si="3"/>
        <v/>
      </c>
      <c r="Q901" s="75"/>
      <c r="R901" s="76"/>
      <c r="S901" s="75"/>
      <c r="T901" s="75"/>
      <c r="U901" s="76"/>
      <c r="V901" s="76"/>
      <c r="W901" s="75"/>
      <c r="X901" s="76"/>
      <c r="Y901" s="29" t="str">
        <f t="shared" si="4"/>
        <v/>
      </c>
      <c r="Z901" s="29" t="str">
        <f t="shared" si="5"/>
        <v/>
      </c>
      <c r="AA901" s="76"/>
      <c r="AB901" s="76"/>
      <c r="AC901" s="75"/>
      <c r="AD901" s="75"/>
      <c r="AE901" s="78" t="str">
        <f>IF(U901="","",IF(AD901="","",_xlfn.WORKDAY.INTL(AD901,7,1,FERIADOS)))</f>
        <v/>
      </c>
      <c r="AF901" s="104"/>
      <c r="AG901" s="80" t="str">
        <f t="array" ref="AG901">IF(A901="","",IF(AF901="","",AF901*INDEX(PARAMETROS!F$2:F1964,MATCH(YEAR(AC901),PARAMETROS!E$2:E1964,0),1)))</f>
        <v/>
      </c>
      <c r="AH901" s="81"/>
      <c r="AI901" s="82"/>
      <c r="AJ901" s="81"/>
      <c r="AK901" s="81"/>
      <c r="AL901" s="76"/>
      <c r="AM901" s="75"/>
      <c r="AN901" s="76"/>
      <c r="AO901" s="95"/>
      <c r="AP901" s="96"/>
      <c r="AQ901" s="85" t="str">
        <f t="shared" si="6"/>
        <v/>
      </c>
      <c r="AR901" s="86" t="str">
        <f t="array" ref="AR901">IF(A901="","",IFERROR(INDEX('2) Etapas'!L$3:L923,MATCH(B901,'2) Etapas'!$A$4:$A923,0),1),-1))</f>
        <v/>
      </c>
      <c r="AS901" s="87" t="str">
        <f t="shared" si="7"/>
        <v/>
      </c>
      <c r="AT901" s="87" t="str">
        <f t="shared" si="8"/>
        <v/>
      </c>
      <c r="AU901" s="87" t="str">
        <f t="shared" si="9"/>
        <v/>
      </c>
      <c r="AV901" s="89" t="str">
        <f t="array" ref="AV901">IF(OR($A901="",$AB901="", $AC901=""),"",MAXA(IF($A901=$A$4:$A923,$AC$4:$AC923)))</f>
        <v/>
      </c>
    </row>
    <row r="902" ht="22.5" customHeight="1">
      <c r="A902" s="76"/>
      <c r="B902" s="68" t="str">
        <f t="shared" si="1"/>
        <v/>
      </c>
      <c r="C902" s="110"/>
      <c r="D902" s="70" t="str">
        <f t="shared" si="2"/>
        <v/>
      </c>
      <c r="E902" s="76"/>
      <c r="F902" s="68" t="str">
        <f t="array" ref="F902">IF($A902="","",IFERROR(INDEX(MA_INDIVIDUALES!C$2:C923, MATCH($A902,MA_INDIVIDUALES!$B$2:$B923,0),1),"CÓDIGO DE EXPEDIENTE INVÁLIDO"))</f>
        <v/>
      </c>
      <c r="G902" s="68" t="str">
        <f t="array" ref="G902">IF($A902="","",IFERROR(INDEX(MA_INDIVIDUALES!K$2:K923, MATCH($A902,MA_INDIVIDUALES!$B$2:$B923,0),1),"CÓDIGO DE EXPEDIENTE INVÁLIDO"))</f>
        <v/>
      </c>
      <c r="H902" s="68" t="str">
        <f t="array" ref="H902">IF($A902="","",IFERROR(INDEX(MA_INDIVIDUALES!L$2:L923, MATCH($A902,MA_INDIVIDUALES!$B$2:$B923,0),1),"CÓDIGO DE EXPEDIENTE INVÁLIDO"))</f>
        <v/>
      </c>
      <c r="I902" s="76"/>
      <c r="J902" s="76"/>
      <c r="K902" s="75"/>
      <c r="L902" s="74" t="str">
        <f>IF(A902="","",IF(K902="","",_xlfn.WORKDAY.INTL(K902,5,1,FERIADOS)))</f>
        <v/>
      </c>
      <c r="M902" s="76"/>
      <c r="N902" s="75"/>
      <c r="O902" s="76"/>
      <c r="P902" s="77" t="str">
        <f t="shared" si="3"/>
        <v/>
      </c>
      <c r="Q902" s="75"/>
      <c r="R902" s="76"/>
      <c r="S902" s="75"/>
      <c r="T902" s="75"/>
      <c r="U902" s="76"/>
      <c r="V902" s="76"/>
      <c r="W902" s="75"/>
      <c r="X902" s="76"/>
      <c r="Y902" s="29" t="str">
        <f t="shared" si="4"/>
        <v/>
      </c>
      <c r="Z902" s="29" t="str">
        <f t="shared" si="5"/>
        <v/>
      </c>
      <c r="AA902" s="76"/>
      <c r="AB902" s="76"/>
      <c r="AC902" s="75"/>
      <c r="AD902" s="75"/>
      <c r="AE902" s="78" t="str">
        <f>IF(U902="","",IF(AD902="","",_xlfn.WORKDAY.INTL(AD902,7,1,FERIADOS)))</f>
        <v/>
      </c>
      <c r="AF902" s="104"/>
      <c r="AG902" s="80" t="str">
        <f t="array" ref="AG902">IF(A902="","",IF(AF902="","",AF902*INDEX(PARAMETROS!F$2:F1965,MATCH(YEAR(AC902),PARAMETROS!E$2:E1965,0),1)))</f>
        <v/>
      </c>
      <c r="AH902" s="81"/>
      <c r="AI902" s="82"/>
      <c r="AJ902" s="81"/>
      <c r="AK902" s="81"/>
      <c r="AL902" s="76"/>
      <c r="AM902" s="75"/>
      <c r="AN902" s="76"/>
      <c r="AO902" s="95"/>
      <c r="AP902" s="96"/>
      <c r="AQ902" s="85" t="str">
        <f t="shared" si="6"/>
        <v/>
      </c>
      <c r="AR902" s="86" t="str">
        <f t="array" ref="AR902">IF(A902="","",IFERROR(INDEX('2) Etapas'!L$3:L923,MATCH(B902,'2) Etapas'!$A$4:$A923,0),1),-1))</f>
        <v/>
      </c>
      <c r="AS902" s="87" t="str">
        <f t="shared" si="7"/>
        <v/>
      </c>
      <c r="AT902" s="87" t="str">
        <f t="shared" si="8"/>
        <v/>
      </c>
      <c r="AU902" s="87" t="str">
        <f t="shared" si="9"/>
        <v/>
      </c>
      <c r="AV902" s="89" t="str">
        <f t="array" ref="AV902">IF(OR($A902="",$AB902="", $AC902=""),"",MAXA(IF($A902=$A$4:$A923,$AC$4:$AC923)))</f>
        <v/>
      </c>
    </row>
    <row r="903" ht="22.5" customHeight="1">
      <c r="A903" s="76"/>
      <c r="B903" s="68" t="str">
        <f t="shared" si="1"/>
        <v/>
      </c>
      <c r="C903" s="110"/>
      <c r="D903" s="70" t="str">
        <f t="shared" si="2"/>
        <v/>
      </c>
      <c r="E903" s="76"/>
      <c r="F903" s="68" t="str">
        <f t="array" ref="F903">IF($A903="","",IFERROR(INDEX(MA_INDIVIDUALES!C$2:C923, MATCH($A903,MA_INDIVIDUALES!$B$2:$B923,0),1),"CÓDIGO DE EXPEDIENTE INVÁLIDO"))</f>
        <v/>
      </c>
      <c r="G903" s="68" t="str">
        <f t="array" ref="G903">IF($A903="","",IFERROR(INDEX(MA_INDIVIDUALES!K$2:K923, MATCH($A903,MA_INDIVIDUALES!$B$2:$B923,0),1),"CÓDIGO DE EXPEDIENTE INVÁLIDO"))</f>
        <v/>
      </c>
      <c r="H903" s="68" t="str">
        <f t="array" ref="H903">IF($A903="","",IFERROR(INDEX(MA_INDIVIDUALES!L$2:L923, MATCH($A903,MA_INDIVIDUALES!$B$2:$B923,0),1),"CÓDIGO DE EXPEDIENTE INVÁLIDO"))</f>
        <v/>
      </c>
      <c r="I903" s="76"/>
      <c r="J903" s="76"/>
      <c r="K903" s="75"/>
      <c r="L903" s="74" t="str">
        <f>IF(A903="","",IF(K903="","",_xlfn.WORKDAY.INTL(K903,5,1,FERIADOS)))</f>
        <v/>
      </c>
      <c r="M903" s="76"/>
      <c r="N903" s="75"/>
      <c r="O903" s="76"/>
      <c r="P903" s="77" t="str">
        <f t="shared" si="3"/>
        <v/>
      </c>
      <c r="Q903" s="75"/>
      <c r="R903" s="76"/>
      <c r="S903" s="75"/>
      <c r="T903" s="75"/>
      <c r="U903" s="76"/>
      <c r="V903" s="76"/>
      <c r="W903" s="75"/>
      <c r="X903" s="76"/>
      <c r="Y903" s="29" t="str">
        <f t="shared" si="4"/>
        <v/>
      </c>
      <c r="Z903" s="29" t="str">
        <f t="shared" si="5"/>
        <v/>
      </c>
      <c r="AA903" s="76"/>
      <c r="AB903" s="76"/>
      <c r="AC903" s="75"/>
      <c r="AD903" s="75"/>
      <c r="AE903" s="78" t="str">
        <f>IF(U903="","",IF(AD903="","",_xlfn.WORKDAY.INTL(AD903,7,1,FERIADOS)))</f>
        <v/>
      </c>
      <c r="AF903" s="104"/>
      <c r="AG903" s="80" t="str">
        <f t="array" ref="AG903">IF(A903="","",IF(AF903="","",AF903*INDEX(PARAMETROS!F$2:F1966,MATCH(YEAR(AC903),PARAMETROS!E$2:E1966,0),1)))</f>
        <v/>
      </c>
      <c r="AH903" s="81"/>
      <c r="AI903" s="82"/>
      <c r="AJ903" s="81"/>
      <c r="AK903" s="81"/>
      <c r="AL903" s="76"/>
      <c r="AM903" s="75"/>
      <c r="AN903" s="76"/>
      <c r="AO903" s="95"/>
      <c r="AP903" s="96"/>
      <c r="AQ903" s="85" t="str">
        <f t="shared" si="6"/>
        <v/>
      </c>
      <c r="AR903" s="86" t="str">
        <f t="array" ref="AR903">IF(A903="","",IFERROR(INDEX('2) Etapas'!L$3:L923,MATCH(B903,'2) Etapas'!$A$4:$A923,0),1),-1))</f>
        <v/>
      </c>
      <c r="AS903" s="87" t="str">
        <f t="shared" si="7"/>
        <v/>
      </c>
      <c r="AT903" s="87" t="str">
        <f t="shared" si="8"/>
        <v/>
      </c>
      <c r="AU903" s="87" t="str">
        <f t="shared" si="9"/>
        <v/>
      </c>
      <c r="AV903" s="89" t="str">
        <f t="array" ref="AV903">IF(OR($A903="",$AB903="", $AC903=""),"",MAXA(IF($A903=$A$4:$A923,$AC$4:$AC923)))</f>
        <v/>
      </c>
    </row>
    <row r="904" ht="22.5" customHeight="1">
      <c r="A904" s="76"/>
      <c r="B904" s="68" t="str">
        <f t="shared" si="1"/>
        <v/>
      </c>
      <c r="C904" s="110"/>
      <c r="D904" s="70" t="str">
        <f t="shared" si="2"/>
        <v/>
      </c>
      <c r="E904" s="76"/>
      <c r="F904" s="68" t="str">
        <f t="array" ref="F904">IF($A904="","",IFERROR(INDEX(MA_INDIVIDUALES!C$2:C923, MATCH($A904,MA_INDIVIDUALES!$B$2:$B923,0),1),"CÓDIGO DE EXPEDIENTE INVÁLIDO"))</f>
        <v/>
      </c>
      <c r="G904" s="68" t="str">
        <f t="array" ref="G904">IF($A904="","",IFERROR(INDEX(MA_INDIVIDUALES!K$2:K923, MATCH($A904,MA_INDIVIDUALES!$B$2:$B923,0),1),"CÓDIGO DE EXPEDIENTE INVÁLIDO"))</f>
        <v/>
      </c>
      <c r="H904" s="68" t="str">
        <f t="array" ref="H904">IF($A904="","",IFERROR(INDEX(MA_INDIVIDUALES!L$2:L923, MATCH($A904,MA_INDIVIDUALES!$B$2:$B923,0),1),"CÓDIGO DE EXPEDIENTE INVÁLIDO"))</f>
        <v/>
      </c>
      <c r="I904" s="76"/>
      <c r="J904" s="76"/>
      <c r="K904" s="75"/>
      <c r="L904" s="74" t="str">
        <f>IF(A904="","",IF(K904="","",_xlfn.WORKDAY.INTL(K904,5,1,FERIADOS)))</f>
        <v/>
      </c>
      <c r="M904" s="76"/>
      <c r="N904" s="75"/>
      <c r="O904" s="76"/>
      <c r="P904" s="77" t="str">
        <f t="shared" si="3"/>
        <v/>
      </c>
      <c r="Q904" s="75"/>
      <c r="R904" s="76"/>
      <c r="S904" s="75"/>
      <c r="T904" s="75"/>
      <c r="U904" s="76"/>
      <c r="V904" s="76"/>
      <c r="W904" s="75"/>
      <c r="X904" s="76"/>
      <c r="Y904" s="29" t="str">
        <f t="shared" si="4"/>
        <v/>
      </c>
      <c r="Z904" s="29" t="str">
        <f t="shared" si="5"/>
        <v/>
      </c>
      <c r="AA904" s="76"/>
      <c r="AB904" s="76"/>
      <c r="AC904" s="75"/>
      <c r="AD904" s="75"/>
      <c r="AE904" s="78" t="str">
        <f>IF(U904="","",IF(AD904="","",_xlfn.WORKDAY.INTL(AD904,7,1,FERIADOS)))</f>
        <v/>
      </c>
      <c r="AF904" s="104"/>
      <c r="AG904" s="80" t="str">
        <f t="array" ref="AG904">IF(A904="","",IF(AF904="","",AF904*INDEX(PARAMETROS!F$2:F1967,MATCH(YEAR(AC904),PARAMETROS!E$2:E1967,0),1)))</f>
        <v/>
      </c>
      <c r="AH904" s="81"/>
      <c r="AI904" s="82"/>
      <c r="AJ904" s="81"/>
      <c r="AK904" s="81"/>
      <c r="AL904" s="76"/>
      <c r="AM904" s="75"/>
      <c r="AN904" s="76"/>
      <c r="AO904" s="95"/>
      <c r="AP904" s="96"/>
      <c r="AQ904" s="85" t="str">
        <f t="shared" si="6"/>
        <v/>
      </c>
      <c r="AR904" s="86" t="str">
        <f t="array" ref="AR904">IF(A904="","",IFERROR(INDEX('2) Etapas'!L$3:L923,MATCH(B904,'2) Etapas'!$A$4:$A923,0),1),-1))</f>
        <v/>
      </c>
      <c r="AS904" s="87" t="str">
        <f t="shared" si="7"/>
        <v/>
      </c>
      <c r="AT904" s="87" t="str">
        <f t="shared" si="8"/>
        <v/>
      </c>
      <c r="AU904" s="87" t="str">
        <f t="shared" si="9"/>
        <v/>
      </c>
      <c r="AV904" s="89" t="str">
        <f t="array" ref="AV904">IF(OR($A904="",$AB904="", $AC904=""),"",MAXA(IF($A904=$A$4:$A923,$AC$4:$AC923)))</f>
        <v/>
      </c>
    </row>
    <row r="905" ht="22.5" customHeight="1">
      <c r="A905" s="76"/>
      <c r="B905" s="68" t="str">
        <f t="shared" si="1"/>
        <v/>
      </c>
      <c r="C905" s="110"/>
      <c r="D905" s="70" t="str">
        <f t="shared" si="2"/>
        <v/>
      </c>
      <c r="E905" s="76"/>
      <c r="F905" s="68" t="str">
        <f t="array" ref="F905">IF($A905="","",IFERROR(INDEX(MA_INDIVIDUALES!C$2:C923, MATCH($A905,MA_INDIVIDUALES!$B$2:$B923,0),1),"CÓDIGO DE EXPEDIENTE INVÁLIDO"))</f>
        <v/>
      </c>
      <c r="G905" s="68" t="str">
        <f t="array" ref="G905">IF($A905="","",IFERROR(INDEX(MA_INDIVIDUALES!K$2:K923, MATCH($A905,MA_INDIVIDUALES!$B$2:$B923,0),1),"CÓDIGO DE EXPEDIENTE INVÁLIDO"))</f>
        <v/>
      </c>
      <c r="H905" s="68" t="str">
        <f t="array" ref="H905">IF($A905="","",IFERROR(INDEX(MA_INDIVIDUALES!L$2:L923, MATCH($A905,MA_INDIVIDUALES!$B$2:$B923,0),1),"CÓDIGO DE EXPEDIENTE INVÁLIDO"))</f>
        <v/>
      </c>
      <c r="I905" s="76"/>
      <c r="J905" s="76"/>
      <c r="K905" s="75"/>
      <c r="L905" s="74" t="str">
        <f>IF(A905="","",IF(K905="","",_xlfn.WORKDAY.INTL(K905,5,1,FERIADOS)))</f>
        <v/>
      </c>
      <c r="M905" s="76"/>
      <c r="N905" s="75"/>
      <c r="O905" s="76"/>
      <c r="P905" s="77" t="str">
        <f t="shared" si="3"/>
        <v/>
      </c>
      <c r="Q905" s="75"/>
      <c r="R905" s="76"/>
      <c r="S905" s="75"/>
      <c r="T905" s="75"/>
      <c r="U905" s="76"/>
      <c r="V905" s="76"/>
      <c r="W905" s="75"/>
      <c r="X905" s="76"/>
      <c r="Y905" s="29" t="str">
        <f t="shared" si="4"/>
        <v/>
      </c>
      <c r="Z905" s="29" t="str">
        <f t="shared" si="5"/>
        <v/>
      </c>
      <c r="AA905" s="76"/>
      <c r="AB905" s="76"/>
      <c r="AC905" s="75"/>
      <c r="AD905" s="75"/>
      <c r="AE905" s="78" t="str">
        <f>IF(U905="","",IF(AD905="","",_xlfn.WORKDAY.INTL(AD905,7,1,FERIADOS)))</f>
        <v/>
      </c>
      <c r="AF905" s="104"/>
      <c r="AG905" s="80" t="str">
        <f t="array" ref="AG905">IF(A905="","",IF(AF905="","",AF905*INDEX(PARAMETROS!F$2:F1968,MATCH(YEAR(AC905),PARAMETROS!E$2:E1968,0),1)))</f>
        <v/>
      </c>
      <c r="AH905" s="81"/>
      <c r="AI905" s="82"/>
      <c r="AJ905" s="81"/>
      <c r="AK905" s="81"/>
      <c r="AL905" s="76"/>
      <c r="AM905" s="75"/>
      <c r="AN905" s="76"/>
      <c r="AO905" s="95"/>
      <c r="AP905" s="96"/>
      <c r="AQ905" s="85" t="str">
        <f t="shared" si="6"/>
        <v/>
      </c>
      <c r="AR905" s="86" t="str">
        <f t="array" ref="AR905">IF(A905="","",IFERROR(INDEX('2) Etapas'!L$3:L923,MATCH(B905,'2) Etapas'!$A$4:$A923,0),1),-1))</f>
        <v/>
      </c>
      <c r="AS905" s="87" t="str">
        <f t="shared" si="7"/>
        <v/>
      </c>
      <c r="AT905" s="87" t="str">
        <f t="shared" si="8"/>
        <v/>
      </c>
      <c r="AU905" s="87" t="str">
        <f t="shared" si="9"/>
        <v/>
      </c>
      <c r="AV905" s="89" t="str">
        <f t="array" ref="AV905">IF(OR($A905="",$AB905="", $AC905=""),"",MAXA(IF($A905=$A$4:$A923,$AC$4:$AC923)))</f>
        <v/>
      </c>
    </row>
    <row r="906" ht="22.5" customHeight="1">
      <c r="A906" s="76"/>
      <c r="B906" s="68" t="str">
        <f t="shared" si="1"/>
        <v/>
      </c>
      <c r="C906" s="110"/>
      <c r="D906" s="70" t="str">
        <f t="shared" si="2"/>
        <v/>
      </c>
      <c r="E906" s="76"/>
      <c r="F906" s="68" t="str">
        <f t="array" ref="F906">IF($A906="","",IFERROR(INDEX(MA_INDIVIDUALES!C$2:C923, MATCH($A906,MA_INDIVIDUALES!$B$2:$B923,0),1),"CÓDIGO DE EXPEDIENTE INVÁLIDO"))</f>
        <v/>
      </c>
      <c r="G906" s="68" t="str">
        <f t="array" ref="G906">IF($A906="","",IFERROR(INDEX(MA_INDIVIDUALES!K$2:K923, MATCH($A906,MA_INDIVIDUALES!$B$2:$B923,0),1),"CÓDIGO DE EXPEDIENTE INVÁLIDO"))</f>
        <v/>
      </c>
      <c r="H906" s="68" t="str">
        <f t="array" ref="H906">IF($A906="","",IFERROR(INDEX(MA_INDIVIDUALES!L$2:L923, MATCH($A906,MA_INDIVIDUALES!$B$2:$B923,0),1),"CÓDIGO DE EXPEDIENTE INVÁLIDO"))</f>
        <v/>
      </c>
      <c r="I906" s="76"/>
      <c r="J906" s="76"/>
      <c r="K906" s="75"/>
      <c r="L906" s="74" t="str">
        <f>IF(A906="","",IF(K906="","",_xlfn.WORKDAY.INTL(K906,5,1,FERIADOS)))</f>
        <v/>
      </c>
      <c r="M906" s="76"/>
      <c r="N906" s="75"/>
      <c r="O906" s="76"/>
      <c r="P906" s="77" t="str">
        <f t="shared" si="3"/>
        <v/>
      </c>
      <c r="Q906" s="75"/>
      <c r="R906" s="76"/>
      <c r="S906" s="75"/>
      <c r="T906" s="75"/>
      <c r="U906" s="76"/>
      <c r="V906" s="76"/>
      <c r="W906" s="75"/>
      <c r="X906" s="76"/>
      <c r="Y906" s="29" t="str">
        <f t="shared" si="4"/>
        <v/>
      </c>
      <c r="Z906" s="29" t="str">
        <f t="shared" si="5"/>
        <v/>
      </c>
      <c r="AA906" s="76"/>
      <c r="AB906" s="76"/>
      <c r="AC906" s="75"/>
      <c r="AD906" s="75"/>
      <c r="AE906" s="78" t="str">
        <f>IF(U906="","",IF(AD906="","",_xlfn.WORKDAY.INTL(AD906,7,1,FERIADOS)))</f>
        <v/>
      </c>
      <c r="AF906" s="104"/>
      <c r="AG906" s="80" t="str">
        <f t="array" ref="AG906">IF(A906="","",IF(AF906="","",AF906*INDEX(PARAMETROS!F$2:F1969,MATCH(YEAR(AC906),PARAMETROS!E$2:E1969,0),1)))</f>
        <v/>
      </c>
      <c r="AH906" s="81"/>
      <c r="AI906" s="82"/>
      <c r="AJ906" s="81"/>
      <c r="AK906" s="81"/>
      <c r="AL906" s="76"/>
      <c r="AM906" s="75"/>
      <c r="AN906" s="76"/>
      <c r="AO906" s="95"/>
      <c r="AP906" s="96"/>
      <c r="AQ906" s="85" t="str">
        <f t="shared" si="6"/>
        <v/>
      </c>
      <c r="AR906" s="86" t="str">
        <f t="array" ref="AR906">IF(A906="","",IFERROR(INDEX('2) Etapas'!L$3:L923,MATCH(B906,'2) Etapas'!$A$4:$A923,0),1),-1))</f>
        <v/>
      </c>
      <c r="AS906" s="87" t="str">
        <f t="shared" si="7"/>
        <v/>
      </c>
      <c r="AT906" s="87" t="str">
        <f t="shared" si="8"/>
        <v/>
      </c>
      <c r="AU906" s="87" t="str">
        <f t="shared" si="9"/>
        <v/>
      </c>
      <c r="AV906" s="89" t="str">
        <f t="array" ref="AV906">IF(OR($A906="",$AB906="", $AC906=""),"",MAXA(IF($A906=$A$4:$A923,$AC$4:$AC923)))</f>
        <v/>
      </c>
    </row>
    <row r="907" ht="22.5" customHeight="1">
      <c r="A907" s="76"/>
      <c r="B907" s="68" t="str">
        <f t="shared" si="1"/>
        <v/>
      </c>
      <c r="C907" s="110"/>
      <c r="D907" s="70" t="str">
        <f t="shared" si="2"/>
        <v/>
      </c>
      <c r="E907" s="76"/>
      <c r="F907" s="68" t="str">
        <f t="array" ref="F907">IF($A907="","",IFERROR(INDEX(MA_INDIVIDUALES!C$2:C923, MATCH($A907,MA_INDIVIDUALES!$B$2:$B923,0),1),"CÓDIGO DE EXPEDIENTE INVÁLIDO"))</f>
        <v/>
      </c>
      <c r="G907" s="68" t="str">
        <f t="array" ref="G907">IF($A907="","",IFERROR(INDEX(MA_INDIVIDUALES!K$2:K923, MATCH($A907,MA_INDIVIDUALES!$B$2:$B923,0),1),"CÓDIGO DE EXPEDIENTE INVÁLIDO"))</f>
        <v/>
      </c>
      <c r="H907" s="68" t="str">
        <f t="array" ref="H907">IF($A907="","",IFERROR(INDEX(MA_INDIVIDUALES!L$2:L923, MATCH($A907,MA_INDIVIDUALES!$B$2:$B923,0),1),"CÓDIGO DE EXPEDIENTE INVÁLIDO"))</f>
        <v/>
      </c>
      <c r="I907" s="76"/>
      <c r="J907" s="76"/>
      <c r="K907" s="75"/>
      <c r="L907" s="74" t="str">
        <f>IF(A907="","",IF(K907="","",_xlfn.WORKDAY.INTL(K907,5,1,FERIADOS)))</f>
        <v/>
      </c>
      <c r="M907" s="76"/>
      <c r="N907" s="75"/>
      <c r="O907" s="76"/>
      <c r="P907" s="77" t="str">
        <f t="shared" si="3"/>
        <v/>
      </c>
      <c r="Q907" s="75"/>
      <c r="R907" s="76"/>
      <c r="S907" s="75"/>
      <c r="T907" s="75"/>
      <c r="U907" s="76"/>
      <c r="V907" s="76"/>
      <c r="W907" s="75"/>
      <c r="X907" s="76"/>
      <c r="Y907" s="29" t="str">
        <f t="shared" si="4"/>
        <v/>
      </c>
      <c r="Z907" s="29" t="str">
        <f t="shared" si="5"/>
        <v/>
      </c>
      <c r="AA907" s="76"/>
      <c r="AB907" s="76"/>
      <c r="AC907" s="75"/>
      <c r="AD907" s="75"/>
      <c r="AE907" s="78" t="str">
        <f>IF(U907="","",IF(AD907="","",_xlfn.WORKDAY.INTL(AD907,7,1,FERIADOS)))</f>
        <v/>
      </c>
      <c r="AF907" s="104"/>
      <c r="AG907" s="80" t="str">
        <f t="array" ref="AG907">IF(A907="","",IF(AF907="","",AF907*INDEX(PARAMETROS!F$2:F1970,MATCH(YEAR(AC907),PARAMETROS!E$2:E1970,0),1)))</f>
        <v/>
      </c>
      <c r="AH907" s="81"/>
      <c r="AI907" s="82"/>
      <c r="AJ907" s="81"/>
      <c r="AK907" s="81"/>
      <c r="AL907" s="76"/>
      <c r="AM907" s="75"/>
      <c r="AN907" s="76"/>
      <c r="AO907" s="95"/>
      <c r="AP907" s="96"/>
      <c r="AQ907" s="85" t="str">
        <f t="shared" si="6"/>
        <v/>
      </c>
      <c r="AR907" s="86" t="str">
        <f t="array" ref="AR907">IF(A907="","",IFERROR(INDEX('2) Etapas'!L$3:L923,MATCH(B907,'2) Etapas'!$A$4:$A923,0),1),-1))</f>
        <v/>
      </c>
      <c r="AS907" s="87" t="str">
        <f t="shared" si="7"/>
        <v/>
      </c>
      <c r="AT907" s="87" t="str">
        <f t="shared" si="8"/>
        <v/>
      </c>
      <c r="AU907" s="87" t="str">
        <f t="shared" si="9"/>
        <v/>
      </c>
      <c r="AV907" s="89" t="str">
        <f t="array" ref="AV907">IF(OR($A907="",$AB907="", $AC907=""),"",MAXA(IF($A907=$A$4:$A923,$AC$4:$AC923)))</f>
        <v/>
      </c>
    </row>
    <row r="908" ht="22.5" customHeight="1">
      <c r="A908" s="76"/>
      <c r="B908" s="68" t="str">
        <f t="shared" si="1"/>
        <v/>
      </c>
      <c r="C908" s="110"/>
      <c r="D908" s="70" t="str">
        <f t="shared" si="2"/>
        <v/>
      </c>
      <c r="E908" s="76"/>
      <c r="F908" s="68" t="str">
        <f t="array" ref="F908">IF($A908="","",IFERROR(INDEX(MA_INDIVIDUALES!C$2:C923, MATCH($A908,MA_INDIVIDUALES!$B$2:$B923,0),1),"CÓDIGO DE EXPEDIENTE INVÁLIDO"))</f>
        <v/>
      </c>
      <c r="G908" s="68" t="str">
        <f t="array" ref="G908">IF($A908="","",IFERROR(INDEX(MA_INDIVIDUALES!K$2:K923, MATCH($A908,MA_INDIVIDUALES!$B$2:$B923,0),1),"CÓDIGO DE EXPEDIENTE INVÁLIDO"))</f>
        <v/>
      </c>
      <c r="H908" s="68" t="str">
        <f t="array" ref="H908">IF($A908="","",IFERROR(INDEX(MA_INDIVIDUALES!L$2:L923, MATCH($A908,MA_INDIVIDUALES!$B$2:$B923,0),1),"CÓDIGO DE EXPEDIENTE INVÁLIDO"))</f>
        <v/>
      </c>
      <c r="I908" s="76"/>
      <c r="J908" s="76"/>
      <c r="K908" s="75"/>
      <c r="L908" s="74" t="str">
        <f>IF(A908="","",IF(K908="","",_xlfn.WORKDAY.INTL(K908,5,1,FERIADOS)))</f>
        <v/>
      </c>
      <c r="M908" s="76"/>
      <c r="N908" s="75"/>
      <c r="O908" s="76"/>
      <c r="P908" s="77" t="str">
        <f t="shared" si="3"/>
        <v/>
      </c>
      <c r="Q908" s="75"/>
      <c r="R908" s="76"/>
      <c r="S908" s="75"/>
      <c r="T908" s="75"/>
      <c r="U908" s="76"/>
      <c r="V908" s="76"/>
      <c r="W908" s="75"/>
      <c r="X908" s="76"/>
      <c r="Y908" s="29" t="str">
        <f t="shared" si="4"/>
        <v/>
      </c>
      <c r="Z908" s="29" t="str">
        <f t="shared" si="5"/>
        <v/>
      </c>
      <c r="AA908" s="76"/>
      <c r="AB908" s="76"/>
      <c r="AC908" s="75"/>
      <c r="AD908" s="75"/>
      <c r="AE908" s="78" t="str">
        <f>IF(U908="","",IF(AD908="","",_xlfn.WORKDAY.INTL(AD908,7,1,FERIADOS)))</f>
        <v/>
      </c>
      <c r="AF908" s="104"/>
      <c r="AG908" s="80" t="str">
        <f t="array" ref="AG908">IF(A908="","",IF(AF908="","",AF908*INDEX(PARAMETROS!F$2:F1971,MATCH(YEAR(AC908),PARAMETROS!E$2:E1971,0),1)))</f>
        <v/>
      </c>
      <c r="AH908" s="81"/>
      <c r="AI908" s="82"/>
      <c r="AJ908" s="81"/>
      <c r="AK908" s="81"/>
      <c r="AL908" s="76"/>
      <c r="AM908" s="75"/>
      <c r="AN908" s="76"/>
      <c r="AO908" s="95"/>
      <c r="AP908" s="96"/>
      <c r="AQ908" s="85" t="str">
        <f t="shared" si="6"/>
        <v/>
      </c>
      <c r="AR908" s="86" t="str">
        <f t="array" ref="AR908">IF(A908="","",IFERROR(INDEX('2) Etapas'!L$3:L923,MATCH(B908,'2) Etapas'!$A$4:$A923,0),1),-1))</f>
        <v/>
      </c>
      <c r="AS908" s="87" t="str">
        <f t="shared" si="7"/>
        <v/>
      </c>
      <c r="AT908" s="87" t="str">
        <f t="shared" si="8"/>
        <v/>
      </c>
      <c r="AU908" s="87" t="str">
        <f t="shared" si="9"/>
        <v/>
      </c>
      <c r="AV908" s="89" t="str">
        <f t="array" ref="AV908">IF(OR($A908="",$AB908="", $AC908=""),"",MAXA(IF($A908=$A$4:$A923,$AC$4:$AC923)))</f>
        <v/>
      </c>
    </row>
    <row r="909" ht="22.5" customHeight="1">
      <c r="A909" s="76"/>
      <c r="B909" s="68" t="str">
        <f t="shared" si="1"/>
        <v/>
      </c>
      <c r="C909" s="110"/>
      <c r="D909" s="70" t="str">
        <f t="shared" si="2"/>
        <v/>
      </c>
      <c r="E909" s="76"/>
      <c r="F909" s="68" t="str">
        <f t="array" ref="F909">IF($A909="","",IFERROR(INDEX(MA_INDIVIDUALES!C$2:C923, MATCH($A909,MA_INDIVIDUALES!$B$2:$B923,0),1),"CÓDIGO DE EXPEDIENTE INVÁLIDO"))</f>
        <v/>
      </c>
      <c r="G909" s="68" t="str">
        <f t="array" ref="G909">IF($A909="","",IFERROR(INDEX(MA_INDIVIDUALES!K$2:K923, MATCH($A909,MA_INDIVIDUALES!$B$2:$B923,0),1),"CÓDIGO DE EXPEDIENTE INVÁLIDO"))</f>
        <v/>
      </c>
      <c r="H909" s="68" t="str">
        <f t="array" ref="H909">IF($A909="","",IFERROR(INDEX(MA_INDIVIDUALES!L$2:L923, MATCH($A909,MA_INDIVIDUALES!$B$2:$B923,0),1),"CÓDIGO DE EXPEDIENTE INVÁLIDO"))</f>
        <v/>
      </c>
      <c r="I909" s="76"/>
      <c r="J909" s="76"/>
      <c r="K909" s="75"/>
      <c r="L909" s="74" t="str">
        <f>IF(A909="","",IF(K909="","",_xlfn.WORKDAY.INTL(K909,5,1,FERIADOS)))</f>
        <v/>
      </c>
      <c r="M909" s="76"/>
      <c r="N909" s="75"/>
      <c r="O909" s="76"/>
      <c r="P909" s="77" t="str">
        <f t="shared" si="3"/>
        <v/>
      </c>
      <c r="Q909" s="75"/>
      <c r="R909" s="76"/>
      <c r="S909" s="75"/>
      <c r="T909" s="75"/>
      <c r="U909" s="76"/>
      <c r="V909" s="76"/>
      <c r="W909" s="75"/>
      <c r="X909" s="76"/>
      <c r="Y909" s="29" t="str">
        <f t="shared" si="4"/>
        <v/>
      </c>
      <c r="Z909" s="29" t="str">
        <f t="shared" si="5"/>
        <v/>
      </c>
      <c r="AA909" s="76"/>
      <c r="AB909" s="76"/>
      <c r="AC909" s="75"/>
      <c r="AD909" s="75"/>
      <c r="AE909" s="78" t="str">
        <f>IF(U909="","",IF(AD909="","",_xlfn.WORKDAY.INTL(AD909,7,1,FERIADOS)))</f>
        <v/>
      </c>
      <c r="AF909" s="104"/>
      <c r="AG909" s="80" t="str">
        <f t="array" ref="AG909">IF(A909="","",IF(AF909="","",AF909*INDEX(PARAMETROS!F$2:F1972,MATCH(YEAR(AC909),PARAMETROS!E$2:E1972,0),1)))</f>
        <v/>
      </c>
      <c r="AH909" s="81"/>
      <c r="AI909" s="82"/>
      <c r="AJ909" s="81"/>
      <c r="AK909" s="81"/>
      <c r="AL909" s="76"/>
      <c r="AM909" s="75"/>
      <c r="AN909" s="76"/>
      <c r="AO909" s="95"/>
      <c r="AP909" s="96"/>
      <c r="AQ909" s="85" t="str">
        <f t="shared" si="6"/>
        <v/>
      </c>
      <c r="AR909" s="86" t="str">
        <f t="array" ref="AR909">IF(A909="","",IFERROR(INDEX('2) Etapas'!L$3:L923,MATCH(B909,'2) Etapas'!$A$4:$A923,0),1),-1))</f>
        <v/>
      </c>
      <c r="AS909" s="87" t="str">
        <f t="shared" si="7"/>
        <v/>
      </c>
      <c r="AT909" s="87" t="str">
        <f t="shared" si="8"/>
        <v/>
      </c>
      <c r="AU909" s="87" t="str">
        <f t="shared" si="9"/>
        <v/>
      </c>
      <c r="AV909" s="89" t="str">
        <f t="array" ref="AV909">IF(OR($A909="",$AB909="", $AC909=""),"",MAXA(IF($A909=$A$4:$A923,$AC$4:$AC923)))</f>
        <v/>
      </c>
    </row>
    <row r="910" ht="22.5" customHeight="1">
      <c r="A910" s="76"/>
      <c r="B910" s="68" t="str">
        <f t="shared" si="1"/>
        <v/>
      </c>
      <c r="C910" s="110"/>
      <c r="D910" s="70" t="str">
        <f t="shared" si="2"/>
        <v/>
      </c>
      <c r="E910" s="76"/>
      <c r="F910" s="68" t="str">
        <f t="array" ref="F910">IF($A910="","",IFERROR(INDEX(MA_INDIVIDUALES!C$2:C923, MATCH($A910,MA_INDIVIDUALES!$B$2:$B923,0),1),"CÓDIGO DE EXPEDIENTE INVÁLIDO"))</f>
        <v/>
      </c>
      <c r="G910" s="68" t="str">
        <f t="array" ref="G910">IF($A910="","",IFERROR(INDEX(MA_INDIVIDUALES!K$2:K923, MATCH($A910,MA_INDIVIDUALES!$B$2:$B923,0),1),"CÓDIGO DE EXPEDIENTE INVÁLIDO"))</f>
        <v/>
      </c>
      <c r="H910" s="68" t="str">
        <f t="array" ref="H910">IF($A910="","",IFERROR(INDEX(MA_INDIVIDUALES!L$2:L923, MATCH($A910,MA_INDIVIDUALES!$B$2:$B923,0),1),"CÓDIGO DE EXPEDIENTE INVÁLIDO"))</f>
        <v/>
      </c>
      <c r="I910" s="76"/>
      <c r="J910" s="76"/>
      <c r="K910" s="75"/>
      <c r="L910" s="74" t="str">
        <f>IF(A910="","",IF(K910="","",_xlfn.WORKDAY.INTL(K910,5,1,FERIADOS)))</f>
        <v/>
      </c>
      <c r="M910" s="76"/>
      <c r="N910" s="75"/>
      <c r="O910" s="76"/>
      <c r="P910" s="77" t="str">
        <f t="shared" si="3"/>
        <v/>
      </c>
      <c r="Q910" s="75"/>
      <c r="R910" s="76"/>
      <c r="S910" s="75"/>
      <c r="T910" s="75"/>
      <c r="U910" s="76"/>
      <c r="V910" s="76"/>
      <c r="W910" s="75"/>
      <c r="X910" s="76"/>
      <c r="Y910" s="29" t="str">
        <f t="shared" si="4"/>
        <v/>
      </c>
      <c r="Z910" s="29" t="str">
        <f t="shared" si="5"/>
        <v/>
      </c>
      <c r="AA910" s="76"/>
      <c r="AB910" s="76"/>
      <c r="AC910" s="75"/>
      <c r="AD910" s="75"/>
      <c r="AE910" s="78" t="str">
        <f>IF(U910="","",IF(AD910="","",_xlfn.WORKDAY.INTL(AD910,7,1,FERIADOS)))</f>
        <v/>
      </c>
      <c r="AF910" s="104"/>
      <c r="AG910" s="80" t="str">
        <f t="array" ref="AG910">IF(A910="","",IF(AF910="","",AF910*INDEX(PARAMETROS!F$2:F1973,MATCH(YEAR(AC910),PARAMETROS!E$2:E1973,0),1)))</f>
        <v/>
      </c>
      <c r="AH910" s="81"/>
      <c r="AI910" s="82"/>
      <c r="AJ910" s="81"/>
      <c r="AK910" s="81"/>
      <c r="AL910" s="76"/>
      <c r="AM910" s="75"/>
      <c r="AN910" s="76"/>
      <c r="AO910" s="95"/>
      <c r="AP910" s="96"/>
      <c r="AQ910" s="85" t="str">
        <f t="shared" si="6"/>
        <v/>
      </c>
      <c r="AR910" s="86" t="str">
        <f t="array" ref="AR910">IF(A910="","",IFERROR(INDEX('2) Etapas'!L$3:L923,MATCH(B910,'2) Etapas'!$A$4:$A923,0),1),-1))</f>
        <v/>
      </c>
      <c r="AS910" s="87" t="str">
        <f t="shared" si="7"/>
        <v/>
      </c>
      <c r="AT910" s="87" t="str">
        <f t="shared" si="8"/>
        <v/>
      </c>
      <c r="AU910" s="87" t="str">
        <f t="shared" si="9"/>
        <v/>
      </c>
      <c r="AV910" s="89" t="str">
        <f t="array" ref="AV910">IF(OR($A910="",$AB910="", $AC910=""),"",MAXA(IF($A910=$A$4:$A923,$AC$4:$AC923)))</f>
        <v/>
      </c>
    </row>
    <row r="911" ht="22.5" customHeight="1">
      <c r="A911" s="76"/>
      <c r="B911" s="68" t="str">
        <f t="shared" si="1"/>
        <v/>
      </c>
      <c r="C911" s="110"/>
      <c r="D911" s="70" t="str">
        <f t="shared" si="2"/>
        <v/>
      </c>
      <c r="E911" s="76"/>
      <c r="F911" s="68" t="str">
        <f t="array" ref="F911">IF($A911="","",IFERROR(INDEX(MA_INDIVIDUALES!C$2:C923, MATCH($A911,MA_INDIVIDUALES!$B$2:$B923,0),1),"CÓDIGO DE EXPEDIENTE INVÁLIDO"))</f>
        <v/>
      </c>
      <c r="G911" s="68" t="str">
        <f t="array" ref="G911">IF($A911="","",IFERROR(INDEX(MA_INDIVIDUALES!K$2:K923, MATCH($A911,MA_INDIVIDUALES!$B$2:$B923,0),1),"CÓDIGO DE EXPEDIENTE INVÁLIDO"))</f>
        <v/>
      </c>
      <c r="H911" s="68" t="str">
        <f t="array" ref="H911">IF($A911="","",IFERROR(INDEX(MA_INDIVIDUALES!L$2:L923, MATCH($A911,MA_INDIVIDUALES!$B$2:$B923,0),1),"CÓDIGO DE EXPEDIENTE INVÁLIDO"))</f>
        <v/>
      </c>
      <c r="I911" s="76"/>
      <c r="J911" s="76"/>
      <c r="K911" s="75"/>
      <c r="L911" s="74" t="str">
        <f>IF(A911="","",IF(K911="","",_xlfn.WORKDAY.INTL(K911,5,1,FERIADOS)))</f>
        <v/>
      </c>
      <c r="M911" s="76"/>
      <c r="N911" s="75"/>
      <c r="O911" s="76"/>
      <c r="P911" s="77" t="str">
        <f t="shared" si="3"/>
        <v/>
      </c>
      <c r="Q911" s="75"/>
      <c r="R911" s="76"/>
      <c r="S911" s="75"/>
      <c r="T911" s="75"/>
      <c r="U911" s="76"/>
      <c r="V911" s="76"/>
      <c r="W911" s="75"/>
      <c r="X911" s="76"/>
      <c r="Y911" s="29" t="str">
        <f t="shared" si="4"/>
        <v/>
      </c>
      <c r="Z911" s="29" t="str">
        <f t="shared" si="5"/>
        <v/>
      </c>
      <c r="AA911" s="76"/>
      <c r="AB911" s="76"/>
      <c r="AC911" s="75"/>
      <c r="AD911" s="75"/>
      <c r="AE911" s="78" t="str">
        <f>IF(U911="","",IF(AD911="","",_xlfn.WORKDAY.INTL(AD911,7,1,FERIADOS)))</f>
        <v/>
      </c>
      <c r="AF911" s="104"/>
      <c r="AG911" s="80" t="str">
        <f t="array" ref="AG911">IF(A911="","",IF(AF911="","",AF911*INDEX(PARAMETROS!F$2:F1974,MATCH(YEAR(AC911),PARAMETROS!E$2:E1974,0),1)))</f>
        <v/>
      </c>
      <c r="AH911" s="81"/>
      <c r="AI911" s="82"/>
      <c r="AJ911" s="81"/>
      <c r="AK911" s="81"/>
      <c r="AL911" s="76"/>
      <c r="AM911" s="75"/>
      <c r="AN911" s="76"/>
      <c r="AO911" s="95"/>
      <c r="AP911" s="96"/>
      <c r="AQ911" s="85" t="str">
        <f t="shared" si="6"/>
        <v/>
      </c>
      <c r="AR911" s="86" t="str">
        <f t="array" ref="AR911">IF(A911="","",IFERROR(INDEX('2) Etapas'!L$3:L923,MATCH(B911,'2) Etapas'!$A$4:$A923,0),1),-1))</f>
        <v/>
      </c>
      <c r="AS911" s="87" t="str">
        <f t="shared" si="7"/>
        <v/>
      </c>
      <c r="AT911" s="87" t="str">
        <f t="shared" si="8"/>
        <v/>
      </c>
      <c r="AU911" s="87" t="str">
        <f t="shared" si="9"/>
        <v/>
      </c>
      <c r="AV911" s="89" t="str">
        <f t="array" ref="AV911">IF(OR($A911="",$AB911="", $AC911=""),"",MAXA(IF($A911=$A$4:$A923,$AC$4:$AC923)))</f>
        <v/>
      </c>
    </row>
    <row r="912" ht="22.5" customHeight="1">
      <c r="A912" s="76"/>
      <c r="B912" s="68" t="str">
        <f t="shared" si="1"/>
        <v/>
      </c>
      <c r="C912" s="110"/>
      <c r="D912" s="70" t="str">
        <f t="shared" si="2"/>
        <v/>
      </c>
      <c r="E912" s="76"/>
      <c r="F912" s="68" t="str">
        <f t="array" ref="F912">IF($A912="","",IFERROR(INDEX(MA_INDIVIDUALES!C$2:C923, MATCH($A912,MA_INDIVIDUALES!$B$2:$B923,0),1),"CÓDIGO DE EXPEDIENTE INVÁLIDO"))</f>
        <v/>
      </c>
      <c r="G912" s="68" t="str">
        <f t="array" ref="G912">IF($A912="","",IFERROR(INDEX(MA_INDIVIDUALES!K$2:K923, MATCH($A912,MA_INDIVIDUALES!$B$2:$B923,0),1),"CÓDIGO DE EXPEDIENTE INVÁLIDO"))</f>
        <v/>
      </c>
      <c r="H912" s="68" t="str">
        <f t="array" ref="H912">IF($A912="","",IFERROR(INDEX(MA_INDIVIDUALES!L$2:L923, MATCH($A912,MA_INDIVIDUALES!$B$2:$B923,0),1),"CÓDIGO DE EXPEDIENTE INVÁLIDO"))</f>
        <v/>
      </c>
      <c r="I912" s="76"/>
      <c r="J912" s="76"/>
      <c r="K912" s="75"/>
      <c r="L912" s="74" t="str">
        <f>IF(A912="","",IF(K912="","",_xlfn.WORKDAY.INTL(K912,5,1,FERIADOS)))</f>
        <v/>
      </c>
      <c r="M912" s="76"/>
      <c r="N912" s="75"/>
      <c r="O912" s="76"/>
      <c r="P912" s="77" t="str">
        <f t="shared" si="3"/>
        <v/>
      </c>
      <c r="Q912" s="75"/>
      <c r="R912" s="76"/>
      <c r="S912" s="75"/>
      <c r="T912" s="75"/>
      <c r="U912" s="76"/>
      <c r="V912" s="76"/>
      <c r="W912" s="75"/>
      <c r="X912" s="76"/>
      <c r="Y912" s="29" t="str">
        <f t="shared" si="4"/>
        <v/>
      </c>
      <c r="Z912" s="29" t="str">
        <f t="shared" si="5"/>
        <v/>
      </c>
      <c r="AA912" s="76"/>
      <c r="AB912" s="76"/>
      <c r="AC912" s="75"/>
      <c r="AD912" s="75"/>
      <c r="AE912" s="78" t="str">
        <f>IF(U912="","",IF(AD912="","",_xlfn.WORKDAY.INTL(AD912,7,1,FERIADOS)))</f>
        <v/>
      </c>
      <c r="AF912" s="104"/>
      <c r="AG912" s="80" t="str">
        <f t="array" ref="AG912">IF(A912="","",IF(AF912="","",AF912*INDEX(PARAMETROS!F$2:F1975,MATCH(YEAR(AC912),PARAMETROS!E$2:E1975,0),1)))</f>
        <v/>
      </c>
      <c r="AH912" s="81"/>
      <c r="AI912" s="82"/>
      <c r="AJ912" s="81"/>
      <c r="AK912" s="81"/>
      <c r="AL912" s="76"/>
      <c r="AM912" s="75"/>
      <c r="AN912" s="76"/>
      <c r="AO912" s="95"/>
      <c r="AP912" s="96"/>
      <c r="AQ912" s="85" t="str">
        <f t="shared" si="6"/>
        <v/>
      </c>
      <c r="AR912" s="86" t="str">
        <f t="array" ref="AR912">IF(A912="","",IFERROR(INDEX('2) Etapas'!L$3:L923,MATCH(B912,'2) Etapas'!$A$4:$A923,0),1),-1))</f>
        <v/>
      </c>
      <c r="AS912" s="87" t="str">
        <f t="shared" si="7"/>
        <v/>
      </c>
      <c r="AT912" s="87" t="str">
        <f t="shared" si="8"/>
        <v/>
      </c>
      <c r="AU912" s="87" t="str">
        <f t="shared" si="9"/>
        <v/>
      </c>
      <c r="AV912" s="89" t="str">
        <f t="array" ref="AV912">IF(OR($A912="",$AB912="", $AC912=""),"",MAXA(IF($A912=$A$4:$A923,$AC$4:$AC923)))</f>
        <v/>
      </c>
    </row>
    <row r="913" ht="22.5" customHeight="1">
      <c r="A913" s="76"/>
      <c r="B913" s="68" t="str">
        <f t="shared" si="1"/>
        <v/>
      </c>
      <c r="C913" s="110"/>
      <c r="D913" s="70" t="str">
        <f t="shared" si="2"/>
        <v/>
      </c>
      <c r="E913" s="76"/>
      <c r="F913" s="68" t="str">
        <f t="array" ref="F913">IF($A913="","",IFERROR(INDEX(MA_INDIVIDUALES!C$2:C923, MATCH($A913,MA_INDIVIDUALES!$B$2:$B923,0),1),"CÓDIGO DE EXPEDIENTE INVÁLIDO"))</f>
        <v/>
      </c>
      <c r="G913" s="68" t="str">
        <f t="array" ref="G913">IF($A913="","",IFERROR(INDEX(MA_INDIVIDUALES!K$2:K923, MATCH($A913,MA_INDIVIDUALES!$B$2:$B923,0),1),"CÓDIGO DE EXPEDIENTE INVÁLIDO"))</f>
        <v/>
      </c>
      <c r="H913" s="68" t="str">
        <f t="array" ref="H913">IF($A913="","",IFERROR(INDEX(MA_INDIVIDUALES!L$2:L923, MATCH($A913,MA_INDIVIDUALES!$B$2:$B923,0),1),"CÓDIGO DE EXPEDIENTE INVÁLIDO"))</f>
        <v/>
      </c>
      <c r="I913" s="76"/>
      <c r="J913" s="76"/>
      <c r="K913" s="75"/>
      <c r="L913" s="74" t="str">
        <f>IF(A913="","",IF(K913="","",_xlfn.WORKDAY.INTL(K913,5,1,FERIADOS)))</f>
        <v/>
      </c>
      <c r="M913" s="76"/>
      <c r="N913" s="75"/>
      <c r="O913" s="76"/>
      <c r="P913" s="77" t="str">
        <f t="shared" si="3"/>
        <v/>
      </c>
      <c r="Q913" s="75"/>
      <c r="R913" s="76"/>
      <c r="S913" s="75"/>
      <c r="T913" s="75"/>
      <c r="U913" s="76"/>
      <c r="V913" s="76"/>
      <c r="W913" s="75"/>
      <c r="X913" s="76"/>
      <c r="Y913" s="29" t="str">
        <f t="shared" si="4"/>
        <v/>
      </c>
      <c r="Z913" s="29" t="str">
        <f t="shared" si="5"/>
        <v/>
      </c>
      <c r="AA913" s="76"/>
      <c r="AB913" s="76"/>
      <c r="AC913" s="75"/>
      <c r="AD913" s="75"/>
      <c r="AE913" s="78" t="str">
        <f>IF(U913="","",IF(AD913="","",_xlfn.WORKDAY.INTL(AD913,7,1,FERIADOS)))</f>
        <v/>
      </c>
      <c r="AF913" s="104"/>
      <c r="AG913" s="80" t="str">
        <f t="array" ref="AG913">IF(A913="","",IF(AF913="","",AF913*INDEX(PARAMETROS!F$2:F1976,MATCH(YEAR(AC913),PARAMETROS!E$2:E1976,0),1)))</f>
        <v/>
      </c>
      <c r="AH913" s="81"/>
      <c r="AI913" s="82"/>
      <c r="AJ913" s="81"/>
      <c r="AK913" s="81"/>
      <c r="AL913" s="76"/>
      <c r="AM913" s="75"/>
      <c r="AN913" s="76"/>
      <c r="AO913" s="95"/>
      <c r="AP913" s="96"/>
      <c r="AQ913" s="85" t="str">
        <f t="shared" si="6"/>
        <v/>
      </c>
      <c r="AR913" s="86" t="str">
        <f t="array" ref="AR913">IF(A913="","",IFERROR(INDEX('2) Etapas'!L$3:L923,MATCH(B913,'2) Etapas'!$A$4:$A923,0),1),-1))</f>
        <v/>
      </c>
      <c r="AS913" s="87" t="str">
        <f t="shared" si="7"/>
        <v/>
      </c>
      <c r="AT913" s="87" t="str">
        <f t="shared" si="8"/>
        <v/>
      </c>
      <c r="AU913" s="87" t="str">
        <f t="shared" si="9"/>
        <v/>
      </c>
      <c r="AV913" s="89" t="str">
        <f t="array" ref="AV913">IF(OR($A913="",$AB913="", $AC913=""),"",MAXA(IF($A913=$A$4:$A923,$AC$4:$AC923)))</f>
        <v/>
      </c>
    </row>
    <row r="914" ht="22.5" customHeight="1">
      <c r="A914" s="76"/>
      <c r="B914" s="68" t="str">
        <f t="shared" si="1"/>
        <v/>
      </c>
      <c r="C914" s="110"/>
      <c r="D914" s="70" t="str">
        <f t="shared" si="2"/>
        <v/>
      </c>
      <c r="E914" s="76"/>
      <c r="F914" s="68" t="str">
        <f t="array" ref="F914">IF($A914="","",IFERROR(INDEX(MA_INDIVIDUALES!C$2:C923, MATCH($A914,MA_INDIVIDUALES!$B$2:$B923,0),1),"CÓDIGO DE EXPEDIENTE INVÁLIDO"))</f>
        <v/>
      </c>
      <c r="G914" s="68" t="str">
        <f t="array" ref="G914">IF($A914="","",IFERROR(INDEX(MA_INDIVIDUALES!K$2:K923, MATCH($A914,MA_INDIVIDUALES!$B$2:$B923,0),1),"CÓDIGO DE EXPEDIENTE INVÁLIDO"))</f>
        <v/>
      </c>
      <c r="H914" s="68" t="str">
        <f t="array" ref="H914">IF($A914="","",IFERROR(INDEX(MA_INDIVIDUALES!L$2:L923, MATCH($A914,MA_INDIVIDUALES!$B$2:$B923,0),1),"CÓDIGO DE EXPEDIENTE INVÁLIDO"))</f>
        <v/>
      </c>
      <c r="I914" s="76"/>
      <c r="J914" s="76"/>
      <c r="K914" s="75"/>
      <c r="L914" s="74" t="str">
        <f>IF(A914="","",IF(K914="","",_xlfn.WORKDAY.INTL(K914,5,1,FERIADOS)))</f>
        <v/>
      </c>
      <c r="M914" s="76"/>
      <c r="N914" s="75"/>
      <c r="O914" s="76"/>
      <c r="P914" s="77" t="str">
        <f t="shared" si="3"/>
        <v/>
      </c>
      <c r="Q914" s="75"/>
      <c r="R914" s="76"/>
      <c r="S914" s="75"/>
      <c r="T914" s="75"/>
      <c r="U914" s="76"/>
      <c r="V914" s="76"/>
      <c r="W914" s="75"/>
      <c r="X914" s="76"/>
      <c r="Y914" s="29" t="str">
        <f t="shared" si="4"/>
        <v/>
      </c>
      <c r="Z914" s="29" t="str">
        <f t="shared" si="5"/>
        <v/>
      </c>
      <c r="AA914" s="76"/>
      <c r="AB914" s="76"/>
      <c r="AC914" s="75"/>
      <c r="AD914" s="75"/>
      <c r="AE914" s="78" t="str">
        <f>IF(U914="","",IF(AD914="","",_xlfn.WORKDAY.INTL(AD914,7,1,FERIADOS)))</f>
        <v/>
      </c>
      <c r="AF914" s="104"/>
      <c r="AG914" s="80" t="str">
        <f t="array" ref="AG914">IF(A914="","",IF(AF914="","",AF914*INDEX(PARAMETROS!F$2:F1977,MATCH(YEAR(AC914),PARAMETROS!E$2:E1977,0),1)))</f>
        <v/>
      </c>
      <c r="AH914" s="81"/>
      <c r="AI914" s="82"/>
      <c r="AJ914" s="81"/>
      <c r="AK914" s="81"/>
      <c r="AL914" s="76"/>
      <c r="AM914" s="75"/>
      <c r="AN914" s="76"/>
      <c r="AO914" s="95"/>
      <c r="AP914" s="96"/>
      <c r="AQ914" s="85" t="str">
        <f t="shared" si="6"/>
        <v/>
      </c>
      <c r="AR914" s="86" t="str">
        <f t="array" ref="AR914">IF(A914="","",IFERROR(INDEX('2) Etapas'!L$3:L923,MATCH(B914,'2) Etapas'!$A$4:$A923,0),1),-1))</f>
        <v/>
      </c>
      <c r="AS914" s="87" t="str">
        <f t="shared" si="7"/>
        <v/>
      </c>
      <c r="AT914" s="87" t="str">
        <f t="shared" si="8"/>
        <v/>
      </c>
      <c r="AU914" s="87" t="str">
        <f t="shared" si="9"/>
        <v/>
      </c>
      <c r="AV914" s="89" t="str">
        <f t="array" ref="AV914">IF(OR($A914="",$AB914="", $AC914=""),"",MAXA(IF($A914=$A$4:$A923,$AC$4:$AC923)))</f>
        <v/>
      </c>
    </row>
    <row r="915" ht="22.5" customHeight="1">
      <c r="A915" s="76"/>
      <c r="B915" s="68" t="str">
        <f t="shared" si="1"/>
        <v/>
      </c>
      <c r="C915" s="110"/>
      <c r="D915" s="70" t="str">
        <f t="shared" si="2"/>
        <v/>
      </c>
      <c r="E915" s="76"/>
      <c r="F915" s="68" t="str">
        <f t="array" ref="F915">IF($A915="","",IFERROR(INDEX(MA_INDIVIDUALES!C$2:C923, MATCH($A915,MA_INDIVIDUALES!$B$2:$B923,0),1),"CÓDIGO DE EXPEDIENTE INVÁLIDO"))</f>
        <v/>
      </c>
      <c r="G915" s="68" t="str">
        <f t="array" ref="G915">IF($A915="","",IFERROR(INDEX(MA_INDIVIDUALES!K$2:K923, MATCH($A915,MA_INDIVIDUALES!$B$2:$B923,0),1),"CÓDIGO DE EXPEDIENTE INVÁLIDO"))</f>
        <v/>
      </c>
      <c r="H915" s="68" t="str">
        <f t="array" ref="H915">IF($A915="","",IFERROR(INDEX(MA_INDIVIDUALES!L$2:L923, MATCH($A915,MA_INDIVIDUALES!$B$2:$B923,0),1),"CÓDIGO DE EXPEDIENTE INVÁLIDO"))</f>
        <v/>
      </c>
      <c r="I915" s="76"/>
      <c r="J915" s="76"/>
      <c r="K915" s="75"/>
      <c r="L915" s="74" t="str">
        <f>IF(A915="","",IF(K915="","",_xlfn.WORKDAY.INTL(K915,5,1,FERIADOS)))</f>
        <v/>
      </c>
      <c r="M915" s="76"/>
      <c r="N915" s="75"/>
      <c r="O915" s="76"/>
      <c r="P915" s="77" t="str">
        <f t="shared" si="3"/>
        <v/>
      </c>
      <c r="Q915" s="75"/>
      <c r="R915" s="76"/>
      <c r="S915" s="75"/>
      <c r="T915" s="75"/>
      <c r="U915" s="76"/>
      <c r="V915" s="76"/>
      <c r="W915" s="75"/>
      <c r="X915" s="76"/>
      <c r="Y915" s="29" t="str">
        <f t="shared" si="4"/>
        <v/>
      </c>
      <c r="Z915" s="29" t="str">
        <f t="shared" si="5"/>
        <v/>
      </c>
      <c r="AA915" s="76"/>
      <c r="AB915" s="76"/>
      <c r="AC915" s="75"/>
      <c r="AD915" s="75"/>
      <c r="AE915" s="78" t="str">
        <f>IF(U915="","",IF(AD915="","",_xlfn.WORKDAY.INTL(AD915,7,1,FERIADOS)))</f>
        <v/>
      </c>
      <c r="AF915" s="104"/>
      <c r="AG915" s="80" t="str">
        <f t="array" ref="AG915">IF(A915="","",IF(AF915="","",AF915*INDEX(PARAMETROS!F$2:F1978,MATCH(YEAR(AC915),PARAMETROS!E$2:E1978,0),1)))</f>
        <v/>
      </c>
      <c r="AH915" s="81"/>
      <c r="AI915" s="82"/>
      <c r="AJ915" s="81"/>
      <c r="AK915" s="81"/>
      <c r="AL915" s="76"/>
      <c r="AM915" s="75"/>
      <c r="AN915" s="76"/>
      <c r="AO915" s="95"/>
      <c r="AP915" s="96"/>
      <c r="AQ915" s="85" t="str">
        <f t="shared" si="6"/>
        <v/>
      </c>
      <c r="AR915" s="86" t="str">
        <f t="array" ref="AR915">IF(A915="","",IFERROR(INDEX('2) Etapas'!L$3:L923,MATCH(B915,'2) Etapas'!$A$4:$A923,0),1),-1))</f>
        <v/>
      </c>
      <c r="AS915" s="87" t="str">
        <f t="shared" si="7"/>
        <v/>
      </c>
      <c r="AT915" s="87" t="str">
        <f t="shared" si="8"/>
        <v/>
      </c>
      <c r="AU915" s="87" t="str">
        <f t="shared" si="9"/>
        <v/>
      </c>
      <c r="AV915" s="89" t="str">
        <f t="array" ref="AV915">IF(OR($A915="",$AB915="", $AC915=""),"",MAXA(IF($A915=$A$4:$A923,$AC$4:$AC923)))</f>
        <v/>
      </c>
    </row>
    <row r="916" ht="22.5" customHeight="1">
      <c r="A916" s="76"/>
      <c r="B916" s="68" t="str">
        <f t="shared" si="1"/>
        <v/>
      </c>
      <c r="C916" s="110"/>
      <c r="D916" s="70" t="str">
        <f t="shared" si="2"/>
        <v/>
      </c>
      <c r="E916" s="76"/>
      <c r="F916" s="68" t="str">
        <f t="array" ref="F916">IF($A916="","",IFERROR(INDEX(MA_INDIVIDUALES!C$2:C923, MATCH($A916,MA_INDIVIDUALES!$B$2:$B923,0),1),"CÓDIGO DE EXPEDIENTE INVÁLIDO"))</f>
        <v/>
      </c>
      <c r="G916" s="68" t="str">
        <f t="array" ref="G916">IF($A916="","",IFERROR(INDEX(MA_INDIVIDUALES!K$2:K923, MATCH($A916,MA_INDIVIDUALES!$B$2:$B923,0),1),"CÓDIGO DE EXPEDIENTE INVÁLIDO"))</f>
        <v/>
      </c>
      <c r="H916" s="68" t="str">
        <f t="array" ref="H916">IF($A916="","",IFERROR(INDEX(MA_INDIVIDUALES!L$2:L923, MATCH($A916,MA_INDIVIDUALES!$B$2:$B923,0),1),"CÓDIGO DE EXPEDIENTE INVÁLIDO"))</f>
        <v/>
      </c>
      <c r="I916" s="76"/>
      <c r="J916" s="76"/>
      <c r="K916" s="75"/>
      <c r="L916" s="74" t="str">
        <f>IF(A916="","",IF(K916="","",_xlfn.WORKDAY.INTL(K916,5,1,FERIADOS)))</f>
        <v/>
      </c>
      <c r="M916" s="76"/>
      <c r="N916" s="75"/>
      <c r="O916" s="76"/>
      <c r="P916" s="77" t="str">
        <f t="shared" si="3"/>
        <v/>
      </c>
      <c r="Q916" s="75"/>
      <c r="R916" s="76"/>
      <c r="S916" s="75"/>
      <c r="T916" s="75"/>
      <c r="U916" s="76"/>
      <c r="V916" s="76"/>
      <c r="W916" s="75"/>
      <c r="X916" s="76"/>
      <c r="Y916" s="29" t="str">
        <f t="shared" si="4"/>
        <v/>
      </c>
      <c r="Z916" s="29" t="str">
        <f t="shared" si="5"/>
        <v/>
      </c>
      <c r="AA916" s="76"/>
      <c r="AB916" s="76"/>
      <c r="AC916" s="75"/>
      <c r="AD916" s="75"/>
      <c r="AE916" s="78" t="str">
        <f>IF(U916="","",IF(AD916="","",_xlfn.WORKDAY.INTL(AD916,7,1,FERIADOS)))</f>
        <v/>
      </c>
      <c r="AF916" s="104"/>
      <c r="AG916" s="80" t="str">
        <f t="array" ref="AG916">IF(A916="","",IF(AF916="","",AF916*INDEX(PARAMETROS!F$2:F1979,MATCH(YEAR(AC916),PARAMETROS!E$2:E1979,0),1)))</f>
        <v/>
      </c>
      <c r="AH916" s="81"/>
      <c r="AI916" s="82"/>
      <c r="AJ916" s="81"/>
      <c r="AK916" s="81"/>
      <c r="AL916" s="76"/>
      <c r="AM916" s="75"/>
      <c r="AN916" s="76"/>
      <c r="AO916" s="95"/>
      <c r="AP916" s="96"/>
      <c r="AQ916" s="85" t="str">
        <f t="shared" si="6"/>
        <v/>
      </c>
      <c r="AR916" s="86" t="str">
        <f t="array" ref="AR916">IF(A916="","",IFERROR(INDEX('2) Etapas'!L$3:L923,MATCH(B916,'2) Etapas'!$A$4:$A923,0),1),-1))</f>
        <v/>
      </c>
      <c r="AS916" s="87" t="str">
        <f t="shared" si="7"/>
        <v/>
      </c>
      <c r="AT916" s="87" t="str">
        <f t="shared" si="8"/>
        <v/>
      </c>
      <c r="AU916" s="87" t="str">
        <f t="shared" si="9"/>
        <v/>
      </c>
      <c r="AV916" s="89" t="str">
        <f t="array" ref="AV916">IF(OR($A916="",$AB916="", $AC916=""),"",MAXA(IF($A916=$A$4:$A923,$AC$4:$AC923)))</f>
        <v/>
      </c>
    </row>
    <row r="917" ht="22.5" customHeight="1">
      <c r="A917" s="76"/>
      <c r="B917" s="68" t="str">
        <f t="shared" si="1"/>
        <v/>
      </c>
      <c r="C917" s="110"/>
      <c r="D917" s="70" t="str">
        <f t="shared" si="2"/>
        <v/>
      </c>
      <c r="E917" s="76"/>
      <c r="F917" s="68" t="str">
        <f t="array" ref="F917">IF($A917="","",IFERROR(INDEX(MA_INDIVIDUALES!C$2:C923, MATCH($A917,MA_INDIVIDUALES!$B$2:$B923,0),1),"CÓDIGO DE EXPEDIENTE INVÁLIDO"))</f>
        <v/>
      </c>
      <c r="G917" s="68" t="str">
        <f t="array" ref="G917">IF($A917="","",IFERROR(INDEX(MA_INDIVIDUALES!K$2:K923, MATCH($A917,MA_INDIVIDUALES!$B$2:$B923,0),1),"CÓDIGO DE EXPEDIENTE INVÁLIDO"))</f>
        <v/>
      </c>
      <c r="H917" s="68" t="str">
        <f t="array" ref="H917">IF($A917="","",IFERROR(INDEX(MA_INDIVIDUALES!L$2:L923, MATCH($A917,MA_INDIVIDUALES!$B$2:$B923,0),1),"CÓDIGO DE EXPEDIENTE INVÁLIDO"))</f>
        <v/>
      </c>
      <c r="I917" s="76"/>
      <c r="J917" s="76"/>
      <c r="K917" s="75"/>
      <c r="L917" s="74" t="str">
        <f>IF(A917="","",IF(K917="","",_xlfn.WORKDAY.INTL(K917,5,1,FERIADOS)))</f>
        <v/>
      </c>
      <c r="M917" s="76"/>
      <c r="N917" s="75"/>
      <c r="O917" s="76"/>
      <c r="P917" s="77" t="str">
        <f t="shared" si="3"/>
        <v/>
      </c>
      <c r="Q917" s="75"/>
      <c r="R917" s="76"/>
      <c r="S917" s="75"/>
      <c r="T917" s="75"/>
      <c r="U917" s="76"/>
      <c r="V917" s="76"/>
      <c r="W917" s="75"/>
      <c r="X917" s="76"/>
      <c r="Y917" s="29" t="str">
        <f t="shared" si="4"/>
        <v/>
      </c>
      <c r="Z917" s="29" t="str">
        <f t="shared" si="5"/>
        <v/>
      </c>
      <c r="AA917" s="76"/>
      <c r="AB917" s="76"/>
      <c r="AC917" s="75"/>
      <c r="AD917" s="75"/>
      <c r="AE917" s="78" t="str">
        <f>IF(U917="","",IF(AD917="","",_xlfn.WORKDAY.INTL(AD917,7,1,FERIADOS)))</f>
        <v/>
      </c>
      <c r="AF917" s="104"/>
      <c r="AG917" s="80" t="str">
        <f t="array" ref="AG917">IF(A917="","",IF(AF917="","",AF917*INDEX(PARAMETROS!F$2:F1980,MATCH(YEAR(AC917),PARAMETROS!E$2:E1980,0),1)))</f>
        <v/>
      </c>
      <c r="AH917" s="81"/>
      <c r="AI917" s="82"/>
      <c r="AJ917" s="81"/>
      <c r="AK917" s="81"/>
      <c r="AL917" s="76"/>
      <c r="AM917" s="75"/>
      <c r="AN917" s="76"/>
      <c r="AO917" s="95"/>
      <c r="AP917" s="96"/>
      <c r="AQ917" s="85" t="str">
        <f t="shared" si="6"/>
        <v/>
      </c>
      <c r="AR917" s="86" t="str">
        <f t="array" ref="AR917">IF(A917="","",IFERROR(INDEX('2) Etapas'!L$3:L923,MATCH(B917,'2) Etapas'!$A$4:$A923,0),1),-1))</f>
        <v/>
      </c>
      <c r="AS917" s="87" t="str">
        <f t="shared" si="7"/>
        <v/>
      </c>
      <c r="AT917" s="87" t="str">
        <f t="shared" si="8"/>
        <v/>
      </c>
      <c r="AU917" s="87" t="str">
        <f t="shared" si="9"/>
        <v/>
      </c>
      <c r="AV917" s="89" t="str">
        <f t="array" ref="AV917">IF(OR($A917="",$AB917="", $AC917=""),"",MAXA(IF($A917=$A$4:$A923,$AC$4:$AC923)))</f>
        <v/>
      </c>
    </row>
    <row r="918" ht="22.5" customHeight="1">
      <c r="A918" s="76"/>
      <c r="B918" s="68" t="str">
        <f t="shared" si="1"/>
        <v/>
      </c>
      <c r="C918" s="110"/>
      <c r="D918" s="70" t="str">
        <f t="shared" si="2"/>
        <v/>
      </c>
      <c r="E918" s="76"/>
      <c r="F918" s="68" t="str">
        <f t="array" ref="F918">IF($A918="","",IFERROR(INDEX(MA_INDIVIDUALES!C$2:C923, MATCH($A918,MA_INDIVIDUALES!$B$2:$B923,0),1),"CÓDIGO DE EXPEDIENTE INVÁLIDO"))</f>
        <v/>
      </c>
      <c r="G918" s="68" t="str">
        <f t="array" ref="G918">IF($A918="","",IFERROR(INDEX(MA_INDIVIDUALES!K$2:K923, MATCH($A918,MA_INDIVIDUALES!$B$2:$B923,0),1),"CÓDIGO DE EXPEDIENTE INVÁLIDO"))</f>
        <v/>
      </c>
      <c r="H918" s="68" t="str">
        <f t="array" ref="H918">IF($A918="","",IFERROR(INDEX(MA_INDIVIDUALES!L$2:L923, MATCH($A918,MA_INDIVIDUALES!$B$2:$B923,0),1),"CÓDIGO DE EXPEDIENTE INVÁLIDO"))</f>
        <v/>
      </c>
      <c r="I918" s="76"/>
      <c r="J918" s="76"/>
      <c r="K918" s="75"/>
      <c r="L918" s="74" t="str">
        <f>IF(A918="","",IF(K918="","",_xlfn.WORKDAY.INTL(K918,5,1,FERIADOS)))</f>
        <v/>
      </c>
      <c r="M918" s="76"/>
      <c r="N918" s="75"/>
      <c r="O918" s="76"/>
      <c r="P918" s="77" t="str">
        <f t="shared" si="3"/>
        <v/>
      </c>
      <c r="Q918" s="75"/>
      <c r="R918" s="76"/>
      <c r="S918" s="75"/>
      <c r="T918" s="75"/>
      <c r="U918" s="76"/>
      <c r="V918" s="76"/>
      <c r="W918" s="75"/>
      <c r="X918" s="76"/>
      <c r="Y918" s="29" t="str">
        <f t="shared" si="4"/>
        <v/>
      </c>
      <c r="Z918" s="29" t="str">
        <f t="shared" si="5"/>
        <v/>
      </c>
      <c r="AA918" s="76"/>
      <c r="AB918" s="76"/>
      <c r="AC918" s="75"/>
      <c r="AD918" s="75"/>
      <c r="AE918" s="78" t="str">
        <f>IF(U918="","",IF(AD918="","",_xlfn.WORKDAY.INTL(AD918,7,1,FERIADOS)))</f>
        <v/>
      </c>
      <c r="AF918" s="104"/>
      <c r="AG918" s="80" t="str">
        <f t="array" ref="AG918">IF(A918="","",IF(AF918="","",AF918*INDEX(PARAMETROS!F$2:F1981,MATCH(YEAR(AC918),PARAMETROS!E$2:E1981,0),1)))</f>
        <v/>
      </c>
      <c r="AH918" s="81"/>
      <c r="AI918" s="82"/>
      <c r="AJ918" s="81"/>
      <c r="AK918" s="81"/>
      <c r="AL918" s="76"/>
      <c r="AM918" s="75"/>
      <c r="AN918" s="76"/>
      <c r="AO918" s="95"/>
      <c r="AP918" s="96"/>
      <c r="AQ918" s="85" t="str">
        <f t="shared" si="6"/>
        <v/>
      </c>
      <c r="AR918" s="86" t="str">
        <f t="array" ref="AR918">IF(A918="","",IFERROR(INDEX('2) Etapas'!L$3:L923,MATCH(B918,'2) Etapas'!$A$4:$A923,0),1),-1))</f>
        <v/>
      </c>
      <c r="AS918" s="87" t="str">
        <f t="shared" si="7"/>
        <v/>
      </c>
      <c r="AT918" s="87" t="str">
        <f t="shared" si="8"/>
        <v/>
      </c>
      <c r="AU918" s="87" t="str">
        <f t="shared" si="9"/>
        <v/>
      </c>
      <c r="AV918" s="89" t="str">
        <f t="array" ref="AV918">IF(OR($A918="",$AB918="", $AC918=""),"",MAXA(IF($A918=$A$4:$A923,$AC$4:$AC923)))</f>
        <v/>
      </c>
    </row>
    <row r="919" ht="22.5" customHeight="1">
      <c r="A919" s="76"/>
      <c r="B919" s="68" t="str">
        <f t="shared" si="1"/>
        <v/>
      </c>
      <c r="C919" s="110"/>
      <c r="D919" s="70" t="str">
        <f t="shared" si="2"/>
        <v/>
      </c>
      <c r="E919" s="76"/>
      <c r="F919" s="68" t="str">
        <f t="array" ref="F919">IF($A919="","",IFERROR(INDEX(MA_INDIVIDUALES!C$2:C923, MATCH($A919,MA_INDIVIDUALES!$B$2:$B923,0),1),"CÓDIGO DE EXPEDIENTE INVÁLIDO"))</f>
        <v/>
      </c>
      <c r="G919" s="68" t="str">
        <f t="array" ref="G919">IF($A919="","",IFERROR(INDEX(MA_INDIVIDUALES!K$2:K923, MATCH($A919,MA_INDIVIDUALES!$B$2:$B923,0),1),"CÓDIGO DE EXPEDIENTE INVÁLIDO"))</f>
        <v/>
      </c>
      <c r="H919" s="68" t="str">
        <f t="array" ref="H919">IF($A919="","",IFERROR(INDEX(MA_INDIVIDUALES!L$2:L923, MATCH($A919,MA_INDIVIDUALES!$B$2:$B923,0),1),"CÓDIGO DE EXPEDIENTE INVÁLIDO"))</f>
        <v/>
      </c>
      <c r="I919" s="76"/>
      <c r="J919" s="76"/>
      <c r="K919" s="75"/>
      <c r="L919" s="74" t="str">
        <f>IF(A919="","",IF(K919="","",_xlfn.WORKDAY.INTL(K919,5,1,FERIADOS)))</f>
        <v/>
      </c>
      <c r="M919" s="76"/>
      <c r="N919" s="75"/>
      <c r="O919" s="76"/>
      <c r="P919" s="77" t="str">
        <f t="shared" si="3"/>
        <v/>
      </c>
      <c r="Q919" s="75"/>
      <c r="R919" s="76"/>
      <c r="S919" s="75"/>
      <c r="T919" s="75"/>
      <c r="U919" s="76"/>
      <c r="V919" s="76"/>
      <c r="W919" s="75"/>
      <c r="X919" s="76"/>
      <c r="Y919" s="29" t="str">
        <f t="shared" si="4"/>
        <v/>
      </c>
      <c r="Z919" s="29" t="str">
        <f t="shared" si="5"/>
        <v/>
      </c>
      <c r="AA919" s="76"/>
      <c r="AB919" s="76"/>
      <c r="AC919" s="75"/>
      <c r="AD919" s="75"/>
      <c r="AE919" s="78" t="str">
        <f>IF(U919="","",IF(AD919="","",_xlfn.WORKDAY.INTL(AD919,7,1,FERIADOS)))</f>
        <v/>
      </c>
      <c r="AF919" s="104"/>
      <c r="AG919" s="80" t="str">
        <f t="array" ref="AG919">IF(A919="","",IF(AF919="","",AF919*INDEX(PARAMETROS!F$2:F1982,MATCH(YEAR(AC919),PARAMETROS!E$2:E1982,0),1)))</f>
        <v/>
      </c>
      <c r="AH919" s="81"/>
      <c r="AI919" s="82"/>
      <c r="AJ919" s="81"/>
      <c r="AK919" s="81"/>
      <c r="AL919" s="76"/>
      <c r="AM919" s="75"/>
      <c r="AN919" s="76"/>
      <c r="AO919" s="95"/>
      <c r="AP919" s="96"/>
      <c r="AQ919" s="85" t="str">
        <f t="shared" si="6"/>
        <v/>
      </c>
      <c r="AR919" s="86" t="str">
        <f t="array" ref="AR919">IF(A919="","",IFERROR(INDEX('2) Etapas'!L$3:L923,MATCH(B919,'2) Etapas'!$A$4:$A923,0),1),-1))</f>
        <v/>
      </c>
      <c r="AS919" s="87" t="str">
        <f t="shared" si="7"/>
        <v/>
      </c>
      <c r="AT919" s="87" t="str">
        <f t="shared" si="8"/>
        <v/>
      </c>
      <c r="AU919" s="87" t="str">
        <f t="shared" si="9"/>
        <v/>
      </c>
      <c r="AV919" s="89" t="str">
        <f t="array" ref="AV919">IF(OR($A919="",$AB919="", $AC919=""),"",MAXA(IF($A919=$A$4:$A923,$AC$4:$AC923)))</f>
        <v/>
      </c>
    </row>
    <row r="920" ht="22.5" customHeight="1">
      <c r="A920" s="76"/>
      <c r="B920" s="68" t="str">
        <f t="shared" si="1"/>
        <v/>
      </c>
      <c r="C920" s="110"/>
      <c r="D920" s="70" t="str">
        <f t="shared" si="2"/>
        <v/>
      </c>
      <c r="E920" s="76"/>
      <c r="F920" s="68" t="str">
        <f t="array" ref="F920">IF($A920="","",IFERROR(INDEX(MA_INDIVIDUALES!C$2:C923, MATCH($A920,MA_INDIVIDUALES!$B$2:$B923,0),1),"CÓDIGO DE EXPEDIENTE INVÁLIDO"))</f>
        <v/>
      </c>
      <c r="G920" s="68" t="str">
        <f t="array" ref="G920">IF($A920="","",IFERROR(INDEX(MA_INDIVIDUALES!K$2:K923, MATCH($A920,MA_INDIVIDUALES!$B$2:$B923,0),1),"CÓDIGO DE EXPEDIENTE INVÁLIDO"))</f>
        <v/>
      </c>
      <c r="H920" s="68" t="str">
        <f t="array" ref="H920">IF($A920="","",IFERROR(INDEX(MA_INDIVIDUALES!L$2:L923, MATCH($A920,MA_INDIVIDUALES!$B$2:$B923,0),1),"CÓDIGO DE EXPEDIENTE INVÁLIDO"))</f>
        <v/>
      </c>
      <c r="I920" s="76"/>
      <c r="J920" s="76"/>
      <c r="K920" s="75"/>
      <c r="L920" s="74" t="str">
        <f>IF(A920="","",IF(K920="","",_xlfn.WORKDAY.INTL(K920,5,1,FERIADOS)))</f>
        <v/>
      </c>
      <c r="M920" s="76"/>
      <c r="N920" s="75"/>
      <c r="O920" s="76"/>
      <c r="P920" s="77" t="str">
        <f t="shared" si="3"/>
        <v/>
      </c>
      <c r="Q920" s="75"/>
      <c r="R920" s="76"/>
      <c r="S920" s="75"/>
      <c r="T920" s="75"/>
      <c r="U920" s="76"/>
      <c r="V920" s="76"/>
      <c r="W920" s="75"/>
      <c r="X920" s="76"/>
      <c r="Y920" s="29" t="str">
        <f t="shared" si="4"/>
        <v/>
      </c>
      <c r="Z920" s="29" t="str">
        <f t="shared" si="5"/>
        <v/>
      </c>
      <c r="AA920" s="76"/>
      <c r="AB920" s="76"/>
      <c r="AC920" s="75"/>
      <c r="AD920" s="75"/>
      <c r="AE920" s="78" t="str">
        <f>IF(U920="","",IF(AD920="","",_xlfn.WORKDAY.INTL(AD920,7,1,FERIADOS)))</f>
        <v/>
      </c>
      <c r="AF920" s="104"/>
      <c r="AG920" s="80" t="str">
        <f t="array" ref="AG920">IF(A920="","",IF(AF920="","",AF920*INDEX(PARAMETROS!F$2:F1983,MATCH(YEAR(AC920),PARAMETROS!E$2:E1983,0),1)))</f>
        <v/>
      </c>
      <c r="AH920" s="81"/>
      <c r="AI920" s="82"/>
      <c r="AJ920" s="81"/>
      <c r="AK920" s="81"/>
      <c r="AL920" s="76"/>
      <c r="AM920" s="75"/>
      <c r="AN920" s="76"/>
      <c r="AO920" s="95"/>
      <c r="AP920" s="96"/>
      <c r="AQ920" s="85" t="str">
        <f t="shared" si="6"/>
        <v/>
      </c>
      <c r="AR920" s="86" t="str">
        <f t="array" ref="AR920">IF(A920="","",IFERROR(INDEX('2) Etapas'!L$3:L923,MATCH(B920,'2) Etapas'!$A$4:$A923,0),1),-1))</f>
        <v/>
      </c>
      <c r="AS920" s="87" t="str">
        <f t="shared" si="7"/>
        <v/>
      </c>
      <c r="AT920" s="87" t="str">
        <f t="shared" si="8"/>
        <v/>
      </c>
      <c r="AU920" s="87" t="str">
        <f t="shared" si="9"/>
        <v/>
      </c>
      <c r="AV920" s="89" t="str">
        <f t="array" ref="AV920">IF(OR($A920="",$AB920="", $AC920=""),"",MAXA(IF($A920=$A$4:$A923,$AC$4:$AC923)))</f>
        <v/>
      </c>
    </row>
    <row r="921" ht="22.5" customHeight="1">
      <c r="A921" s="76"/>
      <c r="B921" s="68" t="str">
        <f t="shared" si="1"/>
        <v/>
      </c>
      <c r="C921" s="110"/>
      <c r="D921" s="70" t="str">
        <f t="shared" si="2"/>
        <v/>
      </c>
      <c r="E921" s="76"/>
      <c r="F921" s="68" t="str">
        <f t="array" ref="F921">IF($A921="","",IFERROR(INDEX(MA_INDIVIDUALES!C$2:C923, MATCH($A921,MA_INDIVIDUALES!$B$2:$B923,0),1),"CÓDIGO DE EXPEDIENTE INVÁLIDO"))</f>
        <v/>
      </c>
      <c r="G921" s="68" t="str">
        <f t="array" ref="G921">IF($A921="","",IFERROR(INDEX(MA_INDIVIDUALES!K$2:K923, MATCH($A921,MA_INDIVIDUALES!$B$2:$B923,0),1),"CÓDIGO DE EXPEDIENTE INVÁLIDO"))</f>
        <v/>
      </c>
      <c r="H921" s="68" t="str">
        <f t="array" ref="H921">IF($A921="","",IFERROR(INDEX(MA_INDIVIDUALES!L$2:L923, MATCH($A921,MA_INDIVIDUALES!$B$2:$B923,0),1),"CÓDIGO DE EXPEDIENTE INVÁLIDO"))</f>
        <v/>
      </c>
      <c r="I921" s="76"/>
      <c r="J921" s="76"/>
      <c r="K921" s="75"/>
      <c r="L921" s="74" t="str">
        <f>IF(A921="","",IF(K921="","",_xlfn.WORKDAY.INTL(K921,5,1,FERIADOS)))</f>
        <v/>
      </c>
      <c r="M921" s="76"/>
      <c r="N921" s="75"/>
      <c r="O921" s="76"/>
      <c r="P921" s="77" t="str">
        <f t="shared" si="3"/>
        <v/>
      </c>
      <c r="Q921" s="75"/>
      <c r="R921" s="76"/>
      <c r="S921" s="75"/>
      <c r="T921" s="75"/>
      <c r="U921" s="76"/>
      <c r="V921" s="76"/>
      <c r="W921" s="75"/>
      <c r="X921" s="76"/>
      <c r="Y921" s="29" t="str">
        <f t="shared" si="4"/>
        <v/>
      </c>
      <c r="Z921" s="29" t="str">
        <f t="shared" si="5"/>
        <v/>
      </c>
      <c r="AA921" s="76"/>
      <c r="AB921" s="76"/>
      <c r="AC921" s="75"/>
      <c r="AD921" s="75"/>
      <c r="AE921" s="78" t="str">
        <f>IF(U921="","",IF(AD921="","",_xlfn.WORKDAY.INTL(AD921,7,1,FERIADOS)))</f>
        <v/>
      </c>
      <c r="AF921" s="104"/>
      <c r="AG921" s="80" t="str">
        <f t="array" ref="AG921">IF(A921="","",IF(AF921="","",AF921*INDEX(PARAMETROS!F$2:F1984,MATCH(YEAR(AC921),PARAMETROS!E$2:E1984,0),1)))</f>
        <v/>
      </c>
      <c r="AH921" s="81"/>
      <c r="AI921" s="82"/>
      <c r="AJ921" s="81"/>
      <c r="AK921" s="81"/>
      <c r="AL921" s="76"/>
      <c r="AM921" s="75"/>
      <c r="AN921" s="76"/>
      <c r="AO921" s="95"/>
      <c r="AP921" s="96"/>
      <c r="AQ921" s="85" t="str">
        <f t="shared" si="6"/>
        <v/>
      </c>
      <c r="AR921" s="86" t="str">
        <f t="array" ref="AR921">IF(A921="","",IFERROR(INDEX('2) Etapas'!L$3:L923,MATCH(B921,'2) Etapas'!$A$4:$A923,0),1),-1))</f>
        <v/>
      </c>
      <c r="AS921" s="87" t="str">
        <f t="shared" si="7"/>
        <v/>
      </c>
      <c r="AT921" s="87" t="str">
        <f t="shared" si="8"/>
        <v/>
      </c>
      <c r="AU921" s="87" t="str">
        <f t="shared" si="9"/>
        <v/>
      </c>
      <c r="AV921" s="89" t="str">
        <f t="array" ref="AV921">IF(OR($A921="",$AB921="", $AC921=""),"",MAXA(IF($A921=$A$4:$A923,$AC$4:$AC923)))</f>
        <v/>
      </c>
    </row>
    <row r="922" ht="22.5" customHeight="1">
      <c r="A922" s="76"/>
      <c r="B922" s="68" t="str">
        <f t="shared" si="1"/>
        <v/>
      </c>
      <c r="C922" s="110"/>
      <c r="D922" s="70" t="str">
        <f t="shared" si="2"/>
        <v/>
      </c>
      <c r="E922" s="76"/>
      <c r="F922" s="68" t="str">
        <f t="array" ref="F922">IF($A922="","",IFERROR(INDEX(MA_INDIVIDUALES!C$2:C923, MATCH($A922,MA_INDIVIDUALES!$B$2:$B923,0),1),"CÓDIGO DE EXPEDIENTE INVÁLIDO"))</f>
        <v/>
      </c>
      <c r="G922" s="68" t="str">
        <f t="array" ref="G922">IF($A922="","",IFERROR(INDEX(MA_INDIVIDUALES!K$2:K923, MATCH($A922,MA_INDIVIDUALES!$B$2:$B923,0),1),"CÓDIGO DE EXPEDIENTE INVÁLIDO"))</f>
        <v/>
      </c>
      <c r="H922" s="68" t="str">
        <f t="array" ref="H922">IF($A922="","",IFERROR(INDEX(MA_INDIVIDUALES!L$2:L923, MATCH($A922,MA_INDIVIDUALES!$B$2:$B923,0),1),"CÓDIGO DE EXPEDIENTE INVÁLIDO"))</f>
        <v/>
      </c>
      <c r="I922" s="76"/>
      <c r="J922" s="76"/>
      <c r="K922" s="75"/>
      <c r="L922" s="74" t="str">
        <f>IF(A922="","",IF(K922="","",_xlfn.WORKDAY.INTL(K922,5,1,FERIADOS)))</f>
        <v/>
      </c>
      <c r="M922" s="76"/>
      <c r="N922" s="75"/>
      <c r="O922" s="76"/>
      <c r="P922" s="77" t="str">
        <f t="shared" si="3"/>
        <v/>
      </c>
      <c r="Q922" s="75"/>
      <c r="R922" s="76"/>
      <c r="S922" s="75"/>
      <c r="T922" s="75"/>
      <c r="U922" s="76"/>
      <c r="V922" s="76"/>
      <c r="W922" s="75"/>
      <c r="X922" s="76"/>
      <c r="Y922" s="29" t="str">
        <f t="shared" si="4"/>
        <v/>
      </c>
      <c r="Z922" s="29" t="str">
        <f t="shared" si="5"/>
        <v/>
      </c>
      <c r="AA922" s="76"/>
      <c r="AB922" s="76"/>
      <c r="AC922" s="75"/>
      <c r="AD922" s="75"/>
      <c r="AE922" s="78" t="str">
        <f>IF(U922="","",IF(AD922="","",_xlfn.WORKDAY.INTL(AD922,7,1,FERIADOS)))</f>
        <v/>
      </c>
      <c r="AF922" s="104"/>
      <c r="AG922" s="80" t="str">
        <f t="array" ref="AG922">IF(A922="","",IF(AF922="","",AF922*INDEX(PARAMETROS!F$2:F1985,MATCH(YEAR(AC922),PARAMETROS!E$2:E1985,0),1)))</f>
        <v/>
      </c>
      <c r="AH922" s="81"/>
      <c r="AI922" s="82"/>
      <c r="AJ922" s="81"/>
      <c r="AK922" s="81"/>
      <c r="AL922" s="76"/>
      <c r="AM922" s="75"/>
      <c r="AN922" s="76"/>
      <c r="AO922" s="95"/>
      <c r="AP922" s="96"/>
      <c r="AQ922" s="85" t="str">
        <f t="shared" si="6"/>
        <v/>
      </c>
      <c r="AR922" s="86" t="str">
        <f t="array" ref="AR922">IF(A922="","",IFERROR(INDEX('2) Etapas'!L$3:L923,MATCH(B922,'2) Etapas'!$A$4:$A923,0),1),-1))</f>
        <v/>
      </c>
      <c r="AS922" s="87" t="str">
        <f t="shared" si="7"/>
        <v/>
      </c>
      <c r="AT922" s="87" t="str">
        <f t="shared" si="8"/>
        <v/>
      </c>
      <c r="AU922" s="87" t="str">
        <f t="shared" si="9"/>
        <v/>
      </c>
      <c r="AV922" s="89" t="str">
        <f t="array" ref="AV922">IF(OR($A922="",$AB922="", $AC922=""),"",MAXA(IF($A922=$A$4:$A923,$AC$4:$AC923)))</f>
        <v/>
      </c>
    </row>
    <row r="923" ht="22.5" customHeight="1">
      <c r="A923" s="76"/>
      <c r="B923" s="68" t="str">
        <f t="shared" si="1"/>
        <v/>
      </c>
      <c r="C923" s="110"/>
      <c r="D923" s="70" t="str">
        <f t="shared" si="2"/>
        <v/>
      </c>
      <c r="E923" s="76"/>
      <c r="F923" s="68" t="str">
        <f t="array" ref="F923">IF($A923="","",IFERROR(INDEX(MA_INDIVIDUALES!C$2:C923, MATCH($A923,MA_INDIVIDUALES!$B$2:$B923,0),1),"CÓDIGO DE EXPEDIENTE INVÁLIDO"))</f>
        <v/>
      </c>
      <c r="G923" s="68" t="str">
        <f t="array" ref="G923">IF($A923="","",IFERROR(INDEX(MA_INDIVIDUALES!K$2:K923, MATCH($A923,MA_INDIVIDUALES!$B$2:$B923,0),1),"CÓDIGO DE EXPEDIENTE INVÁLIDO"))</f>
        <v/>
      </c>
      <c r="H923" s="68" t="str">
        <f t="array" ref="H923">IF($A923="","",IFERROR(INDEX(MA_INDIVIDUALES!L$2:L923, MATCH($A923,MA_INDIVIDUALES!$B$2:$B923,0),1),"CÓDIGO DE EXPEDIENTE INVÁLIDO"))</f>
        <v/>
      </c>
      <c r="I923" s="76"/>
      <c r="J923" s="76"/>
      <c r="K923" s="75"/>
      <c r="L923" s="74" t="str">
        <f>IF(A923="","",IF(K923="","",_xlfn.WORKDAY.INTL(K923,5,1,FERIADOS)))</f>
        <v/>
      </c>
      <c r="M923" s="76"/>
      <c r="N923" s="75"/>
      <c r="O923" s="76"/>
      <c r="P923" s="77" t="str">
        <f t="shared" si="3"/>
        <v/>
      </c>
      <c r="Q923" s="75"/>
      <c r="R923" s="76"/>
      <c r="S923" s="75"/>
      <c r="T923" s="75"/>
      <c r="U923" s="76"/>
      <c r="V923" s="76"/>
      <c r="W923" s="75"/>
      <c r="X923" s="76"/>
      <c r="Y923" s="29" t="str">
        <f t="shared" si="4"/>
        <v/>
      </c>
      <c r="Z923" s="29" t="str">
        <f t="shared" si="5"/>
        <v/>
      </c>
      <c r="AA923" s="76"/>
      <c r="AB923" s="76"/>
      <c r="AC923" s="75"/>
      <c r="AD923" s="75"/>
      <c r="AE923" s="78" t="str">
        <f>IF(U923="","",IF(AD923="","",_xlfn.WORKDAY.INTL(AD923,7,1,FERIADOS)))</f>
        <v/>
      </c>
      <c r="AF923" s="104"/>
      <c r="AG923" s="80" t="str">
        <f t="array" ref="AG923">IF(A923="","",IF(AF923="","",AF923*INDEX(PARAMETROS!F$2:F1986,MATCH(YEAR(AC923),PARAMETROS!E$2:E1986,0),1)))</f>
        <v/>
      </c>
      <c r="AH923" s="81"/>
      <c r="AI923" s="82"/>
      <c r="AJ923" s="81"/>
      <c r="AK923" s="81"/>
      <c r="AL923" s="76"/>
      <c r="AM923" s="75"/>
      <c r="AN923" s="76"/>
      <c r="AO923" s="95"/>
      <c r="AP923" s="96"/>
      <c r="AQ923" s="85" t="str">
        <f t="shared" si="6"/>
        <v/>
      </c>
      <c r="AR923" s="86" t="str">
        <f t="array" ref="AR923">IF(A923="","",IFERROR(INDEX('2) Etapas'!L$3:L923,MATCH(B923,'2) Etapas'!$A$4:$A923,0),1),-1))</f>
        <v/>
      </c>
      <c r="AS923" s="87" t="str">
        <f t="shared" si="7"/>
        <v/>
      </c>
      <c r="AT923" s="87" t="str">
        <f t="shared" si="8"/>
        <v/>
      </c>
      <c r="AU923" s="87" t="str">
        <f t="shared" si="9"/>
        <v/>
      </c>
      <c r="AV923" s="89" t="str">
        <f t="array" ref="AV923">IF(OR($A923="",$AB923="", $AC923=""),"",MAXA(IF($A923=$A$4:$A923,$AC$4:$AC923)))</f>
        <v/>
      </c>
    </row>
  </sheetData>
  <autoFilter ref="$A$2:$AV$172"/>
  <mergeCells count="9">
    <mergeCell ref="AL1:AQ1"/>
    <mergeCell ref="AR1:AV1"/>
    <mergeCell ref="A1:B1"/>
    <mergeCell ref="C1:D1"/>
    <mergeCell ref="E1:H1"/>
    <mergeCell ref="I1:P1"/>
    <mergeCell ref="Q1:X1"/>
    <mergeCell ref="AA1:AG1"/>
    <mergeCell ref="AH1:AK1"/>
  </mergeCells>
  <conditionalFormatting sqref="N4:O923">
    <cfRule type="expression" dxfId="3" priority="1">
      <formula>($M4="NO")</formula>
    </cfRule>
  </conditionalFormatting>
  <conditionalFormatting sqref="P4:P923">
    <cfRule type="containsText" dxfId="4" priority="2" operator="containsText" text="VENCIDO">
      <formula>NOT(ISERROR(SEARCH(("VENCIDO"),(P4))))</formula>
    </cfRule>
  </conditionalFormatting>
  <conditionalFormatting sqref="S4:S923">
    <cfRule type="expression" dxfId="5" priority="3">
      <formula>($R4="NO")</formula>
    </cfRule>
  </conditionalFormatting>
  <conditionalFormatting sqref="V4:X923">
    <cfRule type="expression" dxfId="5" priority="4">
      <formula>($U4="SI")</formula>
    </cfRule>
  </conditionalFormatting>
  <conditionalFormatting sqref="N4:O923">
    <cfRule type="expression" dxfId="6" priority="5">
      <formula>IF(AND($M4="SI",N4=""),1,0)</formula>
    </cfRule>
  </conditionalFormatting>
  <conditionalFormatting sqref="S4:S923">
    <cfRule type="expression" dxfId="6" priority="6">
      <formula>IF(AND($R4="SI",S4=""),1,0)</formula>
    </cfRule>
  </conditionalFormatting>
  <conditionalFormatting sqref="V4:X923">
    <cfRule type="expression" dxfId="6" priority="7">
      <formula>IF(AND($U4="NO",V4=""),1,0)</formula>
    </cfRule>
  </conditionalFormatting>
  <conditionalFormatting sqref="AQ4:AQ923">
    <cfRule type="containsText" dxfId="7" priority="8" operator="containsText" text="NO PAGÓ">
      <formula>NOT(ISERROR(SEARCH(("NO PAGÓ"),(AQ4))))</formula>
    </cfRule>
  </conditionalFormatting>
  <conditionalFormatting sqref="AQ4:AQ923">
    <cfRule type="containsText" dxfId="7" priority="9" operator="containsText" text="VENCIDO">
      <formula>NOT(ISERROR(SEARCH(("VENCIDO"),(AQ4))))</formula>
    </cfRule>
  </conditionalFormatting>
  <conditionalFormatting sqref="AQ4:AQ923">
    <cfRule type="containsText" dxfId="7" priority="10" operator="containsText" text="INDICAR">
      <formula>NOT(ISERROR(SEARCH(("INDICAR"),(AQ4))))</formula>
    </cfRule>
  </conditionalFormatting>
  <conditionalFormatting sqref="AQ4:AQ923">
    <cfRule type="containsText" dxfId="0" priority="11" operator="containsText" text="EN PLAZO">
      <formula>NOT(ISERROR(SEARCH(("EN PLAZO"),(AQ4))))</formula>
    </cfRule>
  </conditionalFormatting>
  <conditionalFormatting sqref="AQ4:AQ923">
    <cfRule type="notContainsBlanks" dxfId="8" priority="12">
      <formula>LEN(TRIM(AQ4))&gt;0</formula>
    </cfRule>
  </conditionalFormatting>
  <conditionalFormatting sqref="P4:P923">
    <cfRule type="containsText" dxfId="0" priority="13" operator="containsText" text="EN PLAZO">
      <formula>NOT(ISERROR(SEARCH(("EN PLAZO"),(P4))))</formula>
    </cfRule>
  </conditionalFormatting>
  <conditionalFormatting sqref="P4:P923">
    <cfRule type="notContainsBlanks" dxfId="8" priority="14">
      <formula>LEN(TRIM(P4))&gt;0</formula>
    </cfRule>
  </conditionalFormatting>
  <conditionalFormatting sqref="B1:B923">
    <cfRule type="containsText" dxfId="7" priority="15" operator="containsText" text="INDICAR">
      <formula>NOT(ISERROR(SEARCH(("INDICAR"),(B1))))</formula>
    </cfRule>
  </conditionalFormatting>
  <conditionalFormatting sqref="Q4:T923">
    <cfRule type="expression" dxfId="9" priority="16">
      <formula>($M4="NO")</formula>
    </cfRule>
  </conditionalFormatting>
  <conditionalFormatting sqref="AN4:AO923">
    <cfRule type="expression" dxfId="9" priority="17">
      <formula>($AL4="CUMPLIDO")</formula>
    </cfRule>
  </conditionalFormatting>
  <conditionalFormatting sqref="Y4:Y923">
    <cfRule type="containsText" dxfId="0" priority="18" operator="containsText" text="ELABORAR MC">
      <formula>NOT(ISERROR(SEARCH(("ELABORAR MC"),(Y4))))</formula>
    </cfRule>
  </conditionalFormatting>
  <conditionalFormatting sqref="Y4:Y923">
    <cfRule type="containsText" dxfId="10" priority="19" operator="containsText" text="NO AMERITA">
      <formula>NOT(ISERROR(SEARCH(("NO AMERITA"),(Y4))))</formula>
    </cfRule>
  </conditionalFormatting>
  <conditionalFormatting sqref="Y4:Y923">
    <cfRule type="containsText" dxfId="11" priority="20" operator="containsText" text="EN PROCESO">
      <formula>NOT(ISERROR(SEARCH(("EN PROCESO"),(Y4))))</formula>
    </cfRule>
  </conditionalFormatting>
  <conditionalFormatting sqref="Z4:Z923">
    <cfRule type="containsText" dxfId="0" priority="21" operator="containsText" text="TERMINADO">
      <formula>NOT(ISERROR(SEARCH(("TERMINADO"),(Z4))))</formula>
    </cfRule>
  </conditionalFormatting>
  <conditionalFormatting sqref="Z4:Z923">
    <cfRule type="containsText" dxfId="7" priority="22" operator="containsText" text="SIN REGISTRO">
      <formula>NOT(ISERROR(SEARCH(("SIN REGISTRO"),(Z4))))</formula>
    </cfRule>
  </conditionalFormatting>
  <conditionalFormatting sqref="Z4:Z923">
    <cfRule type="containsText" dxfId="7" priority="23" operator="containsText" text="EN ESPERO DE REGISTRO">
      <formula>NOT(ISERROR(SEARCH(("EN ESPERO DE REGISTRO"),(Z4))))</formula>
    </cfRule>
  </conditionalFormatting>
  <conditionalFormatting sqref="Z4:Z923">
    <cfRule type="containsText" dxfId="1" priority="24" operator="containsText" text="EN PROCESO">
      <formula>NOT(ISERROR(SEARCH(("EN PROCESO"),(Z4))))</formula>
    </cfRule>
  </conditionalFormatting>
  <conditionalFormatting sqref="Z4:Z923">
    <cfRule type="containsBlanks" dxfId="12" priority="25">
      <formula>LEN(TRIM(Z4))=0</formula>
    </cfRule>
  </conditionalFormatting>
  <conditionalFormatting sqref="C4:C923">
    <cfRule type="expression" dxfId="6" priority="26">
      <formula>IF(AND($A4&lt;&gt;"",$C4=""),1,0)</formula>
    </cfRule>
  </conditionalFormatting>
  <conditionalFormatting sqref="AM4:AM923">
    <cfRule type="expression" dxfId="9" priority="27">
      <formula>($AL4="INCUMPLIDO")</formula>
    </cfRule>
  </conditionalFormatting>
  <conditionalFormatting sqref="AM4:AM923">
    <cfRule type="expression" dxfId="6" priority="28">
      <formula>IF(AND($AL4="CUMPLIDO",$AM4=""),1,0)</formula>
    </cfRule>
  </conditionalFormatting>
  <dataValidations>
    <dataValidation type="list" allowBlank="1" showErrorMessage="1" sqref="M4:M923 R4:R923 U4:U923">
      <formula1>"SI,NO"</formula1>
    </dataValidation>
    <dataValidation type="decimal" operator="greaterThanOrEqual" allowBlank="1" showDropDown="1" showErrorMessage="1" sqref="AF4:AF923">
      <formula1>1.0</formula1>
    </dataValidation>
    <dataValidation type="date" operator="lessThanOrEqual" allowBlank="1" showDropDown="1" showErrorMessage="1" sqref="K4:K923">
      <formula1>TODAY()</formula1>
    </dataValidation>
    <dataValidation type="list" allowBlank="1" showErrorMessage="1" sqref="C4:C923">
      <formula1>Equipo!C$2:C923</formula1>
    </dataValidation>
    <dataValidation type="date" operator="greaterThanOrEqual" allowBlank="1" showDropDown="1" showErrorMessage="1" sqref="N4:N923">
      <formula1>K4</formula1>
    </dataValidation>
    <dataValidation type="date" allowBlank="1" showDropDown="1" showInputMessage="1" showErrorMessage="1" prompt="Introduce una fecha. entre =l3 y =HOY()" sqref="AC4:AC923">
      <formula1>L4</formula1>
      <formula2>TODAY()</formula2>
    </dataValidation>
    <dataValidation type="list" allowBlank="1" showErrorMessage="1" sqref="AL4:AL923">
      <formula1>"CUMPLIDO,INCUMPLIDO,EN EJECUCIÓN"</formula1>
    </dataValidation>
    <dataValidation type="decimal" operator="greaterThan" allowBlank="1" showDropDown="1" showErrorMessage="1" sqref="E4:E923">
      <formula1>0.0</formula1>
    </dataValidation>
    <dataValidation type="list" allowBlank="1" showErrorMessage="1" sqref="A4:A923">
      <formula1>MA_INDIVIDUALES!$B$2:$B923</formula1>
    </dataValidation>
    <dataValidation type="custom" allowBlank="1" showDropDown="1" showErrorMessage="1" sqref="Q4:Q923 S4:T923 W4:W923 AD4:AE923 AM4:AM923 AO4:AO923">
      <formula1>OR(NOT(ISERROR(DATEVALUE(Q4))), AND(ISNUMBER(Q4), LEFT(CELL("format", Q4))="D"))</formula1>
    </dataValidation>
  </dataValidations>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outlineLevelCol="1"/>
  <cols>
    <col customWidth="1" min="1" max="1" width="25.13"/>
    <col customWidth="1" min="2" max="2" width="7.75"/>
    <col customWidth="1" min="3" max="3" width="18.75"/>
    <col customWidth="1" min="4" max="4" width="13.25"/>
    <col customWidth="1" min="5" max="5" width="13.0"/>
    <col customWidth="1" min="6" max="7" width="10.38"/>
    <col customWidth="1" min="8" max="8" width="13.25"/>
    <col customWidth="1" min="9" max="9" width="11.63"/>
    <col collapsed="1" customWidth="1" min="10" max="10" width="9.5"/>
    <col customWidth="1" hidden="1" min="11" max="12" width="22.25" outlineLevel="1"/>
  </cols>
  <sheetData>
    <row r="1" ht="36.75" customHeight="1">
      <c r="A1" s="3" t="s">
        <v>2</v>
      </c>
      <c r="B1" s="5" t="s">
        <v>9</v>
      </c>
      <c r="C1" s="7" t="s">
        <v>12</v>
      </c>
      <c r="D1" s="7" t="s">
        <v>14</v>
      </c>
      <c r="E1" s="7" t="s">
        <v>16</v>
      </c>
      <c r="F1" s="7" t="s">
        <v>17</v>
      </c>
      <c r="G1" s="7" t="s">
        <v>18</v>
      </c>
      <c r="H1" s="7" t="s">
        <v>19</v>
      </c>
      <c r="I1" s="11" t="s">
        <v>21</v>
      </c>
      <c r="J1" s="3" t="s">
        <v>22</v>
      </c>
      <c r="K1" s="14" t="s">
        <v>23</v>
      </c>
      <c r="L1" s="15" t="s">
        <v>24</v>
      </c>
    </row>
    <row r="2" ht="17.25" customHeight="1">
      <c r="A2" s="22" t="s">
        <v>26</v>
      </c>
      <c r="B2" s="23" t="s">
        <v>28</v>
      </c>
      <c r="C2" s="24" t="s">
        <v>32</v>
      </c>
      <c r="D2" s="24" t="s">
        <v>33</v>
      </c>
      <c r="E2" s="24" t="s">
        <v>34</v>
      </c>
      <c r="F2" s="24" t="s">
        <v>36</v>
      </c>
      <c r="G2" s="24" t="s">
        <v>37</v>
      </c>
      <c r="H2" s="24" t="s">
        <v>38</v>
      </c>
      <c r="I2" s="26" t="s">
        <v>39</v>
      </c>
      <c r="J2" s="26" t="s">
        <v>40</v>
      </c>
      <c r="K2" s="15" t="s">
        <v>42</v>
      </c>
      <c r="L2" s="15" t="s">
        <v>43</v>
      </c>
    </row>
    <row r="3" ht="21.0" customHeight="1">
      <c r="A3" s="29" t="s">
        <v>45</v>
      </c>
      <c r="B3" s="32">
        <v>1.0</v>
      </c>
      <c r="C3" s="38" t="str">
        <f t="array" ref="C3">IF(B3="","",INDEX(PARAMETROS!$J$2:$J$14,MATCH(B3,PARAMETROS!$G$2:$G$14,0),1))</f>
        <v>#N/A</v>
      </c>
      <c r="D3" s="42" t="s">
        <v>63</v>
      </c>
      <c r="E3" s="44" t="s">
        <v>67</v>
      </c>
      <c r="F3" s="45">
        <v>44958.0</v>
      </c>
      <c r="G3" s="49" t="str">
        <f t="shared" ref="G3:G911" si="1">IF(OR(A3="",F3=""),"",IF(I3&lt;&gt;"","TERMINADO","PENDIENTE"))</f>
        <v>TERMINADO</v>
      </c>
      <c r="H3" s="29" t="s">
        <v>77</v>
      </c>
      <c r="I3" s="52">
        <v>44958.0</v>
      </c>
      <c r="J3" s="58">
        <f>IF(F3="","", IF(I3="",_xlfn.NETWORKDAYS.INTL(F3,TODAY(),1,FERIADOS),_xlfn.NETWORKDAYS.INTL(F3,I3,1,FERIADOS)))</f>
        <v>1</v>
      </c>
      <c r="K3" s="58" t="str">
        <f t="shared" ref="K3:K911" si="2">IF(A3="","",CONCATENATE(B3,"/",C3,"/",D3))</f>
        <v>#N/A</v>
      </c>
      <c r="L3" s="58">
        <f t="shared" ref="L3:L911" si="3">IF(A3="","",IF(COUNTIFS(A:A,A3,K:K,"6/DIRECCIÓN DE SUPERVISIÓN/FIRMA",G:G,"TERMINADO")=0,0,1))</f>
        <v>0</v>
      </c>
    </row>
    <row r="4" ht="21.0" customHeight="1">
      <c r="A4" s="29" t="s">
        <v>45</v>
      </c>
      <c r="B4" s="32">
        <v>2.0</v>
      </c>
      <c r="C4" s="38" t="str">
        <f t="array" ref="C4">IF(B4="","",INDEX(PARAMETROS!$J$2:$J$14,MATCH(B4,PARAMETROS!$G$2:$G$14,0),1))</f>
        <v>#N/A</v>
      </c>
      <c r="D4" s="42" t="s">
        <v>111</v>
      </c>
      <c r="E4" s="44" t="s">
        <v>115</v>
      </c>
      <c r="F4" s="52">
        <v>44979.0</v>
      </c>
      <c r="G4" s="49" t="str">
        <f t="shared" si="1"/>
        <v>TERMINADO</v>
      </c>
      <c r="H4" s="29" t="s">
        <v>123</v>
      </c>
      <c r="I4" s="52">
        <v>44980.0</v>
      </c>
      <c r="J4" s="58">
        <f>IF(F4="","", IF(I4="",_xlfn.NETWORKDAYS.INTL(F4,TODAY(),1,FERIADOS),_xlfn.NETWORKDAYS.INTL(F4,I4,1,FERIADOS)))</f>
        <v>2</v>
      </c>
      <c r="K4" s="58" t="str">
        <f t="shared" si="2"/>
        <v>#N/A</v>
      </c>
      <c r="L4" s="58">
        <f t="shared" si="3"/>
        <v>0</v>
      </c>
    </row>
    <row r="5" ht="21.0" customHeight="1">
      <c r="A5" s="29" t="s">
        <v>45</v>
      </c>
      <c r="B5" s="32">
        <v>3.0</v>
      </c>
      <c r="C5" s="38" t="str">
        <f t="array" ref="C5">IF(B5="","",INDEX(PARAMETROS!$J$2:$J$14,MATCH(B5,PARAMETROS!$G$2:$G$14,0),1))</f>
        <v>#N/A</v>
      </c>
      <c r="D5" s="42" t="s">
        <v>143</v>
      </c>
      <c r="E5" s="44" t="s">
        <v>144</v>
      </c>
      <c r="F5" s="52">
        <v>44980.0</v>
      </c>
      <c r="G5" s="49" t="str">
        <f t="shared" si="1"/>
        <v>TERMINADO</v>
      </c>
      <c r="H5" s="29" t="s">
        <v>77</v>
      </c>
      <c r="I5" s="52">
        <v>44985.0</v>
      </c>
      <c r="J5" s="58">
        <f>IF(F5="","", IF(I5="",_xlfn.NETWORKDAYS.INTL(F5,TODAY(),1,FERIADOS),_xlfn.NETWORKDAYS.INTL(F5,I5,1,FERIADOS)))</f>
        <v>4</v>
      </c>
      <c r="K5" s="58" t="str">
        <f t="shared" si="2"/>
        <v>#N/A</v>
      </c>
      <c r="L5" s="58">
        <f t="shared" si="3"/>
        <v>0</v>
      </c>
    </row>
    <row r="6" ht="21.0" customHeight="1">
      <c r="A6" s="29" t="s">
        <v>45</v>
      </c>
      <c r="B6" s="32">
        <v>4.0</v>
      </c>
      <c r="C6" s="38" t="str">
        <f t="array" ref="C6">IF(B6="","",INDEX(PARAMETROS!$J$2:$J$14,MATCH(B6,PARAMETROS!$G$2:$G$14,0),1))</f>
        <v>#N/A</v>
      </c>
      <c r="D6" s="42" t="s">
        <v>111</v>
      </c>
      <c r="E6" s="44" t="s">
        <v>145</v>
      </c>
      <c r="F6" s="52">
        <v>44985.0</v>
      </c>
      <c r="G6" s="49" t="str">
        <f t="shared" si="1"/>
        <v>TERMINADO</v>
      </c>
      <c r="H6" s="29" t="s">
        <v>123</v>
      </c>
      <c r="I6" s="52">
        <v>44986.0</v>
      </c>
      <c r="J6" s="58">
        <f>IF(F6="","", IF(I6="",_xlfn.NETWORKDAYS.INTL(F6,TODAY(),1,FERIADOS),_xlfn.NETWORKDAYS.INTL(F6,I6,1,FERIADOS)))</f>
        <v>2</v>
      </c>
      <c r="K6" s="58" t="str">
        <f t="shared" si="2"/>
        <v>#N/A</v>
      </c>
      <c r="L6" s="58">
        <f t="shared" si="3"/>
        <v>0</v>
      </c>
    </row>
    <row r="7" ht="21.0" customHeight="1">
      <c r="A7" s="29" t="s">
        <v>45</v>
      </c>
      <c r="B7" s="32">
        <v>6.0</v>
      </c>
      <c r="C7" s="38" t="str">
        <f t="array" ref="C7">IF(B7="","",INDEX(PARAMETROS!$J$2:$J$14,MATCH(B7,PARAMETROS!$G$2:$G$14,0),1))</f>
        <v>#N/A</v>
      </c>
      <c r="D7" s="42" t="s">
        <v>146</v>
      </c>
      <c r="E7" s="44" t="s">
        <v>147</v>
      </c>
      <c r="F7" s="52">
        <v>44986.0</v>
      </c>
      <c r="G7" s="49" t="str">
        <f t="shared" si="1"/>
        <v>TERMINADO</v>
      </c>
      <c r="H7" s="29" t="s">
        <v>77</v>
      </c>
      <c r="I7" s="52">
        <v>45001.0</v>
      </c>
      <c r="J7" s="58">
        <f>IF(F7="","", IF(I7="",_xlfn.NETWORKDAYS.INTL(F7,TODAY(),1,FERIADOS),_xlfn.NETWORKDAYS.INTL(F7,I7,1,FERIADOS)))</f>
        <v>12</v>
      </c>
      <c r="K7" s="58" t="str">
        <f t="shared" si="2"/>
        <v>#N/A</v>
      </c>
      <c r="L7" s="58">
        <f t="shared" si="3"/>
        <v>0</v>
      </c>
    </row>
    <row r="8" ht="21.0" customHeight="1">
      <c r="A8" s="29" t="s">
        <v>148</v>
      </c>
      <c r="B8" s="32">
        <v>1.0</v>
      </c>
      <c r="C8" s="38" t="str">
        <f t="array" ref="C8">IF(B8="","",INDEX(PARAMETROS!$J$2:$J$14,MATCH(B8,PARAMETROS!$G$2:$G$14,0),1))</f>
        <v>#N/A</v>
      </c>
      <c r="D8" s="42" t="s">
        <v>63</v>
      </c>
      <c r="E8" s="44" t="s">
        <v>67</v>
      </c>
      <c r="F8" s="52">
        <v>45047.0</v>
      </c>
      <c r="G8" s="49" t="str">
        <f t="shared" si="1"/>
        <v>TERMINADO</v>
      </c>
      <c r="H8" s="29" t="s">
        <v>77</v>
      </c>
      <c r="I8" s="52">
        <v>45049.0</v>
      </c>
      <c r="J8" s="58">
        <f>IF(F8="","", IF(I8="",_xlfn.NETWORKDAYS.INTL(F8,TODAY(),1,FERIADOS),_xlfn.NETWORKDAYS.INTL(F8,I8,1,FERIADOS)))</f>
        <v>3</v>
      </c>
      <c r="K8" s="58" t="str">
        <f t="shared" si="2"/>
        <v>#N/A</v>
      </c>
      <c r="L8" s="58">
        <f t="shared" si="3"/>
        <v>0</v>
      </c>
    </row>
    <row r="9" ht="21.0" customHeight="1">
      <c r="A9" s="29" t="s">
        <v>148</v>
      </c>
      <c r="B9" s="32">
        <v>2.0</v>
      </c>
      <c r="C9" s="38" t="str">
        <f t="array" ref="C9">IF(B9="","",INDEX(PARAMETROS!$J$2:$J$14,MATCH(B9,PARAMETROS!$G$2:$G$14,0),1))</f>
        <v>#N/A</v>
      </c>
      <c r="D9" s="42" t="s">
        <v>111</v>
      </c>
      <c r="E9" s="44" t="s">
        <v>115</v>
      </c>
      <c r="F9" s="52">
        <v>45050.0</v>
      </c>
      <c r="G9" s="49" t="str">
        <f t="shared" si="1"/>
        <v>TERMINADO</v>
      </c>
      <c r="H9" s="29" t="s">
        <v>123</v>
      </c>
      <c r="I9" s="52">
        <v>45054.0</v>
      </c>
      <c r="J9" s="58">
        <f>IF(F9="","", IF(I9="",_xlfn.NETWORKDAYS.INTL(F9,TODAY(),1,FERIADOS),_xlfn.NETWORKDAYS.INTL(F9,I9,1,FERIADOS)))</f>
        <v>3</v>
      </c>
      <c r="K9" s="58" t="str">
        <f t="shared" si="2"/>
        <v>#N/A</v>
      </c>
      <c r="L9" s="58">
        <f t="shared" si="3"/>
        <v>0</v>
      </c>
    </row>
    <row r="10" ht="21.0" customHeight="1">
      <c r="A10" s="29" t="s">
        <v>148</v>
      </c>
      <c r="B10" s="32">
        <v>3.0</v>
      </c>
      <c r="C10" s="38" t="str">
        <f t="array" ref="C10">IF(B10="","",INDEX(PARAMETROS!$J$2:$J$14,MATCH(B10,PARAMETROS!$G$2:$G$14,0),1))</f>
        <v>#N/A</v>
      </c>
      <c r="D10" s="42" t="s">
        <v>143</v>
      </c>
      <c r="E10" s="44" t="s">
        <v>144</v>
      </c>
      <c r="F10" s="52">
        <v>45054.0</v>
      </c>
      <c r="G10" s="49" t="str">
        <f t="shared" si="1"/>
        <v>TERMINADO</v>
      </c>
      <c r="H10" s="29" t="s">
        <v>77</v>
      </c>
      <c r="I10" s="52">
        <v>45078.0</v>
      </c>
      <c r="J10" s="58">
        <f>IF(F10="","", IF(I10="",_xlfn.NETWORKDAYS.INTL(F10,TODAY(),1,FERIADOS),_xlfn.NETWORKDAYS.INTL(F10,I10,1,FERIADOS)))</f>
        <v>19</v>
      </c>
      <c r="K10" s="58" t="str">
        <f t="shared" si="2"/>
        <v>#N/A</v>
      </c>
      <c r="L10" s="58">
        <f t="shared" si="3"/>
        <v>0</v>
      </c>
    </row>
    <row r="11" ht="21.0" customHeight="1">
      <c r="A11" s="29" t="s">
        <v>148</v>
      </c>
      <c r="B11" s="32">
        <v>4.0</v>
      </c>
      <c r="C11" s="38" t="str">
        <f t="array" ref="C11">IF(B11="","",INDEX(PARAMETROS!$J$2:$J$14,MATCH(B11,PARAMETROS!$G$2:$G$14,0),1))</f>
        <v>#N/A</v>
      </c>
      <c r="D11" s="42" t="s">
        <v>111</v>
      </c>
      <c r="E11" s="44" t="s">
        <v>145</v>
      </c>
      <c r="F11" s="52">
        <v>45083.0</v>
      </c>
      <c r="G11" s="49" t="str">
        <f t="shared" si="1"/>
        <v>TERMINADO</v>
      </c>
      <c r="H11" s="29" t="s">
        <v>123</v>
      </c>
      <c r="I11" s="52">
        <v>45109.0</v>
      </c>
      <c r="J11" s="58">
        <f>IF(F11="","", IF(I11="",_xlfn.NETWORKDAYS.INTL(F11,TODAY(),1,FERIADOS),_xlfn.NETWORKDAYS.INTL(F11,I11,1,FERIADOS)))</f>
        <v>19</v>
      </c>
      <c r="K11" s="58" t="str">
        <f t="shared" si="2"/>
        <v>#N/A</v>
      </c>
      <c r="L11" s="58">
        <f t="shared" si="3"/>
        <v>0</v>
      </c>
    </row>
    <row r="12" ht="21.0" customHeight="1">
      <c r="A12" s="29" t="s">
        <v>148</v>
      </c>
      <c r="B12" s="32">
        <v>6.0</v>
      </c>
      <c r="C12" s="38" t="str">
        <f t="array" ref="C12">IF(B12="","",INDEX(PARAMETROS!$J$2:$J$14,MATCH(B12,PARAMETROS!$G$2:$G$14,0),1))</f>
        <v>#N/A</v>
      </c>
      <c r="D12" s="42" t="s">
        <v>146</v>
      </c>
      <c r="E12" s="44" t="s">
        <v>147</v>
      </c>
      <c r="F12" s="52">
        <v>45110.0</v>
      </c>
      <c r="G12" s="49" t="str">
        <f t="shared" si="1"/>
        <v>TERMINADO</v>
      </c>
      <c r="H12" s="29" t="s">
        <v>77</v>
      </c>
      <c r="I12" s="52">
        <v>45111.0</v>
      </c>
      <c r="J12" s="58">
        <f>IF(F12="","", IF(I12="",_xlfn.NETWORKDAYS.INTL(F12,TODAY(),1,FERIADOS),_xlfn.NETWORKDAYS.INTL(F12,I12,1,FERIADOS)))</f>
        <v>2</v>
      </c>
      <c r="K12" s="58" t="str">
        <f t="shared" si="2"/>
        <v>#N/A</v>
      </c>
      <c r="L12" s="58">
        <f t="shared" si="3"/>
        <v>0</v>
      </c>
    </row>
    <row r="13" ht="21.0" customHeight="1">
      <c r="A13" s="29" t="s">
        <v>157</v>
      </c>
      <c r="B13" s="32">
        <v>1.0</v>
      </c>
      <c r="C13" s="38" t="str">
        <f t="array" ref="C13">IF(B13="","",INDEX(PARAMETROS!$J$2:$J$14,MATCH(B13,PARAMETROS!$G$2:$G$14,0),1))</f>
        <v>#N/A</v>
      </c>
      <c r="D13" s="42" t="s">
        <v>63</v>
      </c>
      <c r="E13" s="88" t="s">
        <v>158</v>
      </c>
      <c r="F13" s="52">
        <v>45120.0</v>
      </c>
      <c r="G13" s="49" t="str">
        <f t="shared" si="1"/>
        <v>TERMINADO</v>
      </c>
      <c r="H13" s="29" t="s">
        <v>77</v>
      </c>
      <c r="I13" s="52">
        <v>45121.0</v>
      </c>
      <c r="J13" s="58">
        <f>IF(F13="","", IF(I13="",_xlfn.NETWORKDAYS.INTL(F13,TODAY(),1,FERIADOS),_xlfn.NETWORKDAYS.INTL(F13,I13,1,FERIADOS)))</f>
        <v>2</v>
      </c>
      <c r="K13" s="58" t="str">
        <f t="shared" si="2"/>
        <v>#N/A</v>
      </c>
      <c r="L13" s="58">
        <f t="shared" si="3"/>
        <v>0</v>
      </c>
    </row>
    <row r="14" ht="21.0" customHeight="1">
      <c r="A14" s="29" t="s">
        <v>157</v>
      </c>
      <c r="B14" s="32">
        <v>2.0</v>
      </c>
      <c r="C14" s="38" t="str">
        <f t="array" ref="C14">IF(B14="","",INDEX(PARAMETROS!$J$2:$J$14,MATCH(B14,PARAMETROS!$G$2:$G$14,0),1))</f>
        <v>#N/A</v>
      </c>
      <c r="D14" s="42" t="s">
        <v>160</v>
      </c>
      <c r="E14" s="88" t="s">
        <v>158</v>
      </c>
      <c r="F14" s="52">
        <v>45121.0</v>
      </c>
      <c r="G14" s="49" t="str">
        <f t="shared" si="1"/>
        <v>TERMINADO</v>
      </c>
      <c r="H14" s="29" t="s">
        <v>123</v>
      </c>
      <c r="I14" s="52">
        <v>45127.0</v>
      </c>
      <c r="J14" s="58">
        <f>IF(F14="","", IF(I14="",_xlfn.NETWORKDAYS.INTL(F14,TODAY(),1,FERIADOS),_xlfn.NETWORKDAYS.INTL(F14,I14,1,FERIADOS)))</f>
        <v>5</v>
      </c>
      <c r="K14" s="58" t="str">
        <f t="shared" si="2"/>
        <v>#N/A</v>
      </c>
      <c r="L14" s="58">
        <f t="shared" si="3"/>
        <v>0</v>
      </c>
    </row>
    <row r="15" ht="21.0" customHeight="1">
      <c r="A15" s="29" t="s">
        <v>157</v>
      </c>
      <c r="B15" s="32">
        <v>3.0</v>
      </c>
      <c r="C15" s="38" t="str">
        <f t="array" ref="C15">IF(B15="","",INDEX(PARAMETROS!$J$2:$J$14,MATCH(B15,PARAMETROS!$G$2:$G$14,0),1))</f>
        <v>#N/A</v>
      </c>
      <c r="D15" s="42" t="s">
        <v>143</v>
      </c>
      <c r="E15" s="88" t="s">
        <v>144</v>
      </c>
      <c r="F15" s="52">
        <v>45121.0</v>
      </c>
      <c r="G15" s="49" t="str">
        <f t="shared" si="1"/>
        <v>TERMINADO</v>
      </c>
      <c r="H15" s="29" t="s">
        <v>77</v>
      </c>
      <c r="I15" s="52">
        <v>45124.0</v>
      </c>
      <c r="J15" s="58">
        <f>IF(F15="","", IF(I15="",_xlfn.NETWORKDAYS.INTL(F15,TODAY(),1,FERIADOS),_xlfn.NETWORKDAYS.INTL(F15,I15,1,FERIADOS)))</f>
        <v>2</v>
      </c>
      <c r="K15" s="58" t="str">
        <f t="shared" si="2"/>
        <v>#N/A</v>
      </c>
      <c r="L15" s="58">
        <f t="shared" si="3"/>
        <v>0</v>
      </c>
    </row>
    <row r="16" ht="21.0" customHeight="1">
      <c r="A16" s="29" t="s">
        <v>157</v>
      </c>
      <c r="B16" s="32">
        <v>4.0</v>
      </c>
      <c r="C16" s="38" t="str">
        <f t="array" ref="C16">IF(B16="","",INDEX(PARAMETROS!$J$2:$J$14,MATCH(B16,PARAMETROS!$G$2:$G$14,0),1))</f>
        <v>#N/A</v>
      </c>
      <c r="D16" s="42" t="s">
        <v>160</v>
      </c>
      <c r="E16" s="88" t="s">
        <v>163</v>
      </c>
      <c r="F16" s="52">
        <v>45127.0</v>
      </c>
      <c r="G16" s="49" t="str">
        <f t="shared" si="1"/>
        <v>TERMINADO</v>
      </c>
      <c r="H16" s="29" t="s">
        <v>123</v>
      </c>
      <c r="I16" s="52">
        <v>45127.0</v>
      </c>
      <c r="J16" s="58">
        <f>IF(F16="","", IF(I16="",_xlfn.NETWORKDAYS.INTL(F16,TODAY(),1,FERIADOS),_xlfn.NETWORKDAYS.INTL(F16,I16,1,FERIADOS)))</f>
        <v>1</v>
      </c>
      <c r="K16" s="58" t="str">
        <f t="shared" si="2"/>
        <v>#N/A</v>
      </c>
      <c r="L16" s="58">
        <f t="shared" si="3"/>
        <v>0</v>
      </c>
    </row>
    <row r="17" ht="21.0" customHeight="1">
      <c r="A17" s="29" t="s">
        <v>157</v>
      </c>
      <c r="B17" s="32">
        <v>6.0</v>
      </c>
      <c r="C17" s="38" t="str">
        <f t="array" ref="C17">IF(B17="","",INDEX(PARAMETROS!$J$2:$J$14,MATCH(B17,PARAMETROS!$G$2:$G$14,0),1))</f>
        <v>#N/A</v>
      </c>
      <c r="D17" s="42" t="s">
        <v>146</v>
      </c>
      <c r="E17" s="88" t="s">
        <v>147</v>
      </c>
      <c r="F17" s="52">
        <v>45127.0</v>
      </c>
      <c r="G17" s="49" t="str">
        <f t="shared" si="1"/>
        <v>TERMINADO</v>
      </c>
      <c r="H17" s="29" t="s">
        <v>77</v>
      </c>
      <c r="I17" s="52">
        <v>45148.0</v>
      </c>
      <c r="J17" s="58">
        <f>IF(F17="","", IF(I17="",_xlfn.NETWORKDAYS.INTL(F17,TODAY(),1,FERIADOS),_xlfn.NETWORKDAYS.INTL(F17,I17,1,FERIADOS)))</f>
        <v>16</v>
      </c>
      <c r="K17" s="58" t="str">
        <f t="shared" si="2"/>
        <v>#N/A</v>
      </c>
      <c r="L17" s="58">
        <f t="shared" si="3"/>
        <v>0</v>
      </c>
    </row>
    <row r="18" ht="21.0" customHeight="1">
      <c r="A18" s="29" t="s">
        <v>165</v>
      </c>
      <c r="B18" s="32">
        <v>1.0</v>
      </c>
      <c r="C18" s="38" t="str">
        <f t="array" ref="C18">IF(B18="","",INDEX(PARAMETROS!$J$2:$J$14,MATCH(B18,PARAMETROS!$G$2:$G$14,0),1))</f>
        <v>#N/A</v>
      </c>
      <c r="D18" s="42" t="s">
        <v>63</v>
      </c>
      <c r="E18" s="88" t="s">
        <v>158</v>
      </c>
      <c r="F18" s="52">
        <v>45117.0</v>
      </c>
      <c r="G18" s="49" t="str">
        <f t="shared" si="1"/>
        <v>TERMINADO</v>
      </c>
      <c r="H18" s="29" t="s">
        <v>77</v>
      </c>
      <c r="I18" s="52">
        <v>45118.0</v>
      </c>
      <c r="J18" s="58">
        <f>IF(F18="","", IF(I18="",_xlfn.NETWORKDAYS.INTL(F18,TODAY(),1,FERIADOS),_xlfn.NETWORKDAYS.INTL(F18,I18,1,FERIADOS)))</f>
        <v>2</v>
      </c>
      <c r="K18" s="58" t="str">
        <f t="shared" si="2"/>
        <v>#N/A</v>
      </c>
      <c r="L18" s="58">
        <f t="shared" si="3"/>
        <v>0</v>
      </c>
    </row>
    <row r="19" ht="21.0" customHeight="1">
      <c r="A19" s="29" t="s">
        <v>165</v>
      </c>
      <c r="B19" s="32">
        <v>2.0</v>
      </c>
      <c r="C19" s="38" t="str">
        <f t="array" ref="C19">IF(B19="","",INDEX(PARAMETROS!$J$2:$J$14,MATCH(B19,PARAMETROS!$G$2:$G$14,0),1))</f>
        <v>#N/A</v>
      </c>
      <c r="D19" s="42" t="s">
        <v>160</v>
      </c>
      <c r="E19" s="88" t="s">
        <v>158</v>
      </c>
      <c r="F19" s="52">
        <v>45118.0</v>
      </c>
      <c r="G19" s="49" t="str">
        <f t="shared" si="1"/>
        <v>TERMINADO</v>
      </c>
      <c r="H19" s="29" t="s">
        <v>123</v>
      </c>
      <c r="I19" s="52">
        <v>45127.0</v>
      </c>
      <c r="J19" s="58">
        <f>IF(F19="","", IF(I19="",_xlfn.NETWORKDAYS.INTL(F19,TODAY(),1,FERIADOS),_xlfn.NETWORKDAYS.INTL(F19,I19,1,FERIADOS)))</f>
        <v>8</v>
      </c>
      <c r="K19" s="58" t="str">
        <f t="shared" si="2"/>
        <v>#N/A</v>
      </c>
      <c r="L19" s="58">
        <f t="shared" si="3"/>
        <v>0</v>
      </c>
    </row>
    <row r="20" ht="21.0" customHeight="1">
      <c r="A20" s="29" t="s">
        <v>165</v>
      </c>
      <c r="B20" s="32">
        <v>3.0</v>
      </c>
      <c r="C20" s="38" t="str">
        <f t="array" ref="C20">IF(B20="","",INDEX(PARAMETROS!$J$2:$J$14,MATCH(B20,PARAMETROS!$G$2:$G$14,0),1))</f>
        <v>#N/A</v>
      </c>
      <c r="D20" s="42" t="s">
        <v>143</v>
      </c>
      <c r="E20" s="88" t="s">
        <v>144</v>
      </c>
      <c r="F20" s="52">
        <v>45120.0</v>
      </c>
      <c r="G20" s="49" t="str">
        <f t="shared" si="1"/>
        <v>TERMINADO</v>
      </c>
      <c r="H20" s="29" t="s">
        <v>77</v>
      </c>
      <c r="I20" s="52">
        <v>45120.0</v>
      </c>
      <c r="J20" s="58">
        <f>IF(F20="","", IF(I20="",_xlfn.NETWORKDAYS.INTL(F20,TODAY(),1,FERIADOS),_xlfn.NETWORKDAYS.INTL(F20,I20,1,FERIADOS)))</f>
        <v>1</v>
      </c>
      <c r="K20" s="58" t="str">
        <f t="shared" si="2"/>
        <v>#N/A</v>
      </c>
      <c r="L20" s="58">
        <f t="shared" si="3"/>
        <v>0</v>
      </c>
    </row>
    <row r="21" ht="21.0" customHeight="1">
      <c r="A21" s="29" t="s">
        <v>165</v>
      </c>
      <c r="B21" s="32">
        <v>4.0</v>
      </c>
      <c r="C21" s="38" t="str">
        <f t="array" ref="C21">IF(B21="","",INDEX(PARAMETROS!$J$2:$J$14,MATCH(B21,PARAMETROS!$G$2:$G$14,0),1))</f>
        <v>#N/A</v>
      </c>
      <c r="D21" s="42" t="s">
        <v>160</v>
      </c>
      <c r="E21" s="88" t="s">
        <v>169</v>
      </c>
      <c r="F21" s="52">
        <v>45127.0</v>
      </c>
      <c r="G21" s="49" t="str">
        <f t="shared" si="1"/>
        <v>TERMINADO</v>
      </c>
      <c r="H21" s="29" t="s">
        <v>123</v>
      </c>
      <c r="I21" s="52">
        <v>45127.0</v>
      </c>
      <c r="J21" s="58">
        <f>IF(F21="","", IF(I21="",_xlfn.NETWORKDAYS.INTL(F21,TODAY(),1,FERIADOS),_xlfn.NETWORKDAYS.INTL(F21,I21,1,FERIADOS)))</f>
        <v>1</v>
      </c>
      <c r="K21" s="58" t="str">
        <f t="shared" si="2"/>
        <v>#N/A</v>
      </c>
      <c r="L21" s="58">
        <f t="shared" si="3"/>
        <v>0</v>
      </c>
    </row>
    <row r="22" ht="21.0" customHeight="1">
      <c r="A22" s="29" t="s">
        <v>165</v>
      </c>
      <c r="B22" s="32">
        <v>6.0</v>
      </c>
      <c r="C22" s="38" t="str">
        <f t="array" ref="C22">IF(B22="","",INDEX(PARAMETROS!$J$2:$J$14,MATCH(B22,PARAMETROS!$G$2:$G$14,0),1))</f>
        <v>#N/A</v>
      </c>
      <c r="D22" s="42" t="s">
        <v>146</v>
      </c>
      <c r="E22" s="88" t="s">
        <v>147</v>
      </c>
      <c r="F22" s="52">
        <v>45127.0</v>
      </c>
      <c r="G22" s="49" t="str">
        <f t="shared" si="1"/>
        <v>TERMINADO</v>
      </c>
      <c r="H22" s="29" t="s">
        <v>77</v>
      </c>
      <c r="I22" s="52">
        <v>45148.0</v>
      </c>
      <c r="J22" s="58">
        <f>IF(F22="","", IF(I22="",_xlfn.NETWORKDAYS.INTL(F22,TODAY(),1,FERIADOS),_xlfn.NETWORKDAYS.INTL(F22,I22,1,FERIADOS)))</f>
        <v>16</v>
      </c>
      <c r="K22" s="58" t="str">
        <f t="shared" si="2"/>
        <v>#N/A</v>
      </c>
      <c r="L22" s="58">
        <f t="shared" si="3"/>
        <v>0</v>
      </c>
    </row>
    <row r="23" ht="21.0" customHeight="1">
      <c r="A23" s="29" t="s">
        <v>170</v>
      </c>
      <c r="B23" s="32">
        <v>1.0</v>
      </c>
      <c r="C23" s="38" t="str">
        <f t="array" ref="C23">IF(B23="","",INDEX(PARAMETROS!$J$2:$J$14,MATCH(B23,PARAMETROS!$G$2:$G$14,0),1))</f>
        <v>#N/A</v>
      </c>
      <c r="D23" s="42" t="s">
        <v>63</v>
      </c>
      <c r="E23" s="44" t="s">
        <v>171</v>
      </c>
      <c r="F23" s="52">
        <v>45083.0</v>
      </c>
      <c r="G23" s="49" t="str">
        <f t="shared" si="1"/>
        <v>TERMINADO</v>
      </c>
      <c r="H23" s="29" t="s">
        <v>77</v>
      </c>
      <c r="I23" s="52">
        <v>45095.0</v>
      </c>
      <c r="J23" s="58">
        <f>IF(F23="","", IF(I23="",_xlfn.NETWORKDAYS.INTL(F23,TODAY(),1,FERIADOS),_xlfn.NETWORKDAYS.INTL(F23,I23,1,FERIADOS)))</f>
        <v>9</v>
      </c>
      <c r="K23" s="58" t="str">
        <f t="shared" si="2"/>
        <v>#N/A</v>
      </c>
      <c r="L23" s="58">
        <f t="shared" si="3"/>
        <v>0</v>
      </c>
    </row>
    <row r="24" ht="21.0" customHeight="1">
      <c r="A24" s="29" t="s">
        <v>170</v>
      </c>
      <c r="B24" s="32">
        <v>2.0</v>
      </c>
      <c r="C24" s="38" t="str">
        <f t="array" ref="C24">IF(B24="","",INDEX(PARAMETROS!$J$2:$J$14,MATCH(B24,PARAMETROS!$G$2:$G$14,0),1))</f>
        <v>#N/A</v>
      </c>
      <c r="D24" s="42" t="s">
        <v>111</v>
      </c>
      <c r="E24" s="44" t="s">
        <v>115</v>
      </c>
      <c r="F24" s="52">
        <v>45096.0</v>
      </c>
      <c r="G24" s="49" t="str">
        <f t="shared" si="1"/>
        <v>TERMINADO</v>
      </c>
      <c r="H24" s="29" t="s">
        <v>123</v>
      </c>
      <c r="I24" s="52">
        <v>45119.0</v>
      </c>
      <c r="J24" s="58">
        <f>IF(F24="","", IF(I24="",_xlfn.NETWORKDAYS.INTL(F24,TODAY(),1,FERIADOS),_xlfn.NETWORKDAYS.INTL(F24,I24,1,FERIADOS)))</f>
        <v>18</v>
      </c>
      <c r="K24" s="58" t="str">
        <f t="shared" si="2"/>
        <v>#N/A</v>
      </c>
      <c r="L24" s="58">
        <f t="shared" si="3"/>
        <v>0</v>
      </c>
    </row>
    <row r="25" ht="21.0" customHeight="1">
      <c r="A25" s="29" t="s">
        <v>170</v>
      </c>
      <c r="B25" s="32">
        <v>3.0</v>
      </c>
      <c r="C25" s="38" t="str">
        <f t="array" ref="C25">IF(B25="","",INDEX(PARAMETROS!$J$2:$J$14,MATCH(B25,PARAMETROS!$G$2:$G$14,0),1))</f>
        <v>#N/A</v>
      </c>
      <c r="D25" s="42" t="s">
        <v>143</v>
      </c>
      <c r="E25" s="44" t="s">
        <v>144</v>
      </c>
      <c r="F25" s="52">
        <v>45096.0</v>
      </c>
      <c r="G25" s="49" t="str">
        <f t="shared" si="1"/>
        <v>TERMINADO</v>
      </c>
      <c r="H25" s="29" t="s">
        <v>77</v>
      </c>
      <c r="I25" s="52">
        <v>45097.0</v>
      </c>
      <c r="J25" s="58">
        <f>IF(F25="","", IF(I25="",_xlfn.NETWORKDAYS.INTL(F25,TODAY(),1,FERIADOS),_xlfn.NETWORKDAYS.INTL(F25,I25,1,FERIADOS)))</f>
        <v>2</v>
      </c>
      <c r="K25" s="58" t="str">
        <f t="shared" si="2"/>
        <v>#N/A</v>
      </c>
      <c r="L25" s="58">
        <f t="shared" si="3"/>
        <v>0</v>
      </c>
    </row>
    <row r="26" ht="21.0" customHeight="1">
      <c r="A26" s="29" t="s">
        <v>170</v>
      </c>
      <c r="B26" s="32">
        <v>4.0</v>
      </c>
      <c r="C26" s="38" t="str">
        <f t="array" ref="C26">IF(B26="","",INDEX(PARAMETROS!$J$2:$J$14,MATCH(B26,PARAMETROS!$G$2:$G$14,0),1))</f>
        <v>#N/A</v>
      </c>
      <c r="D26" s="42" t="s">
        <v>111</v>
      </c>
      <c r="E26" s="44" t="s">
        <v>145</v>
      </c>
      <c r="F26" s="52">
        <v>45120.0</v>
      </c>
      <c r="G26" s="49" t="str">
        <f t="shared" si="1"/>
        <v>TERMINADO</v>
      </c>
      <c r="H26" s="29" t="s">
        <v>123</v>
      </c>
      <c r="I26" s="52">
        <v>45121.0</v>
      </c>
      <c r="J26" s="58">
        <f>IF(F26="","", IF(I26="",_xlfn.NETWORKDAYS.INTL(F26,TODAY(),1,FERIADOS),_xlfn.NETWORKDAYS.INTL(F26,I26,1,FERIADOS)))</f>
        <v>2</v>
      </c>
      <c r="K26" s="58" t="str">
        <f t="shared" si="2"/>
        <v>#N/A</v>
      </c>
      <c r="L26" s="58">
        <f t="shared" si="3"/>
        <v>0</v>
      </c>
    </row>
    <row r="27" ht="21.0" customHeight="1">
      <c r="A27" s="29" t="s">
        <v>170</v>
      </c>
      <c r="B27" s="32">
        <v>6.0</v>
      </c>
      <c r="C27" s="38" t="str">
        <f t="array" ref="C27">IF(B27="","",INDEX(PARAMETROS!$J$2:$J$14,MATCH(B27,PARAMETROS!$G$2:$G$14,0),1))</f>
        <v>#N/A</v>
      </c>
      <c r="D27" s="42" t="s">
        <v>146</v>
      </c>
      <c r="E27" s="44" t="s">
        <v>147</v>
      </c>
      <c r="F27" s="52">
        <v>45124.0</v>
      </c>
      <c r="G27" s="49" t="str">
        <f t="shared" si="1"/>
        <v>TERMINADO</v>
      </c>
      <c r="H27" s="29" t="s">
        <v>77</v>
      </c>
      <c r="I27" s="52">
        <v>45152.0</v>
      </c>
      <c r="J27" s="58">
        <f>IF(F27="","", IF(I27="",_xlfn.NETWORKDAYS.INTL(F27,TODAY(),1,FERIADOS),_xlfn.NETWORKDAYS.INTL(F27,I27,1,FERIADOS)))</f>
        <v>21</v>
      </c>
      <c r="K27" s="58" t="str">
        <f t="shared" si="2"/>
        <v>#N/A</v>
      </c>
      <c r="L27" s="58">
        <f t="shared" si="3"/>
        <v>0</v>
      </c>
    </row>
    <row r="28" ht="21.0" customHeight="1">
      <c r="A28" s="29" t="s">
        <v>176</v>
      </c>
      <c r="B28" s="32">
        <v>1.0</v>
      </c>
      <c r="C28" s="38" t="str">
        <f t="array" ref="C28">IF(B28="","",INDEX(PARAMETROS!$J$2:$J$14,MATCH(B28,PARAMETROS!$G$2:$G$14,0),1))</f>
        <v>#N/A</v>
      </c>
      <c r="D28" s="42" t="s">
        <v>63</v>
      </c>
      <c r="E28" s="44" t="s">
        <v>177</v>
      </c>
      <c r="F28" s="52">
        <v>45630.0</v>
      </c>
      <c r="G28" s="49" t="str">
        <f t="shared" si="1"/>
        <v>TERMINADO</v>
      </c>
      <c r="H28" s="29" t="s">
        <v>77</v>
      </c>
      <c r="I28" s="52">
        <v>45636.0</v>
      </c>
      <c r="J28" s="58">
        <f>IF(F28="","", IF(I28="",_xlfn.NETWORKDAYS.INTL(F28,TODAY(),1,FERIADOS),_xlfn.NETWORKDAYS.INTL(F28,I28,1,FERIADOS)))</f>
        <v>5</v>
      </c>
      <c r="K28" s="58" t="str">
        <f t="shared" si="2"/>
        <v>#N/A</v>
      </c>
      <c r="L28" s="58">
        <f t="shared" si="3"/>
        <v>0</v>
      </c>
    </row>
    <row r="29" ht="21.0" customHeight="1">
      <c r="A29" s="29" t="s">
        <v>176</v>
      </c>
      <c r="B29" s="32">
        <v>2.0</v>
      </c>
      <c r="C29" s="38" t="str">
        <f t="array" ref="C29">IF(B29="","",INDEX(PARAMETROS!$J$2:$J$14,MATCH(B29,PARAMETROS!$G$2:$G$14,0),1))</f>
        <v>#N/A</v>
      </c>
      <c r="D29" s="42" t="s">
        <v>111</v>
      </c>
      <c r="E29" s="44" t="s">
        <v>115</v>
      </c>
      <c r="F29" s="52">
        <v>45636.0</v>
      </c>
      <c r="G29" s="49" t="str">
        <f t="shared" si="1"/>
        <v>TERMINADO</v>
      </c>
      <c r="H29" s="29" t="s">
        <v>123</v>
      </c>
      <c r="I29" s="52">
        <v>45636.0</v>
      </c>
      <c r="J29" s="58">
        <f>IF(F29="","", IF(I29="",_xlfn.NETWORKDAYS.INTL(F29,TODAY(),1,FERIADOS),_xlfn.NETWORKDAYS.INTL(F29,I29,1,FERIADOS)))</f>
        <v>1</v>
      </c>
      <c r="K29" s="58" t="str">
        <f t="shared" si="2"/>
        <v>#N/A</v>
      </c>
      <c r="L29" s="58">
        <f t="shared" si="3"/>
        <v>0</v>
      </c>
    </row>
    <row r="30" ht="21.0" customHeight="1">
      <c r="A30" s="29" t="s">
        <v>176</v>
      </c>
      <c r="B30" s="32">
        <v>3.0</v>
      </c>
      <c r="C30" s="38" t="str">
        <f t="array" ref="C30">IF(B30="","",INDEX(PARAMETROS!$J$2:$J$14,MATCH(B30,PARAMETROS!$G$2:$G$14,0),1))</f>
        <v>#N/A</v>
      </c>
      <c r="D30" s="42" t="s">
        <v>143</v>
      </c>
      <c r="E30" s="44" t="s">
        <v>144</v>
      </c>
      <c r="F30" s="52">
        <v>45636.0</v>
      </c>
      <c r="G30" s="49" t="str">
        <f t="shared" si="1"/>
        <v>TERMINADO</v>
      </c>
      <c r="H30" s="29" t="s">
        <v>123</v>
      </c>
      <c r="I30" s="52">
        <v>45637.0</v>
      </c>
      <c r="J30" s="58">
        <f>IF(F30="","", IF(I30="",_xlfn.NETWORKDAYS.INTL(F30,TODAY(),1,FERIADOS),_xlfn.NETWORKDAYS.INTL(F30,I30,1,FERIADOS)))</f>
        <v>2</v>
      </c>
      <c r="K30" s="58" t="str">
        <f t="shared" si="2"/>
        <v>#N/A</v>
      </c>
      <c r="L30" s="58">
        <f t="shared" si="3"/>
        <v>0</v>
      </c>
    </row>
    <row r="31" ht="21.0" customHeight="1">
      <c r="A31" s="29" t="s">
        <v>176</v>
      </c>
      <c r="B31" s="32">
        <v>4.0</v>
      </c>
      <c r="C31" s="38" t="str">
        <f t="array" ref="C31">IF(B31="","",INDEX(PARAMETROS!$J$2:$J$14,MATCH(B31,PARAMETROS!$G$2:$G$14,0),1))</f>
        <v>#N/A</v>
      </c>
      <c r="D31" s="42" t="s">
        <v>111</v>
      </c>
      <c r="E31" s="44" t="s">
        <v>145</v>
      </c>
      <c r="F31" s="52">
        <v>45637.0</v>
      </c>
      <c r="G31" s="49" t="str">
        <f t="shared" si="1"/>
        <v>TERMINADO</v>
      </c>
      <c r="H31" s="29" t="s">
        <v>123</v>
      </c>
      <c r="I31" s="52">
        <v>45644.0</v>
      </c>
      <c r="J31" s="58">
        <f>IF(F31="","", IF(I31="",_xlfn.NETWORKDAYS.INTL(F31,TODAY(),1,FERIADOS),_xlfn.NETWORKDAYS.INTL(F31,I31,1,FERIADOS)))</f>
        <v>6</v>
      </c>
      <c r="K31" s="58" t="str">
        <f t="shared" si="2"/>
        <v>#N/A</v>
      </c>
      <c r="L31" s="58">
        <f t="shared" si="3"/>
        <v>0</v>
      </c>
    </row>
    <row r="32" ht="21.0" customHeight="1">
      <c r="A32" s="29" t="s">
        <v>176</v>
      </c>
      <c r="B32" s="32">
        <v>6.0</v>
      </c>
      <c r="C32" s="38" t="str">
        <f t="array" ref="C32">IF(B32="","",INDEX(PARAMETROS!$J$2:$J$14,MATCH(B32,PARAMETROS!$G$2:$G$14,0),1))</f>
        <v>#N/A</v>
      </c>
      <c r="D32" s="42" t="s">
        <v>146</v>
      </c>
      <c r="E32" s="44" t="s">
        <v>147</v>
      </c>
      <c r="F32" s="52">
        <v>45645.0</v>
      </c>
      <c r="G32" s="49" t="str">
        <f t="shared" si="1"/>
        <v>TERMINADO</v>
      </c>
      <c r="H32" s="29" t="s">
        <v>77</v>
      </c>
      <c r="I32" s="52">
        <v>45687.0</v>
      </c>
      <c r="J32" s="58">
        <f>IF(F32="","", IF(I32="",_xlfn.NETWORKDAYS.INTL(F32,TODAY(),1,FERIADOS),_xlfn.NETWORKDAYS.INTL(F32,I32,1,FERIADOS)))</f>
        <v>31</v>
      </c>
      <c r="K32" s="58" t="str">
        <f t="shared" si="2"/>
        <v>#N/A</v>
      </c>
      <c r="L32" s="58">
        <f t="shared" si="3"/>
        <v>0</v>
      </c>
    </row>
    <row r="33" ht="21.0" customHeight="1">
      <c r="A33" s="29" t="s">
        <v>185</v>
      </c>
      <c r="B33" s="32">
        <v>1.0</v>
      </c>
      <c r="C33" s="38" t="str">
        <f t="array" ref="C33">IF(B33="","",INDEX(PARAMETROS!$J$2:$J$14,MATCH(B33,PARAMETROS!$G$2:$G$14,0),1))</f>
        <v>#N/A</v>
      </c>
      <c r="D33" s="42" t="s">
        <v>63</v>
      </c>
      <c r="E33" s="44" t="s">
        <v>186</v>
      </c>
      <c r="F33" s="52">
        <v>45693.0</v>
      </c>
      <c r="G33" s="49" t="str">
        <f t="shared" si="1"/>
        <v>TERMINADO</v>
      </c>
      <c r="H33" s="29" t="s">
        <v>77</v>
      </c>
      <c r="I33" s="52">
        <v>45703.0</v>
      </c>
      <c r="J33" s="58">
        <f>IF(F33="","", IF(I33="",_xlfn.NETWORKDAYS.INTL(F33,TODAY(),1,FERIADOS),_xlfn.NETWORKDAYS.INTL(F33,I33,1,FERIADOS)))</f>
        <v>8</v>
      </c>
      <c r="K33" s="58" t="str">
        <f t="shared" si="2"/>
        <v>#N/A</v>
      </c>
      <c r="L33" s="58">
        <f t="shared" si="3"/>
        <v>0</v>
      </c>
    </row>
    <row r="34" ht="21.0" customHeight="1">
      <c r="A34" s="29" t="s">
        <v>185</v>
      </c>
      <c r="B34" s="32">
        <v>2.0</v>
      </c>
      <c r="C34" s="38" t="str">
        <f t="array" ref="C34">IF(B34="","",INDEX(PARAMETROS!$J$2:$J$14,MATCH(B34,PARAMETROS!$G$2:$G$14,0),1))</f>
        <v>#N/A</v>
      </c>
      <c r="D34" s="42" t="s">
        <v>111</v>
      </c>
      <c r="E34" s="44" t="s">
        <v>115</v>
      </c>
      <c r="F34" s="52">
        <v>45704.0</v>
      </c>
      <c r="G34" s="49" t="str">
        <f t="shared" si="1"/>
        <v>TERMINADO</v>
      </c>
      <c r="H34" s="29" t="s">
        <v>123</v>
      </c>
      <c r="I34" s="52">
        <v>45712.0</v>
      </c>
      <c r="J34" s="58">
        <f>IF(F34="","", IF(I34="",_xlfn.NETWORKDAYS.INTL(F34,TODAY(),1,FERIADOS),_xlfn.NETWORKDAYS.INTL(F34,I34,1,FERIADOS)))</f>
        <v>6</v>
      </c>
      <c r="K34" s="58" t="str">
        <f t="shared" si="2"/>
        <v>#N/A</v>
      </c>
      <c r="L34" s="58">
        <f t="shared" si="3"/>
        <v>0</v>
      </c>
    </row>
    <row r="35" ht="21.0" customHeight="1">
      <c r="A35" s="29" t="s">
        <v>185</v>
      </c>
      <c r="B35" s="32">
        <v>3.0</v>
      </c>
      <c r="C35" s="38" t="str">
        <f t="array" ref="C35">IF(B35="","",INDEX(PARAMETROS!$J$2:$J$14,MATCH(B35,PARAMETROS!$G$2:$G$14,0),1))</f>
        <v>#N/A</v>
      </c>
      <c r="D35" s="42" t="s">
        <v>143</v>
      </c>
      <c r="E35" s="44" t="s">
        <v>144</v>
      </c>
      <c r="F35" s="52">
        <v>45713.0</v>
      </c>
      <c r="G35" s="49" t="str">
        <f t="shared" si="1"/>
        <v>TERMINADO</v>
      </c>
      <c r="H35" s="29" t="s">
        <v>123</v>
      </c>
      <c r="I35" s="52">
        <v>45717.0</v>
      </c>
      <c r="J35" s="58">
        <f>IF(F35="","", IF(I35="",_xlfn.NETWORKDAYS.INTL(F35,TODAY(),1,FERIADOS),_xlfn.NETWORKDAYS.INTL(F35,I35,1,FERIADOS)))</f>
        <v>4</v>
      </c>
      <c r="K35" s="58" t="str">
        <f t="shared" si="2"/>
        <v>#N/A</v>
      </c>
      <c r="L35" s="58">
        <f t="shared" si="3"/>
        <v>0</v>
      </c>
    </row>
    <row r="36" ht="21.0" customHeight="1">
      <c r="A36" s="29" t="s">
        <v>185</v>
      </c>
      <c r="B36" s="32">
        <v>4.0</v>
      </c>
      <c r="C36" s="38" t="str">
        <f t="array" ref="C36">IF(B36="","",INDEX(PARAMETROS!$J$2:$J$14,MATCH(B36,PARAMETROS!$G$2:$G$14,0),1))</f>
        <v>#N/A</v>
      </c>
      <c r="D36" s="42" t="s">
        <v>111</v>
      </c>
      <c r="E36" s="44" t="s">
        <v>145</v>
      </c>
      <c r="F36" s="52">
        <v>45718.0</v>
      </c>
      <c r="G36" s="49" t="str">
        <f t="shared" si="1"/>
        <v>TERMINADO</v>
      </c>
      <c r="H36" s="29" t="s">
        <v>123</v>
      </c>
      <c r="I36" s="52">
        <v>45726.0</v>
      </c>
      <c r="J36" s="58">
        <f>IF(F36="","", IF(I36="",_xlfn.NETWORKDAYS.INTL(F36,TODAY(),1,FERIADOS),_xlfn.NETWORKDAYS.INTL(F36,I36,1,FERIADOS)))</f>
        <v>6</v>
      </c>
      <c r="K36" s="58" t="str">
        <f t="shared" si="2"/>
        <v>#N/A</v>
      </c>
      <c r="L36" s="58">
        <f t="shared" si="3"/>
        <v>0</v>
      </c>
    </row>
    <row r="37" ht="21.0" customHeight="1">
      <c r="A37" s="29" t="s">
        <v>185</v>
      </c>
      <c r="B37" s="32">
        <v>6.0</v>
      </c>
      <c r="C37" s="38" t="str">
        <f t="array" ref="C37">IF(B37="","",INDEX(PARAMETROS!$J$2:$J$14,MATCH(B37,PARAMETROS!$G$2:$G$14,0),1))</f>
        <v>#N/A</v>
      </c>
      <c r="D37" s="42" t="s">
        <v>146</v>
      </c>
      <c r="E37" s="44" t="s">
        <v>147</v>
      </c>
      <c r="F37" s="52">
        <v>45727.0</v>
      </c>
      <c r="G37" s="49" t="str">
        <f t="shared" si="1"/>
        <v>TERMINADO</v>
      </c>
      <c r="H37" s="29" t="s">
        <v>77</v>
      </c>
      <c r="I37" s="52">
        <v>45743.0</v>
      </c>
      <c r="J37" s="58">
        <f>IF(F37="","", IF(I37="",_xlfn.NETWORKDAYS.INTL(F37,TODAY(),1,FERIADOS),_xlfn.NETWORKDAYS.INTL(F37,I37,1,FERIADOS)))</f>
        <v>13</v>
      </c>
      <c r="K37" s="58" t="str">
        <f t="shared" si="2"/>
        <v>#N/A</v>
      </c>
      <c r="L37" s="58">
        <f t="shared" si="3"/>
        <v>0</v>
      </c>
    </row>
    <row r="38" ht="21.0" customHeight="1">
      <c r="A38" s="29" t="s">
        <v>191</v>
      </c>
      <c r="B38" s="32">
        <v>1.0</v>
      </c>
      <c r="C38" s="38" t="str">
        <f t="array" ref="C38">IF(B38="","",INDEX(PARAMETROS!$J$2:$J$14,MATCH(B38,PARAMETROS!$G$2:$G$14,0),1))</f>
        <v>#N/A</v>
      </c>
      <c r="D38" s="42" t="s">
        <v>63</v>
      </c>
      <c r="E38" s="44"/>
      <c r="F38" s="52">
        <v>45992.0</v>
      </c>
      <c r="G38" s="49" t="str">
        <f t="shared" si="1"/>
        <v>TERMINADO</v>
      </c>
      <c r="H38" s="29" t="s">
        <v>77</v>
      </c>
      <c r="I38" s="52">
        <v>46001.0</v>
      </c>
      <c r="J38" s="58">
        <f>IF(F38="","", IF(I38="",_xlfn.NETWORKDAYS.INTL(F38,TODAY(),1,FERIADOS),_xlfn.NETWORKDAYS.INTL(F38,I38,1,FERIADOS)))</f>
        <v>8</v>
      </c>
      <c r="K38" s="58" t="str">
        <f t="shared" si="2"/>
        <v>#N/A</v>
      </c>
      <c r="L38" s="58">
        <f t="shared" si="3"/>
        <v>0</v>
      </c>
    </row>
    <row r="39" ht="21.0" customHeight="1">
      <c r="A39" s="29" t="s">
        <v>191</v>
      </c>
      <c r="B39" s="32">
        <v>2.0</v>
      </c>
      <c r="C39" s="38" t="str">
        <f t="array" ref="C39">IF(B39="","",INDEX(PARAMETROS!$J$2:$J$14,MATCH(B39,PARAMETROS!$G$2:$G$14,0),1))</f>
        <v>#N/A</v>
      </c>
      <c r="D39" s="42" t="s">
        <v>111</v>
      </c>
      <c r="E39" s="44"/>
      <c r="F39" s="52">
        <v>46002.0</v>
      </c>
      <c r="G39" s="49" t="str">
        <f t="shared" si="1"/>
        <v>TERMINADO</v>
      </c>
      <c r="H39" s="29" t="s">
        <v>123</v>
      </c>
      <c r="I39" s="52">
        <v>46003.0</v>
      </c>
      <c r="J39" s="58">
        <f>IF(F39="","", IF(I39="",_xlfn.NETWORKDAYS.INTL(F39,TODAY(),1,FERIADOS),_xlfn.NETWORKDAYS.INTL(F39,I39,1,FERIADOS)))</f>
        <v>2</v>
      </c>
      <c r="K39" s="58" t="str">
        <f t="shared" si="2"/>
        <v>#N/A</v>
      </c>
      <c r="L39" s="58">
        <f t="shared" si="3"/>
        <v>0</v>
      </c>
    </row>
    <row r="40" ht="21.0" customHeight="1">
      <c r="A40" s="29" t="s">
        <v>191</v>
      </c>
      <c r="B40" s="32">
        <v>3.0</v>
      </c>
      <c r="C40" s="38" t="str">
        <f t="array" ref="C40">IF(B40="","",INDEX(PARAMETROS!$J$2:$J$14,MATCH(B40,PARAMETROS!$G$2:$G$14,0),1))</f>
        <v>#N/A</v>
      </c>
      <c r="D40" s="42" t="s">
        <v>143</v>
      </c>
      <c r="E40" s="44" t="s">
        <v>144</v>
      </c>
      <c r="F40" s="52">
        <v>46003.0</v>
      </c>
      <c r="G40" s="49" t="str">
        <f t="shared" si="1"/>
        <v>TERMINADO</v>
      </c>
      <c r="H40" s="29" t="s">
        <v>123</v>
      </c>
      <c r="I40" s="52">
        <v>46003.0</v>
      </c>
      <c r="J40" s="58">
        <f>IF(F40="","", IF(I40="",_xlfn.NETWORKDAYS.INTL(F40,TODAY(),1,FERIADOS),_xlfn.NETWORKDAYS.INTL(F40,I40,1,FERIADOS)))</f>
        <v>1</v>
      </c>
      <c r="K40" s="58" t="str">
        <f t="shared" si="2"/>
        <v>#N/A</v>
      </c>
      <c r="L40" s="58">
        <f t="shared" si="3"/>
        <v>0</v>
      </c>
    </row>
    <row r="41" ht="21.0" customHeight="1">
      <c r="A41" s="29" t="s">
        <v>191</v>
      </c>
      <c r="B41" s="32">
        <v>4.0</v>
      </c>
      <c r="C41" s="38" t="str">
        <f t="array" ref="C41">IF(B41="","",INDEX(PARAMETROS!$J$2:$J$14,MATCH(B41,PARAMETROS!$G$2:$G$14,0),1))</f>
        <v>#N/A</v>
      </c>
      <c r="D41" s="42" t="s">
        <v>111</v>
      </c>
      <c r="E41" s="44" t="s">
        <v>193</v>
      </c>
      <c r="F41" s="52">
        <v>46032.0</v>
      </c>
      <c r="G41" s="49" t="str">
        <f t="shared" si="1"/>
        <v>TERMINADO</v>
      </c>
      <c r="H41" s="29" t="s">
        <v>123</v>
      </c>
      <c r="I41" s="52">
        <v>46035.0</v>
      </c>
      <c r="J41" s="58">
        <f>IF(F41="","", IF(I41="",_xlfn.NETWORKDAYS.INTL(F41,TODAY(),1,FERIADOS),_xlfn.NETWORKDAYS.INTL(F41,I41,1,FERIADOS)))</f>
        <v>2</v>
      </c>
      <c r="K41" s="58" t="str">
        <f t="shared" si="2"/>
        <v>#N/A</v>
      </c>
      <c r="L41" s="58">
        <f t="shared" si="3"/>
        <v>0</v>
      </c>
    </row>
    <row r="42" ht="21.0" customHeight="1">
      <c r="A42" s="29" t="s">
        <v>191</v>
      </c>
      <c r="B42" s="32">
        <v>6.0</v>
      </c>
      <c r="C42" s="38" t="str">
        <f t="array" ref="C42">IF(B42="","",INDEX(PARAMETROS!$J$2:$J$14,MATCH(B42,PARAMETROS!$G$2:$G$14,0),1))</f>
        <v>#N/A</v>
      </c>
      <c r="D42" s="42" t="s">
        <v>146</v>
      </c>
      <c r="E42" s="44" t="s">
        <v>147</v>
      </c>
      <c r="F42" s="52">
        <v>46036.0</v>
      </c>
      <c r="G42" s="49" t="str">
        <f t="shared" si="1"/>
        <v>TERMINADO</v>
      </c>
      <c r="H42" s="29" t="s">
        <v>77</v>
      </c>
      <c r="I42" s="52">
        <v>46044.0</v>
      </c>
      <c r="J42" s="58">
        <f>IF(F42="","", IF(I42="",_xlfn.NETWORKDAYS.INTL(F42,TODAY(),1,FERIADOS),_xlfn.NETWORKDAYS.INTL(F42,I42,1,FERIADOS)))</f>
        <v>7</v>
      </c>
      <c r="K42" s="58" t="str">
        <f t="shared" si="2"/>
        <v>#N/A</v>
      </c>
      <c r="L42" s="58">
        <f t="shared" si="3"/>
        <v>0</v>
      </c>
    </row>
    <row r="43" ht="21.0" customHeight="1">
      <c r="A43" s="76" t="s">
        <v>194</v>
      </c>
      <c r="B43" s="32">
        <v>1.0</v>
      </c>
      <c r="C43" s="38" t="str">
        <f t="array" ref="C43">IF(B43="","",INDEX(PARAMETROS!$J$2:$J$14,MATCH(B43,PARAMETROS!$G$2:$G$14,0),1))</f>
        <v>#N/A</v>
      </c>
      <c r="D43" s="42" t="s">
        <v>63</v>
      </c>
      <c r="E43" s="44"/>
      <c r="F43" s="52">
        <v>46023.0</v>
      </c>
      <c r="G43" s="49" t="str">
        <f t="shared" si="1"/>
        <v>TERMINADO</v>
      </c>
      <c r="H43" s="29" t="s">
        <v>77</v>
      </c>
      <c r="I43" s="52">
        <v>46053.0</v>
      </c>
      <c r="J43" s="58">
        <f>IF(F43="","", IF(I43="",_xlfn.NETWORKDAYS.INTL(F43,TODAY(),1,FERIADOS),_xlfn.NETWORKDAYS.INTL(F43,I43,1,FERIADOS)))</f>
        <v>22</v>
      </c>
      <c r="K43" s="58" t="str">
        <f t="shared" si="2"/>
        <v>#N/A</v>
      </c>
      <c r="L43" s="58">
        <f t="shared" si="3"/>
        <v>0</v>
      </c>
    </row>
    <row r="44" ht="21.0" customHeight="1">
      <c r="A44" s="76" t="s">
        <v>194</v>
      </c>
      <c r="B44" s="32">
        <v>2.0</v>
      </c>
      <c r="C44" s="38" t="str">
        <f t="array" ref="C44">IF(B44="","",INDEX(PARAMETROS!$J$2:$J$14,MATCH(B44,PARAMETROS!$G$2:$G$14,0),1))</f>
        <v>#N/A</v>
      </c>
      <c r="D44" s="42" t="s">
        <v>111</v>
      </c>
      <c r="E44" s="44" t="s">
        <v>169</v>
      </c>
      <c r="F44" s="52">
        <v>46054.0</v>
      </c>
      <c r="G44" s="49" t="str">
        <f t="shared" si="1"/>
        <v>TERMINADO</v>
      </c>
      <c r="H44" s="29" t="s">
        <v>123</v>
      </c>
      <c r="I44" s="52">
        <v>46072.0</v>
      </c>
      <c r="J44" s="58">
        <f>IF(F44="","", IF(I44="",_xlfn.NETWORKDAYS.INTL(F44,TODAY(),1,FERIADOS),_xlfn.NETWORKDAYS.INTL(F44,I44,1,FERIADOS)))</f>
        <v>14</v>
      </c>
      <c r="K44" s="58" t="str">
        <f t="shared" si="2"/>
        <v>#N/A</v>
      </c>
      <c r="L44" s="58">
        <f t="shared" si="3"/>
        <v>0</v>
      </c>
    </row>
    <row r="45" ht="21.0" customHeight="1">
      <c r="A45" s="76" t="s">
        <v>194</v>
      </c>
      <c r="B45" s="32">
        <v>3.0</v>
      </c>
      <c r="C45" s="38" t="str">
        <f t="array" ref="C45">IF(B45="","",INDEX(PARAMETROS!$J$2:$J$14,MATCH(B45,PARAMETROS!$G$2:$G$14,0),1))</f>
        <v>#N/A</v>
      </c>
      <c r="D45" s="42" t="s">
        <v>143</v>
      </c>
      <c r="E45" s="44" t="s">
        <v>144</v>
      </c>
      <c r="F45" s="52">
        <v>46073.0</v>
      </c>
      <c r="G45" s="49" t="str">
        <f t="shared" si="1"/>
        <v>TERMINADO</v>
      </c>
      <c r="H45" s="29" t="s">
        <v>123</v>
      </c>
      <c r="I45" s="52">
        <v>46076.0</v>
      </c>
      <c r="J45" s="58">
        <f>IF(F45="","", IF(I45="",_xlfn.NETWORKDAYS.INTL(F45,TODAY(),1,FERIADOS),_xlfn.NETWORKDAYS.INTL(F45,I45,1,FERIADOS)))</f>
        <v>2</v>
      </c>
      <c r="K45" s="58" t="str">
        <f t="shared" si="2"/>
        <v>#N/A</v>
      </c>
      <c r="L45" s="58">
        <f t="shared" si="3"/>
        <v>0</v>
      </c>
    </row>
    <row r="46" ht="21.0" customHeight="1">
      <c r="A46" s="76" t="s">
        <v>194</v>
      </c>
      <c r="B46" s="32">
        <v>4.0</v>
      </c>
      <c r="C46" s="38" t="str">
        <f t="array" ref="C46">IF(B46="","",INDEX(PARAMETROS!$J$2:$J$14,MATCH(B46,PARAMETROS!$G$2:$G$14,0),1))</f>
        <v>#N/A</v>
      </c>
      <c r="D46" s="42" t="s">
        <v>111</v>
      </c>
      <c r="E46" s="44" t="s">
        <v>145</v>
      </c>
      <c r="F46" s="52">
        <v>46077.0</v>
      </c>
      <c r="G46" s="49" t="str">
        <f t="shared" si="1"/>
        <v>TERMINADO</v>
      </c>
      <c r="H46" s="29" t="s">
        <v>123</v>
      </c>
      <c r="I46" s="52">
        <v>46079.0</v>
      </c>
      <c r="J46" s="58">
        <f>IF(F46="","", IF(I46="",_xlfn.NETWORKDAYS.INTL(F46,TODAY(),1,FERIADOS),_xlfn.NETWORKDAYS.INTL(F46,I46,1,FERIADOS)))</f>
        <v>3</v>
      </c>
      <c r="K46" s="58" t="str">
        <f t="shared" si="2"/>
        <v>#N/A</v>
      </c>
      <c r="L46" s="58">
        <f t="shared" si="3"/>
        <v>0</v>
      </c>
    </row>
    <row r="47" ht="21.0" customHeight="1">
      <c r="A47" s="76" t="s">
        <v>194</v>
      </c>
      <c r="B47" s="32">
        <v>6.0</v>
      </c>
      <c r="C47" s="38" t="str">
        <f t="array" ref="C47">IF(B47="","",INDEX(PARAMETROS!$J$2:$J$14,MATCH(B47,PARAMETROS!$G$2:$G$14,0),1))</f>
        <v>#N/A</v>
      </c>
      <c r="D47" s="42" t="s">
        <v>146</v>
      </c>
      <c r="E47" s="44" t="s">
        <v>147</v>
      </c>
      <c r="F47" s="52">
        <v>46079.0</v>
      </c>
      <c r="G47" s="49" t="str">
        <f t="shared" si="1"/>
        <v>TERMINADO</v>
      </c>
      <c r="H47" s="29" t="s">
        <v>77</v>
      </c>
      <c r="I47" s="52">
        <v>46080.0</v>
      </c>
      <c r="J47" s="58">
        <f>IF(F47="","", IF(I47="",_xlfn.NETWORKDAYS.INTL(F47,TODAY(),1,FERIADOS),_xlfn.NETWORKDAYS.INTL(F47,I47,1,FERIADOS)))</f>
        <v>2</v>
      </c>
      <c r="K47" s="58" t="str">
        <f t="shared" si="2"/>
        <v>#N/A</v>
      </c>
      <c r="L47" s="58">
        <f t="shared" si="3"/>
        <v>0</v>
      </c>
    </row>
    <row r="48" ht="21.0" customHeight="1">
      <c r="A48" s="29" t="s">
        <v>199</v>
      </c>
      <c r="B48" s="32">
        <v>1.0</v>
      </c>
      <c r="C48" s="38" t="str">
        <f t="array" ref="C48">IF(B48="","",INDEX(PARAMETROS!$J$2:$J$14,MATCH(B48,PARAMETROS!$G$2:$G$14,0),1))</f>
        <v>#N/A</v>
      </c>
      <c r="D48" s="42" t="s">
        <v>63</v>
      </c>
      <c r="E48" s="44"/>
      <c r="F48" s="52">
        <v>45940.0</v>
      </c>
      <c r="G48" s="49" t="str">
        <f t="shared" si="1"/>
        <v>TERMINADO</v>
      </c>
      <c r="H48" s="29"/>
      <c r="I48" s="52">
        <v>45945.0</v>
      </c>
      <c r="J48" s="58">
        <f>IF(F48="","", IF(I48="",_xlfn.NETWORKDAYS.INTL(F48,TODAY(),1,FERIADOS),_xlfn.NETWORKDAYS.INTL(F48,I48,1,FERIADOS)))</f>
        <v>4</v>
      </c>
      <c r="K48" s="58" t="str">
        <f t="shared" si="2"/>
        <v>#N/A</v>
      </c>
      <c r="L48" s="58">
        <f t="shared" si="3"/>
        <v>0</v>
      </c>
    </row>
    <row r="49" ht="21.0" customHeight="1">
      <c r="A49" s="29" t="s">
        <v>199</v>
      </c>
      <c r="B49" s="32">
        <v>2.0</v>
      </c>
      <c r="C49" s="38" t="str">
        <f t="array" ref="C49">IF(B49="","",INDEX(PARAMETROS!$J$2:$J$14,MATCH(B49,PARAMETROS!$G$2:$G$14,0),1))</f>
        <v>#N/A</v>
      </c>
      <c r="D49" s="42" t="s">
        <v>111</v>
      </c>
      <c r="E49" s="44" t="s">
        <v>202</v>
      </c>
      <c r="F49" s="52">
        <v>45946.0</v>
      </c>
      <c r="G49" s="49" t="str">
        <f t="shared" si="1"/>
        <v>TERMINADO</v>
      </c>
      <c r="H49" s="29" t="s">
        <v>123</v>
      </c>
      <c r="I49" s="52">
        <v>45950.0</v>
      </c>
      <c r="J49" s="58">
        <f>IF(F49="","", IF(I49="",_xlfn.NETWORKDAYS.INTL(F49,TODAY(),1,FERIADOS),_xlfn.NETWORKDAYS.INTL(F49,I49,1,FERIADOS)))</f>
        <v>3</v>
      </c>
      <c r="K49" s="58" t="str">
        <f t="shared" si="2"/>
        <v>#N/A</v>
      </c>
      <c r="L49" s="58">
        <f t="shared" si="3"/>
        <v>0</v>
      </c>
    </row>
    <row r="50" ht="21.0" customHeight="1">
      <c r="A50" s="29" t="s">
        <v>199</v>
      </c>
      <c r="B50" s="32">
        <v>3.0</v>
      </c>
      <c r="C50" s="38" t="str">
        <f t="array" ref="C50">IF(B50="","",INDEX(PARAMETROS!$J$2:$J$14,MATCH(B50,PARAMETROS!$G$2:$G$14,0),1))</f>
        <v>#N/A</v>
      </c>
      <c r="D50" s="42" t="s">
        <v>143</v>
      </c>
      <c r="E50" s="44" t="s">
        <v>144</v>
      </c>
      <c r="F50" s="52">
        <v>45950.0</v>
      </c>
      <c r="G50" s="49" t="str">
        <f t="shared" si="1"/>
        <v>TERMINADO</v>
      </c>
      <c r="H50" s="29" t="s">
        <v>123</v>
      </c>
      <c r="I50" s="52">
        <v>45951.0</v>
      </c>
      <c r="J50" s="58">
        <f>IF(F50="","", IF(I50="",_xlfn.NETWORKDAYS.INTL(F50,TODAY(),1,FERIADOS),_xlfn.NETWORKDAYS.INTL(F50,I50,1,FERIADOS)))</f>
        <v>2</v>
      </c>
      <c r="K50" s="58" t="str">
        <f t="shared" si="2"/>
        <v>#N/A</v>
      </c>
      <c r="L50" s="58">
        <f t="shared" si="3"/>
        <v>0</v>
      </c>
    </row>
    <row r="51" ht="21.0" customHeight="1">
      <c r="A51" s="29" t="s">
        <v>199</v>
      </c>
      <c r="B51" s="32">
        <v>4.0</v>
      </c>
      <c r="C51" s="38" t="str">
        <f t="array" ref="C51">IF(B51="","",INDEX(PARAMETROS!$J$2:$J$14,MATCH(B51,PARAMETROS!$G$2:$G$14,0),1))</f>
        <v>#N/A</v>
      </c>
      <c r="D51" s="42" t="s">
        <v>111</v>
      </c>
      <c r="E51" s="44" t="s">
        <v>67</v>
      </c>
      <c r="F51" s="52">
        <v>45952.0</v>
      </c>
      <c r="G51" s="49" t="str">
        <f t="shared" si="1"/>
        <v>TERMINADO</v>
      </c>
      <c r="H51" s="29" t="s">
        <v>123</v>
      </c>
      <c r="I51" s="52">
        <v>45976.0</v>
      </c>
      <c r="J51" s="58">
        <f>IF(F51="","", IF(I51="",_xlfn.NETWORKDAYS.INTL(F51,TODAY(),1,FERIADOS),_xlfn.NETWORKDAYS.INTL(F51,I51,1,FERIADOS)))</f>
        <v>18</v>
      </c>
      <c r="K51" s="58" t="str">
        <f t="shared" si="2"/>
        <v>#N/A</v>
      </c>
      <c r="L51" s="58">
        <f t="shared" si="3"/>
        <v>0</v>
      </c>
    </row>
    <row r="52" ht="21.0" customHeight="1">
      <c r="A52" s="29" t="s">
        <v>199</v>
      </c>
      <c r="B52" s="32">
        <v>6.0</v>
      </c>
      <c r="C52" s="38" t="str">
        <f t="array" ref="C52">IF(B52="","",INDEX(PARAMETROS!$J$2:$J$14,MATCH(B52,PARAMETROS!$G$2:$G$14,0),1))</f>
        <v>#N/A</v>
      </c>
      <c r="D52" s="42" t="s">
        <v>146</v>
      </c>
      <c r="E52" s="44" t="s">
        <v>147</v>
      </c>
      <c r="F52" s="52">
        <v>46087.0</v>
      </c>
      <c r="G52" s="49" t="str">
        <f t="shared" si="1"/>
        <v>TERMINADO</v>
      </c>
      <c r="H52" s="29" t="s">
        <v>77</v>
      </c>
      <c r="I52" s="52">
        <v>46087.0</v>
      </c>
      <c r="J52" s="58">
        <f>IF(F52="","", IF(I52="",_xlfn.NETWORKDAYS.INTL(F52,TODAY(),1,FERIADOS),_xlfn.NETWORKDAYS.INTL(F52,I52,1,FERIADOS)))</f>
        <v>1</v>
      </c>
      <c r="K52" s="58" t="str">
        <f t="shared" si="2"/>
        <v>#N/A</v>
      </c>
      <c r="L52" s="58">
        <f t="shared" si="3"/>
        <v>0</v>
      </c>
    </row>
    <row r="53" ht="21.0" customHeight="1">
      <c r="A53" s="29" t="s">
        <v>208</v>
      </c>
      <c r="B53" s="32">
        <v>1.0</v>
      </c>
      <c r="C53" s="38" t="str">
        <f t="array" ref="C53">IF(B53="","",INDEX(PARAMETROS!$J$2:$J$14,MATCH(B53,PARAMETROS!$G$2:$G$14,0),1))</f>
        <v>#N/A</v>
      </c>
      <c r="D53" s="42" t="s">
        <v>63</v>
      </c>
      <c r="E53" s="44" t="s">
        <v>209</v>
      </c>
      <c r="F53" s="52">
        <v>46174.0</v>
      </c>
      <c r="G53" s="49" t="str">
        <f t="shared" si="1"/>
        <v>TERMINADO</v>
      </c>
      <c r="H53" s="29" t="s">
        <v>77</v>
      </c>
      <c r="I53" s="52">
        <v>46183.0</v>
      </c>
      <c r="J53" s="58">
        <f>IF(F53="","", IF(I53="",_xlfn.NETWORKDAYS.INTL(F53,TODAY(),1,FERIADOS),_xlfn.NETWORKDAYS.INTL(F53,I53,1,FERIADOS)))</f>
        <v>8</v>
      </c>
      <c r="K53" s="58" t="str">
        <f t="shared" si="2"/>
        <v>#N/A</v>
      </c>
      <c r="L53" s="58">
        <f t="shared" si="3"/>
        <v>0</v>
      </c>
    </row>
    <row r="54" ht="21.0" customHeight="1">
      <c r="A54" s="29" t="s">
        <v>208</v>
      </c>
      <c r="B54" s="32">
        <v>2.0</v>
      </c>
      <c r="C54" s="38" t="str">
        <f t="array" ref="C54">IF(B54="","",INDEX(PARAMETROS!$J$2:$J$14,MATCH(B54,PARAMETROS!$G$2:$G$14,0),1))</f>
        <v>#N/A</v>
      </c>
      <c r="D54" s="42" t="s">
        <v>111</v>
      </c>
      <c r="E54" s="44" t="s">
        <v>212</v>
      </c>
      <c r="F54" s="52">
        <v>46184.0</v>
      </c>
      <c r="G54" s="49" t="str">
        <f t="shared" si="1"/>
        <v>TERMINADO</v>
      </c>
      <c r="H54" s="29" t="s">
        <v>123</v>
      </c>
      <c r="I54" s="52">
        <v>46188.0</v>
      </c>
      <c r="J54" s="58">
        <f>IF(F54="","", IF(I54="",_xlfn.NETWORKDAYS.INTL(F54,TODAY(),1,FERIADOS),_xlfn.NETWORKDAYS.INTL(F54,I54,1,FERIADOS)))</f>
        <v>3</v>
      </c>
      <c r="K54" s="58" t="str">
        <f t="shared" si="2"/>
        <v>#N/A</v>
      </c>
      <c r="L54" s="58">
        <f t="shared" si="3"/>
        <v>0</v>
      </c>
    </row>
    <row r="55" ht="21.0" customHeight="1">
      <c r="A55" s="29" t="s">
        <v>208</v>
      </c>
      <c r="B55" s="32">
        <v>3.0</v>
      </c>
      <c r="C55" s="38" t="str">
        <f t="array" ref="C55">IF(B55="","",INDEX(PARAMETROS!$J$2:$J$14,MATCH(B55,PARAMETROS!$G$2:$G$14,0),1))</f>
        <v>#N/A</v>
      </c>
      <c r="D55" s="42" t="s">
        <v>143</v>
      </c>
      <c r="E55" s="44" t="s">
        <v>144</v>
      </c>
      <c r="F55" s="52">
        <v>46189.0</v>
      </c>
      <c r="G55" s="49" t="str">
        <f t="shared" si="1"/>
        <v>TERMINADO</v>
      </c>
      <c r="H55" s="29" t="s">
        <v>123</v>
      </c>
      <c r="I55" s="52">
        <v>46190.0</v>
      </c>
      <c r="J55" s="58">
        <f>IF(F55="","", IF(I55="",_xlfn.NETWORKDAYS.INTL(F55,TODAY(),1,FERIADOS),_xlfn.NETWORKDAYS.INTL(F55,I55,1,FERIADOS)))</f>
        <v>2</v>
      </c>
      <c r="K55" s="58" t="str">
        <f t="shared" si="2"/>
        <v>#N/A</v>
      </c>
      <c r="L55" s="58">
        <f t="shared" si="3"/>
        <v>0</v>
      </c>
    </row>
    <row r="56" ht="21.0" customHeight="1">
      <c r="A56" s="29" t="s">
        <v>208</v>
      </c>
      <c r="B56" s="32">
        <v>4.0</v>
      </c>
      <c r="C56" s="38" t="str">
        <f t="array" ref="C56">IF(B56="","",INDEX(PARAMETROS!$J$2:$J$14,MATCH(B56,PARAMETROS!$G$2:$G$14,0),1))</f>
        <v>#N/A</v>
      </c>
      <c r="D56" s="42" t="s">
        <v>111</v>
      </c>
      <c r="E56" s="44" t="s">
        <v>193</v>
      </c>
      <c r="F56" s="52">
        <v>46191.0</v>
      </c>
      <c r="G56" s="49" t="str">
        <f t="shared" si="1"/>
        <v>TERMINADO</v>
      </c>
      <c r="H56" s="29" t="s">
        <v>123</v>
      </c>
      <c r="I56" s="52">
        <v>46198.0</v>
      </c>
      <c r="J56" s="58">
        <f>IF(F56="","", IF(I56="",_xlfn.NETWORKDAYS.INTL(F56,TODAY(),1,FERIADOS),_xlfn.NETWORKDAYS.INTL(F56,I56,1,FERIADOS)))</f>
        <v>6</v>
      </c>
      <c r="K56" s="58" t="str">
        <f t="shared" si="2"/>
        <v>#N/A</v>
      </c>
      <c r="L56" s="58">
        <f t="shared" si="3"/>
        <v>0</v>
      </c>
    </row>
    <row r="57" ht="21.0" customHeight="1">
      <c r="A57" s="29" t="s">
        <v>208</v>
      </c>
      <c r="B57" s="32">
        <v>6.0</v>
      </c>
      <c r="C57" s="38" t="str">
        <f t="array" ref="C57">IF(B57="","",INDEX(PARAMETROS!$J$2:$J$14,MATCH(B57,PARAMETROS!$G$2:$G$14,0),1))</f>
        <v>#N/A</v>
      </c>
      <c r="D57" s="42" t="s">
        <v>146</v>
      </c>
      <c r="E57" s="44" t="s">
        <v>147</v>
      </c>
      <c r="F57" s="52">
        <v>46203.0</v>
      </c>
      <c r="G57" s="49" t="str">
        <f t="shared" si="1"/>
        <v>TERMINADO</v>
      </c>
      <c r="H57" s="29" t="s">
        <v>77</v>
      </c>
      <c r="I57" s="52">
        <v>46203.0</v>
      </c>
      <c r="J57" s="58">
        <f>IF(F57="","", IF(I57="",_xlfn.NETWORKDAYS.INTL(F57,TODAY(),1,FERIADOS),_xlfn.NETWORKDAYS.INTL(F57,I57,1,FERIADOS)))</f>
        <v>1</v>
      </c>
      <c r="K57" s="58" t="str">
        <f t="shared" si="2"/>
        <v>#N/A</v>
      </c>
      <c r="L57" s="58">
        <f t="shared" si="3"/>
        <v>0</v>
      </c>
    </row>
    <row r="58" ht="21.0" customHeight="1">
      <c r="A58" s="29"/>
      <c r="B58" s="94"/>
      <c r="C58" s="38" t="str">
        <f t="array" ref="C58">IF(B58="","",INDEX(PARAMETROS!$J$2:$J$14,MATCH(B58,PARAMETROS!$G$2:$G$14,0),1))</f>
        <v/>
      </c>
      <c r="D58" s="42"/>
      <c r="E58" s="44"/>
      <c r="F58" s="52"/>
      <c r="G58" s="49" t="str">
        <f t="shared" si="1"/>
        <v/>
      </c>
      <c r="H58" s="29"/>
      <c r="I58" s="52"/>
      <c r="J58" s="58" t="str">
        <f>IF(F58="","", IF(I58="",_xlfn.NETWORKDAYS.INTL(F58,TODAY(),1,FERIADOS),_xlfn.NETWORKDAYS.INTL(F58,I58,1,FERIADOS)))</f>
        <v/>
      </c>
      <c r="K58" s="58" t="str">
        <f t="shared" si="2"/>
        <v/>
      </c>
      <c r="L58" s="58" t="str">
        <f t="shared" si="3"/>
        <v/>
      </c>
    </row>
    <row r="59" ht="21.0" customHeight="1">
      <c r="A59" s="29"/>
      <c r="B59" s="94"/>
      <c r="C59" s="38" t="str">
        <f t="array" ref="C59">IF(B59="","",INDEX(PARAMETROS!$J$2:$J$14,MATCH(B59,PARAMETROS!$G$2:$G$14,0),1))</f>
        <v/>
      </c>
      <c r="D59" s="42"/>
      <c r="E59" s="44"/>
      <c r="F59" s="52"/>
      <c r="G59" s="49" t="str">
        <f t="shared" si="1"/>
        <v/>
      </c>
      <c r="H59" s="29"/>
      <c r="I59" s="52"/>
      <c r="J59" s="58" t="str">
        <f>IF(F59="","", IF(I59="",_xlfn.NETWORKDAYS.INTL(F59,TODAY(),1,FERIADOS),_xlfn.NETWORKDAYS.INTL(F59,I59,1,FERIADOS)))</f>
        <v/>
      </c>
      <c r="K59" s="58" t="str">
        <f t="shared" si="2"/>
        <v/>
      </c>
      <c r="L59" s="58" t="str">
        <f t="shared" si="3"/>
        <v/>
      </c>
    </row>
    <row r="60" ht="21.0" customHeight="1">
      <c r="A60" s="29"/>
      <c r="B60" s="94"/>
      <c r="C60" s="38" t="str">
        <f t="array" ref="C60">IF(B60="","",INDEX(PARAMETROS!$J$2:$J$14,MATCH(B60,PARAMETROS!$G$2:$G$14,0),1))</f>
        <v/>
      </c>
      <c r="D60" s="42"/>
      <c r="E60" s="44"/>
      <c r="F60" s="52"/>
      <c r="G60" s="49" t="str">
        <f t="shared" si="1"/>
        <v/>
      </c>
      <c r="H60" s="29"/>
      <c r="I60" s="52"/>
      <c r="J60" s="58" t="str">
        <f>IF(F60="","", IF(I60="",_xlfn.NETWORKDAYS.INTL(F60,TODAY(),1,FERIADOS),_xlfn.NETWORKDAYS.INTL(F60,I60,1,FERIADOS)))</f>
        <v/>
      </c>
      <c r="K60" s="58" t="str">
        <f t="shared" si="2"/>
        <v/>
      </c>
      <c r="L60" s="58" t="str">
        <f t="shared" si="3"/>
        <v/>
      </c>
    </row>
    <row r="61" ht="21.0" customHeight="1">
      <c r="A61" s="29"/>
      <c r="B61" s="94"/>
      <c r="C61" s="38" t="str">
        <f t="array" ref="C61">IF(B61="","",INDEX(PARAMETROS!$J$2:$J$14,MATCH(B61,PARAMETROS!$G$2:$G$14,0),1))</f>
        <v/>
      </c>
      <c r="D61" s="42"/>
      <c r="E61" s="44"/>
      <c r="F61" s="52"/>
      <c r="G61" s="49" t="str">
        <f t="shared" si="1"/>
        <v/>
      </c>
      <c r="H61" s="29"/>
      <c r="I61" s="52"/>
      <c r="J61" s="58" t="str">
        <f>IF(F61="","", IF(I61="",_xlfn.NETWORKDAYS.INTL(F61,TODAY(),1,FERIADOS),_xlfn.NETWORKDAYS.INTL(F61,I61,1,FERIADOS)))</f>
        <v/>
      </c>
      <c r="K61" s="58" t="str">
        <f t="shared" si="2"/>
        <v/>
      </c>
      <c r="L61" s="58" t="str">
        <f t="shared" si="3"/>
        <v/>
      </c>
    </row>
    <row r="62" ht="21.0" customHeight="1">
      <c r="A62" s="29"/>
      <c r="B62" s="94"/>
      <c r="C62" s="38" t="str">
        <f t="array" ref="C62">IF(B62="","",INDEX(PARAMETROS!$J$2:$J$14,MATCH(B62,PARAMETROS!$G$2:$G$14,0),1))</f>
        <v/>
      </c>
      <c r="D62" s="42"/>
      <c r="E62" s="44"/>
      <c r="F62" s="52"/>
      <c r="G62" s="49" t="str">
        <f t="shared" si="1"/>
        <v/>
      </c>
      <c r="H62" s="29"/>
      <c r="I62" s="52"/>
      <c r="J62" s="58" t="str">
        <f>IF(F62="","", IF(I62="",_xlfn.NETWORKDAYS.INTL(F62,TODAY(),1,FERIADOS),_xlfn.NETWORKDAYS.INTL(F62,I62,1,FERIADOS)))</f>
        <v/>
      </c>
      <c r="K62" s="58" t="str">
        <f t="shared" si="2"/>
        <v/>
      </c>
      <c r="L62" s="58" t="str">
        <f t="shared" si="3"/>
        <v/>
      </c>
    </row>
    <row r="63" ht="21.0" customHeight="1">
      <c r="A63" s="29"/>
      <c r="B63" s="94"/>
      <c r="C63" s="38" t="str">
        <f t="array" ref="C63">IF(B63="","",INDEX(PARAMETROS!$J$2:$J$14,MATCH(B63,PARAMETROS!$G$2:$G$14,0),1))</f>
        <v/>
      </c>
      <c r="D63" s="42"/>
      <c r="E63" s="44"/>
      <c r="F63" s="52"/>
      <c r="G63" s="49" t="str">
        <f t="shared" si="1"/>
        <v/>
      </c>
      <c r="H63" s="29"/>
      <c r="I63" s="52"/>
      <c r="J63" s="58" t="str">
        <f>IF(F63="","", IF(I63="",_xlfn.NETWORKDAYS.INTL(F63,TODAY(),1,FERIADOS),_xlfn.NETWORKDAYS.INTL(F63,I63,1,FERIADOS)))</f>
        <v/>
      </c>
      <c r="K63" s="58" t="str">
        <f t="shared" si="2"/>
        <v/>
      </c>
      <c r="L63" s="58" t="str">
        <f t="shared" si="3"/>
        <v/>
      </c>
    </row>
    <row r="64" ht="21.0" customHeight="1">
      <c r="A64" s="29"/>
      <c r="B64" s="94"/>
      <c r="C64" s="38" t="str">
        <f t="array" ref="C64">IF(B64="","",INDEX(PARAMETROS!$J$2:$J$14,MATCH(B64,PARAMETROS!$G$2:$G$14,0),1))</f>
        <v/>
      </c>
      <c r="D64" s="42"/>
      <c r="E64" s="44"/>
      <c r="F64" s="52"/>
      <c r="G64" s="49" t="str">
        <f t="shared" si="1"/>
        <v/>
      </c>
      <c r="H64" s="29"/>
      <c r="I64" s="52"/>
      <c r="J64" s="58" t="str">
        <f>IF(F64="","", IF(I64="",_xlfn.NETWORKDAYS.INTL(F64,TODAY(),1,FERIADOS),_xlfn.NETWORKDAYS.INTL(F64,I64,1,FERIADOS)))</f>
        <v/>
      </c>
      <c r="K64" s="58" t="str">
        <f t="shared" si="2"/>
        <v/>
      </c>
      <c r="L64" s="58" t="str">
        <f t="shared" si="3"/>
        <v/>
      </c>
    </row>
    <row r="65" ht="21.0" customHeight="1">
      <c r="A65" s="29"/>
      <c r="B65" s="94"/>
      <c r="C65" s="38" t="str">
        <f t="array" ref="C65">IF(B65="","",INDEX(PARAMETROS!$J$2:$J$14,MATCH(B65,PARAMETROS!$G$2:$G$14,0),1))</f>
        <v/>
      </c>
      <c r="D65" s="42"/>
      <c r="E65" s="44"/>
      <c r="F65" s="52"/>
      <c r="G65" s="49" t="str">
        <f t="shared" si="1"/>
        <v/>
      </c>
      <c r="H65" s="29"/>
      <c r="I65" s="52"/>
      <c r="J65" s="58" t="str">
        <f>IF(F65="","", IF(I65="",_xlfn.NETWORKDAYS.INTL(F65,TODAY(),1,FERIADOS),_xlfn.NETWORKDAYS.INTL(F65,I65,1,FERIADOS)))</f>
        <v/>
      </c>
      <c r="K65" s="58" t="str">
        <f t="shared" si="2"/>
        <v/>
      </c>
      <c r="L65" s="58" t="str">
        <f t="shared" si="3"/>
        <v/>
      </c>
    </row>
    <row r="66" ht="21.0" customHeight="1">
      <c r="A66" s="29"/>
      <c r="B66" s="94"/>
      <c r="C66" s="38" t="str">
        <f t="array" ref="C66">IF(B66="","",INDEX(PARAMETROS!$J$2:$J$14,MATCH(B66,PARAMETROS!$G$2:$G$14,0),1))</f>
        <v/>
      </c>
      <c r="D66" s="42"/>
      <c r="E66" s="44"/>
      <c r="F66" s="52"/>
      <c r="G66" s="49" t="str">
        <f t="shared" si="1"/>
        <v/>
      </c>
      <c r="H66" s="29"/>
      <c r="I66" s="52"/>
      <c r="J66" s="58" t="str">
        <f>IF(F66="","", IF(I66="",_xlfn.NETWORKDAYS.INTL(F66,TODAY(),1,FERIADOS),_xlfn.NETWORKDAYS.INTL(F66,I66,1,FERIADOS)))</f>
        <v/>
      </c>
      <c r="K66" s="58" t="str">
        <f t="shared" si="2"/>
        <v/>
      </c>
      <c r="L66" s="58" t="str">
        <f t="shared" si="3"/>
        <v/>
      </c>
    </row>
    <row r="67" ht="21.0" customHeight="1">
      <c r="A67" s="29"/>
      <c r="B67" s="94"/>
      <c r="C67" s="38" t="str">
        <f t="array" ref="C67">IF(B67="","",INDEX(PARAMETROS!$J$2:$J$14,MATCH(B67,PARAMETROS!$G$2:$G$14,0),1))</f>
        <v/>
      </c>
      <c r="D67" s="42"/>
      <c r="E67" s="44"/>
      <c r="F67" s="52"/>
      <c r="G67" s="49" t="str">
        <f t="shared" si="1"/>
        <v/>
      </c>
      <c r="H67" s="29"/>
      <c r="I67" s="52"/>
      <c r="J67" s="58" t="str">
        <f>IF(F67="","", IF(I67="",_xlfn.NETWORKDAYS.INTL(F67,TODAY(),1,FERIADOS),_xlfn.NETWORKDAYS.INTL(F67,I67,1,FERIADOS)))</f>
        <v/>
      </c>
      <c r="K67" s="58" t="str">
        <f t="shared" si="2"/>
        <v/>
      </c>
      <c r="L67" s="58" t="str">
        <f t="shared" si="3"/>
        <v/>
      </c>
    </row>
    <row r="68" ht="21.0" customHeight="1">
      <c r="A68" s="29"/>
      <c r="B68" s="94"/>
      <c r="C68" s="38" t="str">
        <f t="array" ref="C68">IF(B68="","",INDEX(PARAMETROS!$J$2:$J$14,MATCH(B68,PARAMETROS!$G$2:$G$14,0),1))</f>
        <v/>
      </c>
      <c r="D68" s="42"/>
      <c r="E68" s="44"/>
      <c r="F68" s="52"/>
      <c r="G68" s="49" t="str">
        <f t="shared" si="1"/>
        <v/>
      </c>
      <c r="H68" s="29"/>
      <c r="I68" s="52"/>
      <c r="J68" s="58" t="str">
        <f>IF(F68="","", IF(I68="",_xlfn.NETWORKDAYS.INTL(F68,TODAY(),1,FERIADOS),_xlfn.NETWORKDAYS.INTL(F68,I68,1,FERIADOS)))</f>
        <v/>
      </c>
      <c r="K68" s="58" t="str">
        <f t="shared" si="2"/>
        <v/>
      </c>
      <c r="L68" s="58" t="str">
        <f t="shared" si="3"/>
        <v/>
      </c>
    </row>
    <row r="69" ht="21.0" customHeight="1">
      <c r="A69" s="29"/>
      <c r="B69" s="94"/>
      <c r="C69" s="38" t="str">
        <f t="array" ref="C69">IF(B69="","",INDEX(PARAMETROS!$J$2:$J$14,MATCH(B69,PARAMETROS!$G$2:$G$14,0),1))</f>
        <v/>
      </c>
      <c r="D69" s="42"/>
      <c r="E69" s="44"/>
      <c r="F69" s="52"/>
      <c r="G69" s="49" t="str">
        <f t="shared" si="1"/>
        <v/>
      </c>
      <c r="H69" s="29"/>
      <c r="I69" s="52"/>
      <c r="J69" s="58" t="str">
        <f>IF(F69="","", IF(I69="",_xlfn.NETWORKDAYS.INTL(F69,TODAY(),1,FERIADOS),_xlfn.NETWORKDAYS.INTL(F69,I69,1,FERIADOS)))</f>
        <v/>
      </c>
      <c r="K69" s="58" t="str">
        <f t="shared" si="2"/>
        <v/>
      </c>
      <c r="L69" s="58" t="str">
        <f t="shared" si="3"/>
        <v/>
      </c>
    </row>
    <row r="70" ht="21.0" customHeight="1">
      <c r="A70" s="29"/>
      <c r="B70" s="94"/>
      <c r="C70" s="38" t="str">
        <f t="array" ref="C70">IF(B70="","",INDEX(PARAMETROS!$J$2:$J$14,MATCH(B70,PARAMETROS!$G$2:$G$14,0),1))</f>
        <v/>
      </c>
      <c r="D70" s="42"/>
      <c r="E70" s="44"/>
      <c r="F70" s="52"/>
      <c r="G70" s="49" t="str">
        <f t="shared" si="1"/>
        <v/>
      </c>
      <c r="H70" s="29"/>
      <c r="I70" s="52"/>
      <c r="J70" s="58" t="str">
        <f>IF(F70="","", IF(I70="",_xlfn.NETWORKDAYS.INTL(F70,TODAY(),1,FERIADOS),_xlfn.NETWORKDAYS.INTL(F70,I70,1,FERIADOS)))</f>
        <v/>
      </c>
      <c r="K70" s="58" t="str">
        <f t="shared" si="2"/>
        <v/>
      </c>
      <c r="L70" s="58" t="str">
        <f t="shared" si="3"/>
        <v/>
      </c>
    </row>
    <row r="71" ht="21.0" customHeight="1">
      <c r="A71" s="29"/>
      <c r="B71" s="94"/>
      <c r="C71" s="38" t="str">
        <f t="array" ref="C71">IF(B71="","",INDEX(PARAMETROS!$J$2:$J$14,MATCH(B71,PARAMETROS!$G$2:$G$14,0),1))</f>
        <v/>
      </c>
      <c r="D71" s="42"/>
      <c r="E71" s="44"/>
      <c r="F71" s="52"/>
      <c r="G71" s="49" t="str">
        <f t="shared" si="1"/>
        <v/>
      </c>
      <c r="H71" s="29"/>
      <c r="I71" s="52"/>
      <c r="J71" s="58" t="str">
        <f>IF(F71="","", IF(I71="",_xlfn.NETWORKDAYS.INTL(F71,TODAY(),1,FERIADOS),_xlfn.NETWORKDAYS.INTL(F71,I71,1,FERIADOS)))</f>
        <v/>
      </c>
      <c r="K71" s="58" t="str">
        <f t="shared" si="2"/>
        <v/>
      </c>
      <c r="L71" s="58" t="str">
        <f t="shared" si="3"/>
        <v/>
      </c>
    </row>
    <row r="72" ht="21.0" customHeight="1">
      <c r="A72" s="29"/>
      <c r="B72" s="94"/>
      <c r="C72" s="38" t="str">
        <f t="array" ref="C72">IF(B72="","",INDEX(PARAMETROS!$J$2:$J$14,MATCH(B72,PARAMETROS!$G$2:$G$14,0),1))</f>
        <v/>
      </c>
      <c r="D72" s="42"/>
      <c r="E72" s="44"/>
      <c r="F72" s="52"/>
      <c r="G72" s="49" t="str">
        <f t="shared" si="1"/>
        <v/>
      </c>
      <c r="H72" s="29"/>
      <c r="I72" s="52"/>
      <c r="J72" s="58" t="str">
        <f>IF(F72="","", IF(I72="",_xlfn.NETWORKDAYS.INTL(F72,TODAY(),1,FERIADOS),_xlfn.NETWORKDAYS.INTL(F72,I72,1,FERIADOS)))</f>
        <v/>
      </c>
      <c r="K72" s="58" t="str">
        <f t="shared" si="2"/>
        <v/>
      </c>
      <c r="L72" s="58" t="str">
        <f t="shared" si="3"/>
        <v/>
      </c>
    </row>
    <row r="73" ht="21.0" customHeight="1">
      <c r="A73" s="29"/>
      <c r="B73" s="94"/>
      <c r="C73" s="38" t="str">
        <f t="array" ref="C73">IF(B73="","",INDEX(PARAMETROS!$J$2:$J$14,MATCH(B73,PARAMETROS!$G$2:$G$14,0),1))</f>
        <v/>
      </c>
      <c r="D73" s="42"/>
      <c r="E73" s="44"/>
      <c r="F73" s="52"/>
      <c r="G73" s="49" t="str">
        <f t="shared" si="1"/>
        <v/>
      </c>
      <c r="H73" s="29"/>
      <c r="I73" s="52"/>
      <c r="J73" s="58" t="str">
        <f>IF(F73="","", IF(I73="",_xlfn.NETWORKDAYS.INTL(F73,TODAY(),1,FERIADOS),_xlfn.NETWORKDAYS.INTL(F73,I73,1,FERIADOS)))</f>
        <v/>
      </c>
      <c r="K73" s="58" t="str">
        <f t="shared" si="2"/>
        <v/>
      </c>
      <c r="L73" s="58" t="str">
        <f t="shared" si="3"/>
        <v/>
      </c>
    </row>
    <row r="74" ht="21.0" customHeight="1">
      <c r="A74" s="29"/>
      <c r="B74" s="94"/>
      <c r="C74" s="38" t="str">
        <f t="array" ref="C74">IF(B74="","",INDEX(PARAMETROS!$J$2:$J$14,MATCH(B74,PARAMETROS!$G$2:$G$14,0),1))</f>
        <v/>
      </c>
      <c r="D74" s="42"/>
      <c r="E74" s="44"/>
      <c r="F74" s="52"/>
      <c r="G74" s="49" t="str">
        <f t="shared" si="1"/>
        <v/>
      </c>
      <c r="H74" s="29"/>
      <c r="I74" s="52"/>
      <c r="J74" s="58" t="str">
        <f>IF(F74="","", IF(I74="",_xlfn.NETWORKDAYS.INTL(F74,TODAY(),1,FERIADOS),_xlfn.NETWORKDAYS.INTL(F74,I74,1,FERIADOS)))</f>
        <v/>
      </c>
      <c r="K74" s="58" t="str">
        <f t="shared" si="2"/>
        <v/>
      </c>
      <c r="L74" s="58" t="str">
        <f t="shared" si="3"/>
        <v/>
      </c>
    </row>
    <row r="75" ht="21.0" customHeight="1">
      <c r="A75" s="29"/>
      <c r="B75" s="94"/>
      <c r="C75" s="38" t="str">
        <f t="array" ref="C75">IF(B75="","",INDEX(PARAMETROS!$J$2:$J$14,MATCH(B75,PARAMETROS!$G$2:$G$14,0),1))</f>
        <v/>
      </c>
      <c r="D75" s="42"/>
      <c r="E75" s="44"/>
      <c r="F75" s="52"/>
      <c r="G75" s="49" t="str">
        <f t="shared" si="1"/>
        <v/>
      </c>
      <c r="H75" s="29"/>
      <c r="I75" s="52"/>
      <c r="J75" s="58" t="str">
        <f>IF(F75="","", IF(I75="",_xlfn.NETWORKDAYS.INTL(F75,TODAY(),1,FERIADOS),_xlfn.NETWORKDAYS.INTL(F75,I75,1,FERIADOS)))</f>
        <v/>
      </c>
      <c r="K75" s="58" t="str">
        <f t="shared" si="2"/>
        <v/>
      </c>
      <c r="L75" s="58" t="str">
        <f t="shared" si="3"/>
        <v/>
      </c>
    </row>
    <row r="76" ht="21.0" customHeight="1">
      <c r="A76" s="29"/>
      <c r="B76" s="94"/>
      <c r="C76" s="38" t="str">
        <f t="array" ref="C76">IF(B76="","",INDEX(PARAMETROS!$J$2:$J$14,MATCH(B76,PARAMETROS!$G$2:$G$14,0),1))</f>
        <v/>
      </c>
      <c r="D76" s="42"/>
      <c r="E76" s="44"/>
      <c r="F76" s="52"/>
      <c r="G76" s="49" t="str">
        <f t="shared" si="1"/>
        <v/>
      </c>
      <c r="H76" s="29"/>
      <c r="I76" s="52"/>
      <c r="J76" s="58" t="str">
        <f>IF(F76="","", IF(I76="",_xlfn.NETWORKDAYS.INTL(F76,TODAY(),1,FERIADOS),_xlfn.NETWORKDAYS.INTL(F76,I76,1,FERIADOS)))</f>
        <v/>
      </c>
      <c r="K76" s="58" t="str">
        <f t="shared" si="2"/>
        <v/>
      </c>
      <c r="L76" s="58" t="str">
        <f t="shared" si="3"/>
        <v/>
      </c>
    </row>
    <row r="77" ht="21.0" customHeight="1">
      <c r="A77" s="29"/>
      <c r="B77" s="94"/>
      <c r="C77" s="38" t="str">
        <f t="array" ref="C77">IF(B77="","",INDEX(PARAMETROS!$J$2:$J$14,MATCH(B77,PARAMETROS!$G$2:$G$14,0),1))</f>
        <v/>
      </c>
      <c r="D77" s="42"/>
      <c r="E77" s="44"/>
      <c r="F77" s="52"/>
      <c r="G77" s="49" t="str">
        <f t="shared" si="1"/>
        <v/>
      </c>
      <c r="H77" s="29"/>
      <c r="I77" s="52"/>
      <c r="J77" s="58" t="str">
        <f>IF(F77="","", IF(I77="",_xlfn.NETWORKDAYS.INTL(F77,TODAY(),1,FERIADOS),_xlfn.NETWORKDAYS.INTL(F77,I77,1,FERIADOS)))</f>
        <v/>
      </c>
      <c r="K77" s="58" t="str">
        <f t="shared" si="2"/>
        <v/>
      </c>
      <c r="L77" s="58" t="str">
        <f t="shared" si="3"/>
        <v/>
      </c>
    </row>
    <row r="78" ht="21.0" customHeight="1">
      <c r="A78" s="29"/>
      <c r="B78" s="94"/>
      <c r="C78" s="38" t="str">
        <f t="array" ref="C78">IF(B78="","",INDEX(PARAMETROS!$J$2:$J$14,MATCH(B78,PARAMETROS!$G$2:$G$14,0),1))</f>
        <v/>
      </c>
      <c r="D78" s="42"/>
      <c r="E78" s="44"/>
      <c r="F78" s="52"/>
      <c r="G78" s="49" t="str">
        <f t="shared" si="1"/>
        <v/>
      </c>
      <c r="H78" s="29"/>
      <c r="I78" s="52"/>
      <c r="J78" s="58" t="str">
        <f>IF(F78="","", IF(I78="",_xlfn.NETWORKDAYS.INTL(F78,TODAY(),1,FERIADOS),_xlfn.NETWORKDAYS.INTL(F78,I78,1,FERIADOS)))</f>
        <v/>
      </c>
      <c r="K78" s="58" t="str">
        <f t="shared" si="2"/>
        <v/>
      </c>
      <c r="L78" s="58" t="str">
        <f t="shared" si="3"/>
        <v/>
      </c>
    </row>
    <row r="79" ht="21.0" customHeight="1">
      <c r="A79" s="29"/>
      <c r="B79" s="94"/>
      <c r="C79" s="38" t="str">
        <f t="array" ref="C79">IF(B79="","",INDEX(PARAMETROS!$J$2:$J$14,MATCH(B79,PARAMETROS!$G$2:$G$14,0),1))</f>
        <v/>
      </c>
      <c r="D79" s="42"/>
      <c r="E79" s="44"/>
      <c r="F79" s="52"/>
      <c r="G79" s="49" t="str">
        <f t="shared" si="1"/>
        <v/>
      </c>
      <c r="H79" s="29"/>
      <c r="I79" s="52"/>
      <c r="J79" s="58" t="str">
        <f>IF(F79="","", IF(I79="",_xlfn.NETWORKDAYS.INTL(F79,TODAY(),1,FERIADOS),_xlfn.NETWORKDAYS.INTL(F79,I79,1,FERIADOS)))</f>
        <v/>
      </c>
      <c r="K79" s="58" t="str">
        <f t="shared" si="2"/>
        <v/>
      </c>
      <c r="L79" s="58" t="str">
        <f t="shared" si="3"/>
        <v/>
      </c>
    </row>
    <row r="80" ht="21.0" customHeight="1">
      <c r="A80" s="29"/>
      <c r="B80" s="94"/>
      <c r="C80" s="38" t="str">
        <f t="array" ref="C80">IF(B80="","",INDEX(PARAMETROS!$J$2:$J$14,MATCH(B80,PARAMETROS!$G$2:$G$14,0),1))</f>
        <v/>
      </c>
      <c r="D80" s="42"/>
      <c r="E80" s="44"/>
      <c r="F80" s="52"/>
      <c r="G80" s="49" t="str">
        <f t="shared" si="1"/>
        <v/>
      </c>
      <c r="H80" s="29"/>
      <c r="I80" s="52"/>
      <c r="J80" s="58" t="str">
        <f>IF(F80="","", IF(I80="",_xlfn.NETWORKDAYS.INTL(F80,TODAY(),1,FERIADOS),_xlfn.NETWORKDAYS.INTL(F80,I80,1,FERIADOS)))</f>
        <v/>
      </c>
      <c r="K80" s="58" t="str">
        <f t="shared" si="2"/>
        <v/>
      </c>
      <c r="L80" s="58" t="str">
        <f t="shared" si="3"/>
        <v/>
      </c>
    </row>
    <row r="81" ht="21.0" customHeight="1">
      <c r="A81" s="29"/>
      <c r="B81" s="94"/>
      <c r="C81" s="38" t="str">
        <f t="array" ref="C81">IF(B81="","",INDEX(PARAMETROS!$J$2:$J$14,MATCH(B81,PARAMETROS!$G$2:$G$14,0),1))</f>
        <v/>
      </c>
      <c r="D81" s="42"/>
      <c r="E81" s="44"/>
      <c r="F81" s="52"/>
      <c r="G81" s="49" t="str">
        <f t="shared" si="1"/>
        <v/>
      </c>
      <c r="H81" s="29"/>
      <c r="I81" s="52"/>
      <c r="J81" s="58" t="str">
        <f>IF(F81="","", IF(I81="",_xlfn.NETWORKDAYS.INTL(F81,TODAY(),1,FERIADOS),_xlfn.NETWORKDAYS.INTL(F81,I81,1,FERIADOS)))</f>
        <v/>
      </c>
      <c r="K81" s="58" t="str">
        <f t="shared" si="2"/>
        <v/>
      </c>
      <c r="L81" s="58" t="str">
        <f t="shared" si="3"/>
        <v/>
      </c>
    </row>
    <row r="82" ht="21.0" customHeight="1">
      <c r="A82" s="29"/>
      <c r="B82" s="94"/>
      <c r="C82" s="38" t="str">
        <f t="array" ref="C82">IF(B82="","",INDEX(PARAMETROS!$J$2:$J$14,MATCH(B82,PARAMETROS!$G$2:$G$14,0),1))</f>
        <v/>
      </c>
      <c r="D82" s="42"/>
      <c r="E82" s="44"/>
      <c r="F82" s="52"/>
      <c r="G82" s="49" t="str">
        <f t="shared" si="1"/>
        <v/>
      </c>
      <c r="H82" s="29"/>
      <c r="I82" s="52"/>
      <c r="J82" s="58" t="str">
        <f>IF(F82="","", IF(I82="",_xlfn.NETWORKDAYS.INTL(F82,TODAY(),1,FERIADOS),_xlfn.NETWORKDAYS.INTL(F82,I82,1,FERIADOS)))</f>
        <v/>
      </c>
      <c r="K82" s="58" t="str">
        <f t="shared" si="2"/>
        <v/>
      </c>
      <c r="L82" s="58" t="str">
        <f t="shared" si="3"/>
        <v/>
      </c>
    </row>
    <row r="83" ht="21.0" customHeight="1">
      <c r="A83" s="29"/>
      <c r="B83" s="94"/>
      <c r="C83" s="38" t="str">
        <f t="array" ref="C83">IF(B83="","",INDEX(PARAMETROS!$J$2:$J$14,MATCH(B83,PARAMETROS!$G$2:$G$14,0),1))</f>
        <v/>
      </c>
      <c r="D83" s="42"/>
      <c r="E83" s="44"/>
      <c r="F83" s="52"/>
      <c r="G83" s="49" t="str">
        <f t="shared" si="1"/>
        <v/>
      </c>
      <c r="H83" s="29"/>
      <c r="I83" s="52"/>
      <c r="J83" s="58" t="str">
        <f>IF(F83="","", IF(I83="",_xlfn.NETWORKDAYS.INTL(F83,TODAY(),1,FERIADOS),_xlfn.NETWORKDAYS.INTL(F83,I83,1,FERIADOS)))</f>
        <v/>
      </c>
      <c r="K83" s="58" t="str">
        <f t="shared" si="2"/>
        <v/>
      </c>
      <c r="L83" s="58" t="str">
        <f t="shared" si="3"/>
        <v/>
      </c>
    </row>
    <row r="84" ht="21.0" customHeight="1">
      <c r="A84" s="29"/>
      <c r="B84" s="94"/>
      <c r="C84" s="38" t="str">
        <f t="array" ref="C84">IF(B84="","",INDEX(PARAMETROS!$J$2:$J$14,MATCH(B84,PARAMETROS!$G$2:$G$14,0),1))</f>
        <v/>
      </c>
      <c r="D84" s="42"/>
      <c r="E84" s="44"/>
      <c r="F84" s="52"/>
      <c r="G84" s="49" t="str">
        <f t="shared" si="1"/>
        <v/>
      </c>
      <c r="H84" s="29"/>
      <c r="I84" s="52"/>
      <c r="J84" s="58" t="str">
        <f>IF(F84="","", IF(I84="",_xlfn.NETWORKDAYS.INTL(F84,TODAY(),1,FERIADOS),_xlfn.NETWORKDAYS.INTL(F84,I84,1,FERIADOS)))</f>
        <v/>
      </c>
      <c r="K84" s="58" t="str">
        <f t="shared" si="2"/>
        <v/>
      </c>
      <c r="L84" s="58" t="str">
        <f t="shared" si="3"/>
        <v/>
      </c>
    </row>
    <row r="85" ht="21.0" customHeight="1">
      <c r="A85" s="29"/>
      <c r="B85" s="94"/>
      <c r="C85" s="38" t="str">
        <f t="array" ref="C85">IF(B85="","",INDEX(PARAMETROS!$J$2:$J$14,MATCH(B85,PARAMETROS!$G$2:$G$14,0),1))</f>
        <v/>
      </c>
      <c r="D85" s="42"/>
      <c r="E85" s="44"/>
      <c r="F85" s="52"/>
      <c r="G85" s="49" t="str">
        <f t="shared" si="1"/>
        <v/>
      </c>
      <c r="H85" s="29"/>
      <c r="I85" s="52"/>
      <c r="J85" s="58" t="str">
        <f>IF(F85="","", IF(I85="",_xlfn.NETWORKDAYS.INTL(F85,TODAY(),1,FERIADOS),_xlfn.NETWORKDAYS.INTL(F85,I85,1,FERIADOS)))</f>
        <v/>
      </c>
      <c r="K85" s="58" t="str">
        <f t="shared" si="2"/>
        <v/>
      </c>
      <c r="L85" s="58" t="str">
        <f t="shared" si="3"/>
        <v/>
      </c>
    </row>
    <row r="86" ht="21.0" customHeight="1">
      <c r="A86" s="29"/>
      <c r="B86" s="94"/>
      <c r="C86" s="38" t="str">
        <f t="array" ref="C86">IF(B86="","",INDEX(PARAMETROS!$J$2:$J$14,MATCH(B86,PARAMETROS!$G$2:$G$14,0),1))</f>
        <v/>
      </c>
      <c r="D86" s="42"/>
      <c r="E86" s="44"/>
      <c r="F86" s="52"/>
      <c r="G86" s="49" t="str">
        <f t="shared" si="1"/>
        <v/>
      </c>
      <c r="H86" s="29"/>
      <c r="I86" s="52"/>
      <c r="J86" s="58" t="str">
        <f>IF(F86="","", IF(I86="",_xlfn.NETWORKDAYS.INTL(F86,TODAY(),1,FERIADOS),_xlfn.NETWORKDAYS.INTL(F86,I86,1,FERIADOS)))</f>
        <v/>
      </c>
      <c r="K86" s="58" t="str">
        <f t="shared" si="2"/>
        <v/>
      </c>
      <c r="L86" s="58" t="str">
        <f t="shared" si="3"/>
        <v/>
      </c>
    </row>
    <row r="87" ht="21.0" customHeight="1">
      <c r="A87" s="29"/>
      <c r="B87" s="94"/>
      <c r="C87" s="38" t="str">
        <f t="array" ref="C87">IF(B87="","",INDEX(PARAMETROS!$J$2:$J$14,MATCH(B87,PARAMETROS!$G$2:$G$14,0),1))</f>
        <v/>
      </c>
      <c r="D87" s="42"/>
      <c r="E87" s="44"/>
      <c r="F87" s="52"/>
      <c r="G87" s="49" t="str">
        <f t="shared" si="1"/>
        <v/>
      </c>
      <c r="H87" s="29"/>
      <c r="I87" s="52"/>
      <c r="J87" s="58" t="str">
        <f>IF(F87="","", IF(I87="",_xlfn.NETWORKDAYS.INTL(F87,TODAY(),1,FERIADOS),_xlfn.NETWORKDAYS.INTL(F87,I87,1,FERIADOS)))</f>
        <v/>
      </c>
      <c r="K87" s="58" t="str">
        <f t="shared" si="2"/>
        <v/>
      </c>
      <c r="L87" s="58" t="str">
        <f t="shared" si="3"/>
        <v/>
      </c>
    </row>
    <row r="88" ht="21.0" customHeight="1">
      <c r="A88" s="29"/>
      <c r="B88" s="94"/>
      <c r="C88" s="38" t="str">
        <f t="array" ref="C88">IF(B88="","",INDEX(PARAMETROS!$J$2:$J$14,MATCH(B88,PARAMETROS!$G$2:$G$14,0),1))</f>
        <v/>
      </c>
      <c r="D88" s="42"/>
      <c r="E88" s="44"/>
      <c r="F88" s="52"/>
      <c r="G88" s="49" t="str">
        <f t="shared" si="1"/>
        <v/>
      </c>
      <c r="H88" s="29"/>
      <c r="I88" s="52"/>
      <c r="J88" s="58" t="str">
        <f>IF(F88="","", IF(I88="",_xlfn.NETWORKDAYS.INTL(F88,TODAY(),1,FERIADOS),_xlfn.NETWORKDAYS.INTL(F88,I88,1,FERIADOS)))</f>
        <v/>
      </c>
      <c r="K88" s="58" t="str">
        <f t="shared" si="2"/>
        <v/>
      </c>
      <c r="L88" s="58" t="str">
        <f t="shared" si="3"/>
        <v/>
      </c>
    </row>
    <row r="89" ht="21.0" customHeight="1">
      <c r="A89" s="29"/>
      <c r="B89" s="94"/>
      <c r="C89" s="38" t="str">
        <f t="array" ref="C89">IF(B89="","",INDEX(PARAMETROS!$J$2:$J$14,MATCH(B89,PARAMETROS!$G$2:$G$14,0),1))</f>
        <v/>
      </c>
      <c r="D89" s="42"/>
      <c r="E89" s="44"/>
      <c r="F89" s="52"/>
      <c r="G89" s="49" t="str">
        <f t="shared" si="1"/>
        <v/>
      </c>
      <c r="H89" s="29"/>
      <c r="I89" s="52"/>
      <c r="J89" s="58" t="str">
        <f>IF(F89="","", IF(I89="",_xlfn.NETWORKDAYS.INTL(F89,TODAY(),1,FERIADOS),_xlfn.NETWORKDAYS.INTL(F89,I89,1,FERIADOS)))</f>
        <v/>
      </c>
      <c r="K89" s="58" t="str">
        <f t="shared" si="2"/>
        <v/>
      </c>
      <c r="L89" s="58" t="str">
        <f t="shared" si="3"/>
        <v/>
      </c>
    </row>
    <row r="90" ht="21.0" customHeight="1">
      <c r="A90" s="29"/>
      <c r="B90" s="94"/>
      <c r="C90" s="38" t="str">
        <f t="array" ref="C90">IF(B90="","",INDEX(PARAMETROS!$J$2:$J$14,MATCH(B90,PARAMETROS!$G$2:$G$14,0),1))</f>
        <v/>
      </c>
      <c r="D90" s="42"/>
      <c r="E90" s="44"/>
      <c r="F90" s="52"/>
      <c r="G90" s="49" t="str">
        <f t="shared" si="1"/>
        <v/>
      </c>
      <c r="H90" s="29"/>
      <c r="I90" s="52"/>
      <c r="J90" s="58" t="str">
        <f>IF(F90="","", IF(I90="",_xlfn.NETWORKDAYS.INTL(F90,TODAY(),1,FERIADOS),_xlfn.NETWORKDAYS.INTL(F90,I90,1,FERIADOS)))</f>
        <v/>
      </c>
      <c r="K90" s="58" t="str">
        <f t="shared" si="2"/>
        <v/>
      </c>
      <c r="L90" s="58" t="str">
        <f t="shared" si="3"/>
        <v/>
      </c>
    </row>
    <row r="91" ht="21.0" customHeight="1">
      <c r="A91" s="29"/>
      <c r="B91" s="94"/>
      <c r="C91" s="38" t="str">
        <f t="array" ref="C91">IF(B91="","",INDEX(PARAMETROS!$J$2:$J$14,MATCH(B91,PARAMETROS!$G$2:$G$14,0),1))</f>
        <v/>
      </c>
      <c r="D91" s="42"/>
      <c r="E91" s="44"/>
      <c r="F91" s="52"/>
      <c r="G91" s="49" t="str">
        <f t="shared" si="1"/>
        <v/>
      </c>
      <c r="H91" s="29"/>
      <c r="I91" s="52"/>
      <c r="J91" s="58" t="str">
        <f>IF(F91="","", IF(I91="",_xlfn.NETWORKDAYS.INTL(F91,TODAY(),1,FERIADOS),_xlfn.NETWORKDAYS.INTL(F91,I91,1,FERIADOS)))</f>
        <v/>
      </c>
      <c r="K91" s="58" t="str">
        <f t="shared" si="2"/>
        <v/>
      </c>
      <c r="L91" s="58" t="str">
        <f t="shared" si="3"/>
        <v/>
      </c>
    </row>
    <row r="92" ht="21.0" customHeight="1">
      <c r="A92" s="29"/>
      <c r="B92" s="94"/>
      <c r="C92" s="38" t="str">
        <f t="array" ref="C92">IF(B92="","",INDEX(PARAMETROS!$J$2:$J$14,MATCH(B92,PARAMETROS!$G$2:$G$14,0),1))</f>
        <v/>
      </c>
      <c r="D92" s="42"/>
      <c r="E92" s="44"/>
      <c r="F92" s="52"/>
      <c r="G92" s="49" t="str">
        <f t="shared" si="1"/>
        <v/>
      </c>
      <c r="H92" s="29"/>
      <c r="I92" s="52"/>
      <c r="J92" s="58" t="str">
        <f>IF(F92="","", IF(I92="",_xlfn.NETWORKDAYS.INTL(F92,TODAY(),1,FERIADOS),_xlfn.NETWORKDAYS.INTL(F92,I92,1,FERIADOS)))</f>
        <v/>
      </c>
      <c r="K92" s="58" t="str">
        <f t="shared" si="2"/>
        <v/>
      </c>
      <c r="L92" s="58" t="str">
        <f t="shared" si="3"/>
        <v/>
      </c>
    </row>
    <row r="93" ht="21.0" customHeight="1">
      <c r="A93" s="29"/>
      <c r="B93" s="94"/>
      <c r="C93" s="38" t="str">
        <f t="array" ref="C93">IF(B93="","",INDEX(PARAMETROS!$J$2:$J$14,MATCH(B93,PARAMETROS!$G$2:$G$14,0),1))</f>
        <v/>
      </c>
      <c r="D93" s="42"/>
      <c r="E93" s="44"/>
      <c r="F93" s="52"/>
      <c r="G93" s="49" t="str">
        <f t="shared" si="1"/>
        <v/>
      </c>
      <c r="H93" s="29"/>
      <c r="I93" s="52"/>
      <c r="J93" s="58" t="str">
        <f>IF(F93="","", IF(I93="",_xlfn.NETWORKDAYS.INTL(F93,TODAY(),1,FERIADOS),_xlfn.NETWORKDAYS.INTL(F93,I93,1,FERIADOS)))</f>
        <v/>
      </c>
      <c r="K93" s="58" t="str">
        <f t="shared" si="2"/>
        <v/>
      </c>
      <c r="L93" s="58" t="str">
        <f t="shared" si="3"/>
        <v/>
      </c>
    </row>
    <row r="94" ht="21.0" customHeight="1">
      <c r="A94" s="29"/>
      <c r="B94" s="94"/>
      <c r="C94" s="38" t="str">
        <f t="array" ref="C94">IF(B94="","",INDEX(PARAMETROS!$J$2:$J$14,MATCH(B94,PARAMETROS!$G$2:$G$14,0),1))</f>
        <v/>
      </c>
      <c r="D94" s="42"/>
      <c r="E94" s="44"/>
      <c r="F94" s="52"/>
      <c r="G94" s="49" t="str">
        <f t="shared" si="1"/>
        <v/>
      </c>
      <c r="H94" s="29"/>
      <c r="I94" s="52"/>
      <c r="J94" s="58" t="str">
        <f>IF(F94="","", IF(I94="",_xlfn.NETWORKDAYS.INTL(F94,TODAY(),1,FERIADOS),_xlfn.NETWORKDAYS.INTL(F94,I94,1,FERIADOS)))</f>
        <v/>
      </c>
      <c r="K94" s="58" t="str">
        <f t="shared" si="2"/>
        <v/>
      </c>
      <c r="L94" s="58" t="str">
        <f t="shared" si="3"/>
        <v/>
      </c>
    </row>
    <row r="95" ht="21.0" customHeight="1">
      <c r="A95" s="29"/>
      <c r="B95" s="94"/>
      <c r="C95" s="38" t="str">
        <f t="array" ref="C95">IF(B95="","",INDEX(PARAMETROS!$J$2:$J$14,MATCH(B95,PARAMETROS!$G$2:$G$14,0),1))</f>
        <v/>
      </c>
      <c r="D95" s="42"/>
      <c r="E95" s="44"/>
      <c r="F95" s="52"/>
      <c r="G95" s="49" t="str">
        <f t="shared" si="1"/>
        <v/>
      </c>
      <c r="H95" s="29"/>
      <c r="I95" s="52"/>
      <c r="J95" s="58" t="str">
        <f>IF(F95="","", IF(I95="",_xlfn.NETWORKDAYS.INTL(F95,TODAY(),1,FERIADOS),_xlfn.NETWORKDAYS.INTL(F95,I95,1,FERIADOS)))</f>
        <v/>
      </c>
      <c r="K95" s="58" t="str">
        <f t="shared" si="2"/>
        <v/>
      </c>
      <c r="L95" s="58" t="str">
        <f t="shared" si="3"/>
        <v/>
      </c>
    </row>
    <row r="96" ht="21.0" customHeight="1">
      <c r="A96" s="29"/>
      <c r="B96" s="94"/>
      <c r="C96" s="38" t="str">
        <f t="array" ref="C96">IF(B96="","",INDEX(PARAMETROS!$J$2:$J$14,MATCH(B96,PARAMETROS!$G$2:$G$14,0),1))</f>
        <v/>
      </c>
      <c r="D96" s="42"/>
      <c r="E96" s="44"/>
      <c r="F96" s="52"/>
      <c r="G96" s="49" t="str">
        <f t="shared" si="1"/>
        <v/>
      </c>
      <c r="H96" s="29"/>
      <c r="I96" s="52"/>
      <c r="J96" s="58" t="str">
        <f>IF(F96="","", IF(I96="",_xlfn.NETWORKDAYS.INTL(F96,TODAY(),1,FERIADOS),_xlfn.NETWORKDAYS.INTL(F96,I96,1,FERIADOS)))</f>
        <v/>
      </c>
      <c r="K96" s="58" t="str">
        <f t="shared" si="2"/>
        <v/>
      </c>
      <c r="L96" s="58" t="str">
        <f t="shared" si="3"/>
        <v/>
      </c>
    </row>
    <row r="97" ht="21.0" customHeight="1">
      <c r="A97" s="29"/>
      <c r="B97" s="94"/>
      <c r="C97" s="38" t="str">
        <f t="array" ref="C97">IF(B97="","",INDEX(PARAMETROS!$J$2:$J$14,MATCH(B97,PARAMETROS!$G$2:$G$14,0),1))</f>
        <v/>
      </c>
      <c r="D97" s="42"/>
      <c r="E97" s="44"/>
      <c r="F97" s="52"/>
      <c r="G97" s="49" t="str">
        <f t="shared" si="1"/>
        <v/>
      </c>
      <c r="H97" s="29"/>
      <c r="I97" s="52"/>
      <c r="J97" s="58" t="str">
        <f>IF(F97="","", IF(I97="",_xlfn.NETWORKDAYS.INTL(F97,TODAY(),1,FERIADOS),_xlfn.NETWORKDAYS.INTL(F97,I97,1,FERIADOS)))</f>
        <v/>
      </c>
      <c r="K97" s="58" t="str">
        <f t="shared" si="2"/>
        <v/>
      </c>
      <c r="L97" s="58" t="str">
        <f t="shared" si="3"/>
        <v/>
      </c>
    </row>
    <row r="98" ht="21.0" customHeight="1">
      <c r="A98" s="29"/>
      <c r="B98" s="94"/>
      <c r="C98" s="38" t="str">
        <f t="array" ref="C98">IF(B98="","",INDEX(PARAMETROS!$J$2:$J$14,MATCH(B98,PARAMETROS!$G$2:$G$14,0),1))</f>
        <v/>
      </c>
      <c r="D98" s="42"/>
      <c r="E98" s="44"/>
      <c r="F98" s="52"/>
      <c r="G98" s="49" t="str">
        <f t="shared" si="1"/>
        <v/>
      </c>
      <c r="H98" s="29"/>
      <c r="I98" s="52"/>
      <c r="J98" s="58" t="str">
        <f>IF(F98="","", IF(I98="",_xlfn.NETWORKDAYS.INTL(F98,TODAY(),1,FERIADOS),_xlfn.NETWORKDAYS.INTL(F98,I98,1,FERIADOS)))</f>
        <v/>
      </c>
      <c r="K98" s="58" t="str">
        <f t="shared" si="2"/>
        <v/>
      </c>
      <c r="L98" s="58" t="str">
        <f t="shared" si="3"/>
        <v/>
      </c>
    </row>
    <row r="99" ht="21.0" customHeight="1">
      <c r="A99" s="29"/>
      <c r="B99" s="94"/>
      <c r="C99" s="38" t="str">
        <f t="array" ref="C99">IF(B99="","",INDEX(PARAMETROS!$J$2:$J$14,MATCH(B99,PARAMETROS!$G$2:$G$14,0),1))</f>
        <v/>
      </c>
      <c r="D99" s="42"/>
      <c r="E99" s="44"/>
      <c r="F99" s="52"/>
      <c r="G99" s="49" t="str">
        <f t="shared" si="1"/>
        <v/>
      </c>
      <c r="H99" s="29"/>
      <c r="I99" s="52"/>
      <c r="J99" s="58" t="str">
        <f>IF(F99="","", IF(I99="",_xlfn.NETWORKDAYS.INTL(F99,TODAY(),1,FERIADOS),_xlfn.NETWORKDAYS.INTL(F99,I99,1,FERIADOS)))</f>
        <v/>
      </c>
      <c r="K99" s="58" t="str">
        <f t="shared" si="2"/>
        <v/>
      </c>
      <c r="L99" s="58" t="str">
        <f t="shared" si="3"/>
        <v/>
      </c>
    </row>
    <row r="100" ht="21.0" customHeight="1">
      <c r="A100" s="29"/>
      <c r="B100" s="94"/>
      <c r="C100" s="38" t="str">
        <f t="array" ref="C100">IF(B100="","",INDEX(PARAMETROS!$J$2:$J$14,MATCH(B100,PARAMETROS!$G$2:$G$14,0),1))</f>
        <v/>
      </c>
      <c r="D100" s="42"/>
      <c r="E100" s="44"/>
      <c r="F100" s="52"/>
      <c r="G100" s="49" t="str">
        <f t="shared" si="1"/>
        <v/>
      </c>
      <c r="H100" s="29"/>
      <c r="I100" s="52"/>
      <c r="J100" s="58" t="str">
        <f>IF(F100="","", IF(I100="",_xlfn.NETWORKDAYS.INTL(F100,TODAY(),1,FERIADOS),_xlfn.NETWORKDAYS.INTL(F100,I100,1,FERIADOS)))</f>
        <v/>
      </c>
      <c r="K100" s="58" t="str">
        <f t="shared" si="2"/>
        <v/>
      </c>
      <c r="L100" s="58" t="str">
        <f t="shared" si="3"/>
        <v/>
      </c>
    </row>
    <row r="101" ht="21.0" customHeight="1">
      <c r="A101" s="29"/>
      <c r="B101" s="94"/>
      <c r="C101" s="38" t="str">
        <f t="array" ref="C101">IF(B101="","",INDEX(PARAMETROS!$J$2:$J$14,MATCH(B101,PARAMETROS!$G$2:$G$14,0),1))</f>
        <v/>
      </c>
      <c r="D101" s="42"/>
      <c r="E101" s="44"/>
      <c r="F101" s="52"/>
      <c r="G101" s="49" t="str">
        <f t="shared" si="1"/>
        <v/>
      </c>
      <c r="H101" s="29"/>
      <c r="I101" s="52"/>
      <c r="J101" s="58" t="str">
        <f>IF(F101="","", IF(I101="",_xlfn.NETWORKDAYS.INTL(F101,TODAY(),1,FERIADOS),_xlfn.NETWORKDAYS.INTL(F101,I101,1,FERIADOS)))</f>
        <v/>
      </c>
      <c r="K101" s="58" t="str">
        <f t="shared" si="2"/>
        <v/>
      </c>
      <c r="L101" s="58" t="str">
        <f t="shared" si="3"/>
        <v/>
      </c>
    </row>
    <row r="102" ht="21.0" customHeight="1">
      <c r="A102" s="29"/>
      <c r="B102" s="94"/>
      <c r="C102" s="38" t="str">
        <f t="array" ref="C102">IF(B102="","",INDEX(PARAMETROS!$J$2:$J$14,MATCH(B102,PARAMETROS!$G$2:$G$14,0),1))</f>
        <v/>
      </c>
      <c r="D102" s="42"/>
      <c r="E102" s="44"/>
      <c r="F102" s="52"/>
      <c r="G102" s="49" t="str">
        <f t="shared" si="1"/>
        <v/>
      </c>
      <c r="H102" s="29"/>
      <c r="I102" s="52"/>
      <c r="J102" s="58" t="str">
        <f>IF(F102="","", IF(I102="",_xlfn.NETWORKDAYS.INTL(F102,TODAY(),1,FERIADOS),_xlfn.NETWORKDAYS.INTL(F102,I102,1,FERIADOS)))</f>
        <v/>
      </c>
      <c r="K102" s="58" t="str">
        <f t="shared" si="2"/>
        <v/>
      </c>
      <c r="L102" s="58" t="str">
        <f t="shared" si="3"/>
        <v/>
      </c>
    </row>
    <row r="103" ht="21.0" customHeight="1">
      <c r="A103" s="29"/>
      <c r="B103" s="94"/>
      <c r="C103" s="38" t="str">
        <f t="array" ref="C103">IF(B103="","",INDEX(PARAMETROS!$J$2:$J$14,MATCH(B103,PARAMETROS!$G$2:$G$14,0),1))</f>
        <v/>
      </c>
      <c r="D103" s="42"/>
      <c r="E103" s="44"/>
      <c r="F103" s="52"/>
      <c r="G103" s="49" t="str">
        <f t="shared" si="1"/>
        <v/>
      </c>
      <c r="H103" s="29"/>
      <c r="I103" s="52"/>
      <c r="J103" s="58" t="str">
        <f>IF(F103="","", IF(I103="",_xlfn.NETWORKDAYS.INTL(F103,TODAY(),1,FERIADOS),_xlfn.NETWORKDAYS.INTL(F103,I103,1,FERIADOS)))</f>
        <v/>
      </c>
      <c r="K103" s="58" t="str">
        <f t="shared" si="2"/>
        <v/>
      </c>
      <c r="L103" s="58" t="str">
        <f t="shared" si="3"/>
        <v/>
      </c>
    </row>
    <row r="104" ht="21.0" customHeight="1">
      <c r="A104" s="29"/>
      <c r="B104" s="94"/>
      <c r="C104" s="38" t="str">
        <f t="array" ref="C104">IF(B104="","",INDEX(PARAMETROS!$J$2:$J$14,MATCH(B104,PARAMETROS!$G$2:$G$14,0),1))</f>
        <v/>
      </c>
      <c r="D104" s="42"/>
      <c r="E104" s="44"/>
      <c r="F104" s="52"/>
      <c r="G104" s="49" t="str">
        <f t="shared" si="1"/>
        <v/>
      </c>
      <c r="H104" s="29"/>
      <c r="I104" s="52"/>
      <c r="J104" s="58" t="str">
        <f>IF(F104="","", IF(I104="",_xlfn.NETWORKDAYS.INTL(F104,TODAY(),1,FERIADOS),_xlfn.NETWORKDAYS.INTL(F104,I104,1,FERIADOS)))</f>
        <v/>
      </c>
      <c r="K104" s="58" t="str">
        <f t="shared" si="2"/>
        <v/>
      </c>
      <c r="L104" s="58" t="str">
        <f t="shared" si="3"/>
        <v/>
      </c>
    </row>
    <row r="105" ht="21.0" customHeight="1">
      <c r="A105" s="29"/>
      <c r="B105" s="94"/>
      <c r="C105" s="38" t="str">
        <f t="array" ref="C105">IF(B105="","",INDEX(PARAMETROS!$J$2:$J$14,MATCH(B105,PARAMETROS!$G$2:$G$14,0),1))</f>
        <v/>
      </c>
      <c r="D105" s="42"/>
      <c r="E105" s="44"/>
      <c r="F105" s="52"/>
      <c r="G105" s="49" t="str">
        <f t="shared" si="1"/>
        <v/>
      </c>
      <c r="H105" s="29"/>
      <c r="I105" s="52"/>
      <c r="J105" s="58" t="str">
        <f>IF(F105="","", IF(I105="",_xlfn.NETWORKDAYS.INTL(F105,TODAY(),1,FERIADOS),_xlfn.NETWORKDAYS.INTL(F105,I105,1,FERIADOS)))</f>
        <v/>
      </c>
      <c r="K105" s="58" t="str">
        <f t="shared" si="2"/>
        <v/>
      </c>
      <c r="L105" s="58" t="str">
        <f t="shared" si="3"/>
        <v/>
      </c>
    </row>
    <row r="106" ht="21.0" customHeight="1">
      <c r="A106" s="29"/>
      <c r="B106" s="94"/>
      <c r="C106" s="38" t="str">
        <f t="array" ref="C106">IF(B106="","",INDEX(PARAMETROS!$J$2:$J$14,MATCH(B106,PARAMETROS!$G$2:$G$14,0),1))</f>
        <v/>
      </c>
      <c r="D106" s="42"/>
      <c r="E106" s="44"/>
      <c r="F106" s="52"/>
      <c r="G106" s="49" t="str">
        <f t="shared" si="1"/>
        <v/>
      </c>
      <c r="H106" s="29"/>
      <c r="I106" s="52"/>
      <c r="J106" s="58" t="str">
        <f>IF(F106="","", IF(I106="",_xlfn.NETWORKDAYS.INTL(F106,TODAY(),1,FERIADOS),_xlfn.NETWORKDAYS.INTL(F106,I106,1,FERIADOS)))</f>
        <v/>
      </c>
      <c r="K106" s="58" t="str">
        <f t="shared" si="2"/>
        <v/>
      </c>
      <c r="L106" s="58" t="str">
        <f t="shared" si="3"/>
        <v/>
      </c>
    </row>
    <row r="107" ht="21.0" customHeight="1">
      <c r="A107" s="29"/>
      <c r="B107" s="94"/>
      <c r="C107" s="38" t="str">
        <f t="array" ref="C107">IF(B107="","",INDEX(PARAMETROS!$J$2:$J$14,MATCH(B107,PARAMETROS!$G$2:$G$14,0),1))</f>
        <v/>
      </c>
      <c r="D107" s="42"/>
      <c r="E107" s="44"/>
      <c r="F107" s="52"/>
      <c r="G107" s="49" t="str">
        <f t="shared" si="1"/>
        <v/>
      </c>
      <c r="H107" s="29"/>
      <c r="I107" s="52"/>
      <c r="J107" s="58" t="str">
        <f>IF(F107="","", IF(I107="",_xlfn.NETWORKDAYS.INTL(F107,TODAY(),1,FERIADOS),_xlfn.NETWORKDAYS.INTL(F107,I107,1,FERIADOS)))</f>
        <v/>
      </c>
      <c r="K107" s="58" t="str">
        <f t="shared" si="2"/>
        <v/>
      </c>
      <c r="L107" s="58" t="str">
        <f t="shared" si="3"/>
        <v/>
      </c>
    </row>
    <row r="108" ht="21.0" customHeight="1">
      <c r="A108" s="29"/>
      <c r="B108" s="94"/>
      <c r="C108" s="38" t="str">
        <f t="array" ref="C108">IF(B108="","",INDEX(PARAMETROS!$J$2:$J$14,MATCH(B108,PARAMETROS!$G$2:$G$14,0),1))</f>
        <v/>
      </c>
      <c r="D108" s="42"/>
      <c r="E108" s="44"/>
      <c r="F108" s="52"/>
      <c r="G108" s="49" t="str">
        <f t="shared" si="1"/>
        <v/>
      </c>
      <c r="H108" s="29"/>
      <c r="I108" s="52"/>
      <c r="J108" s="58" t="str">
        <f>IF(F108="","", IF(I108="",_xlfn.NETWORKDAYS.INTL(F108,TODAY(),1,FERIADOS),_xlfn.NETWORKDAYS.INTL(F108,I108,1,FERIADOS)))</f>
        <v/>
      </c>
      <c r="K108" s="58" t="str">
        <f t="shared" si="2"/>
        <v/>
      </c>
      <c r="L108" s="58" t="str">
        <f t="shared" si="3"/>
        <v/>
      </c>
    </row>
    <row r="109" ht="21.0" customHeight="1">
      <c r="A109" s="29"/>
      <c r="B109" s="94"/>
      <c r="C109" s="38" t="str">
        <f t="array" ref="C109">IF(B109="","",INDEX(PARAMETROS!$J$2:$J$14,MATCH(B109,PARAMETROS!$G$2:$G$14,0),1))</f>
        <v/>
      </c>
      <c r="D109" s="42"/>
      <c r="E109" s="44"/>
      <c r="F109" s="52"/>
      <c r="G109" s="49" t="str">
        <f t="shared" si="1"/>
        <v/>
      </c>
      <c r="H109" s="29"/>
      <c r="I109" s="52"/>
      <c r="J109" s="58" t="str">
        <f>IF(F109="","", IF(I109="",_xlfn.NETWORKDAYS.INTL(F109,TODAY(),1,FERIADOS),_xlfn.NETWORKDAYS.INTL(F109,I109,1,FERIADOS)))</f>
        <v/>
      </c>
      <c r="K109" s="58" t="str">
        <f t="shared" si="2"/>
        <v/>
      </c>
      <c r="L109" s="58" t="str">
        <f t="shared" si="3"/>
        <v/>
      </c>
    </row>
    <row r="110" ht="21.0" customHeight="1">
      <c r="A110" s="29"/>
      <c r="B110" s="94"/>
      <c r="C110" s="38" t="str">
        <f t="array" ref="C110">IF(B110="","",INDEX(PARAMETROS!$J$2:$J$14,MATCH(B110,PARAMETROS!$G$2:$G$14,0),1))</f>
        <v/>
      </c>
      <c r="D110" s="42"/>
      <c r="E110" s="44"/>
      <c r="F110" s="52"/>
      <c r="G110" s="49" t="str">
        <f t="shared" si="1"/>
        <v/>
      </c>
      <c r="H110" s="29"/>
      <c r="I110" s="52"/>
      <c r="J110" s="58" t="str">
        <f>IF(F110="","", IF(I110="",_xlfn.NETWORKDAYS.INTL(F110,TODAY(),1,FERIADOS),_xlfn.NETWORKDAYS.INTL(F110,I110,1,FERIADOS)))</f>
        <v/>
      </c>
      <c r="K110" s="58" t="str">
        <f t="shared" si="2"/>
        <v/>
      </c>
      <c r="L110" s="58" t="str">
        <f t="shared" si="3"/>
        <v/>
      </c>
    </row>
    <row r="111" ht="21.0" customHeight="1">
      <c r="A111" s="29"/>
      <c r="B111" s="94"/>
      <c r="C111" s="38" t="str">
        <f t="array" ref="C111">IF(B111="","",INDEX(PARAMETROS!$J$2:$J$14,MATCH(B111,PARAMETROS!$G$2:$G$14,0),1))</f>
        <v/>
      </c>
      <c r="D111" s="42"/>
      <c r="E111" s="44"/>
      <c r="F111" s="52"/>
      <c r="G111" s="49" t="str">
        <f t="shared" si="1"/>
        <v/>
      </c>
      <c r="H111" s="29"/>
      <c r="I111" s="52"/>
      <c r="J111" s="58" t="str">
        <f>IF(F111="","", IF(I111="",_xlfn.NETWORKDAYS.INTL(F111,TODAY(),1,FERIADOS),_xlfn.NETWORKDAYS.INTL(F111,I111,1,FERIADOS)))</f>
        <v/>
      </c>
      <c r="K111" s="58" t="str">
        <f t="shared" si="2"/>
        <v/>
      </c>
      <c r="L111" s="58" t="str">
        <f t="shared" si="3"/>
        <v/>
      </c>
    </row>
    <row r="112" ht="21.0" customHeight="1">
      <c r="A112" s="29"/>
      <c r="B112" s="94"/>
      <c r="C112" s="38" t="str">
        <f t="array" ref="C112">IF(B112="","",INDEX(PARAMETROS!$J$2:$J$14,MATCH(B112,PARAMETROS!$G$2:$G$14,0),1))</f>
        <v/>
      </c>
      <c r="D112" s="42"/>
      <c r="E112" s="44"/>
      <c r="F112" s="52"/>
      <c r="G112" s="49" t="str">
        <f t="shared" si="1"/>
        <v/>
      </c>
      <c r="H112" s="29"/>
      <c r="I112" s="52"/>
      <c r="J112" s="58" t="str">
        <f>IF(F112="","", IF(I112="",_xlfn.NETWORKDAYS.INTL(F112,TODAY(),1,FERIADOS),_xlfn.NETWORKDAYS.INTL(F112,I112,1,FERIADOS)))</f>
        <v/>
      </c>
      <c r="K112" s="58" t="str">
        <f t="shared" si="2"/>
        <v/>
      </c>
      <c r="L112" s="58" t="str">
        <f t="shared" si="3"/>
        <v/>
      </c>
    </row>
    <row r="113" ht="21.0" customHeight="1">
      <c r="A113" s="29"/>
      <c r="B113" s="94"/>
      <c r="C113" s="38" t="str">
        <f t="array" ref="C113">IF(B113="","",INDEX(PARAMETROS!$J$2:$J$14,MATCH(B113,PARAMETROS!$G$2:$G$14,0),1))</f>
        <v/>
      </c>
      <c r="D113" s="42"/>
      <c r="E113" s="44"/>
      <c r="F113" s="52"/>
      <c r="G113" s="49" t="str">
        <f t="shared" si="1"/>
        <v/>
      </c>
      <c r="H113" s="29"/>
      <c r="I113" s="52"/>
      <c r="J113" s="58" t="str">
        <f>IF(F113="","", IF(I113="",_xlfn.NETWORKDAYS.INTL(F113,TODAY(),1,FERIADOS),_xlfn.NETWORKDAYS.INTL(F113,I113,1,FERIADOS)))</f>
        <v/>
      </c>
      <c r="K113" s="58" t="str">
        <f t="shared" si="2"/>
        <v/>
      </c>
      <c r="L113" s="58" t="str">
        <f t="shared" si="3"/>
        <v/>
      </c>
    </row>
    <row r="114" ht="21.0" customHeight="1">
      <c r="A114" s="29"/>
      <c r="B114" s="94"/>
      <c r="C114" s="38" t="str">
        <f t="array" ref="C114">IF(B114="","",INDEX(PARAMETROS!$J$2:$J$14,MATCH(B114,PARAMETROS!$G$2:$G$14,0),1))</f>
        <v/>
      </c>
      <c r="D114" s="42"/>
      <c r="E114" s="44"/>
      <c r="F114" s="52"/>
      <c r="G114" s="49" t="str">
        <f t="shared" si="1"/>
        <v/>
      </c>
      <c r="H114" s="29"/>
      <c r="I114" s="52"/>
      <c r="J114" s="58" t="str">
        <f>IF(F114="","", IF(I114="",_xlfn.NETWORKDAYS.INTL(F114,TODAY(),1,FERIADOS),_xlfn.NETWORKDAYS.INTL(F114,I114,1,FERIADOS)))</f>
        <v/>
      </c>
      <c r="K114" s="58" t="str">
        <f t="shared" si="2"/>
        <v/>
      </c>
      <c r="L114" s="58" t="str">
        <f t="shared" si="3"/>
        <v/>
      </c>
    </row>
    <row r="115" ht="21.0" customHeight="1">
      <c r="A115" s="29"/>
      <c r="B115" s="94"/>
      <c r="C115" s="38" t="str">
        <f t="array" ref="C115">IF(B115="","",INDEX(PARAMETROS!$J$2:$J$14,MATCH(B115,PARAMETROS!$G$2:$G$14,0),1))</f>
        <v/>
      </c>
      <c r="D115" s="42"/>
      <c r="E115" s="44"/>
      <c r="F115" s="52"/>
      <c r="G115" s="49" t="str">
        <f t="shared" si="1"/>
        <v/>
      </c>
      <c r="H115" s="29"/>
      <c r="I115" s="52"/>
      <c r="J115" s="58" t="str">
        <f>IF(F115="","", IF(I115="",_xlfn.NETWORKDAYS.INTL(F115,TODAY(),1,FERIADOS),_xlfn.NETWORKDAYS.INTL(F115,I115,1,FERIADOS)))</f>
        <v/>
      </c>
      <c r="K115" s="58" t="str">
        <f t="shared" si="2"/>
        <v/>
      </c>
      <c r="L115" s="58" t="str">
        <f t="shared" si="3"/>
        <v/>
      </c>
    </row>
    <row r="116" ht="21.0" customHeight="1">
      <c r="A116" s="29"/>
      <c r="B116" s="94"/>
      <c r="C116" s="38" t="str">
        <f t="array" ref="C116">IF(B116="","",INDEX(PARAMETROS!$J$2:$J$14,MATCH(B116,PARAMETROS!$G$2:$G$14,0),1))</f>
        <v/>
      </c>
      <c r="D116" s="42"/>
      <c r="E116" s="44"/>
      <c r="F116" s="52"/>
      <c r="G116" s="49" t="str">
        <f t="shared" si="1"/>
        <v/>
      </c>
      <c r="H116" s="29"/>
      <c r="I116" s="52"/>
      <c r="J116" s="58" t="str">
        <f>IF(F116="","", IF(I116="",_xlfn.NETWORKDAYS.INTL(F116,TODAY(),1,FERIADOS),_xlfn.NETWORKDAYS.INTL(F116,I116,1,FERIADOS)))</f>
        <v/>
      </c>
      <c r="K116" s="58" t="str">
        <f t="shared" si="2"/>
        <v/>
      </c>
      <c r="L116" s="58" t="str">
        <f t="shared" si="3"/>
        <v/>
      </c>
    </row>
    <row r="117" ht="21.0" customHeight="1">
      <c r="A117" s="29"/>
      <c r="B117" s="94"/>
      <c r="C117" s="38" t="str">
        <f t="array" ref="C117">IF(B117="","",INDEX(PARAMETROS!$J$2:$J$14,MATCH(B117,PARAMETROS!$G$2:$G$14,0),1))</f>
        <v/>
      </c>
      <c r="D117" s="42"/>
      <c r="E117" s="44"/>
      <c r="F117" s="52"/>
      <c r="G117" s="49" t="str">
        <f t="shared" si="1"/>
        <v/>
      </c>
      <c r="H117" s="29"/>
      <c r="I117" s="52"/>
      <c r="J117" s="58" t="str">
        <f>IF(F117="","", IF(I117="",_xlfn.NETWORKDAYS.INTL(F117,TODAY(),1,FERIADOS),_xlfn.NETWORKDAYS.INTL(F117,I117,1,FERIADOS)))</f>
        <v/>
      </c>
      <c r="K117" s="58" t="str">
        <f t="shared" si="2"/>
        <v/>
      </c>
      <c r="L117" s="58" t="str">
        <f t="shared" si="3"/>
        <v/>
      </c>
    </row>
    <row r="118" ht="21.0" customHeight="1">
      <c r="A118" s="29"/>
      <c r="B118" s="94"/>
      <c r="C118" s="38" t="str">
        <f t="array" ref="C118">IF(B118="","",INDEX(PARAMETROS!$J$2:$J$14,MATCH(B118,PARAMETROS!$G$2:$G$14,0),1))</f>
        <v/>
      </c>
      <c r="D118" s="42"/>
      <c r="E118" s="44"/>
      <c r="F118" s="52"/>
      <c r="G118" s="49" t="str">
        <f t="shared" si="1"/>
        <v/>
      </c>
      <c r="H118" s="29"/>
      <c r="I118" s="52"/>
      <c r="J118" s="58" t="str">
        <f>IF(F118="","", IF(I118="",_xlfn.NETWORKDAYS.INTL(F118,TODAY(),1,FERIADOS),_xlfn.NETWORKDAYS.INTL(F118,I118,1,FERIADOS)))</f>
        <v/>
      </c>
      <c r="K118" s="58" t="str">
        <f t="shared" si="2"/>
        <v/>
      </c>
      <c r="L118" s="58" t="str">
        <f t="shared" si="3"/>
        <v/>
      </c>
    </row>
    <row r="119" ht="21.0" customHeight="1">
      <c r="A119" s="29"/>
      <c r="B119" s="94"/>
      <c r="C119" s="38" t="str">
        <f t="array" ref="C119">IF(B119="","",INDEX(PARAMETROS!$J$2:$J$14,MATCH(B119,PARAMETROS!$G$2:$G$14,0),1))</f>
        <v/>
      </c>
      <c r="D119" s="42"/>
      <c r="E119" s="44"/>
      <c r="F119" s="52"/>
      <c r="G119" s="49" t="str">
        <f t="shared" si="1"/>
        <v/>
      </c>
      <c r="H119" s="29"/>
      <c r="I119" s="52"/>
      <c r="J119" s="58" t="str">
        <f>IF(F119="","", IF(I119="",_xlfn.NETWORKDAYS.INTL(F119,TODAY(),1,FERIADOS),_xlfn.NETWORKDAYS.INTL(F119,I119,1,FERIADOS)))</f>
        <v/>
      </c>
      <c r="K119" s="58" t="str">
        <f t="shared" si="2"/>
        <v/>
      </c>
      <c r="L119" s="58" t="str">
        <f t="shared" si="3"/>
        <v/>
      </c>
    </row>
    <row r="120" ht="21.0" customHeight="1">
      <c r="A120" s="29"/>
      <c r="B120" s="94"/>
      <c r="C120" s="38" t="str">
        <f t="array" ref="C120">IF(B120="","",INDEX(PARAMETROS!$J$2:$J$14,MATCH(B120,PARAMETROS!$G$2:$G$14,0),1))</f>
        <v/>
      </c>
      <c r="D120" s="42"/>
      <c r="E120" s="44"/>
      <c r="F120" s="52"/>
      <c r="G120" s="49" t="str">
        <f t="shared" si="1"/>
        <v/>
      </c>
      <c r="H120" s="29"/>
      <c r="I120" s="52"/>
      <c r="J120" s="58" t="str">
        <f>IF(F120="","", IF(I120="",_xlfn.NETWORKDAYS.INTL(F120,TODAY(),1,FERIADOS),_xlfn.NETWORKDAYS.INTL(F120,I120,1,FERIADOS)))</f>
        <v/>
      </c>
      <c r="K120" s="58" t="str">
        <f t="shared" si="2"/>
        <v/>
      </c>
      <c r="L120" s="58" t="str">
        <f t="shared" si="3"/>
        <v/>
      </c>
    </row>
    <row r="121" ht="21.0" customHeight="1">
      <c r="A121" s="29"/>
      <c r="B121" s="94"/>
      <c r="C121" s="38" t="str">
        <f t="array" ref="C121">IF(B121="","",INDEX(PARAMETROS!$J$2:$J$14,MATCH(B121,PARAMETROS!$G$2:$G$14,0),1))</f>
        <v/>
      </c>
      <c r="D121" s="42"/>
      <c r="E121" s="44"/>
      <c r="F121" s="52"/>
      <c r="G121" s="49" t="str">
        <f t="shared" si="1"/>
        <v/>
      </c>
      <c r="H121" s="29"/>
      <c r="I121" s="52"/>
      <c r="J121" s="58" t="str">
        <f>IF(F121="","", IF(I121="",_xlfn.NETWORKDAYS.INTL(F121,TODAY(),1,FERIADOS),_xlfn.NETWORKDAYS.INTL(F121,I121,1,FERIADOS)))</f>
        <v/>
      </c>
      <c r="K121" s="58" t="str">
        <f t="shared" si="2"/>
        <v/>
      </c>
      <c r="L121" s="58" t="str">
        <f t="shared" si="3"/>
        <v/>
      </c>
    </row>
    <row r="122" ht="21.0" customHeight="1">
      <c r="A122" s="29"/>
      <c r="B122" s="94"/>
      <c r="C122" s="38" t="str">
        <f t="array" ref="C122">IF(B122="","",INDEX(PARAMETROS!$J$2:$J$14,MATCH(B122,PARAMETROS!$G$2:$G$14,0),1))</f>
        <v/>
      </c>
      <c r="D122" s="42"/>
      <c r="E122" s="44"/>
      <c r="F122" s="52"/>
      <c r="G122" s="49" t="str">
        <f t="shared" si="1"/>
        <v/>
      </c>
      <c r="H122" s="29"/>
      <c r="I122" s="52"/>
      <c r="J122" s="58" t="str">
        <f>IF(F122="","", IF(I122="",_xlfn.NETWORKDAYS.INTL(F122,TODAY(),1,FERIADOS),_xlfn.NETWORKDAYS.INTL(F122,I122,1,FERIADOS)))</f>
        <v/>
      </c>
      <c r="K122" s="58" t="str">
        <f t="shared" si="2"/>
        <v/>
      </c>
      <c r="L122" s="58" t="str">
        <f t="shared" si="3"/>
        <v/>
      </c>
    </row>
    <row r="123" ht="21.0" customHeight="1">
      <c r="A123" s="29"/>
      <c r="B123" s="94"/>
      <c r="C123" s="38" t="str">
        <f t="array" ref="C123">IF(B123="","",INDEX(PARAMETROS!$J$2:$J$14,MATCH(B123,PARAMETROS!$G$2:$G$14,0),1))</f>
        <v/>
      </c>
      <c r="D123" s="42"/>
      <c r="E123" s="44"/>
      <c r="F123" s="52"/>
      <c r="G123" s="49" t="str">
        <f t="shared" si="1"/>
        <v/>
      </c>
      <c r="H123" s="29"/>
      <c r="I123" s="52"/>
      <c r="J123" s="58" t="str">
        <f>IF(F123="","", IF(I123="",_xlfn.NETWORKDAYS.INTL(F123,TODAY(),1,FERIADOS),_xlfn.NETWORKDAYS.INTL(F123,I123,1,FERIADOS)))</f>
        <v/>
      </c>
      <c r="K123" s="58" t="str">
        <f t="shared" si="2"/>
        <v/>
      </c>
      <c r="L123" s="58" t="str">
        <f t="shared" si="3"/>
        <v/>
      </c>
    </row>
    <row r="124" ht="21.0" customHeight="1">
      <c r="A124" s="29"/>
      <c r="B124" s="94"/>
      <c r="C124" s="38" t="str">
        <f t="array" ref="C124">IF(B124="","",INDEX(PARAMETROS!$J$2:$J$14,MATCH(B124,PARAMETROS!$G$2:$G$14,0),1))</f>
        <v/>
      </c>
      <c r="D124" s="42"/>
      <c r="E124" s="44"/>
      <c r="F124" s="52"/>
      <c r="G124" s="49" t="str">
        <f t="shared" si="1"/>
        <v/>
      </c>
      <c r="H124" s="29"/>
      <c r="I124" s="52"/>
      <c r="J124" s="58" t="str">
        <f>IF(F124="","", IF(I124="",_xlfn.NETWORKDAYS.INTL(F124,TODAY(),1,FERIADOS),_xlfn.NETWORKDAYS.INTL(F124,I124,1,FERIADOS)))</f>
        <v/>
      </c>
      <c r="K124" s="58" t="str">
        <f t="shared" si="2"/>
        <v/>
      </c>
      <c r="L124" s="58" t="str">
        <f t="shared" si="3"/>
        <v/>
      </c>
    </row>
    <row r="125" ht="21.0" customHeight="1">
      <c r="A125" s="29"/>
      <c r="B125" s="94"/>
      <c r="C125" s="38" t="str">
        <f t="array" ref="C125">IF(B125="","",INDEX(PARAMETROS!$J$2:$J$14,MATCH(B125,PARAMETROS!$G$2:$G$14,0),1))</f>
        <v/>
      </c>
      <c r="D125" s="42"/>
      <c r="E125" s="44"/>
      <c r="F125" s="52"/>
      <c r="G125" s="49" t="str">
        <f t="shared" si="1"/>
        <v/>
      </c>
      <c r="H125" s="29"/>
      <c r="I125" s="52"/>
      <c r="J125" s="58" t="str">
        <f>IF(F125="","", IF(I125="",_xlfn.NETWORKDAYS.INTL(F125,TODAY(),1,FERIADOS),_xlfn.NETWORKDAYS.INTL(F125,I125,1,FERIADOS)))</f>
        <v/>
      </c>
      <c r="K125" s="58" t="str">
        <f t="shared" si="2"/>
        <v/>
      </c>
      <c r="L125" s="58" t="str">
        <f t="shared" si="3"/>
        <v/>
      </c>
    </row>
    <row r="126" ht="21.0" customHeight="1">
      <c r="A126" s="29"/>
      <c r="B126" s="94"/>
      <c r="C126" s="38" t="str">
        <f t="array" ref="C126">IF(B126="","",INDEX(PARAMETROS!$J$2:$J$14,MATCH(B126,PARAMETROS!$G$2:$G$14,0),1))</f>
        <v/>
      </c>
      <c r="D126" s="42"/>
      <c r="E126" s="44"/>
      <c r="F126" s="52"/>
      <c r="G126" s="49" t="str">
        <f t="shared" si="1"/>
        <v/>
      </c>
      <c r="H126" s="29"/>
      <c r="I126" s="52"/>
      <c r="J126" s="58" t="str">
        <f>IF(F126="","", IF(I126="",_xlfn.NETWORKDAYS.INTL(F126,TODAY(),1,FERIADOS),_xlfn.NETWORKDAYS.INTL(F126,I126,1,FERIADOS)))</f>
        <v/>
      </c>
      <c r="K126" s="58" t="str">
        <f t="shared" si="2"/>
        <v/>
      </c>
      <c r="L126" s="58" t="str">
        <f t="shared" si="3"/>
        <v/>
      </c>
    </row>
    <row r="127" ht="21.0" customHeight="1">
      <c r="A127" s="29"/>
      <c r="B127" s="94"/>
      <c r="C127" s="38" t="str">
        <f t="array" ref="C127">IF(B127="","",INDEX(PARAMETROS!$J$2:$J$14,MATCH(B127,PARAMETROS!$G$2:$G$14,0),1))</f>
        <v/>
      </c>
      <c r="D127" s="42"/>
      <c r="E127" s="44"/>
      <c r="F127" s="52"/>
      <c r="G127" s="49" t="str">
        <f t="shared" si="1"/>
        <v/>
      </c>
      <c r="H127" s="29"/>
      <c r="I127" s="52"/>
      <c r="J127" s="58" t="str">
        <f>IF(F127="","", IF(I127="",_xlfn.NETWORKDAYS.INTL(F127,TODAY(),1,FERIADOS),_xlfn.NETWORKDAYS.INTL(F127,I127,1,FERIADOS)))</f>
        <v/>
      </c>
      <c r="K127" s="58" t="str">
        <f t="shared" si="2"/>
        <v/>
      </c>
      <c r="L127" s="58" t="str">
        <f t="shared" si="3"/>
        <v/>
      </c>
    </row>
    <row r="128" ht="21.0" customHeight="1">
      <c r="A128" s="29"/>
      <c r="B128" s="94"/>
      <c r="C128" s="38" t="str">
        <f t="array" ref="C128">IF(B128="","",INDEX(PARAMETROS!$J$2:$J$14,MATCH(B128,PARAMETROS!$G$2:$G$14,0),1))</f>
        <v/>
      </c>
      <c r="D128" s="42"/>
      <c r="E128" s="44"/>
      <c r="F128" s="52"/>
      <c r="G128" s="49" t="str">
        <f t="shared" si="1"/>
        <v/>
      </c>
      <c r="H128" s="29"/>
      <c r="I128" s="52"/>
      <c r="J128" s="58" t="str">
        <f>IF(F128="","", IF(I128="",_xlfn.NETWORKDAYS.INTL(F128,TODAY(),1,FERIADOS),_xlfn.NETWORKDAYS.INTL(F128,I128,1,FERIADOS)))</f>
        <v/>
      </c>
      <c r="K128" s="58" t="str">
        <f t="shared" si="2"/>
        <v/>
      </c>
      <c r="L128" s="58" t="str">
        <f t="shared" si="3"/>
        <v/>
      </c>
    </row>
    <row r="129" ht="21.0" customHeight="1">
      <c r="A129" s="29"/>
      <c r="B129" s="94"/>
      <c r="C129" s="38" t="str">
        <f t="array" ref="C129">IF(B129="","",INDEX(PARAMETROS!$J$2:$J$14,MATCH(B129,PARAMETROS!$G$2:$G$14,0),1))</f>
        <v/>
      </c>
      <c r="D129" s="42"/>
      <c r="E129" s="44"/>
      <c r="F129" s="52"/>
      <c r="G129" s="49" t="str">
        <f t="shared" si="1"/>
        <v/>
      </c>
      <c r="H129" s="29"/>
      <c r="I129" s="52"/>
      <c r="J129" s="58" t="str">
        <f>IF(F129="","", IF(I129="",_xlfn.NETWORKDAYS.INTL(F129,TODAY(),1,FERIADOS),_xlfn.NETWORKDAYS.INTL(F129,I129,1,FERIADOS)))</f>
        <v/>
      </c>
      <c r="K129" s="58" t="str">
        <f t="shared" si="2"/>
        <v/>
      </c>
      <c r="L129" s="58" t="str">
        <f t="shared" si="3"/>
        <v/>
      </c>
    </row>
    <row r="130" ht="21.0" customHeight="1">
      <c r="A130" s="29"/>
      <c r="B130" s="94"/>
      <c r="C130" s="38" t="str">
        <f t="array" ref="C130">IF(B130="","",INDEX(PARAMETROS!$J$2:$J$14,MATCH(B130,PARAMETROS!$G$2:$G$14,0),1))</f>
        <v/>
      </c>
      <c r="D130" s="42"/>
      <c r="E130" s="44"/>
      <c r="F130" s="52"/>
      <c r="G130" s="49" t="str">
        <f t="shared" si="1"/>
        <v/>
      </c>
      <c r="H130" s="29"/>
      <c r="I130" s="52"/>
      <c r="J130" s="58" t="str">
        <f>IF(F130="","", IF(I130="",_xlfn.NETWORKDAYS.INTL(F130,TODAY(),1,FERIADOS),_xlfn.NETWORKDAYS.INTL(F130,I130,1,FERIADOS)))</f>
        <v/>
      </c>
      <c r="K130" s="58" t="str">
        <f t="shared" si="2"/>
        <v/>
      </c>
      <c r="L130" s="58" t="str">
        <f t="shared" si="3"/>
        <v/>
      </c>
    </row>
    <row r="131" ht="21.0" customHeight="1">
      <c r="A131" s="29"/>
      <c r="B131" s="94"/>
      <c r="C131" s="38" t="str">
        <f t="array" ref="C131">IF(B131="","",INDEX(PARAMETROS!$J$2:$J$14,MATCH(B131,PARAMETROS!$G$2:$G$14,0),1))</f>
        <v/>
      </c>
      <c r="D131" s="42"/>
      <c r="E131" s="44"/>
      <c r="F131" s="52"/>
      <c r="G131" s="49" t="str">
        <f t="shared" si="1"/>
        <v/>
      </c>
      <c r="H131" s="29"/>
      <c r="I131" s="52"/>
      <c r="J131" s="58" t="str">
        <f>IF(F131="","", IF(I131="",_xlfn.NETWORKDAYS.INTL(F131,TODAY(),1,FERIADOS),_xlfn.NETWORKDAYS.INTL(F131,I131,1,FERIADOS)))</f>
        <v/>
      </c>
      <c r="K131" s="58" t="str">
        <f t="shared" si="2"/>
        <v/>
      </c>
      <c r="L131" s="58" t="str">
        <f t="shared" si="3"/>
        <v/>
      </c>
    </row>
    <row r="132" ht="21.0" customHeight="1">
      <c r="A132" s="29"/>
      <c r="B132" s="94"/>
      <c r="C132" s="38" t="str">
        <f t="array" ref="C132">IF(B132="","",INDEX(PARAMETROS!$J$2:$J$14,MATCH(B132,PARAMETROS!$G$2:$G$14,0),1))</f>
        <v/>
      </c>
      <c r="D132" s="42"/>
      <c r="E132" s="44"/>
      <c r="F132" s="52"/>
      <c r="G132" s="49" t="str">
        <f t="shared" si="1"/>
        <v/>
      </c>
      <c r="H132" s="29"/>
      <c r="I132" s="52"/>
      <c r="J132" s="58" t="str">
        <f>IF(F132="","", IF(I132="",_xlfn.NETWORKDAYS.INTL(F132,TODAY(),1,FERIADOS),_xlfn.NETWORKDAYS.INTL(F132,I132,1,FERIADOS)))</f>
        <v/>
      </c>
      <c r="K132" s="58" t="str">
        <f t="shared" si="2"/>
        <v/>
      </c>
      <c r="L132" s="58" t="str">
        <f t="shared" si="3"/>
        <v/>
      </c>
    </row>
    <row r="133" ht="21.0" customHeight="1">
      <c r="A133" s="29"/>
      <c r="B133" s="94"/>
      <c r="C133" s="38" t="str">
        <f t="array" ref="C133">IF(B133="","",INDEX(PARAMETROS!$J$2:$J$14,MATCH(B133,PARAMETROS!$G$2:$G$14,0),1))</f>
        <v/>
      </c>
      <c r="D133" s="42"/>
      <c r="E133" s="44"/>
      <c r="F133" s="52"/>
      <c r="G133" s="49" t="str">
        <f t="shared" si="1"/>
        <v/>
      </c>
      <c r="H133" s="29"/>
      <c r="I133" s="52"/>
      <c r="J133" s="58" t="str">
        <f>IF(F133="","", IF(I133="",_xlfn.NETWORKDAYS.INTL(F133,TODAY(),1,FERIADOS),_xlfn.NETWORKDAYS.INTL(F133,I133,1,FERIADOS)))</f>
        <v/>
      </c>
      <c r="K133" s="58" t="str">
        <f t="shared" si="2"/>
        <v/>
      </c>
      <c r="L133" s="58" t="str">
        <f t="shared" si="3"/>
        <v/>
      </c>
    </row>
    <row r="134" ht="21.0" customHeight="1">
      <c r="A134" s="29"/>
      <c r="B134" s="94"/>
      <c r="C134" s="38" t="str">
        <f t="array" ref="C134">IF(B134="","",INDEX(PARAMETROS!$J$2:$J$14,MATCH(B134,PARAMETROS!$G$2:$G$14,0),1))</f>
        <v/>
      </c>
      <c r="D134" s="42"/>
      <c r="E134" s="44"/>
      <c r="F134" s="52"/>
      <c r="G134" s="49" t="str">
        <f t="shared" si="1"/>
        <v/>
      </c>
      <c r="H134" s="29"/>
      <c r="I134" s="52"/>
      <c r="J134" s="58" t="str">
        <f>IF(F134="","", IF(I134="",_xlfn.NETWORKDAYS.INTL(F134,TODAY(),1,FERIADOS),_xlfn.NETWORKDAYS.INTL(F134,I134,1,FERIADOS)))</f>
        <v/>
      </c>
      <c r="K134" s="58" t="str">
        <f t="shared" si="2"/>
        <v/>
      </c>
      <c r="L134" s="58" t="str">
        <f t="shared" si="3"/>
        <v/>
      </c>
    </row>
    <row r="135" ht="21.0" customHeight="1">
      <c r="A135" s="29"/>
      <c r="B135" s="94"/>
      <c r="C135" s="38" t="str">
        <f t="array" ref="C135">IF(B135="","",INDEX(PARAMETROS!$J$2:$J$14,MATCH(B135,PARAMETROS!$G$2:$G$14,0),1))</f>
        <v/>
      </c>
      <c r="D135" s="42"/>
      <c r="E135" s="44"/>
      <c r="F135" s="52"/>
      <c r="G135" s="49" t="str">
        <f t="shared" si="1"/>
        <v/>
      </c>
      <c r="H135" s="29"/>
      <c r="I135" s="52"/>
      <c r="J135" s="58" t="str">
        <f>IF(F135="","", IF(I135="",_xlfn.NETWORKDAYS.INTL(F135,TODAY(),1,FERIADOS),_xlfn.NETWORKDAYS.INTL(F135,I135,1,FERIADOS)))</f>
        <v/>
      </c>
      <c r="K135" s="58" t="str">
        <f t="shared" si="2"/>
        <v/>
      </c>
      <c r="L135" s="58" t="str">
        <f t="shared" si="3"/>
        <v/>
      </c>
    </row>
    <row r="136" ht="21.0" customHeight="1">
      <c r="A136" s="29"/>
      <c r="B136" s="94"/>
      <c r="C136" s="38" t="str">
        <f t="array" ref="C136">IF(B136="","",INDEX(PARAMETROS!$J$2:$J$14,MATCH(B136,PARAMETROS!$G$2:$G$14,0),1))</f>
        <v/>
      </c>
      <c r="D136" s="42"/>
      <c r="E136" s="44"/>
      <c r="F136" s="52"/>
      <c r="G136" s="49" t="str">
        <f t="shared" si="1"/>
        <v/>
      </c>
      <c r="H136" s="29"/>
      <c r="I136" s="52"/>
      <c r="J136" s="58" t="str">
        <f>IF(F136="","", IF(I136="",_xlfn.NETWORKDAYS.INTL(F136,TODAY(),1,FERIADOS),_xlfn.NETWORKDAYS.INTL(F136,I136,1,FERIADOS)))</f>
        <v/>
      </c>
      <c r="K136" s="58" t="str">
        <f t="shared" si="2"/>
        <v/>
      </c>
      <c r="L136" s="58" t="str">
        <f t="shared" si="3"/>
        <v/>
      </c>
    </row>
    <row r="137" ht="21.0" customHeight="1">
      <c r="A137" s="29"/>
      <c r="B137" s="94"/>
      <c r="C137" s="38" t="str">
        <f t="array" ref="C137">IF(B137="","",INDEX(PARAMETROS!$J$2:$J$14,MATCH(B137,PARAMETROS!$G$2:$G$14,0),1))</f>
        <v/>
      </c>
      <c r="D137" s="42"/>
      <c r="E137" s="44"/>
      <c r="F137" s="52"/>
      <c r="G137" s="49" t="str">
        <f t="shared" si="1"/>
        <v/>
      </c>
      <c r="H137" s="29"/>
      <c r="I137" s="52"/>
      <c r="J137" s="58" t="str">
        <f>IF(F137="","", IF(I137="",_xlfn.NETWORKDAYS.INTL(F137,TODAY(),1,FERIADOS),_xlfn.NETWORKDAYS.INTL(F137,I137,1,FERIADOS)))</f>
        <v/>
      </c>
      <c r="K137" s="58" t="str">
        <f t="shared" si="2"/>
        <v/>
      </c>
      <c r="L137" s="58" t="str">
        <f t="shared" si="3"/>
        <v/>
      </c>
    </row>
    <row r="138" ht="21.0" customHeight="1">
      <c r="A138" s="29"/>
      <c r="B138" s="94"/>
      <c r="C138" s="38" t="str">
        <f t="array" ref="C138">IF(B138="","",INDEX(PARAMETROS!$J$2:$J$14,MATCH(B138,PARAMETROS!$G$2:$G$14,0),1))</f>
        <v/>
      </c>
      <c r="D138" s="42"/>
      <c r="E138" s="44"/>
      <c r="F138" s="52"/>
      <c r="G138" s="49" t="str">
        <f t="shared" si="1"/>
        <v/>
      </c>
      <c r="H138" s="29"/>
      <c r="I138" s="52"/>
      <c r="J138" s="58" t="str">
        <f>IF(F138="","", IF(I138="",_xlfn.NETWORKDAYS.INTL(F138,TODAY(),1,FERIADOS),_xlfn.NETWORKDAYS.INTL(F138,I138,1,FERIADOS)))</f>
        <v/>
      </c>
      <c r="K138" s="58" t="str">
        <f t="shared" si="2"/>
        <v/>
      </c>
      <c r="L138" s="58" t="str">
        <f t="shared" si="3"/>
        <v/>
      </c>
    </row>
    <row r="139" ht="21.0" customHeight="1">
      <c r="A139" s="29"/>
      <c r="B139" s="94"/>
      <c r="C139" s="38" t="str">
        <f t="array" ref="C139">IF(B139="","",INDEX(PARAMETROS!$J$2:$J$14,MATCH(B139,PARAMETROS!$G$2:$G$14,0),1))</f>
        <v/>
      </c>
      <c r="D139" s="42"/>
      <c r="E139" s="44"/>
      <c r="F139" s="52"/>
      <c r="G139" s="49" t="str">
        <f t="shared" si="1"/>
        <v/>
      </c>
      <c r="H139" s="29"/>
      <c r="I139" s="52"/>
      <c r="J139" s="58" t="str">
        <f>IF(F139="","", IF(I139="",_xlfn.NETWORKDAYS.INTL(F139,TODAY(),1,FERIADOS),_xlfn.NETWORKDAYS.INTL(F139,I139,1,FERIADOS)))</f>
        <v/>
      </c>
      <c r="K139" s="58" t="str">
        <f t="shared" si="2"/>
        <v/>
      </c>
      <c r="L139" s="58" t="str">
        <f t="shared" si="3"/>
        <v/>
      </c>
    </row>
    <row r="140" ht="21.0" customHeight="1">
      <c r="A140" s="29"/>
      <c r="B140" s="94"/>
      <c r="C140" s="38" t="str">
        <f t="array" ref="C140">IF(B140="","",INDEX(PARAMETROS!$J$2:$J$14,MATCH(B140,PARAMETROS!$G$2:$G$14,0),1))</f>
        <v/>
      </c>
      <c r="D140" s="42"/>
      <c r="E140" s="44"/>
      <c r="F140" s="52"/>
      <c r="G140" s="49" t="str">
        <f t="shared" si="1"/>
        <v/>
      </c>
      <c r="H140" s="29"/>
      <c r="I140" s="52"/>
      <c r="J140" s="58" t="str">
        <f>IF(F140="","", IF(I140="",_xlfn.NETWORKDAYS.INTL(F140,TODAY(),1,FERIADOS),_xlfn.NETWORKDAYS.INTL(F140,I140,1,FERIADOS)))</f>
        <v/>
      </c>
      <c r="K140" s="58" t="str">
        <f t="shared" si="2"/>
        <v/>
      </c>
      <c r="L140" s="58" t="str">
        <f t="shared" si="3"/>
        <v/>
      </c>
    </row>
    <row r="141" ht="21.0" customHeight="1">
      <c r="A141" s="29"/>
      <c r="B141" s="94"/>
      <c r="C141" s="38" t="str">
        <f t="array" ref="C141">IF(B141="","",INDEX(PARAMETROS!$J$2:$J$14,MATCH(B141,PARAMETROS!$G$2:$G$14,0),1))</f>
        <v/>
      </c>
      <c r="D141" s="42"/>
      <c r="E141" s="44"/>
      <c r="F141" s="52"/>
      <c r="G141" s="49" t="str">
        <f t="shared" si="1"/>
        <v/>
      </c>
      <c r="H141" s="29"/>
      <c r="I141" s="52"/>
      <c r="J141" s="58" t="str">
        <f>IF(F141="","", IF(I141="",_xlfn.NETWORKDAYS.INTL(F141,TODAY(),1,FERIADOS),_xlfn.NETWORKDAYS.INTL(F141,I141,1,FERIADOS)))</f>
        <v/>
      </c>
      <c r="K141" s="58" t="str">
        <f t="shared" si="2"/>
        <v/>
      </c>
      <c r="L141" s="58" t="str">
        <f t="shared" si="3"/>
        <v/>
      </c>
    </row>
    <row r="142" ht="21.0" customHeight="1">
      <c r="A142" s="29"/>
      <c r="B142" s="94"/>
      <c r="C142" s="38" t="str">
        <f t="array" ref="C142">IF(B142="","",INDEX(PARAMETROS!$J$2:$J$14,MATCH(B142,PARAMETROS!$G$2:$G$14,0),1))</f>
        <v/>
      </c>
      <c r="D142" s="42"/>
      <c r="E142" s="44"/>
      <c r="F142" s="52"/>
      <c r="G142" s="49" t="str">
        <f t="shared" si="1"/>
        <v/>
      </c>
      <c r="H142" s="29"/>
      <c r="I142" s="52"/>
      <c r="J142" s="58" t="str">
        <f>IF(F142="","", IF(I142="",_xlfn.NETWORKDAYS.INTL(F142,TODAY(),1,FERIADOS),_xlfn.NETWORKDAYS.INTL(F142,I142,1,FERIADOS)))</f>
        <v/>
      </c>
      <c r="K142" s="58" t="str">
        <f t="shared" si="2"/>
        <v/>
      </c>
      <c r="L142" s="58" t="str">
        <f t="shared" si="3"/>
        <v/>
      </c>
    </row>
    <row r="143" ht="21.0" customHeight="1">
      <c r="A143" s="29"/>
      <c r="B143" s="94"/>
      <c r="C143" s="38" t="str">
        <f t="array" ref="C143">IF(B143="","",INDEX(PARAMETROS!$J$2:$J$14,MATCH(B143,PARAMETROS!$G$2:$G$14,0),1))</f>
        <v/>
      </c>
      <c r="D143" s="42"/>
      <c r="E143" s="44"/>
      <c r="F143" s="52"/>
      <c r="G143" s="49" t="str">
        <f t="shared" si="1"/>
        <v/>
      </c>
      <c r="H143" s="29"/>
      <c r="I143" s="52"/>
      <c r="J143" s="58" t="str">
        <f>IF(F143="","", IF(I143="",_xlfn.NETWORKDAYS.INTL(F143,TODAY(),1,FERIADOS),_xlfn.NETWORKDAYS.INTL(F143,I143,1,FERIADOS)))</f>
        <v/>
      </c>
      <c r="K143" s="58" t="str">
        <f t="shared" si="2"/>
        <v/>
      </c>
      <c r="L143" s="58" t="str">
        <f t="shared" si="3"/>
        <v/>
      </c>
    </row>
    <row r="144" ht="21.0" customHeight="1">
      <c r="A144" s="29"/>
      <c r="B144" s="94"/>
      <c r="C144" s="38" t="str">
        <f t="array" ref="C144">IF(B144="","",INDEX(PARAMETROS!$J$2:$J$14,MATCH(B144,PARAMETROS!$G$2:$G$14,0),1))</f>
        <v/>
      </c>
      <c r="D144" s="42"/>
      <c r="E144" s="44"/>
      <c r="F144" s="52"/>
      <c r="G144" s="49" t="str">
        <f t="shared" si="1"/>
        <v/>
      </c>
      <c r="H144" s="29"/>
      <c r="I144" s="52"/>
      <c r="J144" s="58" t="str">
        <f>IF(F144="","", IF(I144="",_xlfn.NETWORKDAYS.INTL(F144,TODAY(),1,FERIADOS),_xlfn.NETWORKDAYS.INTL(F144,I144,1,FERIADOS)))</f>
        <v/>
      </c>
      <c r="K144" s="58" t="str">
        <f t="shared" si="2"/>
        <v/>
      </c>
      <c r="L144" s="58" t="str">
        <f t="shared" si="3"/>
        <v/>
      </c>
    </row>
    <row r="145" ht="21.0" customHeight="1">
      <c r="A145" s="29"/>
      <c r="B145" s="94"/>
      <c r="C145" s="38" t="str">
        <f t="array" ref="C145">IF(B145="","",INDEX(PARAMETROS!$J$2:$J$14,MATCH(B145,PARAMETROS!$G$2:$G$14,0),1))</f>
        <v/>
      </c>
      <c r="D145" s="42"/>
      <c r="E145" s="44"/>
      <c r="F145" s="52"/>
      <c r="G145" s="49" t="str">
        <f t="shared" si="1"/>
        <v/>
      </c>
      <c r="H145" s="29"/>
      <c r="I145" s="52"/>
      <c r="J145" s="58" t="str">
        <f>IF(F145="","", IF(I145="",_xlfn.NETWORKDAYS.INTL(F145,TODAY(),1,FERIADOS),_xlfn.NETWORKDAYS.INTL(F145,I145,1,FERIADOS)))</f>
        <v/>
      </c>
      <c r="K145" s="58" t="str">
        <f t="shared" si="2"/>
        <v/>
      </c>
      <c r="L145" s="58" t="str">
        <f t="shared" si="3"/>
        <v/>
      </c>
    </row>
    <row r="146" ht="21.0" customHeight="1">
      <c r="A146" s="29"/>
      <c r="B146" s="94"/>
      <c r="C146" s="38" t="str">
        <f t="array" ref="C146">IF(B146="","",INDEX(PARAMETROS!$J$2:$J$14,MATCH(B146,PARAMETROS!$G$2:$G$14,0),1))</f>
        <v/>
      </c>
      <c r="D146" s="42"/>
      <c r="E146" s="44"/>
      <c r="F146" s="52"/>
      <c r="G146" s="49" t="str">
        <f t="shared" si="1"/>
        <v/>
      </c>
      <c r="H146" s="29"/>
      <c r="I146" s="52"/>
      <c r="J146" s="58" t="str">
        <f>IF(F146="","", IF(I146="",_xlfn.NETWORKDAYS.INTL(F146,TODAY(),1,FERIADOS),_xlfn.NETWORKDAYS.INTL(F146,I146,1,FERIADOS)))</f>
        <v/>
      </c>
      <c r="K146" s="58" t="str">
        <f t="shared" si="2"/>
        <v/>
      </c>
      <c r="L146" s="58" t="str">
        <f t="shared" si="3"/>
        <v/>
      </c>
    </row>
    <row r="147" ht="21.0" customHeight="1">
      <c r="A147" s="29"/>
      <c r="B147" s="94"/>
      <c r="C147" s="38" t="str">
        <f t="array" ref="C147">IF(B147="","",INDEX(PARAMETROS!$J$2:$J$14,MATCH(B147,PARAMETROS!$G$2:$G$14,0),1))</f>
        <v/>
      </c>
      <c r="D147" s="42"/>
      <c r="E147" s="44"/>
      <c r="F147" s="52"/>
      <c r="G147" s="49" t="str">
        <f t="shared" si="1"/>
        <v/>
      </c>
      <c r="H147" s="29"/>
      <c r="I147" s="52"/>
      <c r="J147" s="58" t="str">
        <f>IF(F147="","", IF(I147="",_xlfn.NETWORKDAYS.INTL(F147,TODAY(),1,FERIADOS),_xlfn.NETWORKDAYS.INTL(F147,I147,1,FERIADOS)))</f>
        <v/>
      </c>
      <c r="K147" s="58" t="str">
        <f t="shared" si="2"/>
        <v/>
      </c>
      <c r="L147" s="58" t="str">
        <f t="shared" si="3"/>
        <v/>
      </c>
    </row>
    <row r="148" ht="21.0" customHeight="1">
      <c r="A148" s="29"/>
      <c r="B148" s="94"/>
      <c r="C148" s="38" t="str">
        <f t="array" ref="C148">IF(B148="","",INDEX(PARAMETROS!$J$2:$J$14,MATCH(B148,PARAMETROS!$G$2:$G$14,0),1))</f>
        <v/>
      </c>
      <c r="D148" s="42"/>
      <c r="E148" s="44"/>
      <c r="F148" s="52"/>
      <c r="G148" s="49" t="str">
        <f t="shared" si="1"/>
        <v/>
      </c>
      <c r="H148" s="29"/>
      <c r="I148" s="52"/>
      <c r="J148" s="58" t="str">
        <f>IF(F148="","", IF(I148="",_xlfn.NETWORKDAYS.INTL(F148,TODAY(),1,FERIADOS),_xlfn.NETWORKDAYS.INTL(F148,I148,1,FERIADOS)))</f>
        <v/>
      </c>
      <c r="K148" s="58" t="str">
        <f t="shared" si="2"/>
        <v/>
      </c>
      <c r="L148" s="58" t="str">
        <f t="shared" si="3"/>
        <v/>
      </c>
    </row>
    <row r="149" ht="21.0" customHeight="1">
      <c r="A149" s="29"/>
      <c r="B149" s="94"/>
      <c r="C149" s="38" t="str">
        <f t="array" ref="C149">IF(B149="","",INDEX(PARAMETROS!$J$2:$J$14,MATCH(B149,PARAMETROS!$G$2:$G$14,0),1))</f>
        <v/>
      </c>
      <c r="D149" s="42"/>
      <c r="E149" s="44"/>
      <c r="F149" s="52"/>
      <c r="G149" s="49" t="str">
        <f t="shared" si="1"/>
        <v/>
      </c>
      <c r="H149" s="29"/>
      <c r="I149" s="52"/>
      <c r="J149" s="58" t="str">
        <f>IF(F149="","", IF(I149="",_xlfn.NETWORKDAYS.INTL(F149,TODAY(),1,FERIADOS),_xlfn.NETWORKDAYS.INTL(F149,I149,1,FERIADOS)))</f>
        <v/>
      </c>
      <c r="K149" s="58" t="str">
        <f t="shared" si="2"/>
        <v/>
      </c>
      <c r="L149" s="58" t="str">
        <f t="shared" si="3"/>
        <v/>
      </c>
    </row>
    <row r="150" ht="21.0" customHeight="1">
      <c r="A150" s="29"/>
      <c r="B150" s="94"/>
      <c r="C150" s="38" t="str">
        <f t="array" ref="C150">IF(B150="","",INDEX(PARAMETROS!$J$2:$J$14,MATCH(B150,PARAMETROS!$G$2:$G$14,0),1))</f>
        <v/>
      </c>
      <c r="D150" s="42"/>
      <c r="E150" s="44"/>
      <c r="F150" s="52"/>
      <c r="G150" s="49" t="str">
        <f t="shared" si="1"/>
        <v/>
      </c>
      <c r="H150" s="29"/>
      <c r="I150" s="52"/>
      <c r="J150" s="58" t="str">
        <f>IF(F150="","", IF(I150="",_xlfn.NETWORKDAYS.INTL(F150,TODAY(),1,FERIADOS),_xlfn.NETWORKDAYS.INTL(F150,I150,1,FERIADOS)))</f>
        <v/>
      </c>
      <c r="K150" s="58" t="str">
        <f t="shared" si="2"/>
        <v/>
      </c>
      <c r="L150" s="58" t="str">
        <f t="shared" si="3"/>
        <v/>
      </c>
    </row>
    <row r="151" ht="21.0" customHeight="1">
      <c r="A151" s="29"/>
      <c r="B151" s="94"/>
      <c r="C151" s="38" t="str">
        <f t="array" ref="C151">IF(B151="","",INDEX(PARAMETROS!$J$2:$J$14,MATCH(B151,PARAMETROS!$G$2:$G$14,0),1))</f>
        <v/>
      </c>
      <c r="D151" s="42"/>
      <c r="E151" s="44"/>
      <c r="F151" s="52"/>
      <c r="G151" s="49" t="str">
        <f t="shared" si="1"/>
        <v/>
      </c>
      <c r="H151" s="29"/>
      <c r="I151" s="52"/>
      <c r="J151" s="58" t="str">
        <f>IF(F151="","", IF(I151="",_xlfn.NETWORKDAYS.INTL(F151,TODAY(),1,FERIADOS),_xlfn.NETWORKDAYS.INTL(F151,I151,1,FERIADOS)))</f>
        <v/>
      </c>
      <c r="K151" s="58" t="str">
        <f t="shared" si="2"/>
        <v/>
      </c>
      <c r="L151" s="58" t="str">
        <f t="shared" si="3"/>
        <v/>
      </c>
    </row>
    <row r="152" ht="21.0" customHeight="1">
      <c r="A152" s="29"/>
      <c r="B152" s="94"/>
      <c r="C152" s="38" t="str">
        <f t="array" ref="C152">IF(B152="","",INDEX(PARAMETROS!$J$2:$J$14,MATCH(B152,PARAMETROS!$G$2:$G$14,0),1))</f>
        <v/>
      </c>
      <c r="D152" s="42"/>
      <c r="E152" s="44"/>
      <c r="F152" s="52"/>
      <c r="G152" s="49" t="str">
        <f t="shared" si="1"/>
        <v/>
      </c>
      <c r="H152" s="29"/>
      <c r="I152" s="52"/>
      <c r="J152" s="58" t="str">
        <f>IF(F152="","", IF(I152="",_xlfn.NETWORKDAYS.INTL(F152,TODAY(),1,FERIADOS),_xlfn.NETWORKDAYS.INTL(F152,I152,1,FERIADOS)))</f>
        <v/>
      </c>
      <c r="K152" s="58" t="str">
        <f t="shared" si="2"/>
        <v/>
      </c>
      <c r="L152" s="58" t="str">
        <f t="shared" si="3"/>
        <v/>
      </c>
    </row>
    <row r="153" ht="21.0" customHeight="1">
      <c r="A153" s="29"/>
      <c r="B153" s="94"/>
      <c r="C153" s="38" t="str">
        <f t="array" ref="C153">IF(B153="","",INDEX(PARAMETROS!$J$2:$J$14,MATCH(B153,PARAMETROS!$G$2:$G$14,0),1))</f>
        <v/>
      </c>
      <c r="D153" s="42"/>
      <c r="E153" s="44"/>
      <c r="F153" s="52"/>
      <c r="G153" s="49" t="str">
        <f t="shared" si="1"/>
        <v/>
      </c>
      <c r="H153" s="29"/>
      <c r="I153" s="52"/>
      <c r="J153" s="58" t="str">
        <f>IF(F153="","", IF(I153="",_xlfn.NETWORKDAYS.INTL(F153,TODAY(),1,FERIADOS),_xlfn.NETWORKDAYS.INTL(F153,I153,1,FERIADOS)))</f>
        <v/>
      </c>
      <c r="K153" s="58" t="str">
        <f t="shared" si="2"/>
        <v/>
      </c>
      <c r="L153" s="58" t="str">
        <f t="shared" si="3"/>
        <v/>
      </c>
    </row>
    <row r="154" ht="21.0" customHeight="1">
      <c r="A154" s="29"/>
      <c r="B154" s="94"/>
      <c r="C154" s="38" t="str">
        <f t="array" ref="C154">IF(B154="","",INDEX(PARAMETROS!$J$2:$J$14,MATCH(B154,PARAMETROS!$G$2:$G$14,0),1))</f>
        <v/>
      </c>
      <c r="D154" s="100"/>
      <c r="E154" s="44"/>
      <c r="F154" s="52"/>
      <c r="G154" s="49" t="str">
        <f t="shared" si="1"/>
        <v/>
      </c>
      <c r="H154" s="29"/>
      <c r="I154" s="52"/>
      <c r="J154" s="58" t="str">
        <f>IF(F154="","", IF(I154="",_xlfn.NETWORKDAYS.INTL(F154,TODAY(),1,FERIADOS),_xlfn.NETWORKDAYS.INTL(F154,I154,1,FERIADOS)))</f>
        <v/>
      </c>
      <c r="K154" s="58" t="str">
        <f t="shared" si="2"/>
        <v/>
      </c>
      <c r="L154" s="58" t="str">
        <f t="shared" si="3"/>
        <v/>
      </c>
    </row>
    <row r="155" ht="21.0" customHeight="1">
      <c r="A155" s="29"/>
      <c r="B155" s="94"/>
      <c r="C155" s="38" t="str">
        <f t="array" ref="C155">IF(B155="","",INDEX(PARAMETROS!$J$2:$J$14,MATCH(B155,PARAMETROS!$G$2:$G$14,0),1))</f>
        <v/>
      </c>
      <c r="D155" s="42"/>
      <c r="E155" s="44"/>
      <c r="F155" s="52"/>
      <c r="G155" s="49" t="str">
        <f t="shared" si="1"/>
        <v/>
      </c>
      <c r="H155" s="29"/>
      <c r="I155" s="52"/>
      <c r="J155" s="58" t="str">
        <f>IF(F155="","", IF(I155="",_xlfn.NETWORKDAYS.INTL(F155,TODAY(),1,FERIADOS),_xlfn.NETWORKDAYS.INTL(F155,I155,1,FERIADOS)))</f>
        <v/>
      </c>
      <c r="K155" s="58" t="str">
        <f t="shared" si="2"/>
        <v/>
      </c>
      <c r="L155" s="58" t="str">
        <f t="shared" si="3"/>
        <v/>
      </c>
    </row>
    <row r="156" ht="21.0" customHeight="1">
      <c r="A156" s="29"/>
      <c r="B156" s="94"/>
      <c r="C156" s="38" t="str">
        <f t="array" ref="C156">IF(B156="","",INDEX(PARAMETROS!$J$2:$J$14,MATCH(B156,PARAMETROS!$G$2:$G$14,0),1))</f>
        <v/>
      </c>
      <c r="D156" s="42"/>
      <c r="E156" s="44"/>
      <c r="F156" s="52"/>
      <c r="G156" s="49" t="str">
        <f t="shared" si="1"/>
        <v/>
      </c>
      <c r="H156" s="29"/>
      <c r="I156" s="52"/>
      <c r="J156" s="58" t="str">
        <f>IF(F156="","", IF(I156="",_xlfn.NETWORKDAYS.INTL(F156,TODAY(),1,FERIADOS),_xlfn.NETWORKDAYS.INTL(F156,I156,1,FERIADOS)))</f>
        <v/>
      </c>
      <c r="K156" s="58" t="str">
        <f t="shared" si="2"/>
        <v/>
      </c>
      <c r="L156" s="58" t="str">
        <f t="shared" si="3"/>
        <v/>
      </c>
    </row>
    <row r="157" ht="21.0" customHeight="1">
      <c r="A157" s="29"/>
      <c r="B157" s="94"/>
      <c r="C157" s="38" t="str">
        <f t="array" ref="C157">IF(B157="","",INDEX(PARAMETROS!$J$2:$J$14,MATCH(B157,PARAMETROS!$G$2:$G$14,0),1))</f>
        <v/>
      </c>
      <c r="D157" s="42"/>
      <c r="E157" s="44"/>
      <c r="F157" s="52"/>
      <c r="G157" s="49" t="str">
        <f t="shared" si="1"/>
        <v/>
      </c>
      <c r="H157" s="29"/>
      <c r="I157" s="52"/>
      <c r="J157" s="58" t="str">
        <f>IF(F157="","", IF(I157="",_xlfn.NETWORKDAYS.INTL(F157,TODAY(),1,FERIADOS),_xlfn.NETWORKDAYS.INTL(F157,I157,1,FERIADOS)))</f>
        <v/>
      </c>
      <c r="K157" s="58" t="str">
        <f t="shared" si="2"/>
        <v/>
      </c>
      <c r="L157" s="58" t="str">
        <f t="shared" si="3"/>
        <v/>
      </c>
    </row>
    <row r="158" ht="21.0" customHeight="1">
      <c r="A158" s="29"/>
      <c r="B158" s="94"/>
      <c r="C158" s="38" t="str">
        <f t="array" ref="C158">IF(B158="","",INDEX(PARAMETROS!$J$2:$J$14,MATCH(B158,PARAMETROS!$G$2:$G$14,0),1))</f>
        <v/>
      </c>
      <c r="D158" s="42"/>
      <c r="E158" s="44"/>
      <c r="F158" s="52"/>
      <c r="G158" s="49" t="str">
        <f t="shared" si="1"/>
        <v/>
      </c>
      <c r="H158" s="29"/>
      <c r="I158" s="52"/>
      <c r="J158" s="58" t="str">
        <f>IF(F158="","", IF(I158="",_xlfn.NETWORKDAYS.INTL(F158,TODAY(),1,FERIADOS),_xlfn.NETWORKDAYS.INTL(F158,I158,1,FERIADOS)))</f>
        <v/>
      </c>
      <c r="K158" s="58" t="str">
        <f t="shared" si="2"/>
        <v/>
      </c>
      <c r="L158" s="58" t="str">
        <f t="shared" si="3"/>
        <v/>
      </c>
    </row>
    <row r="159" ht="21.0" customHeight="1">
      <c r="A159" s="29"/>
      <c r="B159" s="94"/>
      <c r="C159" s="38" t="str">
        <f t="array" ref="C159">IF(B159="","",INDEX(PARAMETROS!$J$2:$J$14,MATCH(B159,PARAMETROS!$G$2:$G$14,0),1))</f>
        <v/>
      </c>
      <c r="D159" s="42"/>
      <c r="E159" s="44"/>
      <c r="F159" s="52"/>
      <c r="G159" s="49" t="str">
        <f t="shared" si="1"/>
        <v/>
      </c>
      <c r="H159" s="29"/>
      <c r="I159" s="52"/>
      <c r="J159" s="58" t="str">
        <f>IF(F159="","", IF(I159="",_xlfn.NETWORKDAYS.INTL(F159,TODAY(),1,FERIADOS),_xlfn.NETWORKDAYS.INTL(F159,I159,1,FERIADOS)))</f>
        <v/>
      </c>
      <c r="K159" s="58" t="str">
        <f t="shared" si="2"/>
        <v/>
      </c>
      <c r="L159" s="58" t="str">
        <f t="shared" si="3"/>
        <v/>
      </c>
    </row>
    <row r="160" ht="21.0" customHeight="1">
      <c r="A160" s="29"/>
      <c r="B160" s="94"/>
      <c r="C160" s="38" t="str">
        <f t="array" ref="C160">IF(B160="","",INDEX(PARAMETROS!$J$2:$J$14,MATCH(B160,PARAMETROS!$G$2:$G$14,0),1))</f>
        <v/>
      </c>
      <c r="D160" s="42"/>
      <c r="E160" s="44"/>
      <c r="F160" s="52"/>
      <c r="G160" s="49" t="str">
        <f t="shared" si="1"/>
        <v/>
      </c>
      <c r="H160" s="29"/>
      <c r="I160" s="52"/>
      <c r="J160" s="58" t="str">
        <f>IF(F160="","", IF(I160="",_xlfn.NETWORKDAYS.INTL(F160,TODAY(),1,FERIADOS),_xlfn.NETWORKDAYS.INTL(F160,I160,1,FERIADOS)))</f>
        <v/>
      </c>
      <c r="K160" s="58" t="str">
        <f t="shared" si="2"/>
        <v/>
      </c>
      <c r="L160" s="58" t="str">
        <f t="shared" si="3"/>
        <v/>
      </c>
    </row>
    <row r="161" ht="21.0" customHeight="1">
      <c r="A161" s="29"/>
      <c r="B161" s="94"/>
      <c r="C161" s="38" t="str">
        <f t="array" ref="C161">IF(B161="","",INDEX(PARAMETROS!$J$2:$J$14,MATCH(B161,PARAMETROS!$G$2:$G$14,0),1))</f>
        <v/>
      </c>
      <c r="D161" s="42"/>
      <c r="E161" s="44"/>
      <c r="F161" s="52"/>
      <c r="G161" s="49" t="str">
        <f t="shared" si="1"/>
        <v/>
      </c>
      <c r="H161" s="29"/>
      <c r="I161" s="52"/>
      <c r="J161" s="58" t="str">
        <f>IF(F161="","", IF(I161="",_xlfn.NETWORKDAYS.INTL(F161,TODAY(),1,FERIADOS),_xlfn.NETWORKDAYS.INTL(F161,I161,1,FERIADOS)))</f>
        <v/>
      </c>
      <c r="K161" s="58" t="str">
        <f t="shared" si="2"/>
        <v/>
      </c>
      <c r="L161" s="58" t="str">
        <f t="shared" si="3"/>
        <v/>
      </c>
    </row>
    <row r="162" ht="21.0" customHeight="1">
      <c r="A162" s="29"/>
      <c r="B162" s="94"/>
      <c r="C162" s="38" t="str">
        <f t="array" ref="C162">IF(B162="","",INDEX(PARAMETROS!$J$2:$J$14,MATCH(B162,PARAMETROS!$G$2:$G$14,0),1))</f>
        <v/>
      </c>
      <c r="D162" s="42"/>
      <c r="E162" s="44"/>
      <c r="F162" s="52"/>
      <c r="G162" s="49" t="str">
        <f t="shared" si="1"/>
        <v/>
      </c>
      <c r="H162" s="29"/>
      <c r="I162" s="52"/>
      <c r="J162" s="58" t="str">
        <f>IF(F162="","", IF(I162="",_xlfn.NETWORKDAYS.INTL(F162,TODAY(),1,FERIADOS),_xlfn.NETWORKDAYS.INTL(F162,I162,1,FERIADOS)))</f>
        <v/>
      </c>
      <c r="K162" s="58" t="str">
        <f t="shared" si="2"/>
        <v/>
      </c>
      <c r="L162" s="58" t="str">
        <f t="shared" si="3"/>
        <v/>
      </c>
    </row>
    <row r="163" ht="21.0" customHeight="1">
      <c r="A163" s="29"/>
      <c r="B163" s="94"/>
      <c r="C163" s="38" t="str">
        <f t="array" ref="C163">IF(B163="","",INDEX(PARAMETROS!$J$2:$J$14,MATCH(B163,PARAMETROS!$G$2:$G$14,0),1))</f>
        <v/>
      </c>
      <c r="D163" s="42"/>
      <c r="E163" s="44"/>
      <c r="F163" s="52"/>
      <c r="G163" s="49" t="str">
        <f t="shared" si="1"/>
        <v/>
      </c>
      <c r="H163" s="29"/>
      <c r="I163" s="52"/>
      <c r="J163" s="58" t="str">
        <f>IF(F163="","", IF(I163="",_xlfn.NETWORKDAYS.INTL(F163,TODAY(),1,FERIADOS),_xlfn.NETWORKDAYS.INTL(F163,I163,1,FERIADOS)))</f>
        <v/>
      </c>
      <c r="K163" s="58" t="str">
        <f t="shared" si="2"/>
        <v/>
      </c>
      <c r="L163" s="58" t="str">
        <f t="shared" si="3"/>
        <v/>
      </c>
    </row>
    <row r="164" ht="21.0" customHeight="1">
      <c r="A164" s="29"/>
      <c r="B164" s="94"/>
      <c r="C164" s="38" t="str">
        <f t="array" ref="C164">IF(B164="","",INDEX(PARAMETROS!$J$2:$J$14,MATCH(B164,PARAMETROS!$G$2:$G$14,0),1))</f>
        <v/>
      </c>
      <c r="D164" s="42"/>
      <c r="E164" s="44"/>
      <c r="F164" s="52"/>
      <c r="G164" s="49" t="str">
        <f t="shared" si="1"/>
        <v/>
      </c>
      <c r="H164" s="29"/>
      <c r="I164" s="52"/>
      <c r="J164" s="58" t="str">
        <f>IF(F164="","", IF(I164="",_xlfn.NETWORKDAYS.INTL(F164,TODAY(),1,FERIADOS),_xlfn.NETWORKDAYS.INTL(F164,I164,1,FERIADOS)))</f>
        <v/>
      </c>
      <c r="K164" s="58" t="str">
        <f t="shared" si="2"/>
        <v/>
      </c>
      <c r="L164" s="58" t="str">
        <f t="shared" si="3"/>
        <v/>
      </c>
    </row>
    <row r="165" ht="21.0" customHeight="1">
      <c r="A165" s="29"/>
      <c r="B165" s="94"/>
      <c r="C165" s="38" t="str">
        <f t="array" ref="C165">IF(B165="","",INDEX(PARAMETROS!$J$2:$J$14,MATCH(B165,PARAMETROS!$G$2:$G$14,0),1))</f>
        <v/>
      </c>
      <c r="D165" s="42"/>
      <c r="E165" s="44"/>
      <c r="F165" s="52"/>
      <c r="G165" s="49" t="str">
        <f t="shared" si="1"/>
        <v/>
      </c>
      <c r="H165" s="29"/>
      <c r="I165" s="52"/>
      <c r="J165" s="58" t="str">
        <f>IF(F165="","", IF(I165="",_xlfn.NETWORKDAYS.INTL(F165,TODAY(),1,FERIADOS),_xlfn.NETWORKDAYS.INTL(F165,I165,1,FERIADOS)))</f>
        <v/>
      </c>
      <c r="K165" s="58" t="str">
        <f t="shared" si="2"/>
        <v/>
      </c>
      <c r="L165" s="58" t="str">
        <f t="shared" si="3"/>
        <v/>
      </c>
    </row>
    <row r="166" ht="21.0" customHeight="1">
      <c r="A166" s="29"/>
      <c r="B166" s="94"/>
      <c r="C166" s="38" t="str">
        <f t="array" ref="C166">IF(B166="","",INDEX(PARAMETROS!$J$2:$J$14,MATCH(B166,PARAMETROS!$G$2:$G$14,0),1))</f>
        <v/>
      </c>
      <c r="D166" s="42"/>
      <c r="E166" s="44"/>
      <c r="F166" s="52"/>
      <c r="G166" s="49" t="str">
        <f t="shared" si="1"/>
        <v/>
      </c>
      <c r="H166" s="29"/>
      <c r="I166" s="52"/>
      <c r="J166" s="58" t="str">
        <f>IF(F166="","", IF(I166="",_xlfn.NETWORKDAYS.INTL(F166,TODAY(),1,FERIADOS),_xlfn.NETWORKDAYS.INTL(F166,I166,1,FERIADOS)))</f>
        <v/>
      </c>
      <c r="K166" s="58" t="str">
        <f t="shared" si="2"/>
        <v/>
      </c>
      <c r="L166" s="58" t="str">
        <f t="shared" si="3"/>
        <v/>
      </c>
    </row>
    <row r="167" ht="21.0" customHeight="1">
      <c r="A167" s="29"/>
      <c r="B167" s="94"/>
      <c r="C167" s="38" t="str">
        <f t="array" ref="C167">IF(B167="","",INDEX(PARAMETROS!$J$2:$J$14,MATCH(B167,PARAMETROS!$G$2:$G$14,0),1))</f>
        <v/>
      </c>
      <c r="D167" s="42"/>
      <c r="E167" s="44"/>
      <c r="F167" s="52"/>
      <c r="G167" s="49" t="str">
        <f t="shared" si="1"/>
        <v/>
      </c>
      <c r="H167" s="29"/>
      <c r="I167" s="52"/>
      <c r="J167" s="58" t="str">
        <f>IF(F167="","", IF(I167="",_xlfn.NETWORKDAYS.INTL(F167,TODAY(),1,FERIADOS),_xlfn.NETWORKDAYS.INTL(F167,I167,1,FERIADOS)))</f>
        <v/>
      </c>
      <c r="K167" s="58" t="str">
        <f t="shared" si="2"/>
        <v/>
      </c>
      <c r="L167" s="58" t="str">
        <f t="shared" si="3"/>
        <v/>
      </c>
    </row>
    <row r="168" ht="21.0" customHeight="1">
      <c r="A168" s="29"/>
      <c r="B168" s="94"/>
      <c r="C168" s="38" t="str">
        <f t="array" ref="C168">IF(B168="","",INDEX(PARAMETROS!$J$2:$J$14,MATCH(B168,PARAMETROS!$G$2:$G$14,0),1))</f>
        <v/>
      </c>
      <c r="D168" s="42"/>
      <c r="E168" s="44"/>
      <c r="F168" s="52"/>
      <c r="G168" s="49" t="str">
        <f t="shared" si="1"/>
        <v/>
      </c>
      <c r="H168" s="29"/>
      <c r="I168" s="52"/>
      <c r="J168" s="58" t="str">
        <f>IF(F168="","", IF(I168="",_xlfn.NETWORKDAYS.INTL(F168,TODAY(),1,FERIADOS),_xlfn.NETWORKDAYS.INTL(F168,I168,1,FERIADOS)))</f>
        <v/>
      </c>
      <c r="K168" s="58" t="str">
        <f t="shared" si="2"/>
        <v/>
      </c>
      <c r="L168" s="58" t="str">
        <f t="shared" si="3"/>
        <v/>
      </c>
    </row>
    <row r="169" ht="21.0" customHeight="1">
      <c r="A169" s="29"/>
      <c r="B169" s="94"/>
      <c r="C169" s="38" t="str">
        <f t="array" ref="C169">IF(B169="","",INDEX(PARAMETROS!$J$2:$J$14,MATCH(B169,PARAMETROS!$G$2:$G$14,0),1))</f>
        <v/>
      </c>
      <c r="D169" s="42"/>
      <c r="E169" s="44"/>
      <c r="F169" s="52"/>
      <c r="G169" s="49" t="str">
        <f t="shared" si="1"/>
        <v/>
      </c>
      <c r="H169" s="29"/>
      <c r="I169" s="52"/>
      <c r="J169" s="58" t="str">
        <f>IF(F169="","", IF(I169="",_xlfn.NETWORKDAYS.INTL(F169,TODAY(),1,FERIADOS),_xlfn.NETWORKDAYS.INTL(F169,I169,1,FERIADOS)))</f>
        <v/>
      </c>
      <c r="K169" s="58" t="str">
        <f t="shared" si="2"/>
        <v/>
      </c>
      <c r="L169" s="58" t="str">
        <f t="shared" si="3"/>
        <v/>
      </c>
    </row>
    <row r="170" ht="21.0" customHeight="1">
      <c r="A170" s="29"/>
      <c r="B170" s="94"/>
      <c r="C170" s="38" t="str">
        <f t="array" ref="C170">IF(B170="","",INDEX(PARAMETROS!$J$2:$J$14,MATCH(B170,PARAMETROS!$G$2:$G$14,0),1))</f>
        <v/>
      </c>
      <c r="D170" s="42"/>
      <c r="E170" s="44"/>
      <c r="F170" s="52"/>
      <c r="G170" s="49" t="str">
        <f t="shared" si="1"/>
        <v/>
      </c>
      <c r="H170" s="29"/>
      <c r="I170" s="52"/>
      <c r="J170" s="58" t="str">
        <f>IF(F170="","", IF(I170="",_xlfn.NETWORKDAYS.INTL(F170,TODAY(),1,FERIADOS),_xlfn.NETWORKDAYS.INTL(F170,I170,1,FERIADOS)))</f>
        <v/>
      </c>
      <c r="K170" s="58" t="str">
        <f t="shared" si="2"/>
        <v/>
      </c>
      <c r="L170" s="58" t="str">
        <f t="shared" si="3"/>
        <v/>
      </c>
    </row>
    <row r="171" ht="21.0" customHeight="1">
      <c r="A171" s="29"/>
      <c r="B171" s="94"/>
      <c r="C171" s="38" t="str">
        <f t="array" ref="C171">IF(B171="","",INDEX(PARAMETROS!$J$2:$J$14,MATCH(B171,PARAMETROS!$G$2:$G$14,0),1))</f>
        <v/>
      </c>
      <c r="D171" s="42"/>
      <c r="E171" s="44"/>
      <c r="F171" s="52"/>
      <c r="G171" s="49" t="str">
        <f t="shared" si="1"/>
        <v/>
      </c>
      <c r="H171" s="29"/>
      <c r="I171" s="52"/>
      <c r="J171" s="58" t="str">
        <f>IF(F171="","", IF(I171="",_xlfn.NETWORKDAYS.INTL(F171,TODAY(),1,FERIADOS),_xlfn.NETWORKDAYS.INTL(F171,I171,1,FERIADOS)))</f>
        <v/>
      </c>
      <c r="K171" s="58" t="str">
        <f t="shared" si="2"/>
        <v/>
      </c>
      <c r="L171" s="58" t="str">
        <f t="shared" si="3"/>
        <v/>
      </c>
    </row>
    <row r="172" ht="21.0" customHeight="1">
      <c r="A172" s="29"/>
      <c r="B172" s="94"/>
      <c r="C172" s="38" t="str">
        <f t="array" ref="C172">IF(B172="","",INDEX(PARAMETROS!$J$2:$J$14,MATCH(B172,PARAMETROS!$G$2:$G$14,0),1))</f>
        <v/>
      </c>
      <c r="D172" s="42"/>
      <c r="E172" s="44"/>
      <c r="F172" s="52"/>
      <c r="G172" s="49" t="str">
        <f t="shared" si="1"/>
        <v/>
      </c>
      <c r="H172" s="29"/>
      <c r="I172" s="52"/>
      <c r="J172" s="58" t="str">
        <f>IF(F172="","", IF(I172="",_xlfn.NETWORKDAYS.INTL(F172,TODAY(),1,FERIADOS),_xlfn.NETWORKDAYS.INTL(F172,I172,1,FERIADOS)))</f>
        <v/>
      </c>
      <c r="K172" s="58" t="str">
        <f t="shared" si="2"/>
        <v/>
      </c>
      <c r="L172" s="58" t="str">
        <f t="shared" si="3"/>
        <v/>
      </c>
    </row>
    <row r="173" ht="21.0" customHeight="1">
      <c r="A173" s="29"/>
      <c r="B173" s="94"/>
      <c r="C173" s="38" t="str">
        <f t="array" ref="C173">IF(B173="","",INDEX(PARAMETROS!$J$2:$J$14,MATCH(B173,PARAMETROS!$G$2:$G$14,0),1))</f>
        <v/>
      </c>
      <c r="D173" s="42"/>
      <c r="E173" s="44"/>
      <c r="F173" s="52"/>
      <c r="G173" s="49" t="str">
        <f t="shared" si="1"/>
        <v/>
      </c>
      <c r="H173" s="29"/>
      <c r="I173" s="52"/>
      <c r="J173" s="58" t="str">
        <f>IF(F173="","", IF(I173="",_xlfn.NETWORKDAYS.INTL(F173,TODAY(),1,FERIADOS),_xlfn.NETWORKDAYS.INTL(F173,I173,1,FERIADOS)))</f>
        <v/>
      </c>
      <c r="K173" s="58" t="str">
        <f t="shared" si="2"/>
        <v/>
      </c>
      <c r="L173" s="58" t="str">
        <f t="shared" si="3"/>
        <v/>
      </c>
    </row>
    <row r="174" ht="21.0" customHeight="1">
      <c r="A174" s="29"/>
      <c r="B174" s="94"/>
      <c r="C174" s="38" t="str">
        <f t="array" ref="C174">IF(B174="","",INDEX(PARAMETROS!$J$2:$J$14,MATCH(B174,PARAMETROS!$G$2:$G$14,0),1))</f>
        <v/>
      </c>
      <c r="D174" s="42"/>
      <c r="E174" s="44"/>
      <c r="F174" s="52"/>
      <c r="G174" s="49" t="str">
        <f t="shared" si="1"/>
        <v/>
      </c>
      <c r="H174" s="29"/>
      <c r="I174" s="52"/>
      <c r="J174" s="58" t="str">
        <f>IF(F174="","", IF(I174="",_xlfn.NETWORKDAYS.INTL(F174,TODAY(),1,FERIADOS),_xlfn.NETWORKDAYS.INTL(F174,I174,1,FERIADOS)))</f>
        <v/>
      </c>
      <c r="K174" s="58" t="str">
        <f t="shared" si="2"/>
        <v/>
      </c>
      <c r="L174" s="58" t="str">
        <f t="shared" si="3"/>
        <v/>
      </c>
    </row>
    <row r="175" ht="21.0" customHeight="1">
      <c r="A175" s="29"/>
      <c r="B175" s="94"/>
      <c r="C175" s="38" t="str">
        <f t="array" ref="C175">IF(B175="","",INDEX(PARAMETROS!$J$2:$J$14,MATCH(B175,PARAMETROS!$G$2:$G$14,0),1))</f>
        <v/>
      </c>
      <c r="D175" s="42"/>
      <c r="E175" s="44"/>
      <c r="F175" s="52"/>
      <c r="G175" s="49" t="str">
        <f t="shared" si="1"/>
        <v/>
      </c>
      <c r="H175" s="29"/>
      <c r="I175" s="52"/>
      <c r="J175" s="58" t="str">
        <f>IF(F175="","", IF(I175="",_xlfn.NETWORKDAYS.INTL(F175,TODAY(),1,FERIADOS),_xlfn.NETWORKDAYS.INTL(F175,I175,1,FERIADOS)))</f>
        <v/>
      </c>
      <c r="K175" s="58" t="str">
        <f t="shared" si="2"/>
        <v/>
      </c>
      <c r="L175" s="58" t="str">
        <f t="shared" si="3"/>
        <v/>
      </c>
    </row>
    <row r="176" ht="21.0" customHeight="1">
      <c r="A176" s="29"/>
      <c r="B176" s="94"/>
      <c r="C176" s="38" t="str">
        <f t="array" ref="C176">IF(B176="","",INDEX(PARAMETROS!$J$2:$J$14,MATCH(B176,PARAMETROS!$G$2:$G$14,0),1))</f>
        <v/>
      </c>
      <c r="D176" s="42"/>
      <c r="E176" s="44"/>
      <c r="F176" s="52"/>
      <c r="G176" s="49" t="str">
        <f t="shared" si="1"/>
        <v/>
      </c>
      <c r="H176" s="29"/>
      <c r="I176" s="52"/>
      <c r="J176" s="58" t="str">
        <f>IF(F176="","", IF(I176="",_xlfn.NETWORKDAYS.INTL(F176,TODAY(),1,FERIADOS),_xlfn.NETWORKDAYS.INTL(F176,I176,1,FERIADOS)))</f>
        <v/>
      </c>
      <c r="K176" s="58" t="str">
        <f t="shared" si="2"/>
        <v/>
      </c>
      <c r="L176" s="58" t="str">
        <f t="shared" si="3"/>
        <v/>
      </c>
    </row>
    <row r="177" ht="21.0" customHeight="1">
      <c r="A177" s="29"/>
      <c r="B177" s="94"/>
      <c r="C177" s="38" t="str">
        <f t="array" ref="C177">IF(B177="","",INDEX(PARAMETROS!$J$2:$J$14,MATCH(B177,PARAMETROS!$G$2:$G$14,0),1))</f>
        <v/>
      </c>
      <c r="D177" s="42"/>
      <c r="E177" s="44"/>
      <c r="F177" s="52"/>
      <c r="G177" s="49" t="str">
        <f t="shared" si="1"/>
        <v/>
      </c>
      <c r="H177" s="29"/>
      <c r="I177" s="52"/>
      <c r="J177" s="58" t="str">
        <f>IF(F177="","", IF(I177="",_xlfn.NETWORKDAYS.INTL(F177,TODAY(),1,FERIADOS),_xlfn.NETWORKDAYS.INTL(F177,I177,1,FERIADOS)))</f>
        <v/>
      </c>
      <c r="K177" s="58" t="str">
        <f t="shared" si="2"/>
        <v/>
      </c>
      <c r="L177" s="58" t="str">
        <f t="shared" si="3"/>
        <v/>
      </c>
    </row>
    <row r="178" ht="21.0" customHeight="1">
      <c r="A178" s="29"/>
      <c r="B178" s="94"/>
      <c r="C178" s="38" t="str">
        <f t="array" ref="C178">IF(B178="","",INDEX(PARAMETROS!$J$2:$J$14,MATCH(B178,PARAMETROS!$G$2:$G$14,0),1))</f>
        <v/>
      </c>
      <c r="D178" s="42"/>
      <c r="E178" s="44"/>
      <c r="F178" s="52"/>
      <c r="G178" s="49" t="str">
        <f t="shared" si="1"/>
        <v/>
      </c>
      <c r="H178" s="29"/>
      <c r="I178" s="52"/>
      <c r="J178" s="58" t="str">
        <f>IF(F178="","", IF(I178="",_xlfn.NETWORKDAYS.INTL(F178,TODAY(),1,FERIADOS),_xlfn.NETWORKDAYS.INTL(F178,I178,1,FERIADOS)))</f>
        <v/>
      </c>
      <c r="K178" s="58" t="str">
        <f t="shared" si="2"/>
        <v/>
      </c>
      <c r="L178" s="58" t="str">
        <f t="shared" si="3"/>
        <v/>
      </c>
    </row>
    <row r="179" ht="21.0" customHeight="1">
      <c r="A179" s="29"/>
      <c r="B179" s="94"/>
      <c r="C179" s="38" t="str">
        <f t="array" ref="C179">IF(B179="","",INDEX(PARAMETROS!$J$2:$J$14,MATCH(B179,PARAMETROS!$G$2:$G$14,0),1))</f>
        <v/>
      </c>
      <c r="D179" s="42"/>
      <c r="E179" s="44"/>
      <c r="F179" s="52"/>
      <c r="G179" s="49" t="str">
        <f t="shared" si="1"/>
        <v/>
      </c>
      <c r="H179" s="29"/>
      <c r="I179" s="52"/>
      <c r="J179" s="58" t="str">
        <f>IF(F179="","", IF(I179="",_xlfn.NETWORKDAYS.INTL(F179,TODAY(),1,FERIADOS),_xlfn.NETWORKDAYS.INTL(F179,I179,1,FERIADOS)))</f>
        <v/>
      </c>
      <c r="K179" s="58" t="str">
        <f t="shared" si="2"/>
        <v/>
      </c>
      <c r="L179" s="58" t="str">
        <f t="shared" si="3"/>
        <v/>
      </c>
    </row>
    <row r="180" ht="21.0" customHeight="1">
      <c r="A180" s="29"/>
      <c r="B180" s="94"/>
      <c r="C180" s="38" t="str">
        <f t="array" ref="C180">IF(B180="","",INDEX(PARAMETROS!$J$2:$J$14,MATCH(B180,PARAMETROS!$G$2:$G$14,0),1))</f>
        <v/>
      </c>
      <c r="D180" s="42"/>
      <c r="E180" s="44"/>
      <c r="F180" s="52"/>
      <c r="G180" s="49" t="str">
        <f t="shared" si="1"/>
        <v/>
      </c>
      <c r="H180" s="29"/>
      <c r="I180" s="52"/>
      <c r="J180" s="58" t="str">
        <f>IF(F180="","", IF(I180="",_xlfn.NETWORKDAYS.INTL(F180,TODAY(),1,FERIADOS),_xlfn.NETWORKDAYS.INTL(F180,I180,1,FERIADOS)))</f>
        <v/>
      </c>
      <c r="K180" s="58" t="str">
        <f t="shared" si="2"/>
        <v/>
      </c>
      <c r="L180" s="58" t="str">
        <f t="shared" si="3"/>
        <v/>
      </c>
    </row>
    <row r="181" ht="21.0" customHeight="1">
      <c r="A181" s="29"/>
      <c r="B181" s="94"/>
      <c r="C181" s="38" t="str">
        <f t="array" ref="C181">IF(B181="","",INDEX(PARAMETROS!$J$2:$J$14,MATCH(B181,PARAMETROS!$G$2:$G$14,0),1))</f>
        <v/>
      </c>
      <c r="D181" s="42"/>
      <c r="E181" s="44"/>
      <c r="F181" s="52"/>
      <c r="G181" s="49" t="str">
        <f t="shared" si="1"/>
        <v/>
      </c>
      <c r="H181" s="29"/>
      <c r="I181" s="52"/>
      <c r="J181" s="58" t="str">
        <f>IF(F181="","", IF(I181="",_xlfn.NETWORKDAYS.INTL(F181,TODAY(),1,FERIADOS),_xlfn.NETWORKDAYS.INTL(F181,I181,1,FERIADOS)))</f>
        <v/>
      </c>
      <c r="K181" s="58" t="str">
        <f t="shared" si="2"/>
        <v/>
      </c>
      <c r="L181" s="58" t="str">
        <f t="shared" si="3"/>
        <v/>
      </c>
    </row>
    <row r="182" ht="21.0" customHeight="1">
      <c r="A182" s="29"/>
      <c r="B182" s="94"/>
      <c r="C182" s="38" t="str">
        <f t="array" ref="C182">IF(B182="","",INDEX(PARAMETROS!$J$2:$J$14,MATCH(B182,PARAMETROS!$G$2:$G$14,0),1))</f>
        <v/>
      </c>
      <c r="D182" s="42"/>
      <c r="E182" s="44"/>
      <c r="F182" s="52"/>
      <c r="G182" s="49" t="str">
        <f t="shared" si="1"/>
        <v/>
      </c>
      <c r="H182" s="29"/>
      <c r="I182" s="52"/>
      <c r="J182" s="58" t="str">
        <f>IF(F182="","", IF(I182="",_xlfn.NETWORKDAYS.INTL(F182,TODAY(),1,FERIADOS),_xlfn.NETWORKDAYS.INTL(F182,I182,1,FERIADOS)))</f>
        <v/>
      </c>
      <c r="K182" s="58" t="str">
        <f t="shared" si="2"/>
        <v/>
      </c>
      <c r="L182" s="58" t="str">
        <f t="shared" si="3"/>
        <v/>
      </c>
    </row>
    <row r="183" ht="21.0" customHeight="1">
      <c r="A183" s="29"/>
      <c r="B183" s="94"/>
      <c r="C183" s="38" t="str">
        <f t="array" ref="C183">IF(B183="","",INDEX(PARAMETROS!$J$2:$J$14,MATCH(B183,PARAMETROS!$G$2:$G$14,0),1))</f>
        <v/>
      </c>
      <c r="D183" s="42"/>
      <c r="E183" s="44"/>
      <c r="F183" s="52"/>
      <c r="G183" s="49" t="str">
        <f t="shared" si="1"/>
        <v/>
      </c>
      <c r="H183" s="29"/>
      <c r="I183" s="52"/>
      <c r="J183" s="58" t="str">
        <f>IF(F183="","", IF(I183="",_xlfn.NETWORKDAYS.INTL(F183,TODAY(),1,FERIADOS),_xlfn.NETWORKDAYS.INTL(F183,I183,1,FERIADOS)))</f>
        <v/>
      </c>
      <c r="K183" s="58" t="str">
        <f t="shared" si="2"/>
        <v/>
      </c>
      <c r="L183" s="58" t="str">
        <f t="shared" si="3"/>
        <v/>
      </c>
    </row>
    <row r="184" ht="21.0" customHeight="1">
      <c r="A184" s="29"/>
      <c r="B184" s="94"/>
      <c r="C184" s="38" t="str">
        <f t="array" ref="C184">IF(B184="","",INDEX(PARAMETROS!$J$2:$J$14,MATCH(B184,PARAMETROS!$G$2:$G$14,0),1))</f>
        <v/>
      </c>
      <c r="D184" s="42"/>
      <c r="E184" s="44"/>
      <c r="F184" s="52"/>
      <c r="G184" s="49" t="str">
        <f t="shared" si="1"/>
        <v/>
      </c>
      <c r="H184" s="29"/>
      <c r="I184" s="52"/>
      <c r="J184" s="58" t="str">
        <f>IF(F184="","", IF(I184="",_xlfn.NETWORKDAYS.INTL(F184,TODAY(),1,FERIADOS),_xlfn.NETWORKDAYS.INTL(F184,I184,1,FERIADOS)))</f>
        <v/>
      </c>
      <c r="K184" s="58" t="str">
        <f t="shared" si="2"/>
        <v/>
      </c>
      <c r="L184" s="58" t="str">
        <f t="shared" si="3"/>
        <v/>
      </c>
    </row>
    <row r="185" ht="21.0" customHeight="1">
      <c r="A185" s="29"/>
      <c r="B185" s="94"/>
      <c r="C185" s="38" t="str">
        <f t="array" ref="C185">IF(B185="","",INDEX(PARAMETROS!$J$2:$J$14,MATCH(B185,PARAMETROS!$G$2:$G$14,0),1))</f>
        <v/>
      </c>
      <c r="D185" s="42"/>
      <c r="E185" s="44"/>
      <c r="F185" s="52"/>
      <c r="G185" s="49" t="str">
        <f t="shared" si="1"/>
        <v/>
      </c>
      <c r="H185" s="29"/>
      <c r="I185" s="52"/>
      <c r="J185" s="58" t="str">
        <f>IF(F185="","", IF(I185="",_xlfn.NETWORKDAYS.INTL(F185,TODAY(),1,FERIADOS),_xlfn.NETWORKDAYS.INTL(F185,I185,1,FERIADOS)))</f>
        <v/>
      </c>
      <c r="K185" s="58" t="str">
        <f t="shared" si="2"/>
        <v/>
      </c>
      <c r="L185" s="58" t="str">
        <f t="shared" si="3"/>
        <v/>
      </c>
    </row>
    <row r="186" ht="21.0" customHeight="1">
      <c r="A186" s="29"/>
      <c r="B186" s="94"/>
      <c r="C186" s="38" t="str">
        <f t="array" ref="C186">IF(B186="","",INDEX(PARAMETROS!$J$2:$J$14,MATCH(B186,PARAMETROS!$G$2:$G$14,0),1))</f>
        <v/>
      </c>
      <c r="D186" s="42"/>
      <c r="E186" s="44"/>
      <c r="F186" s="52"/>
      <c r="G186" s="49" t="str">
        <f t="shared" si="1"/>
        <v/>
      </c>
      <c r="H186" s="29"/>
      <c r="I186" s="52"/>
      <c r="J186" s="58" t="str">
        <f>IF(F186="","", IF(I186="",_xlfn.NETWORKDAYS.INTL(F186,TODAY(),1,FERIADOS),_xlfn.NETWORKDAYS.INTL(F186,I186,1,FERIADOS)))</f>
        <v/>
      </c>
      <c r="K186" s="58" t="str">
        <f t="shared" si="2"/>
        <v/>
      </c>
      <c r="L186" s="58" t="str">
        <f t="shared" si="3"/>
        <v/>
      </c>
    </row>
    <row r="187" ht="21.0" customHeight="1">
      <c r="A187" s="29"/>
      <c r="B187" s="94"/>
      <c r="C187" s="38" t="str">
        <f t="array" ref="C187">IF(B187="","",INDEX(PARAMETROS!$J$2:$J$14,MATCH(B187,PARAMETROS!$G$2:$G$14,0),1))</f>
        <v/>
      </c>
      <c r="D187" s="42"/>
      <c r="E187" s="44"/>
      <c r="F187" s="52"/>
      <c r="G187" s="49" t="str">
        <f t="shared" si="1"/>
        <v/>
      </c>
      <c r="H187" s="29"/>
      <c r="I187" s="52"/>
      <c r="J187" s="58" t="str">
        <f>IF(F187="","", IF(I187="",_xlfn.NETWORKDAYS.INTL(F187,TODAY(),1,FERIADOS),_xlfn.NETWORKDAYS.INTL(F187,I187,1,FERIADOS)))</f>
        <v/>
      </c>
      <c r="K187" s="58" t="str">
        <f t="shared" si="2"/>
        <v/>
      </c>
      <c r="L187" s="58" t="str">
        <f t="shared" si="3"/>
        <v/>
      </c>
    </row>
    <row r="188" ht="21.0" customHeight="1">
      <c r="A188" s="29"/>
      <c r="B188" s="94"/>
      <c r="C188" s="38" t="str">
        <f t="array" ref="C188">IF(B188="","",INDEX(PARAMETROS!$J$2:$J$14,MATCH(B188,PARAMETROS!$G$2:$G$14,0),1))</f>
        <v/>
      </c>
      <c r="D188" s="42"/>
      <c r="E188" s="44"/>
      <c r="F188" s="52"/>
      <c r="G188" s="49" t="str">
        <f t="shared" si="1"/>
        <v/>
      </c>
      <c r="H188" s="29"/>
      <c r="I188" s="52"/>
      <c r="J188" s="58" t="str">
        <f>IF(F188="","", IF(I188="",_xlfn.NETWORKDAYS.INTL(F188,TODAY(),1,FERIADOS),_xlfn.NETWORKDAYS.INTL(F188,I188,1,FERIADOS)))</f>
        <v/>
      </c>
      <c r="K188" s="58" t="str">
        <f t="shared" si="2"/>
        <v/>
      </c>
      <c r="L188" s="58" t="str">
        <f t="shared" si="3"/>
        <v/>
      </c>
    </row>
    <row r="189" ht="21.0" customHeight="1">
      <c r="A189" s="29"/>
      <c r="B189" s="94"/>
      <c r="C189" s="38" t="str">
        <f t="array" ref="C189">IF(B189="","",INDEX(PARAMETROS!$J$2:$J$14,MATCH(B189,PARAMETROS!$G$2:$G$14,0),1))</f>
        <v/>
      </c>
      <c r="D189" s="42"/>
      <c r="E189" s="44"/>
      <c r="F189" s="52"/>
      <c r="G189" s="49" t="str">
        <f t="shared" si="1"/>
        <v/>
      </c>
      <c r="H189" s="29"/>
      <c r="I189" s="52"/>
      <c r="J189" s="58" t="str">
        <f>IF(F189="","", IF(I189="",_xlfn.NETWORKDAYS.INTL(F189,TODAY(),1,FERIADOS),_xlfn.NETWORKDAYS.INTL(F189,I189,1,FERIADOS)))</f>
        <v/>
      </c>
      <c r="K189" s="58" t="str">
        <f t="shared" si="2"/>
        <v/>
      </c>
      <c r="L189" s="58" t="str">
        <f t="shared" si="3"/>
        <v/>
      </c>
    </row>
    <row r="190" ht="21.0" customHeight="1">
      <c r="A190" s="29"/>
      <c r="B190" s="94"/>
      <c r="C190" s="38" t="str">
        <f t="array" ref="C190">IF(B190="","",INDEX(PARAMETROS!$J$2:$J$14,MATCH(B190,PARAMETROS!$G$2:$G$14,0),1))</f>
        <v/>
      </c>
      <c r="D190" s="42"/>
      <c r="E190" s="44"/>
      <c r="F190" s="52"/>
      <c r="G190" s="49" t="str">
        <f t="shared" si="1"/>
        <v/>
      </c>
      <c r="H190" s="29"/>
      <c r="I190" s="52"/>
      <c r="J190" s="58" t="str">
        <f>IF(F190="","", IF(I190="",_xlfn.NETWORKDAYS.INTL(F190,TODAY(),1,FERIADOS),_xlfn.NETWORKDAYS.INTL(F190,I190,1,FERIADOS)))</f>
        <v/>
      </c>
      <c r="K190" s="58" t="str">
        <f t="shared" si="2"/>
        <v/>
      </c>
      <c r="L190" s="58" t="str">
        <f t="shared" si="3"/>
        <v/>
      </c>
    </row>
    <row r="191" ht="21.0" customHeight="1">
      <c r="A191" s="29"/>
      <c r="B191" s="94"/>
      <c r="C191" s="38" t="str">
        <f t="array" ref="C191">IF(B191="","",INDEX(PARAMETROS!$J$2:$J$14,MATCH(B191,PARAMETROS!$G$2:$G$14,0),1))</f>
        <v/>
      </c>
      <c r="D191" s="42"/>
      <c r="E191" s="44"/>
      <c r="F191" s="52"/>
      <c r="G191" s="49" t="str">
        <f t="shared" si="1"/>
        <v/>
      </c>
      <c r="H191" s="29"/>
      <c r="I191" s="52"/>
      <c r="J191" s="58" t="str">
        <f>IF(F191="","", IF(I191="",_xlfn.NETWORKDAYS.INTL(F191,TODAY(),1,FERIADOS),_xlfn.NETWORKDAYS.INTL(F191,I191,1,FERIADOS)))</f>
        <v/>
      </c>
      <c r="K191" s="58" t="str">
        <f t="shared" si="2"/>
        <v/>
      </c>
      <c r="L191" s="58" t="str">
        <f t="shared" si="3"/>
        <v/>
      </c>
    </row>
    <row r="192" ht="21.0" customHeight="1">
      <c r="A192" s="29"/>
      <c r="B192" s="94"/>
      <c r="C192" s="38" t="str">
        <f t="array" ref="C192">IF(B192="","",INDEX(PARAMETROS!$J$2:$J$14,MATCH(B192,PARAMETROS!$G$2:$G$14,0),1))</f>
        <v/>
      </c>
      <c r="D192" s="42"/>
      <c r="E192" s="44"/>
      <c r="F192" s="52"/>
      <c r="G192" s="49" t="str">
        <f t="shared" si="1"/>
        <v/>
      </c>
      <c r="H192" s="29"/>
      <c r="I192" s="52"/>
      <c r="J192" s="58" t="str">
        <f>IF(F192="","", IF(I192="",_xlfn.NETWORKDAYS.INTL(F192,TODAY(),1,FERIADOS),_xlfn.NETWORKDAYS.INTL(F192,I192,1,FERIADOS)))</f>
        <v/>
      </c>
      <c r="K192" s="58" t="str">
        <f t="shared" si="2"/>
        <v/>
      </c>
      <c r="L192" s="58" t="str">
        <f t="shared" si="3"/>
        <v/>
      </c>
    </row>
    <row r="193" ht="21.0" customHeight="1">
      <c r="A193" s="29"/>
      <c r="B193" s="94"/>
      <c r="C193" s="38" t="str">
        <f t="array" ref="C193">IF(B193="","",INDEX(PARAMETROS!$J$2:$J$14,MATCH(B193,PARAMETROS!$G$2:$G$14,0),1))</f>
        <v/>
      </c>
      <c r="D193" s="42"/>
      <c r="E193" s="44"/>
      <c r="F193" s="52"/>
      <c r="G193" s="49" t="str">
        <f t="shared" si="1"/>
        <v/>
      </c>
      <c r="H193" s="29"/>
      <c r="I193" s="52"/>
      <c r="J193" s="58" t="str">
        <f>IF(F193="","", IF(I193="",_xlfn.NETWORKDAYS.INTL(F193,TODAY(),1,FERIADOS),_xlfn.NETWORKDAYS.INTL(F193,I193,1,FERIADOS)))</f>
        <v/>
      </c>
      <c r="K193" s="58" t="str">
        <f t="shared" si="2"/>
        <v/>
      </c>
      <c r="L193" s="58" t="str">
        <f t="shared" si="3"/>
        <v/>
      </c>
    </row>
    <row r="194" ht="21.0" customHeight="1">
      <c r="A194" s="29"/>
      <c r="B194" s="94"/>
      <c r="C194" s="38" t="str">
        <f t="array" ref="C194">IF(B194="","",INDEX(PARAMETROS!$J$2:$J$14,MATCH(B194,PARAMETROS!$G$2:$G$14,0),1))</f>
        <v/>
      </c>
      <c r="D194" s="42"/>
      <c r="E194" s="44"/>
      <c r="F194" s="52"/>
      <c r="G194" s="49" t="str">
        <f t="shared" si="1"/>
        <v/>
      </c>
      <c r="H194" s="29"/>
      <c r="I194" s="52"/>
      <c r="J194" s="58" t="str">
        <f>IF(F194="","", IF(I194="",_xlfn.NETWORKDAYS.INTL(F194,TODAY(),1,FERIADOS),_xlfn.NETWORKDAYS.INTL(F194,I194,1,FERIADOS)))</f>
        <v/>
      </c>
      <c r="K194" s="58" t="str">
        <f t="shared" si="2"/>
        <v/>
      </c>
      <c r="L194" s="58" t="str">
        <f t="shared" si="3"/>
        <v/>
      </c>
    </row>
    <row r="195" ht="21.0" customHeight="1">
      <c r="A195" s="29"/>
      <c r="B195" s="94"/>
      <c r="C195" s="38" t="str">
        <f t="array" ref="C195">IF(B195="","",INDEX(PARAMETROS!$J$2:$J$14,MATCH(B195,PARAMETROS!$G$2:$G$14,0),1))</f>
        <v/>
      </c>
      <c r="D195" s="42"/>
      <c r="E195" s="44"/>
      <c r="F195" s="52"/>
      <c r="G195" s="49" t="str">
        <f t="shared" si="1"/>
        <v/>
      </c>
      <c r="H195" s="29"/>
      <c r="I195" s="52"/>
      <c r="J195" s="58" t="str">
        <f>IF(F195="","", IF(I195="",_xlfn.NETWORKDAYS.INTL(F195,TODAY(),1,FERIADOS),_xlfn.NETWORKDAYS.INTL(F195,I195,1,FERIADOS)))</f>
        <v/>
      </c>
      <c r="K195" s="58" t="str">
        <f t="shared" si="2"/>
        <v/>
      </c>
      <c r="L195" s="58" t="str">
        <f t="shared" si="3"/>
        <v/>
      </c>
    </row>
    <row r="196" ht="21.0" customHeight="1">
      <c r="A196" s="29"/>
      <c r="B196" s="94"/>
      <c r="C196" s="38" t="str">
        <f t="array" ref="C196">IF(B196="","",INDEX(PARAMETROS!$J$2:$J$14,MATCH(B196,PARAMETROS!$G$2:$G$14,0),1))</f>
        <v/>
      </c>
      <c r="D196" s="42"/>
      <c r="E196" s="44"/>
      <c r="F196" s="52"/>
      <c r="G196" s="49" t="str">
        <f t="shared" si="1"/>
        <v/>
      </c>
      <c r="H196" s="29"/>
      <c r="I196" s="52"/>
      <c r="J196" s="58" t="str">
        <f>IF(F196="","", IF(I196="",_xlfn.NETWORKDAYS.INTL(F196,TODAY(),1,FERIADOS),_xlfn.NETWORKDAYS.INTL(F196,I196,1,FERIADOS)))</f>
        <v/>
      </c>
      <c r="K196" s="58" t="str">
        <f t="shared" si="2"/>
        <v/>
      </c>
      <c r="L196" s="58" t="str">
        <f t="shared" si="3"/>
        <v/>
      </c>
    </row>
    <row r="197" ht="21.0" customHeight="1">
      <c r="A197" s="29"/>
      <c r="B197" s="94"/>
      <c r="C197" s="38" t="str">
        <f t="array" ref="C197">IF(B197="","",INDEX(PARAMETROS!$J$2:$J$14,MATCH(B197,PARAMETROS!$G$2:$G$14,0),1))</f>
        <v/>
      </c>
      <c r="D197" s="42"/>
      <c r="E197" s="44"/>
      <c r="F197" s="52"/>
      <c r="G197" s="49" t="str">
        <f t="shared" si="1"/>
        <v/>
      </c>
      <c r="H197" s="29"/>
      <c r="I197" s="52"/>
      <c r="J197" s="58" t="str">
        <f>IF(F197="","", IF(I197="",_xlfn.NETWORKDAYS.INTL(F197,TODAY(),1,FERIADOS),_xlfn.NETWORKDAYS.INTL(F197,I197,1,FERIADOS)))</f>
        <v/>
      </c>
      <c r="K197" s="58" t="str">
        <f t="shared" si="2"/>
        <v/>
      </c>
      <c r="L197" s="58" t="str">
        <f t="shared" si="3"/>
        <v/>
      </c>
    </row>
    <row r="198" ht="21.0" customHeight="1">
      <c r="A198" s="29"/>
      <c r="B198" s="94"/>
      <c r="C198" s="38" t="str">
        <f t="array" ref="C198">IF(B198="","",INDEX(PARAMETROS!$J$2:$J$14,MATCH(B198,PARAMETROS!$G$2:$G$14,0),1))</f>
        <v/>
      </c>
      <c r="D198" s="42"/>
      <c r="E198" s="44"/>
      <c r="F198" s="52"/>
      <c r="G198" s="49" t="str">
        <f t="shared" si="1"/>
        <v/>
      </c>
      <c r="H198" s="29"/>
      <c r="I198" s="52"/>
      <c r="J198" s="58" t="str">
        <f>IF(F198="","", IF(I198="",_xlfn.NETWORKDAYS.INTL(F198,TODAY(),1,FERIADOS),_xlfn.NETWORKDAYS.INTL(F198,I198,1,FERIADOS)))</f>
        <v/>
      </c>
      <c r="K198" s="58" t="str">
        <f t="shared" si="2"/>
        <v/>
      </c>
      <c r="L198" s="58" t="str">
        <f t="shared" si="3"/>
        <v/>
      </c>
    </row>
    <row r="199" ht="21.0" customHeight="1">
      <c r="A199" s="29"/>
      <c r="B199" s="94"/>
      <c r="C199" s="38" t="str">
        <f t="array" ref="C199">IF(B199="","",INDEX(PARAMETROS!$J$2:$J$14,MATCH(B199,PARAMETROS!$G$2:$G$14,0),1))</f>
        <v/>
      </c>
      <c r="D199" s="42"/>
      <c r="E199" s="44"/>
      <c r="F199" s="52"/>
      <c r="G199" s="49" t="str">
        <f t="shared" si="1"/>
        <v/>
      </c>
      <c r="H199" s="29"/>
      <c r="I199" s="52"/>
      <c r="J199" s="58" t="str">
        <f>IF(F199="","", IF(I199="",_xlfn.NETWORKDAYS.INTL(F199,TODAY(),1,FERIADOS),_xlfn.NETWORKDAYS.INTL(F199,I199,1,FERIADOS)))</f>
        <v/>
      </c>
      <c r="K199" s="58" t="str">
        <f t="shared" si="2"/>
        <v/>
      </c>
      <c r="L199" s="58" t="str">
        <f t="shared" si="3"/>
        <v/>
      </c>
    </row>
    <row r="200" ht="21.0" customHeight="1">
      <c r="A200" s="29"/>
      <c r="B200" s="94"/>
      <c r="C200" s="38" t="str">
        <f t="array" ref="C200">IF(B200="","",INDEX(PARAMETROS!$J$2:$J$14,MATCH(B200,PARAMETROS!$G$2:$G$14,0),1))</f>
        <v/>
      </c>
      <c r="D200" s="42"/>
      <c r="E200" s="44"/>
      <c r="F200" s="52"/>
      <c r="G200" s="49" t="str">
        <f t="shared" si="1"/>
        <v/>
      </c>
      <c r="H200" s="29"/>
      <c r="I200" s="52"/>
      <c r="J200" s="58" t="str">
        <f>IF(F200="","", IF(I200="",_xlfn.NETWORKDAYS.INTL(F200,TODAY(),1,FERIADOS),_xlfn.NETWORKDAYS.INTL(F200,I200,1,FERIADOS)))</f>
        <v/>
      </c>
      <c r="K200" s="58" t="str">
        <f t="shared" si="2"/>
        <v/>
      </c>
      <c r="L200" s="58" t="str">
        <f t="shared" si="3"/>
        <v/>
      </c>
    </row>
    <row r="201" ht="21.0" customHeight="1">
      <c r="A201" s="29"/>
      <c r="B201" s="94"/>
      <c r="C201" s="38" t="str">
        <f t="array" ref="C201">IF(B201="","",INDEX(PARAMETROS!$J$2:$J$14,MATCH(B201,PARAMETROS!$G$2:$G$14,0),1))</f>
        <v/>
      </c>
      <c r="D201" s="42"/>
      <c r="E201" s="44"/>
      <c r="F201" s="52"/>
      <c r="G201" s="49" t="str">
        <f t="shared" si="1"/>
        <v/>
      </c>
      <c r="H201" s="29"/>
      <c r="I201" s="52"/>
      <c r="J201" s="58" t="str">
        <f>IF(F201="","", IF(I201="",_xlfn.NETWORKDAYS.INTL(F201,TODAY(),1,FERIADOS),_xlfn.NETWORKDAYS.INTL(F201,I201,1,FERIADOS)))</f>
        <v/>
      </c>
      <c r="K201" s="58" t="str">
        <f t="shared" si="2"/>
        <v/>
      </c>
      <c r="L201" s="58" t="str">
        <f t="shared" si="3"/>
        <v/>
      </c>
    </row>
    <row r="202" ht="21.0" customHeight="1">
      <c r="A202" s="29"/>
      <c r="B202" s="94"/>
      <c r="C202" s="38" t="str">
        <f t="array" ref="C202">IF(B202="","",INDEX(PARAMETROS!$J$2:$J$14,MATCH(B202,PARAMETROS!$G$2:$G$14,0),1))</f>
        <v/>
      </c>
      <c r="D202" s="42"/>
      <c r="E202" s="44"/>
      <c r="F202" s="52"/>
      <c r="G202" s="49" t="str">
        <f t="shared" si="1"/>
        <v/>
      </c>
      <c r="H202" s="29"/>
      <c r="I202" s="52"/>
      <c r="J202" s="58" t="str">
        <f>IF(F202="","", IF(I202="",_xlfn.NETWORKDAYS.INTL(F202,TODAY(),1,FERIADOS),_xlfn.NETWORKDAYS.INTL(F202,I202,1,FERIADOS)))</f>
        <v/>
      </c>
      <c r="K202" s="58" t="str">
        <f t="shared" si="2"/>
        <v/>
      </c>
      <c r="L202" s="58" t="str">
        <f t="shared" si="3"/>
        <v/>
      </c>
    </row>
    <row r="203" ht="21.0" customHeight="1">
      <c r="A203" s="29"/>
      <c r="B203" s="94"/>
      <c r="C203" s="38" t="str">
        <f t="array" ref="C203">IF(B203="","",INDEX(PARAMETROS!$J$2:$J$14,MATCH(B203,PARAMETROS!$G$2:$G$14,0),1))</f>
        <v/>
      </c>
      <c r="D203" s="42"/>
      <c r="E203" s="44"/>
      <c r="F203" s="52"/>
      <c r="G203" s="49" t="str">
        <f t="shared" si="1"/>
        <v/>
      </c>
      <c r="H203" s="29"/>
      <c r="I203" s="52"/>
      <c r="J203" s="58" t="str">
        <f>IF(F203="","", IF(I203="",_xlfn.NETWORKDAYS.INTL(F203,TODAY(),1,FERIADOS),_xlfn.NETWORKDAYS.INTL(F203,I203,1,FERIADOS)))</f>
        <v/>
      </c>
      <c r="K203" s="58" t="str">
        <f t="shared" si="2"/>
        <v/>
      </c>
      <c r="L203" s="58" t="str">
        <f t="shared" si="3"/>
        <v/>
      </c>
    </row>
    <row r="204" ht="21.0" customHeight="1">
      <c r="A204" s="29"/>
      <c r="B204" s="94"/>
      <c r="C204" s="38" t="str">
        <f t="array" ref="C204">IF(B204="","",INDEX(PARAMETROS!$J$2:$J$14,MATCH(B204,PARAMETROS!$G$2:$G$14,0),1))</f>
        <v/>
      </c>
      <c r="D204" s="42"/>
      <c r="E204" s="44"/>
      <c r="F204" s="52"/>
      <c r="G204" s="49" t="str">
        <f t="shared" si="1"/>
        <v/>
      </c>
      <c r="H204" s="29"/>
      <c r="I204" s="52"/>
      <c r="J204" s="58" t="str">
        <f>IF(F204="","", IF(I204="",_xlfn.NETWORKDAYS.INTL(F204,TODAY(),1,FERIADOS),_xlfn.NETWORKDAYS.INTL(F204,I204,1,FERIADOS)))</f>
        <v/>
      </c>
      <c r="K204" s="58" t="str">
        <f t="shared" si="2"/>
        <v/>
      </c>
      <c r="L204" s="58" t="str">
        <f t="shared" si="3"/>
        <v/>
      </c>
    </row>
    <row r="205" ht="21.0" customHeight="1">
      <c r="A205" s="29"/>
      <c r="B205" s="94"/>
      <c r="C205" s="38" t="str">
        <f t="array" ref="C205">IF(B205="","",INDEX(PARAMETROS!$J$2:$J$14,MATCH(B205,PARAMETROS!$G$2:$G$14,0),1))</f>
        <v/>
      </c>
      <c r="D205" s="42"/>
      <c r="E205" s="44"/>
      <c r="F205" s="52"/>
      <c r="G205" s="49" t="str">
        <f t="shared" si="1"/>
        <v/>
      </c>
      <c r="H205" s="29"/>
      <c r="I205" s="52"/>
      <c r="J205" s="58" t="str">
        <f>IF(F205="","", IF(I205="",_xlfn.NETWORKDAYS.INTL(F205,TODAY(),1,FERIADOS),_xlfn.NETWORKDAYS.INTL(F205,I205,1,FERIADOS)))</f>
        <v/>
      </c>
      <c r="K205" s="58" t="str">
        <f t="shared" si="2"/>
        <v/>
      </c>
      <c r="L205" s="58" t="str">
        <f t="shared" si="3"/>
        <v/>
      </c>
    </row>
    <row r="206" ht="21.0" customHeight="1">
      <c r="A206" s="29"/>
      <c r="B206" s="94"/>
      <c r="C206" s="38" t="str">
        <f t="array" ref="C206">IF(B206="","",INDEX(PARAMETROS!$J$2:$J$14,MATCH(B206,PARAMETROS!$G$2:$G$14,0),1))</f>
        <v/>
      </c>
      <c r="D206" s="42"/>
      <c r="E206" s="44"/>
      <c r="F206" s="52"/>
      <c r="G206" s="49" t="str">
        <f t="shared" si="1"/>
        <v/>
      </c>
      <c r="H206" s="29"/>
      <c r="I206" s="52"/>
      <c r="J206" s="58" t="str">
        <f>IF(F206="","", IF(I206="",_xlfn.NETWORKDAYS.INTL(F206,TODAY(),1,FERIADOS),_xlfn.NETWORKDAYS.INTL(F206,I206,1,FERIADOS)))</f>
        <v/>
      </c>
      <c r="K206" s="58" t="str">
        <f t="shared" si="2"/>
        <v/>
      </c>
      <c r="L206" s="58" t="str">
        <f t="shared" si="3"/>
        <v/>
      </c>
    </row>
    <row r="207" ht="21.0" customHeight="1">
      <c r="A207" s="29"/>
      <c r="B207" s="94"/>
      <c r="C207" s="38" t="str">
        <f t="array" ref="C207">IF(B207="","",INDEX(PARAMETROS!$J$2:$J$14,MATCH(B207,PARAMETROS!$G$2:$G$14,0),1))</f>
        <v/>
      </c>
      <c r="D207" s="42"/>
      <c r="E207" s="44"/>
      <c r="F207" s="52"/>
      <c r="G207" s="49" t="str">
        <f t="shared" si="1"/>
        <v/>
      </c>
      <c r="H207" s="29"/>
      <c r="I207" s="52"/>
      <c r="J207" s="58" t="str">
        <f>IF(F207="","", IF(I207="",_xlfn.NETWORKDAYS.INTL(F207,TODAY(),1,FERIADOS),_xlfn.NETWORKDAYS.INTL(F207,I207,1,FERIADOS)))</f>
        <v/>
      </c>
      <c r="K207" s="58" t="str">
        <f t="shared" si="2"/>
        <v/>
      </c>
      <c r="L207" s="58" t="str">
        <f t="shared" si="3"/>
        <v/>
      </c>
    </row>
    <row r="208" ht="21.0" customHeight="1">
      <c r="A208" s="29"/>
      <c r="B208" s="94"/>
      <c r="C208" s="38" t="str">
        <f t="array" ref="C208">IF(B208="","",INDEX(PARAMETROS!$J$2:$J$14,MATCH(B208,PARAMETROS!$G$2:$G$14,0),1))</f>
        <v/>
      </c>
      <c r="D208" s="42"/>
      <c r="E208" s="44"/>
      <c r="F208" s="52"/>
      <c r="G208" s="49" t="str">
        <f t="shared" si="1"/>
        <v/>
      </c>
      <c r="H208" s="29"/>
      <c r="I208" s="52"/>
      <c r="J208" s="58" t="str">
        <f>IF(F208="","", IF(I208="",_xlfn.NETWORKDAYS.INTL(F208,TODAY(),1,FERIADOS),_xlfn.NETWORKDAYS.INTL(F208,I208,1,FERIADOS)))</f>
        <v/>
      </c>
      <c r="K208" s="58" t="str">
        <f t="shared" si="2"/>
        <v/>
      </c>
      <c r="L208" s="58" t="str">
        <f t="shared" si="3"/>
        <v/>
      </c>
    </row>
    <row r="209" ht="21.0" customHeight="1">
      <c r="A209" s="29"/>
      <c r="B209" s="94"/>
      <c r="C209" s="38" t="str">
        <f t="array" ref="C209">IF(B209="","",INDEX(PARAMETROS!$J$2:$J$14,MATCH(B209,PARAMETROS!$G$2:$G$14,0),1))</f>
        <v/>
      </c>
      <c r="D209" s="42"/>
      <c r="E209" s="44"/>
      <c r="F209" s="52"/>
      <c r="G209" s="49" t="str">
        <f t="shared" si="1"/>
        <v/>
      </c>
      <c r="H209" s="29"/>
      <c r="I209" s="52"/>
      <c r="J209" s="58" t="str">
        <f>IF(F209="","", IF(I209="",_xlfn.NETWORKDAYS.INTL(F209,TODAY(),1,FERIADOS),_xlfn.NETWORKDAYS.INTL(F209,I209,1,FERIADOS)))</f>
        <v/>
      </c>
      <c r="K209" s="58" t="str">
        <f t="shared" si="2"/>
        <v/>
      </c>
      <c r="L209" s="58" t="str">
        <f t="shared" si="3"/>
        <v/>
      </c>
    </row>
    <row r="210" ht="21.0" customHeight="1">
      <c r="A210" s="29"/>
      <c r="B210" s="94"/>
      <c r="C210" s="38" t="str">
        <f t="array" ref="C210">IF(B210="","",INDEX(PARAMETROS!$J$2:$J$14,MATCH(B210,PARAMETROS!$G$2:$G$14,0),1))</f>
        <v/>
      </c>
      <c r="D210" s="42"/>
      <c r="E210" s="44"/>
      <c r="F210" s="52"/>
      <c r="G210" s="49" t="str">
        <f t="shared" si="1"/>
        <v/>
      </c>
      <c r="H210" s="29"/>
      <c r="I210" s="52"/>
      <c r="J210" s="58" t="str">
        <f>IF(F210="","", IF(I210="",_xlfn.NETWORKDAYS.INTL(F210,TODAY(),1,FERIADOS),_xlfn.NETWORKDAYS.INTL(F210,I210,1,FERIADOS)))</f>
        <v/>
      </c>
      <c r="K210" s="58" t="str">
        <f t="shared" si="2"/>
        <v/>
      </c>
      <c r="L210" s="58" t="str">
        <f t="shared" si="3"/>
        <v/>
      </c>
    </row>
    <row r="211" ht="21.0" customHeight="1">
      <c r="A211" s="29"/>
      <c r="B211" s="94"/>
      <c r="C211" s="38" t="str">
        <f t="array" ref="C211">IF(B211="","",INDEX(PARAMETROS!$J$2:$J$14,MATCH(B211,PARAMETROS!$G$2:$G$14,0),1))</f>
        <v/>
      </c>
      <c r="D211" s="42"/>
      <c r="E211" s="44"/>
      <c r="F211" s="52"/>
      <c r="G211" s="49" t="str">
        <f t="shared" si="1"/>
        <v/>
      </c>
      <c r="H211" s="29"/>
      <c r="I211" s="52"/>
      <c r="J211" s="58" t="str">
        <f>IF(F211="","", IF(I211="",_xlfn.NETWORKDAYS.INTL(F211,TODAY(),1,FERIADOS),_xlfn.NETWORKDAYS.INTL(F211,I211,1,FERIADOS)))</f>
        <v/>
      </c>
      <c r="K211" s="58" t="str">
        <f t="shared" si="2"/>
        <v/>
      </c>
      <c r="L211" s="58" t="str">
        <f t="shared" si="3"/>
        <v/>
      </c>
    </row>
    <row r="212" ht="21.0" customHeight="1">
      <c r="A212" s="29"/>
      <c r="B212" s="94"/>
      <c r="C212" s="38" t="str">
        <f t="array" ref="C212">IF(B212="","",INDEX(PARAMETROS!$J$2:$J$14,MATCH(B212,PARAMETROS!$G$2:$G$14,0),1))</f>
        <v/>
      </c>
      <c r="D212" s="42"/>
      <c r="E212" s="44"/>
      <c r="F212" s="52"/>
      <c r="G212" s="49" t="str">
        <f t="shared" si="1"/>
        <v/>
      </c>
      <c r="H212" s="29"/>
      <c r="I212" s="52"/>
      <c r="J212" s="58" t="str">
        <f>IF(F212="","", IF(I212="",_xlfn.NETWORKDAYS.INTL(F212,TODAY(),1,FERIADOS),_xlfn.NETWORKDAYS.INTL(F212,I212,1,FERIADOS)))</f>
        <v/>
      </c>
      <c r="K212" s="58" t="str">
        <f t="shared" si="2"/>
        <v/>
      </c>
      <c r="L212" s="58" t="str">
        <f t="shared" si="3"/>
        <v/>
      </c>
    </row>
    <row r="213" ht="21.0" customHeight="1">
      <c r="A213" s="29"/>
      <c r="B213" s="94"/>
      <c r="C213" s="38" t="str">
        <f t="array" ref="C213">IF(B213="","",INDEX(PARAMETROS!$J$2:$J$14,MATCH(B213,PARAMETROS!$G$2:$G$14,0),1))</f>
        <v/>
      </c>
      <c r="D213" s="42"/>
      <c r="E213" s="44"/>
      <c r="F213" s="52"/>
      <c r="G213" s="49" t="str">
        <f t="shared" si="1"/>
        <v/>
      </c>
      <c r="H213" s="29"/>
      <c r="I213" s="52"/>
      <c r="J213" s="58" t="str">
        <f>IF(F213="","", IF(I213="",_xlfn.NETWORKDAYS.INTL(F213,TODAY(),1,FERIADOS),_xlfn.NETWORKDAYS.INTL(F213,I213,1,FERIADOS)))</f>
        <v/>
      </c>
      <c r="K213" s="58" t="str">
        <f t="shared" si="2"/>
        <v/>
      </c>
      <c r="L213" s="58" t="str">
        <f t="shared" si="3"/>
        <v/>
      </c>
    </row>
    <row r="214" ht="21.0" customHeight="1">
      <c r="A214" s="29"/>
      <c r="B214" s="94"/>
      <c r="C214" s="38" t="str">
        <f t="array" ref="C214">IF(B214="","",INDEX(PARAMETROS!$J$2:$J$14,MATCH(B214,PARAMETROS!$G$2:$G$14,0),1))</f>
        <v/>
      </c>
      <c r="D214" s="42"/>
      <c r="E214" s="44"/>
      <c r="F214" s="52"/>
      <c r="G214" s="49" t="str">
        <f t="shared" si="1"/>
        <v/>
      </c>
      <c r="H214" s="29"/>
      <c r="I214" s="52"/>
      <c r="J214" s="58" t="str">
        <f>IF(F214="","", IF(I214="",_xlfn.NETWORKDAYS.INTL(F214,TODAY(),1,FERIADOS),_xlfn.NETWORKDAYS.INTL(F214,I214,1,FERIADOS)))</f>
        <v/>
      </c>
      <c r="K214" s="58" t="str">
        <f t="shared" si="2"/>
        <v/>
      </c>
      <c r="L214" s="58" t="str">
        <f t="shared" si="3"/>
        <v/>
      </c>
    </row>
    <row r="215" ht="21.0" customHeight="1">
      <c r="A215" s="29"/>
      <c r="B215" s="94"/>
      <c r="C215" s="38" t="str">
        <f t="array" ref="C215">IF(B215="","",INDEX(PARAMETROS!$J$2:$J$14,MATCH(B215,PARAMETROS!$G$2:$G$14,0),1))</f>
        <v/>
      </c>
      <c r="D215" s="42"/>
      <c r="E215" s="44"/>
      <c r="F215" s="52"/>
      <c r="G215" s="49" t="str">
        <f t="shared" si="1"/>
        <v/>
      </c>
      <c r="H215" s="29"/>
      <c r="I215" s="52"/>
      <c r="J215" s="58" t="str">
        <f>IF(F215="","", IF(I215="",_xlfn.NETWORKDAYS.INTL(F215,TODAY(),1,FERIADOS),_xlfn.NETWORKDAYS.INTL(F215,I215,1,FERIADOS)))</f>
        <v/>
      </c>
      <c r="K215" s="58" t="str">
        <f t="shared" si="2"/>
        <v/>
      </c>
      <c r="L215" s="58" t="str">
        <f t="shared" si="3"/>
        <v/>
      </c>
    </row>
    <row r="216" ht="21.0" customHeight="1">
      <c r="A216" s="29"/>
      <c r="B216" s="94"/>
      <c r="C216" s="38" t="str">
        <f t="array" ref="C216">IF(B216="","",INDEX(PARAMETROS!$J$2:$J$14,MATCH(B216,PARAMETROS!$G$2:$G$14,0),1))</f>
        <v/>
      </c>
      <c r="D216" s="42"/>
      <c r="E216" s="44"/>
      <c r="F216" s="52"/>
      <c r="G216" s="49" t="str">
        <f t="shared" si="1"/>
        <v/>
      </c>
      <c r="H216" s="29"/>
      <c r="I216" s="52"/>
      <c r="J216" s="58" t="str">
        <f>IF(F216="","", IF(I216="",_xlfn.NETWORKDAYS.INTL(F216,TODAY(),1,FERIADOS),_xlfn.NETWORKDAYS.INTL(F216,I216,1,FERIADOS)))</f>
        <v/>
      </c>
      <c r="K216" s="58" t="str">
        <f t="shared" si="2"/>
        <v/>
      </c>
      <c r="L216" s="58" t="str">
        <f t="shared" si="3"/>
        <v/>
      </c>
    </row>
    <row r="217" ht="21.0" customHeight="1">
      <c r="A217" s="29"/>
      <c r="B217" s="94"/>
      <c r="C217" s="38" t="str">
        <f t="array" ref="C217">IF(B217="","",INDEX(PARAMETROS!$J$2:$J$14,MATCH(B217,PARAMETROS!$G$2:$G$14,0),1))</f>
        <v/>
      </c>
      <c r="D217" s="42"/>
      <c r="E217" s="44"/>
      <c r="F217" s="52"/>
      <c r="G217" s="49" t="str">
        <f t="shared" si="1"/>
        <v/>
      </c>
      <c r="H217" s="29"/>
      <c r="I217" s="52"/>
      <c r="J217" s="58" t="str">
        <f>IF(F217="","", IF(I217="",_xlfn.NETWORKDAYS.INTL(F217,TODAY(),1,FERIADOS),_xlfn.NETWORKDAYS.INTL(F217,I217,1,FERIADOS)))</f>
        <v/>
      </c>
      <c r="K217" s="58" t="str">
        <f t="shared" si="2"/>
        <v/>
      </c>
      <c r="L217" s="58" t="str">
        <f t="shared" si="3"/>
        <v/>
      </c>
    </row>
    <row r="218" ht="21.0" customHeight="1">
      <c r="A218" s="29"/>
      <c r="B218" s="94"/>
      <c r="C218" s="38" t="str">
        <f t="array" ref="C218">IF(B218="","",INDEX(PARAMETROS!$J$2:$J$14,MATCH(B218,PARAMETROS!$G$2:$G$14,0),1))</f>
        <v/>
      </c>
      <c r="D218" s="42"/>
      <c r="E218" s="44"/>
      <c r="F218" s="52"/>
      <c r="G218" s="49" t="str">
        <f t="shared" si="1"/>
        <v/>
      </c>
      <c r="H218" s="29"/>
      <c r="I218" s="52"/>
      <c r="J218" s="58" t="str">
        <f>IF(F218="","", IF(I218="",_xlfn.NETWORKDAYS.INTL(F218,TODAY(),1,FERIADOS),_xlfn.NETWORKDAYS.INTL(F218,I218,1,FERIADOS)))</f>
        <v/>
      </c>
      <c r="K218" s="58" t="str">
        <f t="shared" si="2"/>
        <v/>
      </c>
      <c r="L218" s="58" t="str">
        <f t="shared" si="3"/>
        <v/>
      </c>
    </row>
    <row r="219" ht="21.0" customHeight="1">
      <c r="A219" s="29"/>
      <c r="B219" s="94"/>
      <c r="C219" s="38" t="str">
        <f t="array" ref="C219">IF(B219="","",INDEX(PARAMETROS!$J$2:$J$14,MATCH(B219,PARAMETROS!$G$2:$G$14,0),1))</f>
        <v/>
      </c>
      <c r="D219" s="42"/>
      <c r="E219" s="44"/>
      <c r="F219" s="52"/>
      <c r="G219" s="49" t="str">
        <f t="shared" si="1"/>
        <v/>
      </c>
      <c r="H219" s="29"/>
      <c r="I219" s="52"/>
      <c r="J219" s="58" t="str">
        <f>IF(F219="","", IF(I219="",_xlfn.NETWORKDAYS.INTL(F219,TODAY(),1,FERIADOS),_xlfn.NETWORKDAYS.INTL(F219,I219,1,FERIADOS)))</f>
        <v/>
      </c>
      <c r="K219" s="58" t="str">
        <f t="shared" si="2"/>
        <v/>
      </c>
      <c r="L219" s="58" t="str">
        <f t="shared" si="3"/>
        <v/>
      </c>
    </row>
    <row r="220" ht="21.0" customHeight="1">
      <c r="A220" s="29"/>
      <c r="B220" s="94"/>
      <c r="C220" s="38" t="str">
        <f t="array" ref="C220">IF(B220="","",INDEX(PARAMETROS!$J$2:$J$14,MATCH(B220,PARAMETROS!$G$2:$G$14,0),1))</f>
        <v/>
      </c>
      <c r="D220" s="42"/>
      <c r="E220" s="44"/>
      <c r="F220" s="52"/>
      <c r="G220" s="49" t="str">
        <f t="shared" si="1"/>
        <v/>
      </c>
      <c r="H220" s="29"/>
      <c r="I220" s="52"/>
      <c r="J220" s="58" t="str">
        <f>IF(F220="","", IF(I220="",_xlfn.NETWORKDAYS.INTL(F220,TODAY(),1,FERIADOS),_xlfn.NETWORKDAYS.INTL(F220,I220,1,FERIADOS)))</f>
        <v/>
      </c>
      <c r="K220" s="58" t="str">
        <f t="shared" si="2"/>
        <v/>
      </c>
      <c r="L220" s="58" t="str">
        <f t="shared" si="3"/>
        <v/>
      </c>
    </row>
    <row r="221" ht="21.0" customHeight="1">
      <c r="A221" s="29"/>
      <c r="B221" s="94"/>
      <c r="C221" s="38" t="str">
        <f t="array" ref="C221">IF(B221="","",INDEX(PARAMETROS!$J$2:$J$14,MATCH(B221,PARAMETROS!$G$2:$G$14,0),1))</f>
        <v/>
      </c>
      <c r="D221" s="42"/>
      <c r="E221" s="44"/>
      <c r="F221" s="52"/>
      <c r="G221" s="49" t="str">
        <f t="shared" si="1"/>
        <v/>
      </c>
      <c r="H221" s="29"/>
      <c r="I221" s="52"/>
      <c r="J221" s="58" t="str">
        <f>IF(F221="","", IF(I221="",_xlfn.NETWORKDAYS.INTL(F221,TODAY(),1,FERIADOS),_xlfn.NETWORKDAYS.INTL(F221,I221,1,FERIADOS)))</f>
        <v/>
      </c>
      <c r="K221" s="58" t="str">
        <f t="shared" si="2"/>
        <v/>
      </c>
      <c r="L221" s="58" t="str">
        <f t="shared" si="3"/>
        <v/>
      </c>
    </row>
    <row r="222" ht="21.0" customHeight="1">
      <c r="A222" s="29"/>
      <c r="B222" s="94"/>
      <c r="C222" s="38" t="str">
        <f t="array" ref="C222">IF(B222="","",INDEX(PARAMETROS!$J$2:$J$14,MATCH(B222,PARAMETROS!$G$2:$G$14,0),1))</f>
        <v/>
      </c>
      <c r="D222" s="42"/>
      <c r="E222" s="44"/>
      <c r="F222" s="52"/>
      <c r="G222" s="49" t="str">
        <f t="shared" si="1"/>
        <v/>
      </c>
      <c r="H222" s="29"/>
      <c r="I222" s="52"/>
      <c r="J222" s="58" t="str">
        <f>IF(F222="","", IF(I222="",_xlfn.NETWORKDAYS.INTL(F222,TODAY(),1,FERIADOS),_xlfn.NETWORKDAYS.INTL(F222,I222,1,FERIADOS)))</f>
        <v/>
      </c>
      <c r="K222" s="58" t="str">
        <f t="shared" si="2"/>
        <v/>
      </c>
      <c r="L222" s="58" t="str">
        <f t="shared" si="3"/>
        <v/>
      </c>
    </row>
    <row r="223" ht="21.0" customHeight="1">
      <c r="A223" s="29"/>
      <c r="B223" s="94"/>
      <c r="C223" s="38" t="str">
        <f t="array" ref="C223">IF(B223="","",INDEX(PARAMETROS!$J$2:$J$14,MATCH(B223,PARAMETROS!$G$2:$G$14,0),1))</f>
        <v/>
      </c>
      <c r="D223" s="42"/>
      <c r="E223" s="44"/>
      <c r="F223" s="52"/>
      <c r="G223" s="49" t="str">
        <f t="shared" si="1"/>
        <v/>
      </c>
      <c r="H223" s="29"/>
      <c r="I223" s="52"/>
      <c r="J223" s="58" t="str">
        <f>IF(F223="","", IF(I223="",_xlfn.NETWORKDAYS.INTL(F223,TODAY(),1,FERIADOS),_xlfn.NETWORKDAYS.INTL(F223,I223,1,FERIADOS)))</f>
        <v/>
      </c>
      <c r="K223" s="58" t="str">
        <f t="shared" si="2"/>
        <v/>
      </c>
      <c r="L223" s="58" t="str">
        <f t="shared" si="3"/>
        <v/>
      </c>
    </row>
    <row r="224" ht="21.0" customHeight="1">
      <c r="A224" s="29"/>
      <c r="B224" s="94"/>
      <c r="C224" s="38" t="str">
        <f t="array" ref="C224">IF(B224="","",INDEX(PARAMETROS!$J$2:$J$14,MATCH(B224,PARAMETROS!$G$2:$G$14,0),1))</f>
        <v/>
      </c>
      <c r="D224" s="42"/>
      <c r="E224" s="44"/>
      <c r="F224" s="52"/>
      <c r="G224" s="49" t="str">
        <f t="shared" si="1"/>
        <v/>
      </c>
      <c r="H224" s="29"/>
      <c r="I224" s="52"/>
      <c r="J224" s="58" t="str">
        <f>IF(F224="","", IF(I224="",_xlfn.NETWORKDAYS.INTL(F224,TODAY(),1,FERIADOS),_xlfn.NETWORKDAYS.INTL(F224,I224,1,FERIADOS)))</f>
        <v/>
      </c>
      <c r="K224" s="58" t="str">
        <f t="shared" si="2"/>
        <v/>
      </c>
      <c r="L224" s="58" t="str">
        <f t="shared" si="3"/>
        <v/>
      </c>
    </row>
    <row r="225" ht="21.0" customHeight="1">
      <c r="A225" s="29"/>
      <c r="B225" s="94"/>
      <c r="C225" s="38" t="str">
        <f t="array" ref="C225">IF(B225="","",INDEX(PARAMETROS!$J$2:$J$14,MATCH(B225,PARAMETROS!$G$2:$G$14,0),1))</f>
        <v/>
      </c>
      <c r="D225" s="42"/>
      <c r="E225" s="44"/>
      <c r="F225" s="52"/>
      <c r="G225" s="49" t="str">
        <f t="shared" si="1"/>
        <v/>
      </c>
      <c r="H225" s="29"/>
      <c r="I225" s="52"/>
      <c r="J225" s="58" t="str">
        <f>IF(F225="","", IF(I225="",_xlfn.NETWORKDAYS.INTL(F225,TODAY(),1,FERIADOS),_xlfn.NETWORKDAYS.INTL(F225,I225,1,FERIADOS)))</f>
        <v/>
      </c>
      <c r="K225" s="58" t="str">
        <f t="shared" si="2"/>
        <v/>
      </c>
      <c r="L225" s="58" t="str">
        <f t="shared" si="3"/>
        <v/>
      </c>
    </row>
    <row r="226" ht="21.0" customHeight="1">
      <c r="A226" s="29"/>
      <c r="B226" s="94"/>
      <c r="C226" s="38" t="str">
        <f t="array" ref="C226">IF(B226="","",INDEX(PARAMETROS!$J$2:$J$14,MATCH(B226,PARAMETROS!$G$2:$G$14,0),1))</f>
        <v/>
      </c>
      <c r="D226" s="42"/>
      <c r="E226" s="44"/>
      <c r="F226" s="52"/>
      <c r="G226" s="49" t="str">
        <f t="shared" si="1"/>
        <v/>
      </c>
      <c r="H226" s="29"/>
      <c r="I226" s="52"/>
      <c r="J226" s="58" t="str">
        <f>IF(F226="","", IF(I226="",_xlfn.NETWORKDAYS.INTL(F226,TODAY(),1,FERIADOS),_xlfn.NETWORKDAYS.INTL(F226,I226,1,FERIADOS)))</f>
        <v/>
      </c>
      <c r="K226" s="58" t="str">
        <f t="shared" si="2"/>
        <v/>
      </c>
      <c r="L226" s="58" t="str">
        <f t="shared" si="3"/>
        <v/>
      </c>
    </row>
    <row r="227" ht="21.0" customHeight="1">
      <c r="A227" s="29"/>
      <c r="B227" s="94"/>
      <c r="C227" s="38" t="str">
        <f t="array" ref="C227">IF(B227="","",INDEX(PARAMETROS!$J$2:$J$14,MATCH(B227,PARAMETROS!$G$2:$G$14,0),1))</f>
        <v/>
      </c>
      <c r="D227" s="42"/>
      <c r="E227" s="44"/>
      <c r="F227" s="52"/>
      <c r="G227" s="49" t="str">
        <f t="shared" si="1"/>
        <v/>
      </c>
      <c r="H227" s="29"/>
      <c r="I227" s="52"/>
      <c r="J227" s="58" t="str">
        <f>IF(F227="","", IF(I227="",_xlfn.NETWORKDAYS.INTL(F227,TODAY(),1,FERIADOS),_xlfn.NETWORKDAYS.INTL(F227,I227,1,FERIADOS)))</f>
        <v/>
      </c>
      <c r="K227" s="58" t="str">
        <f t="shared" si="2"/>
        <v/>
      </c>
      <c r="L227" s="58" t="str">
        <f t="shared" si="3"/>
        <v/>
      </c>
    </row>
    <row r="228" ht="21.0" customHeight="1">
      <c r="A228" s="29"/>
      <c r="B228" s="94"/>
      <c r="C228" s="38" t="str">
        <f t="array" ref="C228">IF(B228="","",INDEX(PARAMETROS!$J$2:$J$14,MATCH(B228,PARAMETROS!$G$2:$G$14,0),1))</f>
        <v/>
      </c>
      <c r="D228" s="42"/>
      <c r="E228" s="44"/>
      <c r="F228" s="52"/>
      <c r="G228" s="49" t="str">
        <f t="shared" si="1"/>
        <v/>
      </c>
      <c r="H228" s="29"/>
      <c r="I228" s="52"/>
      <c r="J228" s="58" t="str">
        <f>IF(F228="","", IF(I228="",_xlfn.NETWORKDAYS.INTL(F228,TODAY(),1,FERIADOS),_xlfn.NETWORKDAYS.INTL(F228,I228,1,FERIADOS)))</f>
        <v/>
      </c>
      <c r="K228" s="58" t="str">
        <f t="shared" si="2"/>
        <v/>
      </c>
      <c r="L228" s="58" t="str">
        <f t="shared" si="3"/>
        <v/>
      </c>
    </row>
    <row r="229" ht="21.0" customHeight="1">
      <c r="A229" s="29"/>
      <c r="B229" s="94"/>
      <c r="C229" s="38" t="str">
        <f t="array" ref="C229">IF(B229="","",INDEX(PARAMETROS!$J$2:$J$14,MATCH(B229,PARAMETROS!$G$2:$G$14,0),1))</f>
        <v/>
      </c>
      <c r="D229" s="42"/>
      <c r="E229" s="44"/>
      <c r="F229" s="52"/>
      <c r="G229" s="49" t="str">
        <f t="shared" si="1"/>
        <v/>
      </c>
      <c r="H229" s="29"/>
      <c r="I229" s="52"/>
      <c r="J229" s="58" t="str">
        <f>IF(F229="","", IF(I229="",_xlfn.NETWORKDAYS.INTL(F229,TODAY(),1,FERIADOS),_xlfn.NETWORKDAYS.INTL(F229,I229,1,FERIADOS)))</f>
        <v/>
      </c>
      <c r="K229" s="58" t="str">
        <f t="shared" si="2"/>
        <v/>
      </c>
      <c r="L229" s="58" t="str">
        <f t="shared" si="3"/>
        <v/>
      </c>
    </row>
    <row r="230" ht="21.0" customHeight="1">
      <c r="A230" s="29"/>
      <c r="B230" s="94"/>
      <c r="C230" s="38" t="str">
        <f t="array" ref="C230">IF(B230="","",INDEX(PARAMETROS!$J$2:$J$14,MATCH(B230,PARAMETROS!$G$2:$G$14,0),1))</f>
        <v/>
      </c>
      <c r="D230" s="42"/>
      <c r="E230" s="44"/>
      <c r="F230" s="52"/>
      <c r="G230" s="49" t="str">
        <f t="shared" si="1"/>
        <v/>
      </c>
      <c r="H230" s="29"/>
      <c r="I230" s="52"/>
      <c r="J230" s="58" t="str">
        <f>IF(F230="","", IF(I230="",_xlfn.NETWORKDAYS.INTL(F230,TODAY(),1,FERIADOS),_xlfn.NETWORKDAYS.INTL(F230,I230,1,FERIADOS)))</f>
        <v/>
      </c>
      <c r="K230" s="58" t="str">
        <f t="shared" si="2"/>
        <v/>
      </c>
      <c r="L230" s="58" t="str">
        <f t="shared" si="3"/>
        <v/>
      </c>
    </row>
    <row r="231" ht="21.0" customHeight="1">
      <c r="A231" s="29"/>
      <c r="B231" s="94"/>
      <c r="C231" s="38" t="str">
        <f t="array" ref="C231">IF(B231="","",INDEX(PARAMETROS!$J$2:$J$14,MATCH(B231,PARAMETROS!$G$2:$G$14,0),1))</f>
        <v/>
      </c>
      <c r="D231" s="42"/>
      <c r="E231" s="44"/>
      <c r="F231" s="52"/>
      <c r="G231" s="49" t="str">
        <f t="shared" si="1"/>
        <v/>
      </c>
      <c r="H231" s="29"/>
      <c r="I231" s="52"/>
      <c r="J231" s="58" t="str">
        <f>IF(F231="","", IF(I231="",_xlfn.NETWORKDAYS.INTL(F231,TODAY(),1,FERIADOS),_xlfn.NETWORKDAYS.INTL(F231,I231,1,FERIADOS)))</f>
        <v/>
      </c>
      <c r="K231" s="58" t="str">
        <f t="shared" si="2"/>
        <v/>
      </c>
      <c r="L231" s="58" t="str">
        <f t="shared" si="3"/>
        <v/>
      </c>
    </row>
    <row r="232" ht="21.0" customHeight="1">
      <c r="A232" s="29"/>
      <c r="B232" s="94"/>
      <c r="C232" s="38" t="str">
        <f t="array" ref="C232">IF(B232="","",INDEX(PARAMETROS!$J$2:$J$14,MATCH(B232,PARAMETROS!$G$2:$G$14,0),1))</f>
        <v/>
      </c>
      <c r="D232" s="42"/>
      <c r="E232" s="44"/>
      <c r="F232" s="52"/>
      <c r="G232" s="49" t="str">
        <f t="shared" si="1"/>
        <v/>
      </c>
      <c r="H232" s="29"/>
      <c r="I232" s="52"/>
      <c r="J232" s="58" t="str">
        <f>IF(F232="","", IF(I232="",_xlfn.NETWORKDAYS.INTL(F232,TODAY(),1,FERIADOS),_xlfn.NETWORKDAYS.INTL(F232,I232,1,FERIADOS)))</f>
        <v/>
      </c>
      <c r="K232" s="58" t="str">
        <f t="shared" si="2"/>
        <v/>
      </c>
      <c r="L232" s="58" t="str">
        <f t="shared" si="3"/>
        <v/>
      </c>
    </row>
    <row r="233" ht="21.0" customHeight="1">
      <c r="A233" s="29"/>
      <c r="B233" s="94"/>
      <c r="C233" s="38" t="str">
        <f t="array" ref="C233">IF(B233="","",INDEX(PARAMETROS!$J$2:$J$14,MATCH(B233,PARAMETROS!$G$2:$G$14,0),1))</f>
        <v/>
      </c>
      <c r="D233" s="42"/>
      <c r="E233" s="44"/>
      <c r="F233" s="52"/>
      <c r="G233" s="49" t="str">
        <f t="shared" si="1"/>
        <v/>
      </c>
      <c r="H233" s="29"/>
      <c r="I233" s="52"/>
      <c r="J233" s="58" t="str">
        <f>IF(F233="","", IF(I233="",_xlfn.NETWORKDAYS.INTL(F233,TODAY(),1,FERIADOS),_xlfn.NETWORKDAYS.INTL(F233,I233,1,FERIADOS)))</f>
        <v/>
      </c>
      <c r="K233" s="58" t="str">
        <f t="shared" si="2"/>
        <v/>
      </c>
      <c r="L233" s="58" t="str">
        <f t="shared" si="3"/>
        <v/>
      </c>
    </row>
    <row r="234" ht="21.0" customHeight="1">
      <c r="A234" s="29"/>
      <c r="B234" s="94"/>
      <c r="C234" s="38" t="str">
        <f t="array" ref="C234">IF(B234="","",INDEX(PARAMETROS!$J$2:$J$14,MATCH(B234,PARAMETROS!$G$2:$G$14,0),1))</f>
        <v/>
      </c>
      <c r="D234" s="42"/>
      <c r="E234" s="44"/>
      <c r="F234" s="52"/>
      <c r="G234" s="49" t="str">
        <f t="shared" si="1"/>
        <v/>
      </c>
      <c r="H234" s="29"/>
      <c r="I234" s="52"/>
      <c r="J234" s="58" t="str">
        <f>IF(F234="","", IF(I234="",_xlfn.NETWORKDAYS.INTL(F234,TODAY(),1,FERIADOS),_xlfn.NETWORKDAYS.INTL(F234,I234,1,FERIADOS)))</f>
        <v/>
      </c>
      <c r="K234" s="58" t="str">
        <f t="shared" si="2"/>
        <v/>
      </c>
      <c r="L234" s="58" t="str">
        <f t="shared" si="3"/>
        <v/>
      </c>
    </row>
    <row r="235" ht="21.0" customHeight="1">
      <c r="A235" s="29"/>
      <c r="B235" s="94"/>
      <c r="C235" s="38" t="str">
        <f t="array" ref="C235">IF(B235="","",INDEX(PARAMETROS!$J$2:$J$14,MATCH(B235,PARAMETROS!$G$2:$G$14,0),1))</f>
        <v/>
      </c>
      <c r="D235" s="42"/>
      <c r="E235" s="44"/>
      <c r="F235" s="52"/>
      <c r="G235" s="49" t="str">
        <f t="shared" si="1"/>
        <v/>
      </c>
      <c r="H235" s="29"/>
      <c r="I235" s="52"/>
      <c r="J235" s="58" t="str">
        <f>IF(F235="","", IF(I235="",_xlfn.NETWORKDAYS.INTL(F235,TODAY(),1,FERIADOS),_xlfn.NETWORKDAYS.INTL(F235,I235,1,FERIADOS)))</f>
        <v/>
      </c>
      <c r="K235" s="58" t="str">
        <f t="shared" si="2"/>
        <v/>
      </c>
      <c r="L235" s="58" t="str">
        <f t="shared" si="3"/>
        <v/>
      </c>
    </row>
    <row r="236" ht="21.0" customHeight="1">
      <c r="A236" s="29"/>
      <c r="B236" s="94"/>
      <c r="C236" s="38" t="str">
        <f t="array" ref="C236">IF(B236="","",INDEX(PARAMETROS!$J$2:$J$14,MATCH(B236,PARAMETROS!$G$2:$G$14,0),1))</f>
        <v/>
      </c>
      <c r="D236" s="42"/>
      <c r="E236" s="44"/>
      <c r="F236" s="52"/>
      <c r="G236" s="49" t="str">
        <f t="shared" si="1"/>
        <v/>
      </c>
      <c r="H236" s="29"/>
      <c r="I236" s="52"/>
      <c r="J236" s="58" t="str">
        <f>IF(F236="","", IF(I236="",_xlfn.NETWORKDAYS.INTL(F236,TODAY(),1,FERIADOS),_xlfn.NETWORKDAYS.INTL(F236,I236,1,FERIADOS)))</f>
        <v/>
      </c>
      <c r="K236" s="58" t="str">
        <f t="shared" si="2"/>
        <v/>
      </c>
      <c r="L236" s="58" t="str">
        <f t="shared" si="3"/>
        <v/>
      </c>
    </row>
    <row r="237" ht="21.0" customHeight="1">
      <c r="A237" s="29"/>
      <c r="B237" s="94"/>
      <c r="C237" s="38" t="str">
        <f t="array" ref="C237">IF(B237="","",INDEX(PARAMETROS!$J$2:$J$14,MATCH(B237,PARAMETROS!$G$2:$G$14,0),1))</f>
        <v/>
      </c>
      <c r="D237" s="42"/>
      <c r="E237" s="44"/>
      <c r="F237" s="52"/>
      <c r="G237" s="49" t="str">
        <f t="shared" si="1"/>
        <v/>
      </c>
      <c r="H237" s="29"/>
      <c r="I237" s="52"/>
      <c r="J237" s="58" t="str">
        <f>IF(F237="","", IF(I237="",_xlfn.NETWORKDAYS.INTL(F237,TODAY(),1,FERIADOS),_xlfn.NETWORKDAYS.INTL(F237,I237,1,FERIADOS)))</f>
        <v/>
      </c>
      <c r="K237" s="58" t="str">
        <f t="shared" si="2"/>
        <v/>
      </c>
      <c r="L237" s="58" t="str">
        <f t="shared" si="3"/>
        <v/>
      </c>
    </row>
    <row r="238" ht="21.0" customHeight="1">
      <c r="A238" s="29"/>
      <c r="B238" s="94"/>
      <c r="C238" s="38" t="str">
        <f t="array" ref="C238">IF(B238="","",INDEX(PARAMETROS!$J$2:$J$14,MATCH(B238,PARAMETROS!$G$2:$G$14,0),1))</f>
        <v/>
      </c>
      <c r="D238" s="42"/>
      <c r="E238" s="44"/>
      <c r="F238" s="52"/>
      <c r="G238" s="49" t="str">
        <f t="shared" si="1"/>
        <v/>
      </c>
      <c r="H238" s="29"/>
      <c r="I238" s="52"/>
      <c r="J238" s="58" t="str">
        <f>IF(F238="","", IF(I238="",_xlfn.NETWORKDAYS.INTL(F238,TODAY(),1,FERIADOS),_xlfn.NETWORKDAYS.INTL(F238,I238,1,FERIADOS)))</f>
        <v/>
      </c>
      <c r="K238" s="58" t="str">
        <f t="shared" si="2"/>
        <v/>
      </c>
      <c r="L238" s="58" t="str">
        <f t="shared" si="3"/>
        <v/>
      </c>
    </row>
    <row r="239" ht="21.0" customHeight="1">
      <c r="A239" s="29"/>
      <c r="B239" s="94"/>
      <c r="C239" s="38" t="str">
        <f t="array" ref="C239">IF(B239="","",INDEX(PARAMETROS!$J$2:$J$14,MATCH(B239,PARAMETROS!$G$2:$G$14,0),1))</f>
        <v/>
      </c>
      <c r="D239" s="42"/>
      <c r="E239" s="44"/>
      <c r="F239" s="52"/>
      <c r="G239" s="49" t="str">
        <f t="shared" si="1"/>
        <v/>
      </c>
      <c r="H239" s="29"/>
      <c r="I239" s="52"/>
      <c r="J239" s="58" t="str">
        <f>IF(F239="","", IF(I239="",_xlfn.NETWORKDAYS.INTL(F239,TODAY(),1,FERIADOS),_xlfn.NETWORKDAYS.INTL(F239,I239,1,FERIADOS)))</f>
        <v/>
      </c>
      <c r="K239" s="58" t="str">
        <f t="shared" si="2"/>
        <v/>
      </c>
      <c r="L239" s="58" t="str">
        <f t="shared" si="3"/>
        <v/>
      </c>
    </row>
    <row r="240" ht="21.0" customHeight="1">
      <c r="A240" s="29"/>
      <c r="B240" s="94"/>
      <c r="C240" s="38" t="str">
        <f t="array" ref="C240">IF(B240="","",INDEX(PARAMETROS!$J$2:$J$14,MATCH(B240,PARAMETROS!$G$2:$G$14,0),1))</f>
        <v/>
      </c>
      <c r="D240" s="42"/>
      <c r="E240" s="44"/>
      <c r="F240" s="52"/>
      <c r="G240" s="49" t="str">
        <f t="shared" si="1"/>
        <v/>
      </c>
      <c r="H240" s="29"/>
      <c r="I240" s="52"/>
      <c r="J240" s="58" t="str">
        <f>IF(F240="","", IF(I240="",_xlfn.NETWORKDAYS.INTL(F240,TODAY(),1,FERIADOS),_xlfn.NETWORKDAYS.INTL(F240,I240,1,FERIADOS)))</f>
        <v/>
      </c>
      <c r="K240" s="58" t="str">
        <f t="shared" si="2"/>
        <v/>
      </c>
      <c r="L240" s="58" t="str">
        <f t="shared" si="3"/>
        <v/>
      </c>
    </row>
    <row r="241" ht="21.0" customHeight="1">
      <c r="A241" s="29"/>
      <c r="B241" s="94"/>
      <c r="C241" s="38" t="str">
        <f t="array" ref="C241">IF(B241="","",INDEX(PARAMETROS!$J$2:$J$14,MATCH(B241,PARAMETROS!$G$2:$G$14,0),1))</f>
        <v/>
      </c>
      <c r="D241" s="42"/>
      <c r="E241" s="44"/>
      <c r="F241" s="52"/>
      <c r="G241" s="49" t="str">
        <f t="shared" si="1"/>
        <v/>
      </c>
      <c r="H241" s="29"/>
      <c r="I241" s="52"/>
      <c r="J241" s="58" t="str">
        <f>IF(F241="","", IF(I241="",_xlfn.NETWORKDAYS.INTL(F241,TODAY(),1,FERIADOS),_xlfn.NETWORKDAYS.INTL(F241,I241,1,FERIADOS)))</f>
        <v/>
      </c>
      <c r="K241" s="58" t="str">
        <f t="shared" si="2"/>
        <v/>
      </c>
      <c r="L241" s="58" t="str">
        <f t="shared" si="3"/>
        <v/>
      </c>
    </row>
    <row r="242" ht="21.0" customHeight="1">
      <c r="A242" s="29"/>
      <c r="B242" s="94"/>
      <c r="C242" s="38" t="str">
        <f t="array" ref="C242">IF(B242="","",INDEX(PARAMETROS!$J$2:$J$14,MATCH(B242,PARAMETROS!$G$2:$G$14,0),1))</f>
        <v/>
      </c>
      <c r="D242" s="42"/>
      <c r="E242" s="44"/>
      <c r="F242" s="52"/>
      <c r="G242" s="49" t="str">
        <f t="shared" si="1"/>
        <v/>
      </c>
      <c r="H242" s="29"/>
      <c r="I242" s="52"/>
      <c r="J242" s="58" t="str">
        <f>IF(F242="","", IF(I242="",_xlfn.NETWORKDAYS.INTL(F242,TODAY(),1,FERIADOS),_xlfn.NETWORKDAYS.INTL(F242,I242,1,FERIADOS)))</f>
        <v/>
      </c>
      <c r="K242" s="58" t="str">
        <f t="shared" si="2"/>
        <v/>
      </c>
      <c r="L242" s="58" t="str">
        <f t="shared" si="3"/>
        <v/>
      </c>
    </row>
    <row r="243" ht="21.0" customHeight="1">
      <c r="A243" s="29"/>
      <c r="B243" s="94"/>
      <c r="C243" s="38" t="str">
        <f t="array" ref="C243">IF(B243="","",INDEX(PARAMETROS!$J$2:$J$14,MATCH(B243,PARAMETROS!$G$2:$G$14,0),1))</f>
        <v/>
      </c>
      <c r="D243" s="42"/>
      <c r="E243" s="44"/>
      <c r="F243" s="52"/>
      <c r="G243" s="49" t="str">
        <f t="shared" si="1"/>
        <v/>
      </c>
      <c r="H243" s="29"/>
      <c r="I243" s="52"/>
      <c r="J243" s="58" t="str">
        <f>IF(F243="","", IF(I243="",_xlfn.NETWORKDAYS.INTL(F243,TODAY(),1,FERIADOS),_xlfn.NETWORKDAYS.INTL(F243,I243,1,FERIADOS)))</f>
        <v/>
      </c>
      <c r="K243" s="58" t="str">
        <f t="shared" si="2"/>
        <v/>
      </c>
      <c r="L243" s="58" t="str">
        <f t="shared" si="3"/>
        <v/>
      </c>
    </row>
    <row r="244" ht="21.0" customHeight="1">
      <c r="A244" s="29"/>
      <c r="B244" s="94"/>
      <c r="C244" s="38" t="str">
        <f t="array" ref="C244">IF(B244="","",INDEX(PARAMETROS!$J$2:$J$14,MATCH(B244,PARAMETROS!$G$2:$G$14,0),1))</f>
        <v/>
      </c>
      <c r="D244" s="42"/>
      <c r="E244" s="44"/>
      <c r="F244" s="52"/>
      <c r="G244" s="49" t="str">
        <f t="shared" si="1"/>
        <v/>
      </c>
      <c r="H244" s="29"/>
      <c r="I244" s="52"/>
      <c r="J244" s="58" t="str">
        <f>IF(F244="","", IF(I244="",_xlfn.NETWORKDAYS.INTL(F244,TODAY(),1,FERIADOS),_xlfn.NETWORKDAYS.INTL(F244,I244,1,FERIADOS)))</f>
        <v/>
      </c>
      <c r="K244" s="58" t="str">
        <f t="shared" si="2"/>
        <v/>
      </c>
      <c r="L244" s="58" t="str">
        <f t="shared" si="3"/>
        <v/>
      </c>
    </row>
    <row r="245" ht="21.0" customHeight="1">
      <c r="A245" s="29"/>
      <c r="B245" s="94"/>
      <c r="C245" s="38" t="str">
        <f t="array" ref="C245">IF(B245="","",INDEX(PARAMETROS!$J$2:$J$14,MATCH(B245,PARAMETROS!$G$2:$G$14,0),1))</f>
        <v/>
      </c>
      <c r="D245" s="42"/>
      <c r="E245" s="44"/>
      <c r="F245" s="52"/>
      <c r="G245" s="49" t="str">
        <f t="shared" si="1"/>
        <v/>
      </c>
      <c r="H245" s="29"/>
      <c r="I245" s="52"/>
      <c r="J245" s="58" t="str">
        <f>IF(F245="","", IF(I245="",_xlfn.NETWORKDAYS.INTL(F245,TODAY(),1,FERIADOS),_xlfn.NETWORKDAYS.INTL(F245,I245,1,FERIADOS)))</f>
        <v/>
      </c>
      <c r="K245" s="58" t="str">
        <f t="shared" si="2"/>
        <v/>
      </c>
      <c r="L245" s="58" t="str">
        <f t="shared" si="3"/>
        <v/>
      </c>
    </row>
    <row r="246" ht="21.0" customHeight="1">
      <c r="A246" s="29"/>
      <c r="B246" s="94"/>
      <c r="C246" s="38" t="str">
        <f t="array" ref="C246">IF(B246="","",INDEX(PARAMETROS!$J$2:$J$14,MATCH(B246,PARAMETROS!$G$2:$G$14,0),1))</f>
        <v/>
      </c>
      <c r="D246" s="42"/>
      <c r="E246" s="44"/>
      <c r="F246" s="52"/>
      <c r="G246" s="49" t="str">
        <f t="shared" si="1"/>
        <v/>
      </c>
      <c r="H246" s="29"/>
      <c r="I246" s="52"/>
      <c r="J246" s="58" t="str">
        <f>IF(F246="","", IF(I246="",_xlfn.NETWORKDAYS.INTL(F246,TODAY(),1,FERIADOS),_xlfn.NETWORKDAYS.INTL(F246,I246,1,FERIADOS)))</f>
        <v/>
      </c>
      <c r="K246" s="58" t="str">
        <f t="shared" si="2"/>
        <v/>
      </c>
      <c r="L246" s="58" t="str">
        <f t="shared" si="3"/>
        <v/>
      </c>
    </row>
    <row r="247" ht="21.0" customHeight="1">
      <c r="A247" s="29"/>
      <c r="B247" s="94"/>
      <c r="C247" s="38" t="str">
        <f t="array" ref="C247">IF(B247="","",INDEX(PARAMETROS!$J$2:$J$14,MATCH(B247,PARAMETROS!$G$2:$G$14,0),1))</f>
        <v/>
      </c>
      <c r="D247" s="42"/>
      <c r="E247" s="44"/>
      <c r="F247" s="52"/>
      <c r="G247" s="49" t="str">
        <f t="shared" si="1"/>
        <v/>
      </c>
      <c r="H247" s="29"/>
      <c r="I247" s="52"/>
      <c r="J247" s="58" t="str">
        <f>IF(F247="","", IF(I247="",_xlfn.NETWORKDAYS.INTL(F247,TODAY(),1,FERIADOS),_xlfn.NETWORKDAYS.INTL(F247,I247,1,FERIADOS)))</f>
        <v/>
      </c>
      <c r="K247" s="58" t="str">
        <f t="shared" si="2"/>
        <v/>
      </c>
      <c r="L247" s="58" t="str">
        <f t="shared" si="3"/>
        <v/>
      </c>
    </row>
    <row r="248" ht="21.0" customHeight="1">
      <c r="A248" s="29"/>
      <c r="B248" s="94"/>
      <c r="C248" s="38" t="str">
        <f t="array" ref="C248">IF(B248="","",INDEX(PARAMETROS!$J$2:$J$14,MATCH(B248,PARAMETROS!$G$2:$G$14,0),1))</f>
        <v/>
      </c>
      <c r="D248" s="42"/>
      <c r="E248" s="44"/>
      <c r="F248" s="52"/>
      <c r="G248" s="49" t="str">
        <f t="shared" si="1"/>
        <v/>
      </c>
      <c r="H248" s="29"/>
      <c r="I248" s="52"/>
      <c r="J248" s="58" t="str">
        <f>IF(F248="","", IF(I248="",_xlfn.NETWORKDAYS.INTL(F248,TODAY(),1,FERIADOS),_xlfn.NETWORKDAYS.INTL(F248,I248,1,FERIADOS)))</f>
        <v/>
      </c>
      <c r="K248" s="58" t="str">
        <f t="shared" si="2"/>
        <v/>
      </c>
      <c r="L248" s="58" t="str">
        <f t="shared" si="3"/>
        <v/>
      </c>
    </row>
    <row r="249" ht="21.0" customHeight="1">
      <c r="A249" s="29"/>
      <c r="B249" s="94"/>
      <c r="C249" s="38" t="str">
        <f t="array" ref="C249">IF(B249="","",INDEX(PARAMETROS!$J$2:$J$14,MATCH(B249,PARAMETROS!$G$2:$G$14,0),1))</f>
        <v/>
      </c>
      <c r="D249" s="42"/>
      <c r="E249" s="44"/>
      <c r="F249" s="52"/>
      <c r="G249" s="49" t="str">
        <f t="shared" si="1"/>
        <v/>
      </c>
      <c r="H249" s="29"/>
      <c r="I249" s="52"/>
      <c r="J249" s="58" t="str">
        <f>IF(F249="","", IF(I249="",_xlfn.NETWORKDAYS.INTL(F249,TODAY(),1,FERIADOS),_xlfn.NETWORKDAYS.INTL(F249,I249,1,FERIADOS)))</f>
        <v/>
      </c>
      <c r="K249" s="58" t="str">
        <f t="shared" si="2"/>
        <v/>
      </c>
      <c r="L249" s="58" t="str">
        <f t="shared" si="3"/>
        <v/>
      </c>
    </row>
    <row r="250" ht="21.0" customHeight="1">
      <c r="A250" s="29"/>
      <c r="B250" s="94"/>
      <c r="C250" s="38" t="str">
        <f t="array" ref="C250">IF(B250="","",INDEX(PARAMETROS!$J$2:$J$14,MATCH(B250,PARAMETROS!$G$2:$G$14,0),1))</f>
        <v/>
      </c>
      <c r="D250" s="42"/>
      <c r="E250" s="44"/>
      <c r="F250" s="52"/>
      <c r="G250" s="49" t="str">
        <f t="shared" si="1"/>
        <v/>
      </c>
      <c r="H250" s="29"/>
      <c r="I250" s="52"/>
      <c r="J250" s="58" t="str">
        <f>IF(F250="","", IF(I250="",_xlfn.NETWORKDAYS.INTL(F250,TODAY(),1,FERIADOS),_xlfn.NETWORKDAYS.INTL(F250,I250,1,FERIADOS)))</f>
        <v/>
      </c>
      <c r="K250" s="58" t="str">
        <f t="shared" si="2"/>
        <v/>
      </c>
      <c r="L250" s="58" t="str">
        <f t="shared" si="3"/>
        <v/>
      </c>
    </row>
    <row r="251" ht="21.0" customHeight="1">
      <c r="A251" s="29"/>
      <c r="B251" s="94"/>
      <c r="C251" s="38" t="str">
        <f t="array" ref="C251">IF(B251="","",INDEX(PARAMETROS!$J$2:$J$14,MATCH(B251,PARAMETROS!$G$2:$G$14,0),1))</f>
        <v/>
      </c>
      <c r="D251" s="42"/>
      <c r="E251" s="44"/>
      <c r="F251" s="52"/>
      <c r="G251" s="49" t="str">
        <f t="shared" si="1"/>
        <v/>
      </c>
      <c r="H251" s="29"/>
      <c r="I251" s="52"/>
      <c r="J251" s="58" t="str">
        <f>IF(F251="","", IF(I251="",_xlfn.NETWORKDAYS.INTL(F251,TODAY(),1,FERIADOS),_xlfn.NETWORKDAYS.INTL(F251,I251,1,FERIADOS)))</f>
        <v/>
      </c>
      <c r="K251" s="58" t="str">
        <f t="shared" si="2"/>
        <v/>
      </c>
      <c r="L251" s="58" t="str">
        <f t="shared" si="3"/>
        <v/>
      </c>
    </row>
    <row r="252" ht="21.0" customHeight="1">
      <c r="A252" s="29"/>
      <c r="B252" s="94"/>
      <c r="C252" s="38" t="str">
        <f t="array" ref="C252">IF(B252="","",INDEX(PARAMETROS!$J$2:$J$14,MATCH(B252,PARAMETROS!$G$2:$G$14,0),1))</f>
        <v/>
      </c>
      <c r="D252" s="42"/>
      <c r="E252" s="44"/>
      <c r="F252" s="52"/>
      <c r="G252" s="49" t="str">
        <f t="shared" si="1"/>
        <v/>
      </c>
      <c r="H252" s="29"/>
      <c r="I252" s="52"/>
      <c r="J252" s="58" t="str">
        <f>IF(F252="","", IF(I252="",_xlfn.NETWORKDAYS.INTL(F252,TODAY(),1,FERIADOS),_xlfn.NETWORKDAYS.INTL(F252,I252,1,FERIADOS)))</f>
        <v/>
      </c>
      <c r="K252" s="58" t="str">
        <f t="shared" si="2"/>
        <v/>
      </c>
      <c r="L252" s="58" t="str">
        <f t="shared" si="3"/>
        <v/>
      </c>
    </row>
    <row r="253" ht="21.0" customHeight="1">
      <c r="A253" s="29"/>
      <c r="B253" s="94"/>
      <c r="C253" s="38" t="str">
        <f t="array" ref="C253">IF(B253="","",INDEX(PARAMETROS!$J$2:$J$14,MATCH(B253,PARAMETROS!$G$2:$G$14,0),1))</f>
        <v/>
      </c>
      <c r="D253" s="42"/>
      <c r="E253" s="44"/>
      <c r="F253" s="52"/>
      <c r="G253" s="49" t="str">
        <f t="shared" si="1"/>
        <v/>
      </c>
      <c r="H253" s="29"/>
      <c r="I253" s="52"/>
      <c r="J253" s="58" t="str">
        <f>IF(F253="","", IF(I253="",_xlfn.NETWORKDAYS.INTL(F253,TODAY(),1,FERIADOS),_xlfn.NETWORKDAYS.INTL(F253,I253,1,FERIADOS)))</f>
        <v/>
      </c>
      <c r="K253" s="58" t="str">
        <f t="shared" si="2"/>
        <v/>
      </c>
      <c r="L253" s="58" t="str">
        <f t="shared" si="3"/>
        <v/>
      </c>
    </row>
    <row r="254" ht="21.0" customHeight="1">
      <c r="A254" s="29"/>
      <c r="B254" s="94"/>
      <c r="C254" s="38" t="str">
        <f t="array" ref="C254">IF(B254="","",INDEX(PARAMETROS!$J$2:$J$14,MATCH(B254,PARAMETROS!$G$2:$G$14,0),1))</f>
        <v/>
      </c>
      <c r="D254" s="42"/>
      <c r="E254" s="44"/>
      <c r="F254" s="52"/>
      <c r="G254" s="49" t="str">
        <f t="shared" si="1"/>
        <v/>
      </c>
      <c r="H254" s="29"/>
      <c r="I254" s="52"/>
      <c r="J254" s="58" t="str">
        <f>IF(F254="","", IF(I254="",_xlfn.NETWORKDAYS.INTL(F254,TODAY(),1,FERIADOS),_xlfn.NETWORKDAYS.INTL(F254,I254,1,FERIADOS)))</f>
        <v/>
      </c>
      <c r="K254" s="58" t="str">
        <f t="shared" si="2"/>
        <v/>
      </c>
      <c r="L254" s="58" t="str">
        <f t="shared" si="3"/>
        <v/>
      </c>
    </row>
    <row r="255" ht="21.0" customHeight="1">
      <c r="A255" s="29"/>
      <c r="B255" s="94"/>
      <c r="C255" s="38" t="str">
        <f t="array" ref="C255">IF(B255="","",INDEX(PARAMETROS!$J$2:$J$14,MATCH(B255,PARAMETROS!$G$2:$G$14,0),1))</f>
        <v/>
      </c>
      <c r="D255" s="42"/>
      <c r="E255" s="44"/>
      <c r="F255" s="52"/>
      <c r="G255" s="49" t="str">
        <f t="shared" si="1"/>
        <v/>
      </c>
      <c r="H255" s="29"/>
      <c r="I255" s="52"/>
      <c r="J255" s="58" t="str">
        <f>IF(F255="","", IF(I255="",_xlfn.NETWORKDAYS.INTL(F255,TODAY(),1,FERIADOS),_xlfn.NETWORKDAYS.INTL(F255,I255,1,FERIADOS)))</f>
        <v/>
      </c>
      <c r="K255" s="58" t="str">
        <f t="shared" si="2"/>
        <v/>
      </c>
      <c r="L255" s="58" t="str">
        <f t="shared" si="3"/>
        <v/>
      </c>
    </row>
    <row r="256" ht="21.0" customHeight="1">
      <c r="A256" s="29"/>
      <c r="B256" s="94"/>
      <c r="C256" s="38" t="str">
        <f t="array" ref="C256">IF(B256="","",INDEX(PARAMETROS!$J$2:$J$14,MATCH(B256,PARAMETROS!$G$2:$G$14,0),1))</f>
        <v/>
      </c>
      <c r="D256" s="42"/>
      <c r="E256" s="44"/>
      <c r="F256" s="52"/>
      <c r="G256" s="49" t="str">
        <f t="shared" si="1"/>
        <v/>
      </c>
      <c r="H256" s="29"/>
      <c r="I256" s="52"/>
      <c r="J256" s="58" t="str">
        <f>IF(F256="","", IF(I256="",_xlfn.NETWORKDAYS.INTL(F256,TODAY(),1,FERIADOS),_xlfn.NETWORKDAYS.INTL(F256,I256,1,FERIADOS)))</f>
        <v/>
      </c>
      <c r="K256" s="58" t="str">
        <f t="shared" si="2"/>
        <v/>
      </c>
      <c r="L256" s="58" t="str">
        <f t="shared" si="3"/>
        <v/>
      </c>
    </row>
    <row r="257" ht="21.0" customHeight="1">
      <c r="A257" s="29"/>
      <c r="B257" s="94"/>
      <c r="C257" s="38" t="str">
        <f t="array" ref="C257">IF(B257="","",INDEX(PARAMETROS!$J$2:$J$14,MATCH(B257,PARAMETROS!$G$2:$G$14,0),1))</f>
        <v/>
      </c>
      <c r="D257" s="42"/>
      <c r="E257" s="44"/>
      <c r="F257" s="52"/>
      <c r="G257" s="49" t="str">
        <f t="shared" si="1"/>
        <v/>
      </c>
      <c r="H257" s="29"/>
      <c r="I257" s="52"/>
      <c r="J257" s="58" t="str">
        <f>IF(F257="","", IF(I257="",_xlfn.NETWORKDAYS.INTL(F257,TODAY(),1,FERIADOS),_xlfn.NETWORKDAYS.INTL(F257,I257,1,FERIADOS)))</f>
        <v/>
      </c>
      <c r="K257" s="58" t="str">
        <f t="shared" si="2"/>
        <v/>
      </c>
      <c r="L257" s="58" t="str">
        <f t="shared" si="3"/>
        <v/>
      </c>
    </row>
    <row r="258" ht="21.0" customHeight="1">
      <c r="A258" s="29"/>
      <c r="B258" s="94"/>
      <c r="C258" s="38" t="str">
        <f t="array" ref="C258">IF(B258="","",INDEX(PARAMETROS!$J$2:$J$14,MATCH(B258,PARAMETROS!$G$2:$G$14,0),1))</f>
        <v/>
      </c>
      <c r="D258" s="42"/>
      <c r="E258" s="44"/>
      <c r="F258" s="52"/>
      <c r="G258" s="49" t="str">
        <f t="shared" si="1"/>
        <v/>
      </c>
      <c r="H258" s="29"/>
      <c r="I258" s="52"/>
      <c r="J258" s="58" t="str">
        <f>IF(F258="","", IF(I258="",_xlfn.NETWORKDAYS.INTL(F258,TODAY(),1,FERIADOS),_xlfn.NETWORKDAYS.INTL(F258,I258,1,FERIADOS)))</f>
        <v/>
      </c>
      <c r="K258" s="58" t="str">
        <f t="shared" si="2"/>
        <v/>
      </c>
      <c r="L258" s="58" t="str">
        <f t="shared" si="3"/>
        <v/>
      </c>
    </row>
    <row r="259" ht="21.0" customHeight="1">
      <c r="A259" s="29"/>
      <c r="B259" s="94"/>
      <c r="C259" s="38" t="str">
        <f t="array" ref="C259">IF(B259="","",INDEX(PARAMETROS!$J$2:$J$14,MATCH(B259,PARAMETROS!$G$2:$G$14,0),1))</f>
        <v/>
      </c>
      <c r="D259" s="42"/>
      <c r="E259" s="44"/>
      <c r="F259" s="52"/>
      <c r="G259" s="49" t="str">
        <f t="shared" si="1"/>
        <v/>
      </c>
      <c r="H259" s="29"/>
      <c r="I259" s="52"/>
      <c r="J259" s="58" t="str">
        <f>IF(F259="","", IF(I259="",_xlfn.NETWORKDAYS.INTL(F259,TODAY(),1,FERIADOS),_xlfn.NETWORKDAYS.INTL(F259,I259,1,FERIADOS)))</f>
        <v/>
      </c>
      <c r="K259" s="58" t="str">
        <f t="shared" si="2"/>
        <v/>
      </c>
      <c r="L259" s="58" t="str">
        <f t="shared" si="3"/>
        <v/>
      </c>
    </row>
    <row r="260" ht="21.0" customHeight="1">
      <c r="A260" s="29"/>
      <c r="B260" s="94"/>
      <c r="C260" s="38" t="str">
        <f t="array" ref="C260">IF(B260="","",INDEX(PARAMETROS!$J$2:$J$14,MATCH(B260,PARAMETROS!$G$2:$G$14,0),1))</f>
        <v/>
      </c>
      <c r="D260" s="42"/>
      <c r="E260" s="44"/>
      <c r="F260" s="52"/>
      <c r="G260" s="49" t="str">
        <f t="shared" si="1"/>
        <v/>
      </c>
      <c r="H260" s="29"/>
      <c r="I260" s="52"/>
      <c r="J260" s="58" t="str">
        <f>IF(F260="","", IF(I260="",_xlfn.NETWORKDAYS.INTL(F260,TODAY(),1,FERIADOS),_xlfn.NETWORKDAYS.INTL(F260,I260,1,FERIADOS)))</f>
        <v/>
      </c>
      <c r="K260" s="58" t="str">
        <f t="shared" si="2"/>
        <v/>
      </c>
      <c r="L260" s="58" t="str">
        <f t="shared" si="3"/>
        <v/>
      </c>
    </row>
    <row r="261" ht="21.0" customHeight="1">
      <c r="A261" s="29"/>
      <c r="B261" s="94"/>
      <c r="C261" s="38" t="str">
        <f t="array" ref="C261">IF(B261="","",INDEX(PARAMETROS!$J$2:$J$14,MATCH(B261,PARAMETROS!$G$2:$G$14,0),1))</f>
        <v/>
      </c>
      <c r="D261" s="42"/>
      <c r="E261" s="44"/>
      <c r="F261" s="52"/>
      <c r="G261" s="49" t="str">
        <f t="shared" si="1"/>
        <v/>
      </c>
      <c r="H261" s="29"/>
      <c r="I261" s="52"/>
      <c r="J261" s="58" t="str">
        <f>IF(F261="","", IF(I261="",_xlfn.NETWORKDAYS.INTL(F261,TODAY(),1,FERIADOS),_xlfn.NETWORKDAYS.INTL(F261,I261,1,FERIADOS)))</f>
        <v/>
      </c>
      <c r="K261" s="58" t="str">
        <f t="shared" si="2"/>
        <v/>
      </c>
      <c r="L261" s="58" t="str">
        <f t="shared" si="3"/>
        <v/>
      </c>
    </row>
    <row r="262" ht="21.0" customHeight="1">
      <c r="A262" s="29"/>
      <c r="B262" s="94"/>
      <c r="C262" s="38" t="str">
        <f t="array" ref="C262">IF(B262="","",INDEX(PARAMETROS!$J$2:$J$14,MATCH(B262,PARAMETROS!$G$2:$G$14,0),1))</f>
        <v/>
      </c>
      <c r="D262" s="42"/>
      <c r="E262" s="44"/>
      <c r="F262" s="52"/>
      <c r="G262" s="49" t="str">
        <f t="shared" si="1"/>
        <v/>
      </c>
      <c r="H262" s="29"/>
      <c r="I262" s="52"/>
      <c r="J262" s="58" t="str">
        <f>IF(F262="","", IF(I262="",_xlfn.NETWORKDAYS.INTL(F262,TODAY(),1,FERIADOS),_xlfn.NETWORKDAYS.INTL(F262,I262,1,FERIADOS)))</f>
        <v/>
      </c>
      <c r="K262" s="58" t="str">
        <f t="shared" si="2"/>
        <v/>
      </c>
      <c r="L262" s="58" t="str">
        <f t="shared" si="3"/>
        <v/>
      </c>
    </row>
    <row r="263" ht="21.0" customHeight="1">
      <c r="A263" s="29"/>
      <c r="B263" s="94"/>
      <c r="C263" s="38" t="str">
        <f t="array" ref="C263">IF(B263="","",INDEX(PARAMETROS!$J$2:$J$14,MATCH(B263,PARAMETROS!$G$2:$G$14,0),1))</f>
        <v/>
      </c>
      <c r="D263" s="42"/>
      <c r="E263" s="44"/>
      <c r="F263" s="52"/>
      <c r="G263" s="49" t="str">
        <f t="shared" si="1"/>
        <v/>
      </c>
      <c r="H263" s="29"/>
      <c r="I263" s="52"/>
      <c r="J263" s="58" t="str">
        <f>IF(F263="","", IF(I263="",_xlfn.NETWORKDAYS.INTL(F263,TODAY(),1,FERIADOS),_xlfn.NETWORKDAYS.INTL(F263,I263,1,FERIADOS)))</f>
        <v/>
      </c>
      <c r="K263" s="58" t="str">
        <f t="shared" si="2"/>
        <v/>
      </c>
      <c r="L263" s="58" t="str">
        <f t="shared" si="3"/>
        <v/>
      </c>
    </row>
    <row r="264" ht="21.0" customHeight="1">
      <c r="A264" s="29"/>
      <c r="B264" s="94"/>
      <c r="C264" s="38" t="str">
        <f t="array" ref="C264">IF(B264="","",INDEX(PARAMETROS!$J$2:$J$14,MATCH(B264,PARAMETROS!$G$2:$G$14,0),1))</f>
        <v/>
      </c>
      <c r="D264" s="42"/>
      <c r="E264" s="44"/>
      <c r="F264" s="52"/>
      <c r="G264" s="49" t="str">
        <f t="shared" si="1"/>
        <v/>
      </c>
      <c r="H264" s="29"/>
      <c r="I264" s="52"/>
      <c r="J264" s="58" t="str">
        <f>IF(F264="","", IF(I264="",_xlfn.NETWORKDAYS.INTL(F264,TODAY(),1,FERIADOS),_xlfn.NETWORKDAYS.INTL(F264,I264,1,FERIADOS)))</f>
        <v/>
      </c>
      <c r="K264" s="58" t="str">
        <f t="shared" si="2"/>
        <v/>
      </c>
      <c r="L264" s="58" t="str">
        <f t="shared" si="3"/>
        <v/>
      </c>
    </row>
    <row r="265" ht="21.0" customHeight="1">
      <c r="A265" s="29"/>
      <c r="B265" s="94"/>
      <c r="C265" s="38" t="str">
        <f t="array" ref="C265">IF(B265="","",INDEX(PARAMETROS!$J$2:$J$14,MATCH(B265,PARAMETROS!$G$2:$G$14,0),1))</f>
        <v/>
      </c>
      <c r="D265" s="42"/>
      <c r="E265" s="44"/>
      <c r="F265" s="52"/>
      <c r="G265" s="49" t="str">
        <f t="shared" si="1"/>
        <v/>
      </c>
      <c r="H265" s="29"/>
      <c r="I265" s="52"/>
      <c r="J265" s="58" t="str">
        <f>IF(F265="","", IF(I265="",_xlfn.NETWORKDAYS.INTL(F265,TODAY(),1,FERIADOS),_xlfn.NETWORKDAYS.INTL(F265,I265,1,FERIADOS)))</f>
        <v/>
      </c>
      <c r="K265" s="58" t="str">
        <f t="shared" si="2"/>
        <v/>
      </c>
      <c r="L265" s="58" t="str">
        <f t="shared" si="3"/>
        <v/>
      </c>
    </row>
    <row r="266" ht="21.0" customHeight="1">
      <c r="A266" s="29"/>
      <c r="B266" s="94"/>
      <c r="C266" s="38" t="str">
        <f t="array" ref="C266">IF(B266="","",INDEX(PARAMETROS!$J$2:$J$14,MATCH(B266,PARAMETROS!$G$2:$G$14,0),1))</f>
        <v/>
      </c>
      <c r="D266" s="42"/>
      <c r="E266" s="44"/>
      <c r="F266" s="52"/>
      <c r="G266" s="49" t="str">
        <f t="shared" si="1"/>
        <v/>
      </c>
      <c r="H266" s="29"/>
      <c r="I266" s="52"/>
      <c r="J266" s="58" t="str">
        <f>IF(F266="","", IF(I266="",_xlfn.NETWORKDAYS.INTL(F266,TODAY(),1,FERIADOS),_xlfn.NETWORKDAYS.INTL(F266,I266,1,FERIADOS)))</f>
        <v/>
      </c>
      <c r="K266" s="58" t="str">
        <f t="shared" si="2"/>
        <v/>
      </c>
      <c r="L266" s="58" t="str">
        <f t="shared" si="3"/>
        <v/>
      </c>
    </row>
    <row r="267" ht="21.0" customHeight="1">
      <c r="A267" s="29"/>
      <c r="B267" s="94"/>
      <c r="C267" s="38" t="str">
        <f t="array" ref="C267">IF(B267="","",INDEX(PARAMETROS!$J$2:$J$14,MATCH(B267,PARAMETROS!$G$2:$G$14,0),1))</f>
        <v/>
      </c>
      <c r="D267" s="42"/>
      <c r="E267" s="44"/>
      <c r="F267" s="52"/>
      <c r="G267" s="49" t="str">
        <f t="shared" si="1"/>
        <v/>
      </c>
      <c r="H267" s="29"/>
      <c r="I267" s="52"/>
      <c r="J267" s="58" t="str">
        <f>IF(F267="","", IF(I267="",_xlfn.NETWORKDAYS.INTL(F267,TODAY(),1,FERIADOS),_xlfn.NETWORKDAYS.INTL(F267,I267,1,FERIADOS)))</f>
        <v/>
      </c>
      <c r="K267" s="58" t="str">
        <f t="shared" si="2"/>
        <v/>
      </c>
      <c r="L267" s="58" t="str">
        <f t="shared" si="3"/>
        <v/>
      </c>
    </row>
    <row r="268" ht="21.0" customHeight="1">
      <c r="A268" s="29"/>
      <c r="B268" s="94"/>
      <c r="C268" s="38" t="str">
        <f t="array" ref="C268">IF(B268="","",INDEX(PARAMETROS!$J$2:$J$14,MATCH(B268,PARAMETROS!$G$2:$G$14,0),1))</f>
        <v/>
      </c>
      <c r="D268" s="42"/>
      <c r="E268" s="44"/>
      <c r="F268" s="52"/>
      <c r="G268" s="49" t="str">
        <f t="shared" si="1"/>
        <v/>
      </c>
      <c r="H268" s="29"/>
      <c r="I268" s="52"/>
      <c r="J268" s="58" t="str">
        <f>IF(F268="","", IF(I268="",_xlfn.NETWORKDAYS.INTL(F268,TODAY(),1,FERIADOS),_xlfn.NETWORKDAYS.INTL(F268,I268,1,FERIADOS)))</f>
        <v/>
      </c>
      <c r="K268" s="58" t="str">
        <f t="shared" si="2"/>
        <v/>
      </c>
      <c r="L268" s="58" t="str">
        <f t="shared" si="3"/>
        <v/>
      </c>
    </row>
    <row r="269" ht="21.0" customHeight="1">
      <c r="A269" s="29"/>
      <c r="B269" s="94"/>
      <c r="C269" s="38" t="str">
        <f t="array" ref="C269">IF(B269="","",INDEX(PARAMETROS!$J$2:$J$14,MATCH(B269,PARAMETROS!$G$2:$G$14,0),1))</f>
        <v/>
      </c>
      <c r="D269" s="42"/>
      <c r="E269" s="44"/>
      <c r="F269" s="52"/>
      <c r="G269" s="49" t="str">
        <f t="shared" si="1"/>
        <v/>
      </c>
      <c r="H269" s="29"/>
      <c r="I269" s="52"/>
      <c r="J269" s="58" t="str">
        <f>IF(F269="","", IF(I269="",_xlfn.NETWORKDAYS.INTL(F269,TODAY(),1,FERIADOS),_xlfn.NETWORKDAYS.INTL(F269,I269,1,FERIADOS)))</f>
        <v/>
      </c>
      <c r="K269" s="58" t="str">
        <f t="shared" si="2"/>
        <v/>
      </c>
      <c r="L269" s="58" t="str">
        <f t="shared" si="3"/>
        <v/>
      </c>
    </row>
    <row r="270" ht="21.0" customHeight="1">
      <c r="A270" s="29"/>
      <c r="B270" s="94"/>
      <c r="C270" s="38" t="str">
        <f t="array" ref="C270">IF(B270="","",INDEX(PARAMETROS!$J$2:$J$14,MATCH(B270,PARAMETROS!$G$2:$G$14,0),1))</f>
        <v/>
      </c>
      <c r="D270" s="42"/>
      <c r="E270" s="44"/>
      <c r="F270" s="52"/>
      <c r="G270" s="49" t="str">
        <f t="shared" si="1"/>
        <v/>
      </c>
      <c r="H270" s="29"/>
      <c r="I270" s="52"/>
      <c r="J270" s="58" t="str">
        <f>IF(F270="","", IF(I270="",_xlfn.NETWORKDAYS.INTL(F270,TODAY(),1,FERIADOS),_xlfn.NETWORKDAYS.INTL(F270,I270,1,FERIADOS)))</f>
        <v/>
      </c>
      <c r="K270" s="58" t="str">
        <f t="shared" si="2"/>
        <v/>
      </c>
      <c r="L270" s="58" t="str">
        <f t="shared" si="3"/>
        <v/>
      </c>
    </row>
    <row r="271" ht="21.0" customHeight="1">
      <c r="A271" s="29"/>
      <c r="B271" s="94"/>
      <c r="C271" s="38" t="str">
        <f t="array" ref="C271">IF(B271="","",INDEX(PARAMETROS!$J$2:$J$14,MATCH(B271,PARAMETROS!$G$2:$G$14,0),1))</f>
        <v/>
      </c>
      <c r="D271" s="42"/>
      <c r="E271" s="44"/>
      <c r="F271" s="52"/>
      <c r="G271" s="49" t="str">
        <f t="shared" si="1"/>
        <v/>
      </c>
      <c r="H271" s="29"/>
      <c r="I271" s="52"/>
      <c r="J271" s="58" t="str">
        <f>IF(F271="","", IF(I271="",_xlfn.NETWORKDAYS.INTL(F271,TODAY(),1,FERIADOS),_xlfn.NETWORKDAYS.INTL(F271,I271,1,FERIADOS)))</f>
        <v/>
      </c>
      <c r="K271" s="58" t="str">
        <f t="shared" si="2"/>
        <v/>
      </c>
      <c r="L271" s="58" t="str">
        <f t="shared" si="3"/>
        <v/>
      </c>
    </row>
    <row r="272" ht="21.0" customHeight="1">
      <c r="A272" s="29"/>
      <c r="B272" s="94"/>
      <c r="C272" s="38" t="str">
        <f t="array" ref="C272">IF(B272="","",INDEX(PARAMETROS!$J$2:$J$14,MATCH(B272,PARAMETROS!$G$2:$G$14,0),1))</f>
        <v/>
      </c>
      <c r="D272" s="42"/>
      <c r="E272" s="44"/>
      <c r="F272" s="52"/>
      <c r="G272" s="49" t="str">
        <f t="shared" si="1"/>
        <v/>
      </c>
      <c r="H272" s="29"/>
      <c r="I272" s="52"/>
      <c r="J272" s="58" t="str">
        <f>IF(F272="","", IF(I272="",_xlfn.NETWORKDAYS.INTL(F272,TODAY(),1,FERIADOS),_xlfn.NETWORKDAYS.INTL(F272,I272,1,FERIADOS)))</f>
        <v/>
      </c>
      <c r="K272" s="58" t="str">
        <f t="shared" si="2"/>
        <v/>
      </c>
      <c r="L272" s="58" t="str">
        <f t="shared" si="3"/>
        <v/>
      </c>
    </row>
    <row r="273" ht="21.0" customHeight="1">
      <c r="A273" s="29"/>
      <c r="B273" s="94"/>
      <c r="C273" s="38" t="str">
        <f t="array" ref="C273">IF(B273="","",INDEX(PARAMETROS!$J$2:$J$14,MATCH(B273,PARAMETROS!$G$2:$G$14,0),1))</f>
        <v/>
      </c>
      <c r="D273" s="42"/>
      <c r="E273" s="44"/>
      <c r="F273" s="52"/>
      <c r="G273" s="49" t="str">
        <f t="shared" si="1"/>
        <v/>
      </c>
      <c r="H273" s="29"/>
      <c r="I273" s="52"/>
      <c r="J273" s="58" t="str">
        <f>IF(F273="","", IF(I273="",_xlfn.NETWORKDAYS.INTL(F273,TODAY(),1,FERIADOS),_xlfn.NETWORKDAYS.INTL(F273,I273,1,FERIADOS)))</f>
        <v/>
      </c>
      <c r="K273" s="58" t="str">
        <f t="shared" si="2"/>
        <v/>
      </c>
      <c r="L273" s="58" t="str">
        <f t="shared" si="3"/>
        <v/>
      </c>
    </row>
    <row r="274" ht="21.0" customHeight="1">
      <c r="A274" s="29"/>
      <c r="B274" s="94"/>
      <c r="C274" s="38" t="str">
        <f t="array" ref="C274">IF(B274="","",INDEX(PARAMETROS!$J$2:$J$14,MATCH(B274,PARAMETROS!$G$2:$G$14,0),1))</f>
        <v/>
      </c>
      <c r="D274" s="42"/>
      <c r="E274" s="44"/>
      <c r="F274" s="52"/>
      <c r="G274" s="49" t="str">
        <f t="shared" si="1"/>
        <v/>
      </c>
      <c r="H274" s="29"/>
      <c r="I274" s="52"/>
      <c r="J274" s="58" t="str">
        <f>IF(F274="","", IF(I274="",_xlfn.NETWORKDAYS.INTL(F274,TODAY(),1,FERIADOS),_xlfn.NETWORKDAYS.INTL(F274,I274,1,FERIADOS)))</f>
        <v/>
      </c>
      <c r="K274" s="58" t="str">
        <f t="shared" si="2"/>
        <v/>
      </c>
      <c r="L274" s="58" t="str">
        <f t="shared" si="3"/>
        <v/>
      </c>
    </row>
    <row r="275" ht="21.0" customHeight="1">
      <c r="A275" s="29"/>
      <c r="B275" s="94"/>
      <c r="C275" s="38" t="str">
        <f t="array" ref="C275">IF(B275="","",INDEX(PARAMETROS!$J$2:$J$14,MATCH(B275,PARAMETROS!$G$2:$G$14,0),1))</f>
        <v/>
      </c>
      <c r="D275" s="42"/>
      <c r="E275" s="44"/>
      <c r="F275" s="52"/>
      <c r="G275" s="49" t="str">
        <f t="shared" si="1"/>
        <v/>
      </c>
      <c r="H275" s="29"/>
      <c r="I275" s="52"/>
      <c r="J275" s="58" t="str">
        <f>IF(F275="","", IF(I275="",_xlfn.NETWORKDAYS.INTL(F275,TODAY(),1,FERIADOS),_xlfn.NETWORKDAYS.INTL(F275,I275,1,FERIADOS)))</f>
        <v/>
      </c>
      <c r="K275" s="58" t="str">
        <f t="shared" si="2"/>
        <v/>
      </c>
      <c r="L275" s="58" t="str">
        <f t="shared" si="3"/>
        <v/>
      </c>
    </row>
    <row r="276" ht="21.0" customHeight="1">
      <c r="A276" s="29"/>
      <c r="B276" s="94"/>
      <c r="C276" s="38" t="str">
        <f t="array" ref="C276">IF(B276="","",INDEX(PARAMETROS!$J$2:$J$14,MATCH(B276,PARAMETROS!$G$2:$G$14,0),1))</f>
        <v/>
      </c>
      <c r="D276" s="42"/>
      <c r="E276" s="44"/>
      <c r="F276" s="52"/>
      <c r="G276" s="49" t="str">
        <f t="shared" si="1"/>
        <v/>
      </c>
      <c r="H276" s="29"/>
      <c r="I276" s="52"/>
      <c r="J276" s="58" t="str">
        <f>IF(F276="","", IF(I276="",_xlfn.NETWORKDAYS.INTL(F276,TODAY(),1,FERIADOS),_xlfn.NETWORKDAYS.INTL(F276,I276,1,FERIADOS)))</f>
        <v/>
      </c>
      <c r="K276" s="58" t="str">
        <f t="shared" si="2"/>
        <v/>
      </c>
      <c r="L276" s="58" t="str">
        <f t="shared" si="3"/>
        <v/>
      </c>
    </row>
    <row r="277" ht="21.0" customHeight="1">
      <c r="A277" s="29"/>
      <c r="B277" s="94"/>
      <c r="C277" s="38" t="str">
        <f t="array" ref="C277">IF(B277="","",INDEX(PARAMETROS!$J$2:$J$14,MATCH(B277,PARAMETROS!$G$2:$G$14,0),1))</f>
        <v/>
      </c>
      <c r="D277" s="42"/>
      <c r="E277" s="44"/>
      <c r="F277" s="52"/>
      <c r="G277" s="49" t="str">
        <f t="shared" si="1"/>
        <v/>
      </c>
      <c r="H277" s="29"/>
      <c r="I277" s="52"/>
      <c r="J277" s="58" t="str">
        <f>IF(F277="","", IF(I277="",_xlfn.NETWORKDAYS.INTL(F277,TODAY(),1,FERIADOS),_xlfn.NETWORKDAYS.INTL(F277,I277,1,FERIADOS)))</f>
        <v/>
      </c>
      <c r="K277" s="58" t="str">
        <f t="shared" si="2"/>
        <v/>
      </c>
      <c r="L277" s="58" t="str">
        <f t="shared" si="3"/>
        <v/>
      </c>
    </row>
    <row r="278" ht="21.0" customHeight="1">
      <c r="A278" s="29"/>
      <c r="B278" s="94"/>
      <c r="C278" s="38" t="str">
        <f t="array" ref="C278">IF(B278="","",INDEX(PARAMETROS!$J$2:$J$14,MATCH(B278,PARAMETROS!$G$2:$G$14,0),1))</f>
        <v/>
      </c>
      <c r="D278" s="42"/>
      <c r="E278" s="44"/>
      <c r="F278" s="52"/>
      <c r="G278" s="49" t="str">
        <f t="shared" si="1"/>
        <v/>
      </c>
      <c r="H278" s="29"/>
      <c r="I278" s="52"/>
      <c r="J278" s="58" t="str">
        <f>IF(F278="","", IF(I278="",_xlfn.NETWORKDAYS.INTL(F278,TODAY(),1,FERIADOS),_xlfn.NETWORKDAYS.INTL(F278,I278,1,FERIADOS)))</f>
        <v/>
      </c>
      <c r="K278" s="58" t="str">
        <f t="shared" si="2"/>
        <v/>
      </c>
      <c r="L278" s="58" t="str">
        <f t="shared" si="3"/>
        <v/>
      </c>
    </row>
    <row r="279" ht="21.0" customHeight="1">
      <c r="A279" s="29"/>
      <c r="B279" s="94"/>
      <c r="C279" s="38" t="str">
        <f t="array" ref="C279">IF(B279="","",INDEX(PARAMETROS!$J$2:$J$14,MATCH(B279,PARAMETROS!$G$2:$G$14,0),1))</f>
        <v/>
      </c>
      <c r="D279" s="42"/>
      <c r="E279" s="44"/>
      <c r="F279" s="52"/>
      <c r="G279" s="49" t="str">
        <f t="shared" si="1"/>
        <v/>
      </c>
      <c r="H279" s="29"/>
      <c r="I279" s="52"/>
      <c r="J279" s="58" t="str">
        <f>IF(F279="","", IF(I279="",_xlfn.NETWORKDAYS.INTL(F279,TODAY(),1,FERIADOS),_xlfn.NETWORKDAYS.INTL(F279,I279,1,FERIADOS)))</f>
        <v/>
      </c>
      <c r="K279" s="58" t="str">
        <f t="shared" si="2"/>
        <v/>
      </c>
      <c r="L279" s="58" t="str">
        <f t="shared" si="3"/>
        <v/>
      </c>
    </row>
    <row r="280" ht="21.0" customHeight="1">
      <c r="A280" s="29"/>
      <c r="B280" s="94"/>
      <c r="C280" s="38" t="str">
        <f t="array" ref="C280">IF(B280="","",INDEX(PARAMETROS!$J$2:$J$14,MATCH(B280,PARAMETROS!$G$2:$G$14,0),1))</f>
        <v/>
      </c>
      <c r="D280" s="42"/>
      <c r="E280" s="44"/>
      <c r="F280" s="52"/>
      <c r="G280" s="49" t="str">
        <f t="shared" si="1"/>
        <v/>
      </c>
      <c r="H280" s="29"/>
      <c r="I280" s="52"/>
      <c r="J280" s="58" t="str">
        <f>IF(F280="","", IF(I280="",_xlfn.NETWORKDAYS.INTL(F280,TODAY(),1,FERIADOS),_xlfn.NETWORKDAYS.INTL(F280,I280,1,FERIADOS)))</f>
        <v/>
      </c>
      <c r="K280" s="58" t="str">
        <f t="shared" si="2"/>
        <v/>
      </c>
      <c r="L280" s="58" t="str">
        <f t="shared" si="3"/>
        <v/>
      </c>
    </row>
    <row r="281" ht="21.0" customHeight="1">
      <c r="A281" s="29"/>
      <c r="B281" s="94"/>
      <c r="C281" s="38" t="str">
        <f t="array" ref="C281">IF(B281="","",INDEX(PARAMETROS!$J$2:$J$14,MATCH(B281,PARAMETROS!$G$2:$G$14,0),1))</f>
        <v/>
      </c>
      <c r="D281" s="42"/>
      <c r="E281" s="44"/>
      <c r="F281" s="52"/>
      <c r="G281" s="49" t="str">
        <f t="shared" si="1"/>
        <v/>
      </c>
      <c r="H281" s="29"/>
      <c r="I281" s="52"/>
      <c r="J281" s="58" t="str">
        <f>IF(F281="","", IF(I281="",_xlfn.NETWORKDAYS.INTL(F281,TODAY(),1,FERIADOS),_xlfn.NETWORKDAYS.INTL(F281,I281,1,FERIADOS)))</f>
        <v/>
      </c>
      <c r="K281" s="58" t="str">
        <f t="shared" si="2"/>
        <v/>
      </c>
      <c r="L281" s="58" t="str">
        <f t="shared" si="3"/>
        <v/>
      </c>
    </row>
    <row r="282" ht="21.0" customHeight="1">
      <c r="A282" s="29"/>
      <c r="B282" s="94"/>
      <c r="C282" s="38" t="str">
        <f t="array" ref="C282">IF(B282="","",INDEX(PARAMETROS!$J$2:$J$14,MATCH(B282,PARAMETROS!$G$2:$G$14,0),1))</f>
        <v/>
      </c>
      <c r="D282" s="42"/>
      <c r="E282" s="44"/>
      <c r="F282" s="52"/>
      <c r="G282" s="49" t="str">
        <f t="shared" si="1"/>
        <v/>
      </c>
      <c r="H282" s="29"/>
      <c r="I282" s="52"/>
      <c r="J282" s="58" t="str">
        <f>IF(F282="","", IF(I282="",_xlfn.NETWORKDAYS.INTL(F282,TODAY(),1,FERIADOS),_xlfn.NETWORKDAYS.INTL(F282,I282,1,FERIADOS)))</f>
        <v/>
      </c>
      <c r="K282" s="58" t="str">
        <f t="shared" si="2"/>
        <v/>
      </c>
      <c r="L282" s="58" t="str">
        <f t="shared" si="3"/>
        <v/>
      </c>
    </row>
    <row r="283" ht="21.0" customHeight="1">
      <c r="A283" s="29"/>
      <c r="B283" s="94"/>
      <c r="C283" s="38" t="str">
        <f t="array" ref="C283">IF(B283="","",INDEX(PARAMETROS!$J$2:$J$14,MATCH(B283,PARAMETROS!$G$2:$G$14,0),1))</f>
        <v/>
      </c>
      <c r="D283" s="42"/>
      <c r="E283" s="44"/>
      <c r="F283" s="52"/>
      <c r="G283" s="49" t="str">
        <f t="shared" si="1"/>
        <v/>
      </c>
      <c r="H283" s="29"/>
      <c r="I283" s="52"/>
      <c r="J283" s="58" t="str">
        <f>IF(F283="","", IF(I283="",_xlfn.NETWORKDAYS.INTL(F283,TODAY(),1,FERIADOS),_xlfn.NETWORKDAYS.INTL(F283,I283,1,FERIADOS)))</f>
        <v/>
      </c>
      <c r="K283" s="58" t="str">
        <f t="shared" si="2"/>
        <v/>
      </c>
      <c r="L283" s="58" t="str">
        <f t="shared" si="3"/>
        <v/>
      </c>
    </row>
    <row r="284" ht="21.0" customHeight="1">
      <c r="A284" s="29"/>
      <c r="B284" s="94"/>
      <c r="C284" s="38" t="str">
        <f t="array" ref="C284">IF(B284="","",INDEX(PARAMETROS!$J$2:$J$14,MATCH(B284,PARAMETROS!$G$2:$G$14,0),1))</f>
        <v/>
      </c>
      <c r="D284" s="42"/>
      <c r="E284" s="44"/>
      <c r="F284" s="52"/>
      <c r="G284" s="49" t="str">
        <f t="shared" si="1"/>
        <v/>
      </c>
      <c r="H284" s="29"/>
      <c r="I284" s="52"/>
      <c r="J284" s="58" t="str">
        <f>IF(F284="","", IF(I284="",_xlfn.NETWORKDAYS.INTL(F284,TODAY(),1,FERIADOS),_xlfn.NETWORKDAYS.INTL(F284,I284,1,FERIADOS)))</f>
        <v/>
      </c>
      <c r="K284" s="58" t="str">
        <f t="shared" si="2"/>
        <v/>
      </c>
      <c r="L284" s="58" t="str">
        <f t="shared" si="3"/>
        <v/>
      </c>
    </row>
    <row r="285" ht="21.0" customHeight="1">
      <c r="A285" s="29"/>
      <c r="B285" s="94"/>
      <c r="C285" s="38" t="str">
        <f t="array" ref="C285">IF(B285="","",INDEX(PARAMETROS!$J$2:$J$14,MATCH(B285,PARAMETROS!$G$2:$G$14,0),1))</f>
        <v/>
      </c>
      <c r="D285" s="42"/>
      <c r="E285" s="44"/>
      <c r="F285" s="52"/>
      <c r="G285" s="49" t="str">
        <f t="shared" si="1"/>
        <v/>
      </c>
      <c r="H285" s="29"/>
      <c r="I285" s="52"/>
      <c r="J285" s="58" t="str">
        <f>IF(F285="","", IF(I285="",_xlfn.NETWORKDAYS.INTL(F285,TODAY(),1,FERIADOS),_xlfn.NETWORKDAYS.INTL(F285,I285,1,FERIADOS)))</f>
        <v/>
      </c>
      <c r="K285" s="58" t="str">
        <f t="shared" si="2"/>
        <v/>
      </c>
      <c r="L285" s="58" t="str">
        <f t="shared" si="3"/>
        <v/>
      </c>
    </row>
    <row r="286" ht="21.0" customHeight="1">
      <c r="A286" s="29"/>
      <c r="B286" s="94"/>
      <c r="C286" s="38" t="str">
        <f t="array" ref="C286">IF(B286="","",INDEX(PARAMETROS!$J$2:$J$14,MATCH(B286,PARAMETROS!$G$2:$G$14,0),1))</f>
        <v/>
      </c>
      <c r="D286" s="42"/>
      <c r="E286" s="44"/>
      <c r="F286" s="52"/>
      <c r="G286" s="49" t="str">
        <f t="shared" si="1"/>
        <v/>
      </c>
      <c r="H286" s="29"/>
      <c r="I286" s="52"/>
      <c r="J286" s="58" t="str">
        <f>IF(F286="","", IF(I286="",_xlfn.NETWORKDAYS.INTL(F286,TODAY(),1,FERIADOS),_xlfn.NETWORKDAYS.INTL(F286,I286,1,FERIADOS)))</f>
        <v/>
      </c>
      <c r="K286" s="58" t="str">
        <f t="shared" si="2"/>
        <v/>
      </c>
      <c r="L286" s="58" t="str">
        <f t="shared" si="3"/>
        <v/>
      </c>
    </row>
    <row r="287" ht="21.0" customHeight="1">
      <c r="A287" s="29"/>
      <c r="B287" s="94"/>
      <c r="C287" s="38" t="str">
        <f t="array" ref="C287">IF(B287="","",INDEX(PARAMETROS!$J$2:$J$14,MATCH(B287,PARAMETROS!$G$2:$G$14,0),1))</f>
        <v/>
      </c>
      <c r="D287" s="42"/>
      <c r="E287" s="44"/>
      <c r="F287" s="52"/>
      <c r="G287" s="49" t="str">
        <f t="shared" si="1"/>
        <v/>
      </c>
      <c r="H287" s="29"/>
      <c r="I287" s="52"/>
      <c r="J287" s="58" t="str">
        <f>IF(F287="","", IF(I287="",_xlfn.NETWORKDAYS.INTL(F287,TODAY(),1,FERIADOS),_xlfn.NETWORKDAYS.INTL(F287,I287,1,FERIADOS)))</f>
        <v/>
      </c>
      <c r="K287" s="58" t="str">
        <f t="shared" si="2"/>
        <v/>
      </c>
      <c r="L287" s="58" t="str">
        <f t="shared" si="3"/>
        <v/>
      </c>
    </row>
    <row r="288" ht="21.0" customHeight="1">
      <c r="A288" s="29"/>
      <c r="B288" s="94"/>
      <c r="C288" s="38" t="str">
        <f t="array" ref="C288">IF(B288="","",INDEX(PARAMETROS!$J$2:$J$14,MATCH(B288,PARAMETROS!$G$2:$G$14,0),1))</f>
        <v/>
      </c>
      <c r="D288" s="42"/>
      <c r="E288" s="44"/>
      <c r="F288" s="52"/>
      <c r="G288" s="49" t="str">
        <f t="shared" si="1"/>
        <v/>
      </c>
      <c r="H288" s="29"/>
      <c r="I288" s="52"/>
      <c r="J288" s="58" t="str">
        <f>IF(F288="","", IF(I288="",_xlfn.NETWORKDAYS.INTL(F288,TODAY(),1,FERIADOS),_xlfn.NETWORKDAYS.INTL(F288,I288,1,FERIADOS)))</f>
        <v/>
      </c>
      <c r="K288" s="58" t="str">
        <f t="shared" si="2"/>
        <v/>
      </c>
      <c r="L288" s="58" t="str">
        <f t="shared" si="3"/>
        <v/>
      </c>
    </row>
    <row r="289" ht="21.0" customHeight="1">
      <c r="A289" s="29"/>
      <c r="B289" s="94"/>
      <c r="C289" s="38" t="str">
        <f t="array" ref="C289">IF(B289="","",INDEX(PARAMETROS!$J$2:$J$14,MATCH(B289,PARAMETROS!$G$2:$G$14,0),1))</f>
        <v/>
      </c>
      <c r="D289" s="42"/>
      <c r="E289" s="44"/>
      <c r="F289" s="52"/>
      <c r="G289" s="49" t="str">
        <f t="shared" si="1"/>
        <v/>
      </c>
      <c r="H289" s="29"/>
      <c r="I289" s="52"/>
      <c r="J289" s="58" t="str">
        <f>IF(F289="","", IF(I289="",_xlfn.NETWORKDAYS.INTL(F289,TODAY(),1,FERIADOS),_xlfn.NETWORKDAYS.INTL(F289,I289,1,FERIADOS)))</f>
        <v/>
      </c>
      <c r="K289" s="58" t="str">
        <f t="shared" si="2"/>
        <v/>
      </c>
      <c r="L289" s="58" t="str">
        <f t="shared" si="3"/>
        <v/>
      </c>
    </row>
    <row r="290" ht="21.0" customHeight="1">
      <c r="A290" s="29"/>
      <c r="B290" s="94"/>
      <c r="C290" s="38" t="str">
        <f t="array" ref="C290">IF(B290="","",INDEX(PARAMETROS!$J$2:$J$14,MATCH(B290,PARAMETROS!$G$2:$G$14,0),1))</f>
        <v/>
      </c>
      <c r="D290" s="42"/>
      <c r="E290" s="44"/>
      <c r="F290" s="52"/>
      <c r="G290" s="49" t="str">
        <f t="shared" si="1"/>
        <v/>
      </c>
      <c r="H290" s="29"/>
      <c r="I290" s="52"/>
      <c r="J290" s="58" t="str">
        <f>IF(F290="","", IF(I290="",_xlfn.NETWORKDAYS.INTL(F290,TODAY(),1,FERIADOS),_xlfn.NETWORKDAYS.INTL(F290,I290,1,FERIADOS)))</f>
        <v/>
      </c>
      <c r="K290" s="58" t="str">
        <f t="shared" si="2"/>
        <v/>
      </c>
      <c r="L290" s="58" t="str">
        <f t="shared" si="3"/>
        <v/>
      </c>
    </row>
    <row r="291" ht="21.0" customHeight="1">
      <c r="A291" s="29"/>
      <c r="B291" s="94"/>
      <c r="C291" s="38" t="str">
        <f t="array" ref="C291">IF(B291="","",INDEX(PARAMETROS!$J$2:$J$14,MATCH(B291,PARAMETROS!$G$2:$G$14,0),1))</f>
        <v/>
      </c>
      <c r="D291" s="42"/>
      <c r="E291" s="44"/>
      <c r="F291" s="52"/>
      <c r="G291" s="49" t="str">
        <f t="shared" si="1"/>
        <v/>
      </c>
      <c r="H291" s="29"/>
      <c r="I291" s="52"/>
      <c r="J291" s="58" t="str">
        <f>IF(F291="","", IF(I291="",_xlfn.NETWORKDAYS.INTL(F291,TODAY(),1,FERIADOS),_xlfn.NETWORKDAYS.INTL(F291,I291,1,FERIADOS)))</f>
        <v/>
      </c>
      <c r="K291" s="58" t="str">
        <f t="shared" si="2"/>
        <v/>
      </c>
      <c r="L291" s="58" t="str">
        <f t="shared" si="3"/>
        <v/>
      </c>
    </row>
    <row r="292" ht="21.0" customHeight="1">
      <c r="A292" s="29"/>
      <c r="B292" s="94"/>
      <c r="C292" s="38" t="str">
        <f t="array" ref="C292">IF(B292="","",INDEX(PARAMETROS!$J$2:$J$14,MATCH(B292,PARAMETROS!$G$2:$G$14,0),1))</f>
        <v/>
      </c>
      <c r="D292" s="42"/>
      <c r="E292" s="44"/>
      <c r="F292" s="52"/>
      <c r="G292" s="49" t="str">
        <f t="shared" si="1"/>
        <v/>
      </c>
      <c r="H292" s="29"/>
      <c r="I292" s="52"/>
      <c r="J292" s="58" t="str">
        <f>IF(F292="","", IF(I292="",_xlfn.NETWORKDAYS.INTL(F292,TODAY(),1,FERIADOS),_xlfn.NETWORKDAYS.INTL(F292,I292,1,FERIADOS)))</f>
        <v/>
      </c>
      <c r="K292" s="58" t="str">
        <f t="shared" si="2"/>
        <v/>
      </c>
      <c r="L292" s="58" t="str">
        <f t="shared" si="3"/>
        <v/>
      </c>
    </row>
    <row r="293" ht="21.0" customHeight="1">
      <c r="A293" s="29"/>
      <c r="B293" s="94"/>
      <c r="C293" s="38" t="str">
        <f t="array" ref="C293">IF(B293="","",INDEX(PARAMETROS!$J$2:$J$14,MATCH(B293,PARAMETROS!$G$2:$G$14,0),1))</f>
        <v/>
      </c>
      <c r="D293" s="42"/>
      <c r="E293" s="44"/>
      <c r="F293" s="52"/>
      <c r="G293" s="49" t="str">
        <f t="shared" si="1"/>
        <v/>
      </c>
      <c r="H293" s="29"/>
      <c r="I293" s="52"/>
      <c r="J293" s="58" t="str">
        <f>IF(F293="","", IF(I293="",_xlfn.NETWORKDAYS.INTL(F293,TODAY(),1,FERIADOS),_xlfn.NETWORKDAYS.INTL(F293,I293,1,FERIADOS)))</f>
        <v/>
      </c>
      <c r="K293" s="58" t="str">
        <f t="shared" si="2"/>
        <v/>
      </c>
      <c r="L293" s="58" t="str">
        <f t="shared" si="3"/>
        <v/>
      </c>
    </row>
    <row r="294" ht="21.0" customHeight="1">
      <c r="A294" s="29"/>
      <c r="B294" s="94"/>
      <c r="C294" s="38" t="str">
        <f t="array" ref="C294">IF(B294="","",INDEX(PARAMETROS!$J$2:$J$14,MATCH(B294,PARAMETROS!$G$2:$G$14,0),1))</f>
        <v/>
      </c>
      <c r="D294" s="42"/>
      <c r="E294" s="44"/>
      <c r="F294" s="52"/>
      <c r="G294" s="49" t="str">
        <f t="shared" si="1"/>
        <v/>
      </c>
      <c r="H294" s="29"/>
      <c r="I294" s="52"/>
      <c r="J294" s="58" t="str">
        <f>IF(F294="","", IF(I294="",_xlfn.NETWORKDAYS.INTL(F294,TODAY(),1,FERIADOS),_xlfn.NETWORKDAYS.INTL(F294,I294,1,FERIADOS)))</f>
        <v/>
      </c>
      <c r="K294" s="58" t="str">
        <f t="shared" si="2"/>
        <v/>
      </c>
      <c r="L294" s="58" t="str">
        <f t="shared" si="3"/>
        <v/>
      </c>
    </row>
    <row r="295" ht="21.0" customHeight="1">
      <c r="A295" s="29"/>
      <c r="B295" s="94"/>
      <c r="C295" s="38" t="str">
        <f t="array" ref="C295">IF(B295="","",INDEX(PARAMETROS!$J$2:$J$14,MATCH(B295,PARAMETROS!$G$2:$G$14,0),1))</f>
        <v/>
      </c>
      <c r="D295" s="42"/>
      <c r="E295" s="44"/>
      <c r="F295" s="52"/>
      <c r="G295" s="49" t="str">
        <f t="shared" si="1"/>
        <v/>
      </c>
      <c r="H295" s="29"/>
      <c r="I295" s="52"/>
      <c r="J295" s="58" t="str">
        <f>IF(F295="","", IF(I295="",_xlfn.NETWORKDAYS.INTL(F295,TODAY(),1,FERIADOS),_xlfn.NETWORKDAYS.INTL(F295,I295,1,FERIADOS)))</f>
        <v/>
      </c>
      <c r="K295" s="58" t="str">
        <f t="shared" si="2"/>
        <v/>
      </c>
      <c r="L295" s="58" t="str">
        <f t="shared" si="3"/>
        <v/>
      </c>
    </row>
    <row r="296" ht="21.0" customHeight="1">
      <c r="A296" s="29"/>
      <c r="B296" s="94"/>
      <c r="C296" s="38" t="str">
        <f t="array" ref="C296">IF(B296="","",INDEX(PARAMETROS!$J$2:$J$14,MATCH(B296,PARAMETROS!$G$2:$G$14,0),1))</f>
        <v/>
      </c>
      <c r="D296" s="42"/>
      <c r="E296" s="44"/>
      <c r="F296" s="52"/>
      <c r="G296" s="49" t="str">
        <f t="shared" si="1"/>
        <v/>
      </c>
      <c r="H296" s="29"/>
      <c r="I296" s="52"/>
      <c r="J296" s="58" t="str">
        <f>IF(F296="","", IF(I296="",_xlfn.NETWORKDAYS.INTL(F296,TODAY(),1,FERIADOS),_xlfn.NETWORKDAYS.INTL(F296,I296,1,FERIADOS)))</f>
        <v/>
      </c>
      <c r="K296" s="58" t="str">
        <f t="shared" si="2"/>
        <v/>
      </c>
      <c r="L296" s="58" t="str">
        <f t="shared" si="3"/>
        <v/>
      </c>
    </row>
    <row r="297" ht="21.0" customHeight="1">
      <c r="A297" s="29"/>
      <c r="B297" s="94"/>
      <c r="C297" s="38" t="str">
        <f t="array" ref="C297">IF(B297="","",INDEX(PARAMETROS!$J$2:$J$14,MATCH(B297,PARAMETROS!$G$2:$G$14,0),1))</f>
        <v/>
      </c>
      <c r="D297" s="42"/>
      <c r="E297" s="44"/>
      <c r="F297" s="52"/>
      <c r="G297" s="49" t="str">
        <f t="shared" si="1"/>
        <v/>
      </c>
      <c r="H297" s="29"/>
      <c r="I297" s="52"/>
      <c r="J297" s="58" t="str">
        <f>IF(F297="","", IF(I297="",_xlfn.NETWORKDAYS.INTL(F297,TODAY(),1,FERIADOS),_xlfn.NETWORKDAYS.INTL(F297,I297,1,FERIADOS)))</f>
        <v/>
      </c>
      <c r="K297" s="58" t="str">
        <f t="shared" si="2"/>
        <v/>
      </c>
      <c r="L297" s="58" t="str">
        <f t="shared" si="3"/>
        <v/>
      </c>
    </row>
    <row r="298" ht="21.0" customHeight="1">
      <c r="A298" s="29"/>
      <c r="B298" s="94"/>
      <c r="C298" s="38" t="str">
        <f t="array" ref="C298">IF(B298="","",INDEX(PARAMETROS!$J$2:$J$14,MATCH(B298,PARAMETROS!$G$2:$G$14,0),1))</f>
        <v/>
      </c>
      <c r="D298" s="42"/>
      <c r="E298" s="44"/>
      <c r="F298" s="52"/>
      <c r="G298" s="49" t="str">
        <f t="shared" si="1"/>
        <v/>
      </c>
      <c r="H298" s="29"/>
      <c r="I298" s="52"/>
      <c r="J298" s="58" t="str">
        <f>IF(F298="","", IF(I298="",_xlfn.NETWORKDAYS.INTL(F298,TODAY(),1,FERIADOS),_xlfn.NETWORKDAYS.INTL(F298,I298,1,FERIADOS)))</f>
        <v/>
      </c>
      <c r="K298" s="58" t="str">
        <f t="shared" si="2"/>
        <v/>
      </c>
      <c r="L298" s="58" t="str">
        <f t="shared" si="3"/>
        <v/>
      </c>
    </row>
    <row r="299" ht="21.0" customHeight="1">
      <c r="A299" s="29"/>
      <c r="B299" s="94"/>
      <c r="C299" s="38" t="str">
        <f t="array" ref="C299">IF(B299="","",INDEX(PARAMETROS!$J$2:$J$14,MATCH(B299,PARAMETROS!$G$2:$G$14,0),1))</f>
        <v/>
      </c>
      <c r="D299" s="42"/>
      <c r="E299" s="44"/>
      <c r="F299" s="52"/>
      <c r="G299" s="49" t="str">
        <f t="shared" si="1"/>
        <v/>
      </c>
      <c r="H299" s="29"/>
      <c r="I299" s="52"/>
      <c r="J299" s="58" t="str">
        <f>IF(F299="","", IF(I299="",_xlfn.NETWORKDAYS.INTL(F299,TODAY(),1,FERIADOS),_xlfn.NETWORKDAYS.INTL(F299,I299,1,FERIADOS)))</f>
        <v/>
      </c>
      <c r="K299" s="58" t="str">
        <f t="shared" si="2"/>
        <v/>
      </c>
      <c r="L299" s="58" t="str">
        <f t="shared" si="3"/>
        <v/>
      </c>
    </row>
    <row r="300" ht="21.0" customHeight="1">
      <c r="A300" s="29"/>
      <c r="B300" s="94"/>
      <c r="C300" s="38" t="str">
        <f t="array" ref="C300">IF(B300="","",INDEX(PARAMETROS!$J$2:$J$14,MATCH(B300,PARAMETROS!$G$2:$G$14,0),1))</f>
        <v/>
      </c>
      <c r="D300" s="42"/>
      <c r="E300" s="44"/>
      <c r="F300" s="52"/>
      <c r="G300" s="49" t="str">
        <f t="shared" si="1"/>
        <v/>
      </c>
      <c r="H300" s="29"/>
      <c r="I300" s="52"/>
      <c r="J300" s="58" t="str">
        <f>IF(F300="","", IF(I300="",_xlfn.NETWORKDAYS.INTL(F300,TODAY(),1,FERIADOS),_xlfn.NETWORKDAYS.INTL(F300,I300,1,FERIADOS)))</f>
        <v/>
      </c>
      <c r="K300" s="58" t="str">
        <f t="shared" si="2"/>
        <v/>
      </c>
      <c r="L300" s="58" t="str">
        <f t="shared" si="3"/>
        <v/>
      </c>
    </row>
    <row r="301" ht="21.0" customHeight="1">
      <c r="A301" s="29"/>
      <c r="B301" s="94"/>
      <c r="C301" s="38" t="str">
        <f t="array" ref="C301">IF(B301="","",INDEX(PARAMETROS!$J$2:$J$14,MATCH(B301,PARAMETROS!$G$2:$G$14,0),1))</f>
        <v/>
      </c>
      <c r="D301" s="42"/>
      <c r="E301" s="44"/>
      <c r="F301" s="52"/>
      <c r="G301" s="49" t="str">
        <f t="shared" si="1"/>
        <v/>
      </c>
      <c r="H301" s="29"/>
      <c r="I301" s="52"/>
      <c r="J301" s="58" t="str">
        <f>IF(F301="","", IF(I301="",_xlfn.NETWORKDAYS.INTL(F301,TODAY(),1,FERIADOS),_xlfn.NETWORKDAYS.INTL(F301,I301,1,FERIADOS)))</f>
        <v/>
      </c>
      <c r="K301" s="58" t="str">
        <f t="shared" si="2"/>
        <v/>
      </c>
      <c r="L301" s="58" t="str">
        <f t="shared" si="3"/>
        <v/>
      </c>
    </row>
    <row r="302" ht="21.0" customHeight="1">
      <c r="A302" s="29"/>
      <c r="B302" s="94"/>
      <c r="C302" s="38" t="str">
        <f t="array" ref="C302">IF(B302="","",INDEX(PARAMETROS!$J$2:$J$14,MATCH(B302,PARAMETROS!$G$2:$G$14,0),1))</f>
        <v/>
      </c>
      <c r="D302" s="42"/>
      <c r="E302" s="44"/>
      <c r="F302" s="52"/>
      <c r="G302" s="49" t="str">
        <f t="shared" si="1"/>
        <v/>
      </c>
      <c r="H302" s="29"/>
      <c r="I302" s="52"/>
      <c r="J302" s="58" t="str">
        <f>IF(F302="","", IF(I302="",_xlfn.NETWORKDAYS.INTL(F302,TODAY(),1,FERIADOS),_xlfn.NETWORKDAYS.INTL(F302,I302,1,FERIADOS)))</f>
        <v/>
      </c>
      <c r="K302" s="58" t="str">
        <f t="shared" si="2"/>
        <v/>
      </c>
      <c r="L302" s="58" t="str">
        <f t="shared" si="3"/>
        <v/>
      </c>
    </row>
    <row r="303" ht="21.0" customHeight="1">
      <c r="A303" s="29"/>
      <c r="B303" s="94"/>
      <c r="C303" s="38" t="str">
        <f t="array" ref="C303">IF(B303="","",INDEX(PARAMETROS!$J$2:$J$14,MATCH(B303,PARAMETROS!$G$2:$G$14,0),1))</f>
        <v/>
      </c>
      <c r="D303" s="42"/>
      <c r="E303" s="44"/>
      <c r="F303" s="52"/>
      <c r="G303" s="49" t="str">
        <f t="shared" si="1"/>
        <v/>
      </c>
      <c r="H303" s="29"/>
      <c r="I303" s="52"/>
      <c r="J303" s="58" t="str">
        <f>IF(F303="","", IF(I303="",_xlfn.NETWORKDAYS.INTL(F303,TODAY(),1,FERIADOS),_xlfn.NETWORKDAYS.INTL(F303,I303,1,FERIADOS)))</f>
        <v/>
      </c>
      <c r="K303" s="58" t="str">
        <f t="shared" si="2"/>
        <v/>
      </c>
      <c r="L303" s="58" t="str">
        <f t="shared" si="3"/>
        <v/>
      </c>
    </row>
    <row r="304" ht="21.0" customHeight="1">
      <c r="A304" s="29"/>
      <c r="B304" s="94"/>
      <c r="C304" s="38" t="str">
        <f t="array" ref="C304">IF(B304="","",INDEX(PARAMETROS!$J$2:$J$14,MATCH(B304,PARAMETROS!$G$2:$G$14,0),1))</f>
        <v/>
      </c>
      <c r="D304" s="42"/>
      <c r="E304" s="44"/>
      <c r="F304" s="52"/>
      <c r="G304" s="49" t="str">
        <f t="shared" si="1"/>
        <v/>
      </c>
      <c r="H304" s="29"/>
      <c r="I304" s="52"/>
      <c r="J304" s="58" t="str">
        <f>IF(F304="","", IF(I304="",_xlfn.NETWORKDAYS.INTL(F304,TODAY(),1,FERIADOS),_xlfn.NETWORKDAYS.INTL(F304,I304,1,FERIADOS)))</f>
        <v/>
      </c>
      <c r="K304" s="58" t="str">
        <f t="shared" si="2"/>
        <v/>
      </c>
      <c r="L304" s="58" t="str">
        <f t="shared" si="3"/>
        <v/>
      </c>
    </row>
    <row r="305" ht="21.0" customHeight="1">
      <c r="A305" s="29"/>
      <c r="B305" s="94"/>
      <c r="C305" s="38" t="str">
        <f t="array" ref="C305">IF(B305="","",INDEX(PARAMETROS!$J$2:$J$14,MATCH(B305,PARAMETROS!$G$2:$G$14,0),1))</f>
        <v/>
      </c>
      <c r="D305" s="42"/>
      <c r="E305" s="44"/>
      <c r="F305" s="52"/>
      <c r="G305" s="49" t="str">
        <f t="shared" si="1"/>
        <v/>
      </c>
      <c r="H305" s="29"/>
      <c r="I305" s="52"/>
      <c r="J305" s="58" t="str">
        <f>IF(F305="","", IF(I305="",_xlfn.NETWORKDAYS.INTL(F305,TODAY(),1,FERIADOS),_xlfn.NETWORKDAYS.INTL(F305,I305,1,FERIADOS)))</f>
        <v/>
      </c>
      <c r="K305" s="58" t="str">
        <f t="shared" si="2"/>
        <v/>
      </c>
      <c r="L305" s="58" t="str">
        <f t="shared" si="3"/>
        <v/>
      </c>
    </row>
    <row r="306" ht="21.0" customHeight="1">
      <c r="A306" s="29"/>
      <c r="B306" s="94"/>
      <c r="C306" s="38" t="str">
        <f t="array" ref="C306">IF(B306="","",INDEX(PARAMETROS!$J$2:$J$14,MATCH(B306,PARAMETROS!$G$2:$G$14,0),1))</f>
        <v/>
      </c>
      <c r="D306" s="42"/>
      <c r="E306" s="44"/>
      <c r="F306" s="52"/>
      <c r="G306" s="49" t="str">
        <f t="shared" si="1"/>
        <v/>
      </c>
      <c r="H306" s="29"/>
      <c r="I306" s="52"/>
      <c r="J306" s="58" t="str">
        <f>IF(F306="","", IF(I306="",_xlfn.NETWORKDAYS.INTL(F306,TODAY(),1,FERIADOS),_xlfn.NETWORKDAYS.INTL(F306,I306,1,FERIADOS)))</f>
        <v/>
      </c>
      <c r="K306" s="58" t="str">
        <f t="shared" si="2"/>
        <v/>
      </c>
      <c r="L306" s="58" t="str">
        <f t="shared" si="3"/>
        <v/>
      </c>
    </row>
    <row r="307" ht="21.0" customHeight="1">
      <c r="A307" s="29"/>
      <c r="B307" s="94"/>
      <c r="C307" s="38" t="str">
        <f t="array" ref="C307">IF(B307="","",INDEX(PARAMETROS!$J$2:$J$14,MATCH(B307,PARAMETROS!$G$2:$G$14,0),1))</f>
        <v/>
      </c>
      <c r="D307" s="42"/>
      <c r="E307" s="44"/>
      <c r="F307" s="52"/>
      <c r="G307" s="49" t="str">
        <f t="shared" si="1"/>
        <v/>
      </c>
      <c r="H307" s="29"/>
      <c r="I307" s="52"/>
      <c r="J307" s="58" t="str">
        <f>IF(F307="","", IF(I307="",_xlfn.NETWORKDAYS.INTL(F307,TODAY(),1,FERIADOS),_xlfn.NETWORKDAYS.INTL(F307,I307,1,FERIADOS)))</f>
        <v/>
      </c>
      <c r="K307" s="58" t="str">
        <f t="shared" si="2"/>
        <v/>
      </c>
      <c r="L307" s="58" t="str">
        <f t="shared" si="3"/>
        <v/>
      </c>
    </row>
    <row r="308" ht="21.0" customHeight="1">
      <c r="A308" s="29"/>
      <c r="B308" s="94"/>
      <c r="C308" s="38" t="str">
        <f t="array" ref="C308">IF(B308="","",INDEX(PARAMETROS!$J$2:$J$14,MATCH(B308,PARAMETROS!$G$2:$G$14,0),1))</f>
        <v/>
      </c>
      <c r="D308" s="42"/>
      <c r="E308" s="44"/>
      <c r="F308" s="52"/>
      <c r="G308" s="49" t="str">
        <f t="shared" si="1"/>
        <v/>
      </c>
      <c r="H308" s="29"/>
      <c r="I308" s="52"/>
      <c r="J308" s="58" t="str">
        <f>IF(F308="","", IF(I308="",_xlfn.NETWORKDAYS.INTL(F308,TODAY(),1,FERIADOS),_xlfn.NETWORKDAYS.INTL(F308,I308,1,FERIADOS)))</f>
        <v/>
      </c>
      <c r="K308" s="58" t="str">
        <f t="shared" si="2"/>
        <v/>
      </c>
      <c r="L308" s="58" t="str">
        <f t="shared" si="3"/>
        <v/>
      </c>
    </row>
    <row r="309" ht="21.0" customHeight="1">
      <c r="A309" s="29"/>
      <c r="B309" s="94"/>
      <c r="C309" s="38" t="str">
        <f t="array" ref="C309">IF(B309="","",INDEX(PARAMETROS!$J$2:$J$14,MATCH(B309,PARAMETROS!$G$2:$G$14,0),1))</f>
        <v/>
      </c>
      <c r="D309" s="42"/>
      <c r="E309" s="44"/>
      <c r="F309" s="52"/>
      <c r="G309" s="49" t="str">
        <f t="shared" si="1"/>
        <v/>
      </c>
      <c r="H309" s="29"/>
      <c r="I309" s="52"/>
      <c r="J309" s="58" t="str">
        <f>IF(F309="","", IF(I309="",_xlfn.NETWORKDAYS.INTL(F309,TODAY(),1,FERIADOS),_xlfn.NETWORKDAYS.INTL(F309,I309,1,FERIADOS)))</f>
        <v/>
      </c>
      <c r="K309" s="58" t="str">
        <f t="shared" si="2"/>
        <v/>
      </c>
      <c r="L309" s="58" t="str">
        <f t="shared" si="3"/>
        <v/>
      </c>
    </row>
    <row r="310" ht="21.0" customHeight="1">
      <c r="A310" s="76"/>
      <c r="B310" s="94"/>
      <c r="C310" s="38" t="str">
        <f t="array" ref="C310">IF(B310="","",INDEX(PARAMETROS!$J$2:$J$14,MATCH(B310,PARAMETROS!$G$2:$G$14,0),1))</f>
        <v/>
      </c>
      <c r="D310" s="101"/>
      <c r="E310" s="102"/>
      <c r="F310" s="103"/>
      <c r="G310" s="49" t="str">
        <f t="shared" si="1"/>
        <v/>
      </c>
      <c r="H310" s="76"/>
      <c r="I310" s="103"/>
      <c r="J310" s="58" t="str">
        <f>IF(F310="","", IF(I310="",_xlfn.NETWORKDAYS.INTL(F310,TODAY(),1,FERIADOS),_xlfn.NETWORKDAYS.INTL(F310,I310,1,FERIADOS)))</f>
        <v/>
      </c>
      <c r="K310" s="58" t="str">
        <f t="shared" si="2"/>
        <v/>
      </c>
      <c r="L310" s="58" t="str">
        <f t="shared" si="3"/>
        <v/>
      </c>
    </row>
    <row r="311" ht="21.0" customHeight="1">
      <c r="A311" s="76"/>
      <c r="B311" s="94"/>
      <c r="C311" s="38" t="str">
        <f t="array" ref="C311">IF(B311="","",INDEX(PARAMETROS!$J$2:$J$14,MATCH(B311,PARAMETROS!$G$2:$G$14,0),1))</f>
        <v/>
      </c>
      <c r="D311" s="101"/>
      <c r="E311" s="102"/>
      <c r="F311" s="103"/>
      <c r="G311" s="49" t="str">
        <f t="shared" si="1"/>
        <v/>
      </c>
      <c r="H311" s="76"/>
      <c r="I311" s="103"/>
      <c r="J311" s="58" t="str">
        <f>IF(F311="","", IF(I311="",_xlfn.NETWORKDAYS.INTL(F311,TODAY(),1,FERIADOS),_xlfn.NETWORKDAYS.INTL(F311,I311,1,FERIADOS)))</f>
        <v/>
      </c>
      <c r="K311" s="58" t="str">
        <f t="shared" si="2"/>
        <v/>
      </c>
      <c r="L311" s="58" t="str">
        <f t="shared" si="3"/>
        <v/>
      </c>
    </row>
    <row r="312" ht="21.0" customHeight="1">
      <c r="A312" s="76"/>
      <c r="B312" s="94"/>
      <c r="C312" s="38" t="str">
        <f t="array" ref="C312">IF(B312="","",INDEX(PARAMETROS!$J$2:$J$14,MATCH(B312,PARAMETROS!$G$2:$G$14,0),1))</f>
        <v/>
      </c>
      <c r="D312" s="101"/>
      <c r="E312" s="102"/>
      <c r="F312" s="103"/>
      <c r="G312" s="49" t="str">
        <f t="shared" si="1"/>
        <v/>
      </c>
      <c r="H312" s="76"/>
      <c r="I312" s="103"/>
      <c r="J312" s="58" t="str">
        <f>IF(F312="","", IF(I312="",_xlfn.NETWORKDAYS.INTL(F312,TODAY(),1,FERIADOS),_xlfn.NETWORKDAYS.INTL(F312,I312,1,FERIADOS)))</f>
        <v/>
      </c>
      <c r="K312" s="58" t="str">
        <f t="shared" si="2"/>
        <v/>
      </c>
      <c r="L312" s="58" t="str">
        <f t="shared" si="3"/>
        <v/>
      </c>
    </row>
    <row r="313" ht="21.0" customHeight="1">
      <c r="A313" s="76"/>
      <c r="B313" s="94"/>
      <c r="C313" s="38" t="str">
        <f t="array" ref="C313">IF(B313="","",INDEX(PARAMETROS!$J$2:$J$14,MATCH(B313,PARAMETROS!$G$2:$G$14,0),1))</f>
        <v/>
      </c>
      <c r="D313" s="101"/>
      <c r="E313" s="102"/>
      <c r="F313" s="103"/>
      <c r="G313" s="49" t="str">
        <f t="shared" si="1"/>
        <v/>
      </c>
      <c r="H313" s="76"/>
      <c r="I313" s="103"/>
      <c r="J313" s="58" t="str">
        <f>IF(F313="","", IF(I313="",_xlfn.NETWORKDAYS.INTL(F313,TODAY(),1,FERIADOS),_xlfn.NETWORKDAYS.INTL(F313,I313,1,FERIADOS)))</f>
        <v/>
      </c>
      <c r="K313" s="58" t="str">
        <f t="shared" si="2"/>
        <v/>
      </c>
      <c r="L313" s="58" t="str">
        <f t="shared" si="3"/>
        <v/>
      </c>
    </row>
    <row r="314" ht="21.0" customHeight="1">
      <c r="A314" s="76"/>
      <c r="B314" s="94"/>
      <c r="C314" s="38" t="str">
        <f t="array" ref="C314">IF(B314="","",INDEX(PARAMETROS!$J$2:$J$14,MATCH(B314,PARAMETROS!$G$2:$G$14,0),1))</f>
        <v/>
      </c>
      <c r="D314" s="101"/>
      <c r="E314" s="102"/>
      <c r="F314" s="103"/>
      <c r="G314" s="49" t="str">
        <f t="shared" si="1"/>
        <v/>
      </c>
      <c r="H314" s="76"/>
      <c r="I314" s="103"/>
      <c r="J314" s="58" t="str">
        <f>IF(F314="","", IF(I314="",_xlfn.NETWORKDAYS.INTL(F314,TODAY(),1,FERIADOS),_xlfn.NETWORKDAYS.INTL(F314,I314,1,FERIADOS)))</f>
        <v/>
      </c>
      <c r="K314" s="58" t="str">
        <f t="shared" si="2"/>
        <v/>
      </c>
      <c r="L314" s="58" t="str">
        <f t="shared" si="3"/>
        <v/>
      </c>
    </row>
    <row r="315" ht="21.0" customHeight="1">
      <c r="A315" s="76"/>
      <c r="B315" s="94"/>
      <c r="C315" s="38" t="str">
        <f t="array" ref="C315">IF(B315="","",INDEX(PARAMETROS!$J$2:$J$14,MATCH(B315,PARAMETROS!$G$2:$G$14,0),1))</f>
        <v/>
      </c>
      <c r="D315" s="101"/>
      <c r="E315" s="102"/>
      <c r="F315" s="103"/>
      <c r="G315" s="49" t="str">
        <f t="shared" si="1"/>
        <v/>
      </c>
      <c r="H315" s="76"/>
      <c r="I315" s="103"/>
      <c r="J315" s="58" t="str">
        <f>IF(F315="","", IF(I315="",_xlfn.NETWORKDAYS.INTL(F315,TODAY(),1,FERIADOS),_xlfn.NETWORKDAYS.INTL(F315,I315,1,FERIADOS)))</f>
        <v/>
      </c>
      <c r="K315" s="58" t="str">
        <f t="shared" si="2"/>
        <v/>
      </c>
      <c r="L315" s="58" t="str">
        <f t="shared" si="3"/>
        <v/>
      </c>
    </row>
    <row r="316" ht="21.0" customHeight="1">
      <c r="A316" s="76"/>
      <c r="B316" s="94"/>
      <c r="C316" s="38" t="str">
        <f t="array" ref="C316">IF(B316="","",INDEX(PARAMETROS!$J$2:$J$14,MATCH(B316,PARAMETROS!$G$2:$G$14,0),1))</f>
        <v/>
      </c>
      <c r="D316" s="101"/>
      <c r="E316" s="102"/>
      <c r="F316" s="103"/>
      <c r="G316" s="49" t="str">
        <f t="shared" si="1"/>
        <v/>
      </c>
      <c r="H316" s="76"/>
      <c r="I316" s="103"/>
      <c r="J316" s="58" t="str">
        <f>IF(F316="","", IF(I316="",_xlfn.NETWORKDAYS.INTL(F316,TODAY(),1,FERIADOS),_xlfn.NETWORKDAYS.INTL(F316,I316,1,FERIADOS)))</f>
        <v/>
      </c>
      <c r="K316" s="58" t="str">
        <f t="shared" si="2"/>
        <v/>
      </c>
      <c r="L316" s="58" t="str">
        <f t="shared" si="3"/>
        <v/>
      </c>
    </row>
    <row r="317" ht="21.0" customHeight="1">
      <c r="A317" s="76"/>
      <c r="B317" s="94"/>
      <c r="C317" s="38" t="str">
        <f t="array" ref="C317">IF(B317="","",INDEX(PARAMETROS!$J$2:$J$14,MATCH(B317,PARAMETROS!$G$2:$G$14,0),1))</f>
        <v/>
      </c>
      <c r="D317" s="101"/>
      <c r="E317" s="102"/>
      <c r="F317" s="103"/>
      <c r="G317" s="49" t="str">
        <f t="shared" si="1"/>
        <v/>
      </c>
      <c r="H317" s="76"/>
      <c r="I317" s="103"/>
      <c r="J317" s="58" t="str">
        <f>IF(F317="","", IF(I317="",_xlfn.NETWORKDAYS.INTL(F317,TODAY(),1,FERIADOS),_xlfn.NETWORKDAYS.INTL(F317,I317,1,FERIADOS)))</f>
        <v/>
      </c>
      <c r="K317" s="58" t="str">
        <f t="shared" si="2"/>
        <v/>
      </c>
      <c r="L317" s="58" t="str">
        <f t="shared" si="3"/>
        <v/>
      </c>
    </row>
    <row r="318" ht="21.0" customHeight="1">
      <c r="A318" s="76"/>
      <c r="B318" s="94"/>
      <c r="C318" s="38" t="str">
        <f t="array" ref="C318">IF(B318="","",INDEX(PARAMETROS!$J$2:$J$14,MATCH(B318,PARAMETROS!$G$2:$G$14,0),1))</f>
        <v/>
      </c>
      <c r="D318" s="101"/>
      <c r="E318" s="102"/>
      <c r="F318" s="103"/>
      <c r="G318" s="49" t="str">
        <f t="shared" si="1"/>
        <v/>
      </c>
      <c r="H318" s="76"/>
      <c r="I318" s="103"/>
      <c r="J318" s="58" t="str">
        <f>IF(F318="","", IF(I318="",_xlfn.NETWORKDAYS.INTL(F318,TODAY(),1,FERIADOS),_xlfn.NETWORKDAYS.INTL(F318,I318,1,FERIADOS)))</f>
        <v/>
      </c>
      <c r="K318" s="58" t="str">
        <f t="shared" si="2"/>
        <v/>
      </c>
      <c r="L318" s="58" t="str">
        <f t="shared" si="3"/>
        <v/>
      </c>
    </row>
    <row r="319" ht="21.0" customHeight="1">
      <c r="A319" s="76"/>
      <c r="B319" s="94"/>
      <c r="C319" s="38" t="str">
        <f t="array" ref="C319">IF(B319="","",INDEX(PARAMETROS!$J$2:$J$14,MATCH(B319,PARAMETROS!$G$2:$G$14,0),1))</f>
        <v/>
      </c>
      <c r="D319" s="101"/>
      <c r="E319" s="102"/>
      <c r="F319" s="103"/>
      <c r="G319" s="49" t="str">
        <f t="shared" si="1"/>
        <v/>
      </c>
      <c r="H319" s="76"/>
      <c r="I319" s="103"/>
      <c r="J319" s="58" t="str">
        <f>IF(F319="","", IF(I319="",_xlfn.NETWORKDAYS.INTL(F319,TODAY(),1,FERIADOS),_xlfn.NETWORKDAYS.INTL(F319,I319,1,FERIADOS)))</f>
        <v/>
      </c>
      <c r="K319" s="58" t="str">
        <f t="shared" si="2"/>
        <v/>
      </c>
      <c r="L319" s="58" t="str">
        <f t="shared" si="3"/>
        <v/>
      </c>
    </row>
    <row r="320" ht="21.0" customHeight="1">
      <c r="A320" s="76"/>
      <c r="B320" s="94"/>
      <c r="C320" s="38" t="str">
        <f t="array" ref="C320">IF(B320="","",INDEX(PARAMETROS!$J$2:$J$14,MATCH(B320,PARAMETROS!$G$2:$G$14,0),1))</f>
        <v/>
      </c>
      <c r="D320" s="101"/>
      <c r="E320" s="102"/>
      <c r="F320" s="103"/>
      <c r="G320" s="49" t="str">
        <f t="shared" si="1"/>
        <v/>
      </c>
      <c r="H320" s="76"/>
      <c r="I320" s="103"/>
      <c r="J320" s="58" t="str">
        <f>IF(F320="","", IF(I320="",_xlfn.NETWORKDAYS.INTL(F320,TODAY(),1,FERIADOS),_xlfn.NETWORKDAYS.INTL(F320,I320,1,FERIADOS)))</f>
        <v/>
      </c>
      <c r="K320" s="58" t="str">
        <f t="shared" si="2"/>
        <v/>
      </c>
      <c r="L320" s="58" t="str">
        <f t="shared" si="3"/>
        <v/>
      </c>
    </row>
    <row r="321" ht="21.0" customHeight="1">
      <c r="A321" s="76"/>
      <c r="B321" s="94"/>
      <c r="C321" s="38" t="str">
        <f t="array" ref="C321">IF(B321="","",INDEX(PARAMETROS!$J$2:$J$14,MATCH(B321,PARAMETROS!$G$2:$G$14,0),1))</f>
        <v/>
      </c>
      <c r="D321" s="101"/>
      <c r="E321" s="102"/>
      <c r="F321" s="103"/>
      <c r="G321" s="49" t="str">
        <f t="shared" si="1"/>
        <v/>
      </c>
      <c r="H321" s="76"/>
      <c r="I321" s="103"/>
      <c r="J321" s="58" t="str">
        <f>IF(F321="","", IF(I321="",_xlfn.NETWORKDAYS.INTL(F321,TODAY(),1,FERIADOS),_xlfn.NETWORKDAYS.INTL(F321,I321,1,FERIADOS)))</f>
        <v/>
      </c>
      <c r="K321" s="58" t="str">
        <f t="shared" si="2"/>
        <v/>
      </c>
      <c r="L321" s="58" t="str">
        <f t="shared" si="3"/>
        <v/>
      </c>
    </row>
    <row r="322" ht="21.0" customHeight="1">
      <c r="A322" s="76"/>
      <c r="B322" s="94"/>
      <c r="C322" s="38" t="str">
        <f t="array" ref="C322">IF(B322="","",INDEX(PARAMETROS!$J$2:$J$14,MATCH(B322,PARAMETROS!$G$2:$G$14,0),1))</f>
        <v/>
      </c>
      <c r="D322" s="101"/>
      <c r="E322" s="102"/>
      <c r="F322" s="103"/>
      <c r="G322" s="49" t="str">
        <f t="shared" si="1"/>
        <v/>
      </c>
      <c r="H322" s="76"/>
      <c r="I322" s="103"/>
      <c r="J322" s="58" t="str">
        <f>IF(F322="","", IF(I322="",_xlfn.NETWORKDAYS.INTL(F322,TODAY(),1,FERIADOS),_xlfn.NETWORKDAYS.INTL(F322,I322,1,FERIADOS)))</f>
        <v/>
      </c>
      <c r="K322" s="58" t="str">
        <f t="shared" si="2"/>
        <v/>
      </c>
      <c r="L322" s="58" t="str">
        <f t="shared" si="3"/>
        <v/>
      </c>
    </row>
    <row r="323" ht="21.0" customHeight="1">
      <c r="A323" s="76"/>
      <c r="B323" s="94"/>
      <c r="C323" s="38" t="str">
        <f t="array" ref="C323">IF(B323="","",INDEX(PARAMETROS!$J$2:$J$14,MATCH(B323,PARAMETROS!$G$2:$G$14,0),1))</f>
        <v/>
      </c>
      <c r="D323" s="101"/>
      <c r="E323" s="102"/>
      <c r="F323" s="103"/>
      <c r="G323" s="49" t="str">
        <f t="shared" si="1"/>
        <v/>
      </c>
      <c r="H323" s="76"/>
      <c r="I323" s="103"/>
      <c r="J323" s="58" t="str">
        <f>IF(F323="","", IF(I323="",_xlfn.NETWORKDAYS.INTL(F323,TODAY(),1,FERIADOS),_xlfn.NETWORKDAYS.INTL(F323,I323,1,FERIADOS)))</f>
        <v/>
      </c>
      <c r="K323" s="58" t="str">
        <f t="shared" si="2"/>
        <v/>
      </c>
      <c r="L323" s="58" t="str">
        <f t="shared" si="3"/>
        <v/>
      </c>
    </row>
    <row r="324" ht="21.0" customHeight="1">
      <c r="A324" s="76"/>
      <c r="B324" s="94"/>
      <c r="C324" s="38" t="str">
        <f t="array" ref="C324">IF(B324="","",INDEX(PARAMETROS!$J$2:$J$14,MATCH(B324,PARAMETROS!$G$2:$G$14,0),1))</f>
        <v/>
      </c>
      <c r="D324" s="101"/>
      <c r="E324" s="102"/>
      <c r="F324" s="103"/>
      <c r="G324" s="49" t="str">
        <f t="shared" si="1"/>
        <v/>
      </c>
      <c r="H324" s="76"/>
      <c r="I324" s="103"/>
      <c r="J324" s="58" t="str">
        <f>IF(F324="","", IF(I324="",_xlfn.NETWORKDAYS.INTL(F324,TODAY(),1,FERIADOS),_xlfn.NETWORKDAYS.INTL(F324,I324,1,FERIADOS)))</f>
        <v/>
      </c>
      <c r="K324" s="58" t="str">
        <f t="shared" si="2"/>
        <v/>
      </c>
      <c r="L324" s="58" t="str">
        <f t="shared" si="3"/>
        <v/>
      </c>
    </row>
    <row r="325" ht="21.0" customHeight="1">
      <c r="A325" s="76"/>
      <c r="B325" s="94"/>
      <c r="C325" s="38" t="str">
        <f t="array" ref="C325">IF(B325="","",INDEX(PARAMETROS!$J$2:$J$14,MATCH(B325,PARAMETROS!$G$2:$G$14,0),1))</f>
        <v/>
      </c>
      <c r="D325" s="101"/>
      <c r="E325" s="102"/>
      <c r="F325" s="103"/>
      <c r="G325" s="49" t="str">
        <f t="shared" si="1"/>
        <v/>
      </c>
      <c r="H325" s="76"/>
      <c r="I325" s="103"/>
      <c r="J325" s="58" t="str">
        <f>IF(F325="","", IF(I325="",_xlfn.NETWORKDAYS.INTL(F325,TODAY(),1,FERIADOS),_xlfn.NETWORKDAYS.INTL(F325,I325,1,FERIADOS)))</f>
        <v/>
      </c>
      <c r="K325" s="58" t="str">
        <f t="shared" si="2"/>
        <v/>
      </c>
      <c r="L325" s="58" t="str">
        <f t="shared" si="3"/>
        <v/>
      </c>
    </row>
    <row r="326" ht="21.0" customHeight="1">
      <c r="A326" s="76"/>
      <c r="B326" s="94"/>
      <c r="C326" s="38" t="str">
        <f t="array" ref="C326">IF(B326="","",INDEX(PARAMETROS!$J$2:$J$14,MATCH(B326,PARAMETROS!$G$2:$G$14,0),1))</f>
        <v/>
      </c>
      <c r="D326" s="101"/>
      <c r="E326" s="102"/>
      <c r="F326" s="103"/>
      <c r="G326" s="49" t="str">
        <f t="shared" si="1"/>
        <v/>
      </c>
      <c r="H326" s="76"/>
      <c r="I326" s="103"/>
      <c r="J326" s="58" t="str">
        <f>IF(F326="","", IF(I326="",_xlfn.NETWORKDAYS.INTL(F326,TODAY(),1,FERIADOS),_xlfn.NETWORKDAYS.INTL(F326,I326,1,FERIADOS)))</f>
        <v/>
      </c>
      <c r="K326" s="58" t="str">
        <f t="shared" si="2"/>
        <v/>
      </c>
      <c r="L326" s="58" t="str">
        <f t="shared" si="3"/>
        <v/>
      </c>
    </row>
    <row r="327" ht="21.0" customHeight="1">
      <c r="A327" s="76"/>
      <c r="B327" s="94"/>
      <c r="C327" s="38" t="str">
        <f t="array" ref="C327">IF(B327="","",INDEX(PARAMETROS!$J$2:$J$14,MATCH(B327,PARAMETROS!$G$2:$G$14,0),1))</f>
        <v/>
      </c>
      <c r="D327" s="101"/>
      <c r="E327" s="102"/>
      <c r="F327" s="103"/>
      <c r="G327" s="49" t="str">
        <f t="shared" si="1"/>
        <v/>
      </c>
      <c r="H327" s="76"/>
      <c r="I327" s="103"/>
      <c r="J327" s="58" t="str">
        <f>IF(F327="","", IF(I327="",_xlfn.NETWORKDAYS.INTL(F327,TODAY(),1,FERIADOS),_xlfn.NETWORKDAYS.INTL(F327,I327,1,FERIADOS)))</f>
        <v/>
      </c>
      <c r="K327" s="58" t="str">
        <f t="shared" si="2"/>
        <v/>
      </c>
      <c r="L327" s="58" t="str">
        <f t="shared" si="3"/>
        <v/>
      </c>
    </row>
    <row r="328" ht="21.0" customHeight="1">
      <c r="A328" s="76"/>
      <c r="B328" s="94"/>
      <c r="C328" s="38" t="str">
        <f t="array" ref="C328">IF(B328="","",INDEX(PARAMETROS!$J$2:$J$14,MATCH(B328,PARAMETROS!$G$2:$G$14,0),1))</f>
        <v/>
      </c>
      <c r="D328" s="101"/>
      <c r="E328" s="102"/>
      <c r="F328" s="103"/>
      <c r="G328" s="49" t="str">
        <f t="shared" si="1"/>
        <v/>
      </c>
      <c r="H328" s="76"/>
      <c r="I328" s="103"/>
      <c r="J328" s="58" t="str">
        <f>IF(F328="","", IF(I328="",_xlfn.NETWORKDAYS.INTL(F328,TODAY(),1,FERIADOS),_xlfn.NETWORKDAYS.INTL(F328,I328,1,FERIADOS)))</f>
        <v/>
      </c>
      <c r="K328" s="58" t="str">
        <f t="shared" si="2"/>
        <v/>
      </c>
      <c r="L328" s="58" t="str">
        <f t="shared" si="3"/>
        <v/>
      </c>
    </row>
    <row r="329" ht="21.0" customHeight="1">
      <c r="A329" s="76"/>
      <c r="B329" s="94"/>
      <c r="C329" s="38" t="str">
        <f t="array" ref="C329">IF(B329="","",INDEX(PARAMETROS!$J$2:$J$14,MATCH(B329,PARAMETROS!$G$2:$G$14,0),1))</f>
        <v/>
      </c>
      <c r="D329" s="101"/>
      <c r="E329" s="102"/>
      <c r="F329" s="103"/>
      <c r="G329" s="49" t="str">
        <f t="shared" si="1"/>
        <v/>
      </c>
      <c r="H329" s="76"/>
      <c r="I329" s="103"/>
      <c r="J329" s="58" t="str">
        <f>IF(F329="","", IF(I329="",_xlfn.NETWORKDAYS.INTL(F329,TODAY(),1,FERIADOS),_xlfn.NETWORKDAYS.INTL(F329,I329,1,FERIADOS)))</f>
        <v/>
      </c>
      <c r="K329" s="58" t="str">
        <f t="shared" si="2"/>
        <v/>
      </c>
      <c r="L329" s="58" t="str">
        <f t="shared" si="3"/>
        <v/>
      </c>
    </row>
    <row r="330" ht="21.0" customHeight="1">
      <c r="A330" s="76"/>
      <c r="B330" s="94"/>
      <c r="C330" s="38" t="str">
        <f t="array" ref="C330">IF(B330="","",INDEX(PARAMETROS!$J$2:$J$14,MATCH(B330,PARAMETROS!$G$2:$G$14,0),1))</f>
        <v/>
      </c>
      <c r="D330" s="101"/>
      <c r="E330" s="102"/>
      <c r="F330" s="103"/>
      <c r="G330" s="49" t="str">
        <f t="shared" si="1"/>
        <v/>
      </c>
      <c r="H330" s="76"/>
      <c r="I330" s="103"/>
      <c r="J330" s="58" t="str">
        <f>IF(F330="","", IF(I330="",_xlfn.NETWORKDAYS.INTL(F330,TODAY(),1,FERIADOS),_xlfn.NETWORKDAYS.INTL(F330,I330,1,FERIADOS)))</f>
        <v/>
      </c>
      <c r="K330" s="58" t="str">
        <f t="shared" si="2"/>
        <v/>
      </c>
      <c r="L330" s="58" t="str">
        <f t="shared" si="3"/>
        <v/>
      </c>
    </row>
    <row r="331" ht="21.0" customHeight="1">
      <c r="A331" s="76"/>
      <c r="B331" s="94"/>
      <c r="C331" s="38" t="str">
        <f t="array" ref="C331">IF(B331="","",INDEX(PARAMETROS!$J$2:$J$14,MATCH(B331,PARAMETROS!$G$2:$G$14,0),1))</f>
        <v/>
      </c>
      <c r="D331" s="101"/>
      <c r="E331" s="102"/>
      <c r="F331" s="103"/>
      <c r="G331" s="49" t="str">
        <f t="shared" si="1"/>
        <v/>
      </c>
      <c r="H331" s="76"/>
      <c r="I331" s="103"/>
      <c r="J331" s="58" t="str">
        <f>IF(F331="","", IF(I331="",_xlfn.NETWORKDAYS.INTL(F331,TODAY(),1,FERIADOS),_xlfn.NETWORKDAYS.INTL(F331,I331,1,FERIADOS)))</f>
        <v/>
      </c>
      <c r="K331" s="58" t="str">
        <f t="shared" si="2"/>
        <v/>
      </c>
      <c r="L331" s="58" t="str">
        <f t="shared" si="3"/>
        <v/>
      </c>
    </row>
    <row r="332" ht="21.0" customHeight="1">
      <c r="A332" s="76"/>
      <c r="B332" s="94"/>
      <c r="C332" s="38" t="str">
        <f t="array" ref="C332">IF(B332="","",INDEX(PARAMETROS!$J$2:$J$14,MATCH(B332,PARAMETROS!$G$2:$G$14,0),1))</f>
        <v/>
      </c>
      <c r="D332" s="101"/>
      <c r="E332" s="102"/>
      <c r="F332" s="103"/>
      <c r="G332" s="49" t="str">
        <f t="shared" si="1"/>
        <v/>
      </c>
      <c r="H332" s="76"/>
      <c r="I332" s="103"/>
      <c r="J332" s="58" t="str">
        <f>IF(F332="","", IF(I332="",_xlfn.NETWORKDAYS.INTL(F332,TODAY(),1,FERIADOS),_xlfn.NETWORKDAYS.INTL(F332,I332,1,FERIADOS)))</f>
        <v/>
      </c>
      <c r="K332" s="58" t="str">
        <f t="shared" si="2"/>
        <v/>
      </c>
      <c r="L332" s="58" t="str">
        <f t="shared" si="3"/>
        <v/>
      </c>
    </row>
    <row r="333" ht="21.0" customHeight="1">
      <c r="A333" s="76"/>
      <c r="B333" s="94"/>
      <c r="C333" s="38" t="str">
        <f t="array" ref="C333">IF(B333="","",INDEX(PARAMETROS!$J$2:$J$14,MATCH(B333,PARAMETROS!$G$2:$G$14,0),1))</f>
        <v/>
      </c>
      <c r="D333" s="101"/>
      <c r="E333" s="102"/>
      <c r="F333" s="103"/>
      <c r="G333" s="49" t="str">
        <f t="shared" si="1"/>
        <v/>
      </c>
      <c r="H333" s="76"/>
      <c r="I333" s="103"/>
      <c r="J333" s="58" t="str">
        <f>IF(F333="","", IF(I333="",_xlfn.NETWORKDAYS.INTL(F333,TODAY(),1,FERIADOS),_xlfn.NETWORKDAYS.INTL(F333,I333,1,FERIADOS)))</f>
        <v/>
      </c>
      <c r="K333" s="58" t="str">
        <f t="shared" si="2"/>
        <v/>
      </c>
      <c r="L333" s="58" t="str">
        <f t="shared" si="3"/>
        <v/>
      </c>
    </row>
    <row r="334" ht="21.0" customHeight="1">
      <c r="A334" s="76"/>
      <c r="B334" s="94"/>
      <c r="C334" s="38" t="str">
        <f t="array" ref="C334">IF(B334="","",INDEX(PARAMETROS!$J$2:$J$14,MATCH(B334,PARAMETROS!$G$2:$G$14,0),1))</f>
        <v/>
      </c>
      <c r="D334" s="101"/>
      <c r="E334" s="102"/>
      <c r="F334" s="103"/>
      <c r="G334" s="49" t="str">
        <f t="shared" si="1"/>
        <v/>
      </c>
      <c r="H334" s="76"/>
      <c r="I334" s="103"/>
      <c r="J334" s="58" t="str">
        <f>IF(F334="","", IF(I334="",_xlfn.NETWORKDAYS.INTL(F334,TODAY(),1,FERIADOS),_xlfn.NETWORKDAYS.INTL(F334,I334,1,FERIADOS)))</f>
        <v/>
      </c>
      <c r="K334" s="58" t="str">
        <f t="shared" si="2"/>
        <v/>
      </c>
      <c r="L334" s="58" t="str">
        <f t="shared" si="3"/>
        <v/>
      </c>
    </row>
    <row r="335" ht="21.0" customHeight="1">
      <c r="A335" s="76"/>
      <c r="B335" s="94"/>
      <c r="C335" s="38" t="str">
        <f t="array" ref="C335">IF(B335="","",INDEX(PARAMETROS!$J$2:$J$14,MATCH(B335,PARAMETROS!$G$2:$G$14,0),1))</f>
        <v/>
      </c>
      <c r="D335" s="101"/>
      <c r="E335" s="102"/>
      <c r="F335" s="103"/>
      <c r="G335" s="49" t="str">
        <f t="shared" si="1"/>
        <v/>
      </c>
      <c r="H335" s="76"/>
      <c r="I335" s="103"/>
      <c r="J335" s="58" t="str">
        <f>IF(F335="","", IF(I335="",_xlfn.NETWORKDAYS.INTL(F335,TODAY(),1,FERIADOS),_xlfn.NETWORKDAYS.INTL(F335,I335,1,FERIADOS)))</f>
        <v/>
      </c>
      <c r="K335" s="58" t="str">
        <f t="shared" si="2"/>
        <v/>
      </c>
      <c r="L335" s="58" t="str">
        <f t="shared" si="3"/>
        <v/>
      </c>
    </row>
    <row r="336" ht="21.0" customHeight="1">
      <c r="A336" s="76"/>
      <c r="B336" s="94"/>
      <c r="C336" s="38" t="str">
        <f t="array" ref="C336">IF(B336="","",INDEX(PARAMETROS!$J$2:$J$14,MATCH(B336,PARAMETROS!$G$2:$G$14,0),1))</f>
        <v/>
      </c>
      <c r="D336" s="101"/>
      <c r="E336" s="102"/>
      <c r="F336" s="103"/>
      <c r="G336" s="49" t="str">
        <f t="shared" si="1"/>
        <v/>
      </c>
      <c r="H336" s="76"/>
      <c r="I336" s="103"/>
      <c r="J336" s="58" t="str">
        <f>IF(F336="","", IF(I336="",_xlfn.NETWORKDAYS.INTL(F336,TODAY(),1,FERIADOS),_xlfn.NETWORKDAYS.INTL(F336,I336,1,FERIADOS)))</f>
        <v/>
      </c>
      <c r="K336" s="58" t="str">
        <f t="shared" si="2"/>
        <v/>
      </c>
      <c r="L336" s="58" t="str">
        <f t="shared" si="3"/>
        <v/>
      </c>
    </row>
    <row r="337" ht="21.0" customHeight="1">
      <c r="A337" s="76"/>
      <c r="B337" s="94"/>
      <c r="C337" s="38" t="str">
        <f t="array" ref="C337">IF(B337="","",INDEX(PARAMETROS!$J$2:$J$14,MATCH(B337,PARAMETROS!$G$2:$G$14,0),1))</f>
        <v/>
      </c>
      <c r="D337" s="101"/>
      <c r="E337" s="102"/>
      <c r="F337" s="103"/>
      <c r="G337" s="49" t="str">
        <f t="shared" si="1"/>
        <v/>
      </c>
      <c r="H337" s="76"/>
      <c r="I337" s="103"/>
      <c r="J337" s="58" t="str">
        <f>IF(F337="","", IF(I337="",_xlfn.NETWORKDAYS.INTL(F337,TODAY(),1,FERIADOS),_xlfn.NETWORKDAYS.INTL(F337,I337,1,FERIADOS)))</f>
        <v/>
      </c>
      <c r="K337" s="58" t="str">
        <f t="shared" si="2"/>
        <v/>
      </c>
      <c r="L337" s="58" t="str">
        <f t="shared" si="3"/>
        <v/>
      </c>
    </row>
    <row r="338" ht="21.0" customHeight="1">
      <c r="A338" s="76"/>
      <c r="B338" s="94"/>
      <c r="C338" s="38" t="str">
        <f t="array" ref="C338">IF(B338="","",INDEX(PARAMETROS!$J$2:$J$14,MATCH(B338,PARAMETROS!$G$2:$G$14,0),1))</f>
        <v/>
      </c>
      <c r="D338" s="101"/>
      <c r="E338" s="102"/>
      <c r="F338" s="103"/>
      <c r="G338" s="49" t="str">
        <f t="shared" si="1"/>
        <v/>
      </c>
      <c r="H338" s="76"/>
      <c r="I338" s="103"/>
      <c r="J338" s="58" t="str">
        <f>IF(F338="","", IF(I338="",_xlfn.NETWORKDAYS.INTL(F338,TODAY(),1,FERIADOS),_xlfn.NETWORKDAYS.INTL(F338,I338,1,FERIADOS)))</f>
        <v/>
      </c>
      <c r="K338" s="58" t="str">
        <f t="shared" si="2"/>
        <v/>
      </c>
      <c r="L338" s="58" t="str">
        <f t="shared" si="3"/>
        <v/>
      </c>
    </row>
    <row r="339" ht="21.0" customHeight="1">
      <c r="A339" s="76"/>
      <c r="B339" s="94"/>
      <c r="C339" s="38" t="str">
        <f t="array" ref="C339">IF(B339="","",INDEX(PARAMETROS!$J$2:$J$14,MATCH(B339,PARAMETROS!$G$2:$G$14,0),1))</f>
        <v/>
      </c>
      <c r="D339" s="101"/>
      <c r="E339" s="102"/>
      <c r="F339" s="103"/>
      <c r="G339" s="49" t="str">
        <f t="shared" si="1"/>
        <v/>
      </c>
      <c r="H339" s="76"/>
      <c r="I339" s="103"/>
      <c r="J339" s="58" t="str">
        <f>IF(F339="","", IF(I339="",_xlfn.NETWORKDAYS.INTL(F339,TODAY(),1,FERIADOS),_xlfn.NETWORKDAYS.INTL(F339,I339,1,FERIADOS)))</f>
        <v/>
      </c>
      <c r="K339" s="58" t="str">
        <f t="shared" si="2"/>
        <v/>
      </c>
      <c r="L339" s="58" t="str">
        <f t="shared" si="3"/>
        <v/>
      </c>
    </row>
    <row r="340" ht="21.0" customHeight="1">
      <c r="A340" s="76"/>
      <c r="B340" s="94"/>
      <c r="C340" s="38" t="str">
        <f t="array" ref="C340">IF(B340="","",INDEX(PARAMETROS!$J$2:$J$14,MATCH(B340,PARAMETROS!$G$2:$G$14,0),1))</f>
        <v/>
      </c>
      <c r="D340" s="101"/>
      <c r="E340" s="102"/>
      <c r="F340" s="103"/>
      <c r="G340" s="49" t="str">
        <f t="shared" si="1"/>
        <v/>
      </c>
      <c r="H340" s="76"/>
      <c r="I340" s="103"/>
      <c r="J340" s="58" t="str">
        <f>IF(F340="","", IF(I340="",_xlfn.NETWORKDAYS.INTL(F340,TODAY(),1,FERIADOS),_xlfn.NETWORKDAYS.INTL(F340,I340,1,FERIADOS)))</f>
        <v/>
      </c>
      <c r="K340" s="58" t="str">
        <f t="shared" si="2"/>
        <v/>
      </c>
      <c r="L340" s="58" t="str">
        <f t="shared" si="3"/>
        <v/>
      </c>
    </row>
    <row r="341" ht="21.0" customHeight="1">
      <c r="A341" s="76"/>
      <c r="B341" s="94"/>
      <c r="C341" s="38" t="str">
        <f t="array" ref="C341">IF(B341="","",INDEX(PARAMETROS!$J$2:$J$14,MATCH(B341,PARAMETROS!$G$2:$G$14,0),1))</f>
        <v/>
      </c>
      <c r="D341" s="101"/>
      <c r="E341" s="102"/>
      <c r="F341" s="103"/>
      <c r="G341" s="49" t="str">
        <f t="shared" si="1"/>
        <v/>
      </c>
      <c r="H341" s="76"/>
      <c r="I341" s="103"/>
      <c r="J341" s="58" t="str">
        <f>IF(F341="","", IF(I341="",_xlfn.NETWORKDAYS.INTL(F341,TODAY(),1,FERIADOS),_xlfn.NETWORKDAYS.INTL(F341,I341,1,FERIADOS)))</f>
        <v/>
      </c>
      <c r="K341" s="58" t="str">
        <f t="shared" si="2"/>
        <v/>
      </c>
      <c r="L341" s="58" t="str">
        <f t="shared" si="3"/>
        <v/>
      </c>
    </row>
    <row r="342" ht="21.0" customHeight="1">
      <c r="A342" s="76"/>
      <c r="B342" s="94"/>
      <c r="C342" s="38" t="str">
        <f t="array" ref="C342">IF(B342="","",INDEX(PARAMETROS!$J$2:$J$14,MATCH(B342,PARAMETROS!$G$2:$G$14,0),1))</f>
        <v/>
      </c>
      <c r="D342" s="101"/>
      <c r="E342" s="102"/>
      <c r="F342" s="103"/>
      <c r="G342" s="49" t="str">
        <f t="shared" si="1"/>
        <v/>
      </c>
      <c r="H342" s="76"/>
      <c r="I342" s="103"/>
      <c r="J342" s="58" t="str">
        <f>IF(F342="","", IF(I342="",_xlfn.NETWORKDAYS.INTL(F342,TODAY(),1,FERIADOS),_xlfn.NETWORKDAYS.INTL(F342,I342,1,FERIADOS)))</f>
        <v/>
      </c>
      <c r="K342" s="58" t="str">
        <f t="shared" si="2"/>
        <v/>
      </c>
      <c r="L342" s="58" t="str">
        <f t="shared" si="3"/>
        <v/>
      </c>
    </row>
    <row r="343" ht="21.0" customHeight="1">
      <c r="A343" s="76"/>
      <c r="B343" s="94"/>
      <c r="C343" s="38" t="str">
        <f t="array" ref="C343">IF(B343="","",INDEX(PARAMETROS!$J$2:$J$14,MATCH(B343,PARAMETROS!$G$2:$G$14,0),1))</f>
        <v/>
      </c>
      <c r="D343" s="101"/>
      <c r="E343" s="102"/>
      <c r="F343" s="103"/>
      <c r="G343" s="49" t="str">
        <f t="shared" si="1"/>
        <v/>
      </c>
      <c r="H343" s="76"/>
      <c r="I343" s="103"/>
      <c r="J343" s="58" t="str">
        <f>IF(F343="","", IF(I343="",_xlfn.NETWORKDAYS.INTL(F343,TODAY(),1,FERIADOS),_xlfn.NETWORKDAYS.INTL(F343,I343,1,FERIADOS)))</f>
        <v/>
      </c>
      <c r="K343" s="58" t="str">
        <f t="shared" si="2"/>
        <v/>
      </c>
      <c r="L343" s="58" t="str">
        <f t="shared" si="3"/>
        <v/>
      </c>
    </row>
    <row r="344" ht="21.0" customHeight="1">
      <c r="A344" s="76"/>
      <c r="B344" s="94"/>
      <c r="C344" s="38" t="str">
        <f t="array" ref="C344">IF(B344="","",INDEX(PARAMETROS!$J$2:$J$14,MATCH(B344,PARAMETROS!$G$2:$G$14,0),1))</f>
        <v/>
      </c>
      <c r="D344" s="101"/>
      <c r="E344" s="102"/>
      <c r="F344" s="103"/>
      <c r="G344" s="49" t="str">
        <f t="shared" si="1"/>
        <v/>
      </c>
      <c r="H344" s="76"/>
      <c r="I344" s="103"/>
      <c r="J344" s="58" t="str">
        <f>IF(F344="","", IF(I344="",_xlfn.NETWORKDAYS.INTL(F344,TODAY(),1,FERIADOS),_xlfn.NETWORKDAYS.INTL(F344,I344,1,FERIADOS)))</f>
        <v/>
      </c>
      <c r="K344" s="58" t="str">
        <f t="shared" si="2"/>
        <v/>
      </c>
      <c r="L344" s="58" t="str">
        <f t="shared" si="3"/>
        <v/>
      </c>
    </row>
    <row r="345" ht="21.0" customHeight="1">
      <c r="A345" s="76"/>
      <c r="B345" s="94"/>
      <c r="C345" s="38" t="str">
        <f t="array" ref="C345">IF(B345="","",INDEX(PARAMETROS!$J$2:$J$14,MATCH(B345,PARAMETROS!$G$2:$G$14,0),1))</f>
        <v/>
      </c>
      <c r="D345" s="101"/>
      <c r="E345" s="102"/>
      <c r="F345" s="103"/>
      <c r="G345" s="49" t="str">
        <f t="shared" si="1"/>
        <v/>
      </c>
      <c r="H345" s="76"/>
      <c r="I345" s="103"/>
      <c r="J345" s="58" t="str">
        <f>IF(F345="","", IF(I345="",_xlfn.NETWORKDAYS.INTL(F345,TODAY(),1,FERIADOS),_xlfn.NETWORKDAYS.INTL(F345,I345,1,FERIADOS)))</f>
        <v/>
      </c>
      <c r="K345" s="58" t="str">
        <f t="shared" si="2"/>
        <v/>
      </c>
      <c r="L345" s="58" t="str">
        <f t="shared" si="3"/>
        <v/>
      </c>
    </row>
    <row r="346" ht="21.0" customHeight="1">
      <c r="A346" s="76"/>
      <c r="B346" s="94"/>
      <c r="C346" s="38" t="str">
        <f t="array" ref="C346">IF(B346="","",INDEX(PARAMETROS!$J$2:$J$14,MATCH(B346,PARAMETROS!$G$2:$G$14,0),1))</f>
        <v/>
      </c>
      <c r="D346" s="101"/>
      <c r="E346" s="102"/>
      <c r="F346" s="103"/>
      <c r="G346" s="49" t="str">
        <f t="shared" si="1"/>
        <v/>
      </c>
      <c r="H346" s="76"/>
      <c r="I346" s="103"/>
      <c r="J346" s="58" t="str">
        <f>IF(F346="","", IF(I346="",_xlfn.NETWORKDAYS.INTL(F346,TODAY(),1,FERIADOS),_xlfn.NETWORKDAYS.INTL(F346,I346,1,FERIADOS)))</f>
        <v/>
      </c>
      <c r="K346" s="58" t="str">
        <f t="shared" si="2"/>
        <v/>
      </c>
      <c r="L346" s="58" t="str">
        <f t="shared" si="3"/>
        <v/>
      </c>
    </row>
    <row r="347" ht="21.0" customHeight="1">
      <c r="A347" s="76"/>
      <c r="B347" s="94"/>
      <c r="C347" s="38" t="str">
        <f t="array" ref="C347">IF(B347="","",INDEX(PARAMETROS!$J$2:$J$14,MATCH(B347,PARAMETROS!$G$2:$G$14,0),1))</f>
        <v/>
      </c>
      <c r="D347" s="101"/>
      <c r="E347" s="102"/>
      <c r="F347" s="103"/>
      <c r="G347" s="49" t="str">
        <f t="shared" si="1"/>
        <v/>
      </c>
      <c r="H347" s="76"/>
      <c r="I347" s="103"/>
      <c r="J347" s="58" t="str">
        <f>IF(F347="","", IF(I347="",_xlfn.NETWORKDAYS.INTL(F347,TODAY(),1,FERIADOS),_xlfn.NETWORKDAYS.INTL(F347,I347,1,FERIADOS)))</f>
        <v/>
      </c>
      <c r="K347" s="58" t="str">
        <f t="shared" si="2"/>
        <v/>
      </c>
      <c r="L347" s="58" t="str">
        <f t="shared" si="3"/>
        <v/>
      </c>
    </row>
    <row r="348" ht="21.0" customHeight="1">
      <c r="A348" s="76"/>
      <c r="B348" s="94"/>
      <c r="C348" s="38" t="str">
        <f t="array" ref="C348">IF(B348="","",INDEX(PARAMETROS!$J$2:$J$14,MATCH(B348,PARAMETROS!$G$2:$G$14,0),1))</f>
        <v/>
      </c>
      <c r="D348" s="101"/>
      <c r="E348" s="102"/>
      <c r="F348" s="103"/>
      <c r="G348" s="49" t="str">
        <f t="shared" si="1"/>
        <v/>
      </c>
      <c r="H348" s="76"/>
      <c r="I348" s="103"/>
      <c r="J348" s="58" t="str">
        <f>IF(F348="","", IF(I348="",_xlfn.NETWORKDAYS.INTL(F348,TODAY(),1,FERIADOS),_xlfn.NETWORKDAYS.INTL(F348,I348,1,FERIADOS)))</f>
        <v/>
      </c>
      <c r="K348" s="58" t="str">
        <f t="shared" si="2"/>
        <v/>
      </c>
      <c r="L348" s="58" t="str">
        <f t="shared" si="3"/>
        <v/>
      </c>
    </row>
    <row r="349" ht="21.0" customHeight="1">
      <c r="A349" s="76"/>
      <c r="B349" s="94"/>
      <c r="C349" s="38" t="str">
        <f t="array" ref="C349">IF(B349="","",INDEX(PARAMETROS!$J$2:$J$14,MATCH(B349,PARAMETROS!$G$2:$G$14,0),1))</f>
        <v/>
      </c>
      <c r="D349" s="101"/>
      <c r="E349" s="102"/>
      <c r="F349" s="103"/>
      <c r="G349" s="49" t="str">
        <f t="shared" si="1"/>
        <v/>
      </c>
      <c r="H349" s="76"/>
      <c r="I349" s="103"/>
      <c r="J349" s="58" t="str">
        <f>IF(F349="","", IF(I349="",_xlfn.NETWORKDAYS.INTL(F349,TODAY(),1,FERIADOS),_xlfn.NETWORKDAYS.INTL(F349,I349,1,FERIADOS)))</f>
        <v/>
      </c>
      <c r="K349" s="58" t="str">
        <f t="shared" si="2"/>
        <v/>
      </c>
      <c r="L349" s="58" t="str">
        <f t="shared" si="3"/>
        <v/>
      </c>
    </row>
    <row r="350" ht="21.0" customHeight="1">
      <c r="A350" s="76"/>
      <c r="B350" s="94"/>
      <c r="C350" s="38" t="str">
        <f t="array" ref="C350">IF(B350="","",INDEX(PARAMETROS!$J$2:$J$14,MATCH(B350,PARAMETROS!$G$2:$G$14,0),1))</f>
        <v/>
      </c>
      <c r="D350" s="101"/>
      <c r="E350" s="102"/>
      <c r="F350" s="103"/>
      <c r="G350" s="49" t="str">
        <f t="shared" si="1"/>
        <v/>
      </c>
      <c r="H350" s="76"/>
      <c r="I350" s="103"/>
      <c r="J350" s="58" t="str">
        <f>IF(F350="","", IF(I350="",_xlfn.NETWORKDAYS.INTL(F350,TODAY(),1,FERIADOS),_xlfn.NETWORKDAYS.INTL(F350,I350,1,FERIADOS)))</f>
        <v/>
      </c>
      <c r="K350" s="58" t="str">
        <f t="shared" si="2"/>
        <v/>
      </c>
      <c r="L350" s="58" t="str">
        <f t="shared" si="3"/>
        <v/>
      </c>
    </row>
    <row r="351" ht="21.0" customHeight="1">
      <c r="A351" s="76"/>
      <c r="B351" s="94"/>
      <c r="C351" s="38" t="str">
        <f t="array" ref="C351">IF(B351="","",INDEX(PARAMETROS!$J$2:$J$14,MATCH(B351,PARAMETROS!$G$2:$G$14,0),1))</f>
        <v/>
      </c>
      <c r="D351" s="101"/>
      <c r="E351" s="102"/>
      <c r="F351" s="103"/>
      <c r="G351" s="49" t="str">
        <f t="shared" si="1"/>
        <v/>
      </c>
      <c r="H351" s="76"/>
      <c r="I351" s="103"/>
      <c r="J351" s="58" t="str">
        <f>IF(F351="","", IF(I351="",_xlfn.NETWORKDAYS.INTL(F351,TODAY(),1,FERIADOS),_xlfn.NETWORKDAYS.INTL(F351,I351,1,FERIADOS)))</f>
        <v/>
      </c>
      <c r="K351" s="58" t="str">
        <f t="shared" si="2"/>
        <v/>
      </c>
      <c r="L351" s="58" t="str">
        <f t="shared" si="3"/>
        <v/>
      </c>
    </row>
    <row r="352" ht="21.0" customHeight="1">
      <c r="A352" s="76"/>
      <c r="B352" s="94"/>
      <c r="C352" s="38" t="str">
        <f t="array" ref="C352">IF(B352="","",INDEX(PARAMETROS!$J$2:$J$14,MATCH(B352,PARAMETROS!$G$2:$G$14,0),1))</f>
        <v/>
      </c>
      <c r="D352" s="101"/>
      <c r="E352" s="102"/>
      <c r="F352" s="103"/>
      <c r="G352" s="49" t="str">
        <f t="shared" si="1"/>
        <v/>
      </c>
      <c r="H352" s="76"/>
      <c r="I352" s="103"/>
      <c r="J352" s="58" t="str">
        <f>IF(F352="","", IF(I352="",_xlfn.NETWORKDAYS.INTL(F352,TODAY(),1,FERIADOS),_xlfn.NETWORKDAYS.INTL(F352,I352,1,FERIADOS)))</f>
        <v/>
      </c>
      <c r="K352" s="58" t="str">
        <f t="shared" si="2"/>
        <v/>
      </c>
      <c r="L352" s="58" t="str">
        <f t="shared" si="3"/>
        <v/>
      </c>
    </row>
    <row r="353" ht="21.0" customHeight="1">
      <c r="A353" s="76"/>
      <c r="B353" s="94"/>
      <c r="C353" s="38" t="str">
        <f t="array" ref="C353">IF(B353="","",INDEX(PARAMETROS!$J$2:$J$14,MATCH(B353,PARAMETROS!$G$2:$G$14,0),1))</f>
        <v/>
      </c>
      <c r="D353" s="101"/>
      <c r="E353" s="102"/>
      <c r="F353" s="103"/>
      <c r="G353" s="49" t="str">
        <f t="shared" si="1"/>
        <v/>
      </c>
      <c r="H353" s="76"/>
      <c r="I353" s="103"/>
      <c r="J353" s="58" t="str">
        <f>IF(F353="","", IF(I353="",_xlfn.NETWORKDAYS.INTL(F353,TODAY(),1,FERIADOS),_xlfn.NETWORKDAYS.INTL(F353,I353,1,FERIADOS)))</f>
        <v/>
      </c>
      <c r="K353" s="58" t="str">
        <f t="shared" si="2"/>
        <v/>
      </c>
      <c r="L353" s="58" t="str">
        <f t="shared" si="3"/>
        <v/>
      </c>
    </row>
    <row r="354" ht="21.0" customHeight="1">
      <c r="A354" s="76"/>
      <c r="B354" s="94"/>
      <c r="C354" s="38" t="str">
        <f t="array" ref="C354">IF(B354="","",INDEX(PARAMETROS!$J$2:$J$14,MATCH(B354,PARAMETROS!$G$2:$G$14,0),1))</f>
        <v/>
      </c>
      <c r="D354" s="101"/>
      <c r="E354" s="102"/>
      <c r="F354" s="103"/>
      <c r="G354" s="49" t="str">
        <f t="shared" si="1"/>
        <v/>
      </c>
      <c r="H354" s="76"/>
      <c r="I354" s="103"/>
      <c r="J354" s="58" t="str">
        <f>IF(F354="","", IF(I354="",_xlfn.NETWORKDAYS.INTL(F354,TODAY(),1,FERIADOS),_xlfn.NETWORKDAYS.INTL(F354,I354,1,FERIADOS)))</f>
        <v/>
      </c>
      <c r="K354" s="58" t="str">
        <f t="shared" si="2"/>
        <v/>
      </c>
      <c r="L354" s="58" t="str">
        <f t="shared" si="3"/>
        <v/>
      </c>
    </row>
    <row r="355" ht="21.0" customHeight="1">
      <c r="A355" s="76"/>
      <c r="B355" s="94"/>
      <c r="C355" s="38" t="str">
        <f t="array" ref="C355">IF(B355="","",INDEX(PARAMETROS!$J$2:$J$14,MATCH(B355,PARAMETROS!$G$2:$G$14,0),1))</f>
        <v/>
      </c>
      <c r="D355" s="101"/>
      <c r="E355" s="102"/>
      <c r="F355" s="103"/>
      <c r="G355" s="49" t="str">
        <f t="shared" si="1"/>
        <v/>
      </c>
      <c r="H355" s="76"/>
      <c r="I355" s="103"/>
      <c r="J355" s="58" t="str">
        <f>IF(F355="","", IF(I355="",_xlfn.NETWORKDAYS.INTL(F355,TODAY(),1,FERIADOS),_xlfn.NETWORKDAYS.INTL(F355,I355,1,FERIADOS)))</f>
        <v/>
      </c>
      <c r="K355" s="58" t="str">
        <f t="shared" si="2"/>
        <v/>
      </c>
      <c r="L355" s="58" t="str">
        <f t="shared" si="3"/>
        <v/>
      </c>
    </row>
    <row r="356" ht="21.0" customHeight="1">
      <c r="A356" s="76"/>
      <c r="B356" s="94"/>
      <c r="C356" s="38" t="str">
        <f t="array" ref="C356">IF(B356="","",INDEX(PARAMETROS!$J$2:$J$14,MATCH(B356,PARAMETROS!$G$2:$G$14,0),1))</f>
        <v/>
      </c>
      <c r="D356" s="101"/>
      <c r="E356" s="102"/>
      <c r="F356" s="103"/>
      <c r="G356" s="49" t="str">
        <f t="shared" si="1"/>
        <v/>
      </c>
      <c r="H356" s="76"/>
      <c r="I356" s="103"/>
      <c r="J356" s="58" t="str">
        <f>IF(F356="","", IF(I356="",_xlfn.NETWORKDAYS.INTL(F356,TODAY(),1,FERIADOS),_xlfn.NETWORKDAYS.INTL(F356,I356,1,FERIADOS)))</f>
        <v/>
      </c>
      <c r="K356" s="58" t="str">
        <f t="shared" si="2"/>
        <v/>
      </c>
      <c r="L356" s="58" t="str">
        <f t="shared" si="3"/>
        <v/>
      </c>
    </row>
    <row r="357" ht="21.0" customHeight="1">
      <c r="A357" s="76"/>
      <c r="B357" s="94"/>
      <c r="C357" s="38" t="str">
        <f t="array" ref="C357">IF(B357="","",INDEX(PARAMETROS!$J$2:$J$14,MATCH(B357,PARAMETROS!$G$2:$G$14,0),1))</f>
        <v/>
      </c>
      <c r="D357" s="101"/>
      <c r="E357" s="102"/>
      <c r="F357" s="103"/>
      <c r="G357" s="49" t="str">
        <f t="shared" si="1"/>
        <v/>
      </c>
      <c r="H357" s="76"/>
      <c r="I357" s="103"/>
      <c r="J357" s="58" t="str">
        <f>IF(F357="","", IF(I357="",_xlfn.NETWORKDAYS.INTL(F357,TODAY(),1,FERIADOS),_xlfn.NETWORKDAYS.INTL(F357,I357,1,FERIADOS)))</f>
        <v/>
      </c>
      <c r="K357" s="58" t="str">
        <f t="shared" si="2"/>
        <v/>
      </c>
      <c r="L357" s="58" t="str">
        <f t="shared" si="3"/>
        <v/>
      </c>
    </row>
    <row r="358" ht="21.0" customHeight="1">
      <c r="A358" s="76"/>
      <c r="B358" s="94"/>
      <c r="C358" s="38" t="str">
        <f t="array" ref="C358">IF(B358="","",INDEX(PARAMETROS!$J$2:$J$14,MATCH(B358,PARAMETROS!$G$2:$G$14,0),1))</f>
        <v/>
      </c>
      <c r="D358" s="101"/>
      <c r="E358" s="102"/>
      <c r="F358" s="103"/>
      <c r="G358" s="49" t="str">
        <f t="shared" si="1"/>
        <v/>
      </c>
      <c r="H358" s="76"/>
      <c r="I358" s="103"/>
      <c r="J358" s="58" t="str">
        <f>IF(F358="","", IF(I358="",_xlfn.NETWORKDAYS.INTL(F358,TODAY(),1,FERIADOS),_xlfn.NETWORKDAYS.INTL(F358,I358,1,FERIADOS)))</f>
        <v/>
      </c>
      <c r="K358" s="58" t="str">
        <f t="shared" si="2"/>
        <v/>
      </c>
      <c r="L358" s="58" t="str">
        <f t="shared" si="3"/>
        <v/>
      </c>
    </row>
    <row r="359" ht="21.0" customHeight="1">
      <c r="A359" s="76"/>
      <c r="B359" s="94"/>
      <c r="C359" s="38" t="str">
        <f t="array" ref="C359">IF(B359="","",INDEX(PARAMETROS!$J$2:$J$14,MATCH(B359,PARAMETROS!$G$2:$G$14,0),1))</f>
        <v/>
      </c>
      <c r="D359" s="101"/>
      <c r="E359" s="102"/>
      <c r="F359" s="103"/>
      <c r="G359" s="49" t="str">
        <f t="shared" si="1"/>
        <v/>
      </c>
      <c r="H359" s="76"/>
      <c r="I359" s="103"/>
      <c r="J359" s="58" t="str">
        <f>IF(F359="","", IF(I359="",_xlfn.NETWORKDAYS.INTL(F359,TODAY(),1,FERIADOS),_xlfn.NETWORKDAYS.INTL(F359,I359,1,FERIADOS)))</f>
        <v/>
      </c>
      <c r="K359" s="58" t="str">
        <f t="shared" si="2"/>
        <v/>
      </c>
      <c r="L359" s="58" t="str">
        <f t="shared" si="3"/>
        <v/>
      </c>
    </row>
    <row r="360" ht="21.0" customHeight="1">
      <c r="A360" s="76"/>
      <c r="B360" s="94"/>
      <c r="C360" s="38" t="str">
        <f t="array" ref="C360">IF(B360="","",INDEX(PARAMETROS!$J$2:$J$14,MATCH(B360,PARAMETROS!$G$2:$G$14,0),1))</f>
        <v/>
      </c>
      <c r="D360" s="101"/>
      <c r="E360" s="102"/>
      <c r="F360" s="103"/>
      <c r="G360" s="49" t="str">
        <f t="shared" si="1"/>
        <v/>
      </c>
      <c r="H360" s="76"/>
      <c r="I360" s="103"/>
      <c r="J360" s="58" t="str">
        <f>IF(F360="","", IF(I360="",_xlfn.NETWORKDAYS.INTL(F360,TODAY(),1,FERIADOS),_xlfn.NETWORKDAYS.INTL(F360,I360,1,FERIADOS)))</f>
        <v/>
      </c>
      <c r="K360" s="58" t="str">
        <f t="shared" si="2"/>
        <v/>
      </c>
      <c r="L360" s="58" t="str">
        <f t="shared" si="3"/>
        <v/>
      </c>
    </row>
    <row r="361" ht="21.0" customHeight="1">
      <c r="A361" s="76"/>
      <c r="B361" s="94"/>
      <c r="C361" s="38" t="str">
        <f t="array" ref="C361">IF(B361="","",INDEX(PARAMETROS!$J$2:$J$14,MATCH(B361,PARAMETROS!$G$2:$G$14,0),1))</f>
        <v/>
      </c>
      <c r="D361" s="101"/>
      <c r="E361" s="102"/>
      <c r="F361" s="103"/>
      <c r="G361" s="49" t="str">
        <f t="shared" si="1"/>
        <v/>
      </c>
      <c r="H361" s="76"/>
      <c r="I361" s="103"/>
      <c r="J361" s="58" t="str">
        <f>IF(F361="","", IF(I361="",_xlfn.NETWORKDAYS.INTL(F361,TODAY(),1,FERIADOS),_xlfn.NETWORKDAYS.INTL(F361,I361,1,FERIADOS)))</f>
        <v/>
      </c>
      <c r="K361" s="58" t="str">
        <f t="shared" si="2"/>
        <v/>
      </c>
      <c r="L361" s="58" t="str">
        <f t="shared" si="3"/>
        <v/>
      </c>
    </row>
    <row r="362" ht="21.0" customHeight="1">
      <c r="A362" s="76"/>
      <c r="B362" s="94"/>
      <c r="C362" s="38" t="str">
        <f t="array" ref="C362">IF(B362="","",INDEX(PARAMETROS!$J$2:$J$14,MATCH(B362,PARAMETROS!$G$2:$G$14,0),1))</f>
        <v/>
      </c>
      <c r="D362" s="101"/>
      <c r="E362" s="102"/>
      <c r="F362" s="103"/>
      <c r="G362" s="49" t="str">
        <f t="shared" si="1"/>
        <v/>
      </c>
      <c r="H362" s="76"/>
      <c r="I362" s="103"/>
      <c r="J362" s="58" t="str">
        <f>IF(F362="","", IF(I362="",_xlfn.NETWORKDAYS.INTL(F362,TODAY(),1,FERIADOS),_xlfn.NETWORKDAYS.INTL(F362,I362,1,FERIADOS)))</f>
        <v/>
      </c>
      <c r="K362" s="58" t="str">
        <f t="shared" si="2"/>
        <v/>
      </c>
      <c r="L362" s="58" t="str">
        <f t="shared" si="3"/>
        <v/>
      </c>
    </row>
    <row r="363" ht="21.0" customHeight="1">
      <c r="A363" s="76"/>
      <c r="B363" s="94"/>
      <c r="C363" s="38" t="str">
        <f t="array" ref="C363">IF(B363="","",INDEX(PARAMETROS!$J$2:$J$14,MATCH(B363,PARAMETROS!$G$2:$G$14,0),1))</f>
        <v/>
      </c>
      <c r="D363" s="101"/>
      <c r="E363" s="102"/>
      <c r="F363" s="103"/>
      <c r="G363" s="49" t="str">
        <f t="shared" si="1"/>
        <v/>
      </c>
      <c r="H363" s="76"/>
      <c r="I363" s="103"/>
      <c r="J363" s="58" t="str">
        <f>IF(F363="","", IF(I363="",_xlfn.NETWORKDAYS.INTL(F363,TODAY(),1,FERIADOS),_xlfn.NETWORKDAYS.INTL(F363,I363,1,FERIADOS)))</f>
        <v/>
      </c>
      <c r="K363" s="58" t="str">
        <f t="shared" si="2"/>
        <v/>
      </c>
      <c r="L363" s="58" t="str">
        <f t="shared" si="3"/>
        <v/>
      </c>
    </row>
    <row r="364" ht="21.0" customHeight="1">
      <c r="A364" s="76"/>
      <c r="B364" s="94"/>
      <c r="C364" s="38" t="str">
        <f t="array" ref="C364">IF(B364="","",INDEX(PARAMETROS!$J$2:$J$14,MATCH(B364,PARAMETROS!$G$2:$G$14,0),1))</f>
        <v/>
      </c>
      <c r="D364" s="101"/>
      <c r="E364" s="102"/>
      <c r="F364" s="103"/>
      <c r="G364" s="49" t="str">
        <f t="shared" si="1"/>
        <v/>
      </c>
      <c r="H364" s="76"/>
      <c r="I364" s="103"/>
      <c r="J364" s="58" t="str">
        <f>IF(F364="","", IF(I364="",_xlfn.NETWORKDAYS.INTL(F364,TODAY(),1,FERIADOS),_xlfn.NETWORKDAYS.INTL(F364,I364,1,FERIADOS)))</f>
        <v/>
      </c>
      <c r="K364" s="58" t="str">
        <f t="shared" si="2"/>
        <v/>
      </c>
      <c r="L364" s="58" t="str">
        <f t="shared" si="3"/>
        <v/>
      </c>
    </row>
    <row r="365" ht="21.0" customHeight="1">
      <c r="A365" s="76"/>
      <c r="B365" s="94"/>
      <c r="C365" s="38" t="str">
        <f t="array" ref="C365">IF(B365="","",INDEX(PARAMETROS!$J$2:$J$14,MATCH(B365,PARAMETROS!$G$2:$G$14,0),1))</f>
        <v/>
      </c>
      <c r="D365" s="101"/>
      <c r="E365" s="102"/>
      <c r="F365" s="103"/>
      <c r="G365" s="49" t="str">
        <f t="shared" si="1"/>
        <v/>
      </c>
      <c r="H365" s="76"/>
      <c r="I365" s="103"/>
      <c r="J365" s="58" t="str">
        <f>IF(F365="","", IF(I365="",_xlfn.NETWORKDAYS.INTL(F365,TODAY(),1,FERIADOS),_xlfn.NETWORKDAYS.INTL(F365,I365,1,FERIADOS)))</f>
        <v/>
      </c>
      <c r="K365" s="58" t="str">
        <f t="shared" si="2"/>
        <v/>
      </c>
      <c r="L365" s="58" t="str">
        <f t="shared" si="3"/>
        <v/>
      </c>
    </row>
    <row r="366" ht="21.0" customHeight="1">
      <c r="A366" s="76"/>
      <c r="B366" s="94"/>
      <c r="C366" s="38" t="str">
        <f t="array" ref="C366">IF(B366="","",INDEX(PARAMETROS!$J$2:$J$14,MATCH(B366,PARAMETROS!$G$2:$G$14,0),1))</f>
        <v/>
      </c>
      <c r="D366" s="101"/>
      <c r="E366" s="102"/>
      <c r="F366" s="103"/>
      <c r="G366" s="49" t="str">
        <f t="shared" si="1"/>
        <v/>
      </c>
      <c r="H366" s="76"/>
      <c r="I366" s="103"/>
      <c r="J366" s="58" t="str">
        <f>IF(F366="","", IF(I366="",_xlfn.NETWORKDAYS.INTL(F366,TODAY(),1,FERIADOS),_xlfn.NETWORKDAYS.INTL(F366,I366,1,FERIADOS)))</f>
        <v/>
      </c>
      <c r="K366" s="58" t="str">
        <f t="shared" si="2"/>
        <v/>
      </c>
      <c r="L366" s="58" t="str">
        <f t="shared" si="3"/>
        <v/>
      </c>
    </row>
    <row r="367" ht="21.0" customHeight="1">
      <c r="A367" s="76"/>
      <c r="B367" s="94"/>
      <c r="C367" s="38" t="str">
        <f t="array" ref="C367">IF(B367="","",INDEX(PARAMETROS!$J$2:$J$14,MATCH(B367,PARAMETROS!$G$2:$G$14,0),1))</f>
        <v/>
      </c>
      <c r="D367" s="101"/>
      <c r="E367" s="102"/>
      <c r="F367" s="103"/>
      <c r="G367" s="49" t="str">
        <f t="shared" si="1"/>
        <v/>
      </c>
      <c r="H367" s="76"/>
      <c r="I367" s="103"/>
      <c r="J367" s="58" t="str">
        <f>IF(F367="","", IF(I367="",_xlfn.NETWORKDAYS.INTL(F367,TODAY(),1,FERIADOS),_xlfn.NETWORKDAYS.INTL(F367,I367,1,FERIADOS)))</f>
        <v/>
      </c>
      <c r="K367" s="58" t="str">
        <f t="shared" si="2"/>
        <v/>
      </c>
      <c r="L367" s="58" t="str">
        <f t="shared" si="3"/>
        <v/>
      </c>
    </row>
    <row r="368" ht="21.0" customHeight="1">
      <c r="A368" s="76"/>
      <c r="B368" s="94"/>
      <c r="C368" s="38" t="str">
        <f t="array" ref="C368">IF(B368="","",INDEX(PARAMETROS!$J$2:$J$14,MATCH(B368,PARAMETROS!$G$2:$G$14,0),1))</f>
        <v/>
      </c>
      <c r="D368" s="101"/>
      <c r="E368" s="102"/>
      <c r="F368" s="103"/>
      <c r="G368" s="49" t="str">
        <f t="shared" si="1"/>
        <v/>
      </c>
      <c r="H368" s="76"/>
      <c r="I368" s="103"/>
      <c r="J368" s="58" t="str">
        <f>IF(F368="","", IF(I368="",_xlfn.NETWORKDAYS.INTL(F368,TODAY(),1,FERIADOS),_xlfn.NETWORKDAYS.INTL(F368,I368,1,FERIADOS)))</f>
        <v/>
      </c>
      <c r="K368" s="58" t="str">
        <f t="shared" si="2"/>
        <v/>
      </c>
      <c r="L368" s="58" t="str">
        <f t="shared" si="3"/>
        <v/>
      </c>
    </row>
    <row r="369" ht="21.0" customHeight="1">
      <c r="A369" s="76"/>
      <c r="B369" s="94"/>
      <c r="C369" s="38" t="str">
        <f t="array" ref="C369">IF(B369="","",INDEX(PARAMETROS!$J$2:$J$14,MATCH(B369,PARAMETROS!$G$2:$G$14,0),1))</f>
        <v/>
      </c>
      <c r="D369" s="101"/>
      <c r="E369" s="102"/>
      <c r="F369" s="103"/>
      <c r="G369" s="49" t="str">
        <f t="shared" si="1"/>
        <v/>
      </c>
      <c r="H369" s="76"/>
      <c r="I369" s="103"/>
      <c r="J369" s="58" t="str">
        <f>IF(F369="","", IF(I369="",_xlfn.NETWORKDAYS.INTL(F369,TODAY(),1,FERIADOS),_xlfn.NETWORKDAYS.INTL(F369,I369,1,FERIADOS)))</f>
        <v/>
      </c>
      <c r="K369" s="58" t="str">
        <f t="shared" si="2"/>
        <v/>
      </c>
      <c r="L369" s="58" t="str">
        <f t="shared" si="3"/>
        <v/>
      </c>
    </row>
    <row r="370" ht="21.0" customHeight="1">
      <c r="A370" s="76"/>
      <c r="B370" s="94"/>
      <c r="C370" s="38" t="str">
        <f t="array" ref="C370">IF(B370="","",INDEX(PARAMETROS!$J$2:$J$14,MATCH(B370,PARAMETROS!$G$2:$G$14,0),1))</f>
        <v/>
      </c>
      <c r="D370" s="101"/>
      <c r="E370" s="102"/>
      <c r="F370" s="103"/>
      <c r="G370" s="49" t="str">
        <f t="shared" si="1"/>
        <v/>
      </c>
      <c r="H370" s="76"/>
      <c r="I370" s="103"/>
      <c r="J370" s="58" t="str">
        <f>IF(F370="","", IF(I370="",_xlfn.NETWORKDAYS.INTL(F370,TODAY(),1,FERIADOS),_xlfn.NETWORKDAYS.INTL(F370,I370,1,FERIADOS)))</f>
        <v/>
      </c>
      <c r="K370" s="58" t="str">
        <f t="shared" si="2"/>
        <v/>
      </c>
      <c r="L370" s="58" t="str">
        <f t="shared" si="3"/>
        <v/>
      </c>
    </row>
    <row r="371" ht="21.0" customHeight="1">
      <c r="A371" s="76"/>
      <c r="B371" s="94"/>
      <c r="C371" s="38" t="str">
        <f t="array" ref="C371">IF(B371="","",INDEX(PARAMETROS!$J$2:$J$14,MATCH(B371,PARAMETROS!$G$2:$G$14,0),1))</f>
        <v/>
      </c>
      <c r="D371" s="101"/>
      <c r="E371" s="102"/>
      <c r="F371" s="103"/>
      <c r="G371" s="49" t="str">
        <f t="shared" si="1"/>
        <v/>
      </c>
      <c r="H371" s="76"/>
      <c r="I371" s="103"/>
      <c r="J371" s="58" t="str">
        <f>IF(F371="","", IF(I371="",_xlfn.NETWORKDAYS.INTL(F371,TODAY(),1,FERIADOS),_xlfn.NETWORKDAYS.INTL(F371,I371,1,FERIADOS)))</f>
        <v/>
      </c>
      <c r="K371" s="58" t="str">
        <f t="shared" si="2"/>
        <v/>
      </c>
      <c r="L371" s="58" t="str">
        <f t="shared" si="3"/>
        <v/>
      </c>
    </row>
    <row r="372" ht="21.0" customHeight="1">
      <c r="A372" s="76"/>
      <c r="B372" s="94"/>
      <c r="C372" s="38" t="str">
        <f t="array" ref="C372">IF(B372="","",INDEX(PARAMETROS!$J$2:$J$14,MATCH(B372,PARAMETROS!$G$2:$G$14,0),1))</f>
        <v/>
      </c>
      <c r="D372" s="101"/>
      <c r="E372" s="102"/>
      <c r="F372" s="103"/>
      <c r="G372" s="49" t="str">
        <f t="shared" si="1"/>
        <v/>
      </c>
      <c r="H372" s="76"/>
      <c r="I372" s="103"/>
      <c r="J372" s="58" t="str">
        <f>IF(F372="","", IF(I372="",_xlfn.NETWORKDAYS.INTL(F372,TODAY(),1,FERIADOS),_xlfn.NETWORKDAYS.INTL(F372,I372,1,FERIADOS)))</f>
        <v/>
      </c>
      <c r="K372" s="58" t="str">
        <f t="shared" si="2"/>
        <v/>
      </c>
      <c r="L372" s="58" t="str">
        <f t="shared" si="3"/>
        <v/>
      </c>
    </row>
    <row r="373" ht="21.0" customHeight="1">
      <c r="A373" s="76"/>
      <c r="B373" s="94"/>
      <c r="C373" s="38" t="str">
        <f t="array" ref="C373">IF(B373="","",INDEX(PARAMETROS!$J$2:$J$14,MATCH(B373,PARAMETROS!$G$2:$G$14,0),1))</f>
        <v/>
      </c>
      <c r="D373" s="101"/>
      <c r="E373" s="102"/>
      <c r="F373" s="103"/>
      <c r="G373" s="49" t="str">
        <f t="shared" si="1"/>
        <v/>
      </c>
      <c r="H373" s="76"/>
      <c r="I373" s="103"/>
      <c r="J373" s="58" t="str">
        <f>IF(F373="","", IF(I373="",_xlfn.NETWORKDAYS.INTL(F373,TODAY(),1,FERIADOS),_xlfn.NETWORKDAYS.INTL(F373,I373,1,FERIADOS)))</f>
        <v/>
      </c>
      <c r="K373" s="58" t="str">
        <f t="shared" si="2"/>
        <v/>
      </c>
      <c r="L373" s="58" t="str">
        <f t="shared" si="3"/>
        <v/>
      </c>
    </row>
    <row r="374" ht="21.0" customHeight="1">
      <c r="A374" s="76"/>
      <c r="B374" s="94"/>
      <c r="C374" s="38" t="str">
        <f t="array" ref="C374">IF(B374="","",INDEX(PARAMETROS!$J$2:$J$14,MATCH(B374,PARAMETROS!$G$2:$G$14,0),1))</f>
        <v/>
      </c>
      <c r="D374" s="101"/>
      <c r="E374" s="102"/>
      <c r="F374" s="103"/>
      <c r="G374" s="49" t="str">
        <f t="shared" si="1"/>
        <v/>
      </c>
      <c r="H374" s="76"/>
      <c r="I374" s="103"/>
      <c r="J374" s="58" t="str">
        <f>IF(F374="","", IF(I374="",_xlfn.NETWORKDAYS.INTL(F374,TODAY(),1,FERIADOS),_xlfn.NETWORKDAYS.INTL(F374,I374,1,FERIADOS)))</f>
        <v/>
      </c>
      <c r="K374" s="58" t="str">
        <f t="shared" si="2"/>
        <v/>
      </c>
      <c r="L374" s="58" t="str">
        <f t="shared" si="3"/>
        <v/>
      </c>
    </row>
    <row r="375" ht="21.0" customHeight="1">
      <c r="A375" s="76"/>
      <c r="B375" s="94"/>
      <c r="C375" s="38" t="str">
        <f t="array" ref="C375">IF(B375="","",INDEX(PARAMETROS!$J$2:$J$14,MATCH(B375,PARAMETROS!$G$2:$G$14,0),1))</f>
        <v/>
      </c>
      <c r="D375" s="101"/>
      <c r="E375" s="102"/>
      <c r="F375" s="103"/>
      <c r="G375" s="49" t="str">
        <f t="shared" si="1"/>
        <v/>
      </c>
      <c r="H375" s="76"/>
      <c r="I375" s="103"/>
      <c r="J375" s="58" t="str">
        <f>IF(F375="","", IF(I375="",_xlfn.NETWORKDAYS.INTL(F375,TODAY(),1,FERIADOS),_xlfn.NETWORKDAYS.INTL(F375,I375,1,FERIADOS)))</f>
        <v/>
      </c>
      <c r="K375" s="58" t="str">
        <f t="shared" si="2"/>
        <v/>
      </c>
      <c r="L375" s="58" t="str">
        <f t="shared" si="3"/>
        <v/>
      </c>
    </row>
    <row r="376" ht="21.0" customHeight="1">
      <c r="A376" s="76"/>
      <c r="B376" s="94"/>
      <c r="C376" s="38" t="str">
        <f t="array" ref="C376">IF(B376="","",INDEX(PARAMETROS!$J$2:$J$14,MATCH(B376,PARAMETROS!$G$2:$G$14,0),1))</f>
        <v/>
      </c>
      <c r="D376" s="101"/>
      <c r="E376" s="102"/>
      <c r="F376" s="103"/>
      <c r="G376" s="49" t="str">
        <f t="shared" si="1"/>
        <v/>
      </c>
      <c r="H376" s="76"/>
      <c r="I376" s="103"/>
      <c r="J376" s="58" t="str">
        <f>IF(F376="","", IF(I376="",_xlfn.NETWORKDAYS.INTL(F376,TODAY(),1,FERIADOS),_xlfn.NETWORKDAYS.INTL(F376,I376,1,FERIADOS)))</f>
        <v/>
      </c>
      <c r="K376" s="58" t="str">
        <f t="shared" si="2"/>
        <v/>
      </c>
      <c r="L376" s="58" t="str">
        <f t="shared" si="3"/>
        <v/>
      </c>
    </row>
    <row r="377" ht="21.0" customHeight="1">
      <c r="A377" s="76"/>
      <c r="B377" s="94"/>
      <c r="C377" s="38" t="str">
        <f t="array" ref="C377">IF(B377="","",INDEX(PARAMETROS!$J$2:$J$14,MATCH(B377,PARAMETROS!$G$2:$G$14,0),1))</f>
        <v/>
      </c>
      <c r="D377" s="101"/>
      <c r="E377" s="102"/>
      <c r="F377" s="103"/>
      <c r="G377" s="49" t="str">
        <f t="shared" si="1"/>
        <v/>
      </c>
      <c r="H377" s="76"/>
      <c r="I377" s="103"/>
      <c r="J377" s="58" t="str">
        <f>IF(F377="","", IF(I377="",_xlfn.NETWORKDAYS.INTL(F377,TODAY(),1,FERIADOS),_xlfn.NETWORKDAYS.INTL(F377,I377,1,FERIADOS)))</f>
        <v/>
      </c>
      <c r="K377" s="58" t="str">
        <f t="shared" si="2"/>
        <v/>
      </c>
      <c r="L377" s="58" t="str">
        <f t="shared" si="3"/>
        <v/>
      </c>
    </row>
    <row r="378" ht="21.0" customHeight="1">
      <c r="A378" s="76"/>
      <c r="B378" s="94"/>
      <c r="C378" s="38" t="str">
        <f t="array" ref="C378">IF(B378="","",INDEX(PARAMETROS!$J$2:$J$14,MATCH(B378,PARAMETROS!$G$2:$G$14,0),1))</f>
        <v/>
      </c>
      <c r="D378" s="101"/>
      <c r="E378" s="102"/>
      <c r="F378" s="103"/>
      <c r="G378" s="49" t="str">
        <f t="shared" si="1"/>
        <v/>
      </c>
      <c r="H378" s="76"/>
      <c r="I378" s="103"/>
      <c r="J378" s="58" t="str">
        <f>IF(F378="","", IF(I378="",_xlfn.NETWORKDAYS.INTL(F378,TODAY(),1,FERIADOS),_xlfn.NETWORKDAYS.INTL(F378,I378,1,FERIADOS)))</f>
        <v/>
      </c>
      <c r="K378" s="58" t="str">
        <f t="shared" si="2"/>
        <v/>
      </c>
      <c r="L378" s="58" t="str">
        <f t="shared" si="3"/>
        <v/>
      </c>
    </row>
    <row r="379" ht="21.0" customHeight="1">
      <c r="A379" s="76"/>
      <c r="B379" s="94"/>
      <c r="C379" s="38" t="str">
        <f t="array" ref="C379">IF(B379="","",INDEX(PARAMETROS!$J$2:$J$14,MATCH(B379,PARAMETROS!$G$2:$G$14,0),1))</f>
        <v/>
      </c>
      <c r="D379" s="101"/>
      <c r="E379" s="102"/>
      <c r="F379" s="103"/>
      <c r="G379" s="49" t="str">
        <f t="shared" si="1"/>
        <v/>
      </c>
      <c r="H379" s="76"/>
      <c r="I379" s="103"/>
      <c r="J379" s="58" t="str">
        <f>IF(F379="","", IF(I379="",_xlfn.NETWORKDAYS.INTL(F379,TODAY(),1,FERIADOS),_xlfn.NETWORKDAYS.INTL(F379,I379,1,FERIADOS)))</f>
        <v/>
      </c>
      <c r="K379" s="58" t="str">
        <f t="shared" si="2"/>
        <v/>
      </c>
      <c r="L379" s="58" t="str">
        <f t="shared" si="3"/>
        <v/>
      </c>
    </row>
    <row r="380" ht="21.0" customHeight="1">
      <c r="A380" s="76"/>
      <c r="B380" s="94"/>
      <c r="C380" s="38" t="str">
        <f t="array" ref="C380">IF(B380="","",INDEX(PARAMETROS!$J$2:$J$14,MATCH(B380,PARAMETROS!$G$2:$G$14,0),1))</f>
        <v/>
      </c>
      <c r="D380" s="101"/>
      <c r="E380" s="102"/>
      <c r="F380" s="103"/>
      <c r="G380" s="49" t="str">
        <f t="shared" si="1"/>
        <v/>
      </c>
      <c r="H380" s="76"/>
      <c r="I380" s="103"/>
      <c r="J380" s="58" t="str">
        <f>IF(F380="","", IF(I380="",_xlfn.NETWORKDAYS.INTL(F380,TODAY(),1,FERIADOS),_xlfn.NETWORKDAYS.INTL(F380,I380,1,FERIADOS)))</f>
        <v/>
      </c>
      <c r="K380" s="58" t="str">
        <f t="shared" si="2"/>
        <v/>
      </c>
      <c r="L380" s="58" t="str">
        <f t="shared" si="3"/>
        <v/>
      </c>
    </row>
    <row r="381" ht="21.0" customHeight="1">
      <c r="A381" s="76"/>
      <c r="B381" s="94"/>
      <c r="C381" s="38" t="str">
        <f t="array" ref="C381">IF(B381="","",INDEX(PARAMETROS!$J$2:$J$14,MATCH(B381,PARAMETROS!$G$2:$G$14,0),1))</f>
        <v/>
      </c>
      <c r="D381" s="101"/>
      <c r="E381" s="102"/>
      <c r="F381" s="103"/>
      <c r="G381" s="49" t="str">
        <f t="shared" si="1"/>
        <v/>
      </c>
      <c r="H381" s="76"/>
      <c r="I381" s="103"/>
      <c r="J381" s="58" t="str">
        <f>IF(F381="","", IF(I381="",_xlfn.NETWORKDAYS.INTL(F381,TODAY(),1,FERIADOS),_xlfn.NETWORKDAYS.INTL(F381,I381,1,FERIADOS)))</f>
        <v/>
      </c>
      <c r="K381" s="58" t="str">
        <f t="shared" si="2"/>
        <v/>
      </c>
      <c r="L381" s="58" t="str">
        <f t="shared" si="3"/>
        <v/>
      </c>
    </row>
    <row r="382" ht="21.0" customHeight="1">
      <c r="A382" s="76"/>
      <c r="B382" s="94"/>
      <c r="C382" s="38" t="str">
        <f t="array" ref="C382">IF(B382="","",INDEX(PARAMETROS!$J$2:$J$14,MATCH(B382,PARAMETROS!$G$2:$G$14,0),1))</f>
        <v/>
      </c>
      <c r="D382" s="101"/>
      <c r="E382" s="102"/>
      <c r="F382" s="103"/>
      <c r="G382" s="49" t="str">
        <f t="shared" si="1"/>
        <v/>
      </c>
      <c r="H382" s="76"/>
      <c r="I382" s="103"/>
      <c r="J382" s="58" t="str">
        <f>IF(F382="","", IF(I382="",_xlfn.NETWORKDAYS.INTL(F382,TODAY(),1,FERIADOS),_xlfn.NETWORKDAYS.INTL(F382,I382,1,FERIADOS)))</f>
        <v/>
      </c>
      <c r="K382" s="58" t="str">
        <f t="shared" si="2"/>
        <v/>
      </c>
      <c r="L382" s="58" t="str">
        <f t="shared" si="3"/>
        <v/>
      </c>
    </row>
    <row r="383" ht="21.0" customHeight="1">
      <c r="A383" s="76"/>
      <c r="B383" s="94"/>
      <c r="C383" s="38" t="str">
        <f t="array" ref="C383">IF(B383="","",INDEX(PARAMETROS!$J$2:$J$14,MATCH(B383,PARAMETROS!$G$2:$G$14,0),1))</f>
        <v/>
      </c>
      <c r="D383" s="101"/>
      <c r="E383" s="102"/>
      <c r="F383" s="103"/>
      <c r="G383" s="49" t="str">
        <f t="shared" si="1"/>
        <v/>
      </c>
      <c r="H383" s="76"/>
      <c r="I383" s="103"/>
      <c r="J383" s="58" t="str">
        <f>IF(F383="","", IF(I383="",_xlfn.NETWORKDAYS.INTL(F383,TODAY(),1,FERIADOS),_xlfn.NETWORKDAYS.INTL(F383,I383,1,FERIADOS)))</f>
        <v/>
      </c>
      <c r="K383" s="58" t="str">
        <f t="shared" si="2"/>
        <v/>
      </c>
      <c r="L383" s="58" t="str">
        <f t="shared" si="3"/>
        <v/>
      </c>
    </row>
    <row r="384" ht="21.0" customHeight="1">
      <c r="A384" s="76"/>
      <c r="B384" s="94"/>
      <c r="C384" s="38" t="str">
        <f t="array" ref="C384">IF(B384="","",INDEX(PARAMETROS!$J$2:$J$14,MATCH(B384,PARAMETROS!$G$2:$G$14,0),1))</f>
        <v/>
      </c>
      <c r="D384" s="101"/>
      <c r="E384" s="102"/>
      <c r="F384" s="103"/>
      <c r="G384" s="49" t="str">
        <f t="shared" si="1"/>
        <v/>
      </c>
      <c r="H384" s="76"/>
      <c r="I384" s="103"/>
      <c r="J384" s="58" t="str">
        <f>IF(F384="","", IF(I384="",_xlfn.NETWORKDAYS.INTL(F384,TODAY(),1,FERIADOS),_xlfn.NETWORKDAYS.INTL(F384,I384,1,FERIADOS)))</f>
        <v/>
      </c>
      <c r="K384" s="58" t="str">
        <f t="shared" si="2"/>
        <v/>
      </c>
      <c r="L384" s="58" t="str">
        <f t="shared" si="3"/>
        <v/>
      </c>
    </row>
    <row r="385" ht="21.0" customHeight="1">
      <c r="A385" s="76"/>
      <c r="B385" s="94"/>
      <c r="C385" s="38" t="str">
        <f t="array" ref="C385">IF(B385="","",INDEX(PARAMETROS!$J$2:$J$14,MATCH(B385,PARAMETROS!$G$2:$G$14,0),1))</f>
        <v/>
      </c>
      <c r="D385" s="101"/>
      <c r="E385" s="102"/>
      <c r="F385" s="103"/>
      <c r="G385" s="49" t="str">
        <f t="shared" si="1"/>
        <v/>
      </c>
      <c r="H385" s="76"/>
      <c r="I385" s="103"/>
      <c r="J385" s="58" t="str">
        <f>IF(F385="","", IF(I385="",_xlfn.NETWORKDAYS.INTL(F385,TODAY(),1,FERIADOS),_xlfn.NETWORKDAYS.INTL(F385,I385,1,FERIADOS)))</f>
        <v/>
      </c>
      <c r="K385" s="58" t="str">
        <f t="shared" si="2"/>
        <v/>
      </c>
      <c r="L385" s="58" t="str">
        <f t="shared" si="3"/>
        <v/>
      </c>
    </row>
    <row r="386" ht="21.0" customHeight="1">
      <c r="A386" s="76"/>
      <c r="B386" s="94"/>
      <c r="C386" s="38" t="str">
        <f t="array" ref="C386">IF(B386="","",INDEX(PARAMETROS!$J$2:$J$14,MATCH(B386,PARAMETROS!$G$2:$G$14,0),1))</f>
        <v/>
      </c>
      <c r="D386" s="101"/>
      <c r="E386" s="102"/>
      <c r="F386" s="103"/>
      <c r="G386" s="49" t="str">
        <f t="shared" si="1"/>
        <v/>
      </c>
      <c r="H386" s="76"/>
      <c r="I386" s="103"/>
      <c r="J386" s="58" t="str">
        <f>IF(F386="","", IF(I386="",_xlfn.NETWORKDAYS.INTL(F386,TODAY(),1,FERIADOS),_xlfn.NETWORKDAYS.INTL(F386,I386,1,FERIADOS)))</f>
        <v/>
      </c>
      <c r="K386" s="58" t="str">
        <f t="shared" si="2"/>
        <v/>
      </c>
      <c r="L386" s="58" t="str">
        <f t="shared" si="3"/>
        <v/>
      </c>
    </row>
    <row r="387" ht="21.0" customHeight="1">
      <c r="A387" s="76"/>
      <c r="B387" s="94"/>
      <c r="C387" s="38" t="str">
        <f t="array" ref="C387">IF(B387="","",INDEX(PARAMETROS!$J$2:$J$14,MATCH(B387,PARAMETROS!$G$2:$G$14,0),1))</f>
        <v/>
      </c>
      <c r="D387" s="101"/>
      <c r="E387" s="102"/>
      <c r="F387" s="103"/>
      <c r="G387" s="49" t="str">
        <f t="shared" si="1"/>
        <v/>
      </c>
      <c r="H387" s="76"/>
      <c r="I387" s="103"/>
      <c r="J387" s="58" t="str">
        <f>IF(F387="","", IF(I387="",_xlfn.NETWORKDAYS.INTL(F387,TODAY(),1,FERIADOS),_xlfn.NETWORKDAYS.INTL(F387,I387,1,FERIADOS)))</f>
        <v/>
      </c>
      <c r="K387" s="58" t="str">
        <f t="shared" si="2"/>
        <v/>
      </c>
      <c r="L387" s="58" t="str">
        <f t="shared" si="3"/>
        <v/>
      </c>
    </row>
    <row r="388" ht="21.0" customHeight="1">
      <c r="A388" s="76"/>
      <c r="B388" s="94"/>
      <c r="C388" s="38" t="str">
        <f t="array" ref="C388">IF(B388="","",INDEX(PARAMETROS!$J$2:$J$14,MATCH(B388,PARAMETROS!$G$2:$G$14,0),1))</f>
        <v/>
      </c>
      <c r="D388" s="101"/>
      <c r="E388" s="102"/>
      <c r="F388" s="103"/>
      <c r="G388" s="49" t="str">
        <f t="shared" si="1"/>
        <v/>
      </c>
      <c r="H388" s="76"/>
      <c r="I388" s="103"/>
      <c r="J388" s="58" t="str">
        <f>IF(F388="","", IF(I388="",_xlfn.NETWORKDAYS.INTL(F388,TODAY(),1,FERIADOS),_xlfn.NETWORKDAYS.INTL(F388,I388,1,FERIADOS)))</f>
        <v/>
      </c>
      <c r="K388" s="58" t="str">
        <f t="shared" si="2"/>
        <v/>
      </c>
      <c r="L388" s="58" t="str">
        <f t="shared" si="3"/>
        <v/>
      </c>
    </row>
    <row r="389" ht="21.0" customHeight="1">
      <c r="A389" s="76"/>
      <c r="B389" s="94"/>
      <c r="C389" s="38" t="str">
        <f t="array" ref="C389">IF(B389="","",INDEX(PARAMETROS!$J$2:$J$14,MATCH(B389,PARAMETROS!$G$2:$G$14,0),1))</f>
        <v/>
      </c>
      <c r="D389" s="101"/>
      <c r="E389" s="102"/>
      <c r="F389" s="103"/>
      <c r="G389" s="49" t="str">
        <f t="shared" si="1"/>
        <v/>
      </c>
      <c r="H389" s="76"/>
      <c r="I389" s="103"/>
      <c r="J389" s="58" t="str">
        <f>IF(F389="","", IF(I389="",_xlfn.NETWORKDAYS.INTL(F389,TODAY(),1,FERIADOS),_xlfn.NETWORKDAYS.INTL(F389,I389,1,FERIADOS)))</f>
        <v/>
      </c>
      <c r="K389" s="58" t="str">
        <f t="shared" si="2"/>
        <v/>
      </c>
      <c r="L389" s="58" t="str">
        <f t="shared" si="3"/>
        <v/>
      </c>
    </row>
    <row r="390" ht="21.0" customHeight="1">
      <c r="A390" s="76"/>
      <c r="B390" s="94"/>
      <c r="C390" s="38" t="str">
        <f t="array" ref="C390">IF(B390="","",INDEX(PARAMETROS!$J$2:$J$14,MATCH(B390,PARAMETROS!$G$2:$G$14,0),1))</f>
        <v/>
      </c>
      <c r="D390" s="101"/>
      <c r="E390" s="102"/>
      <c r="F390" s="103"/>
      <c r="G390" s="49" t="str">
        <f t="shared" si="1"/>
        <v/>
      </c>
      <c r="H390" s="76"/>
      <c r="I390" s="103"/>
      <c r="J390" s="58" t="str">
        <f>IF(F390="","", IF(I390="",_xlfn.NETWORKDAYS.INTL(F390,TODAY(),1,FERIADOS),_xlfn.NETWORKDAYS.INTL(F390,I390,1,FERIADOS)))</f>
        <v/>
      </c>
      <c r="K390" s="58" t="str">
        <f t="shared" si="2"/>
        <v/>
      </c>
      <c r="L390" s="58" t="str">
        <f t="shared" si="3"/>
        <v/>
      </c>
    </row>
    <row r="391" ht="21.0" customHeight="1">
      <c r="A391" s="76"/>
      <c r="B391" s="94"/>
      <c r="C391" s="38" t="str">
        <f t="array" ref="C391">IF(B391="","",INDEX(PARAMETROS!$J$2:$J$14,MATCH(B391,PARAMETROS!$G$2:$G$14,0),1))</f>
        <v/>
      </c>
      <c r="D391" s="101"/>
      <c r="E391" s="102"/>
      <c r="F391" s="103"/>
      <c r="G391" s="49" t="str">
        <f t="shared" si="1"/>
        <v/>
      </c>
      <c r="H391" s="76"/>
      <c r="I391" s="103"/>
      <c r="J391" s="58" t="str">
        <f>IF(F391="","", IF(I391="",_xlfn.NETWORKDAYS.INTL(F391,TODAY(),1,FERIADOS),_xlfn.NETWORKDAYS.INTL(F391,I391,1,FERIADOS)))</f>
        <v/>
      </c>
      <c r="K391" s="58" t="str">
        <f t="shared" si="2"/>
        <v/>
      </c>
      <c r="L391" s="58" t="str">
        <f t="shared" si="3"/>
        <v/>
      </c>
    </row>
    <row r="392" ht="21.0" customHeight="1">
      <c r="A392" s="76"/>
      <c r="B392" s="94"/>
      <c r="C392" s="38" t="str">
        <f t="array" ref="C392">IF(B392="","",INDEX(PARAMETROS!$J$2:$J$14,MATCH(B392,PARAMETROS!$G$2:$G$14,0),1))</f>
        <v/>
      </c>
      <c r="D392" s="101"/>
      <c r="E392" s="102"/>
      <c r="F392" s="103"/>
      <c r="G392" s="49" t="str">
        <f t="shared" si="1"/>
        <v/>
      </c>
      <c r="H392" s="76"/>
      <c r="I392" s="103"/>
      <c r="J392" s="58" t="str">
        <f>IF(F392="","", IF(I392="",_xlfn.NETWORKDAYS.INTL(F392,TODAY(),1,FERIADOS),_xlfn.NETWORKDAYS.INTL(F392,I392,1,FERIADOS)))</f>
        <v/>
      </c>
      <c r="K392" s="58" t="str">
        <f t="shared" si="2"/>
        <v/>
      </c>
      <c r="L392" s="58" t="str">
        <f t="shared" si="3"/>
        <v/>
      </c>
    </row>
    <row r="393" ht="21.0" customHeight="1">
      <c r="A393" s="76"/>
      <c r="B393" s="94"/>
      <c r="C393" s="38" t="str">
        <f t="array" ref="C393">IF(B393="","",INDEX(PARAMETROS!$J$2:$J$14,MATCH(B393,PARAMETROS!$G$2:$G$14,0),1))</f>
        <v/>
      </c>
      <c r="D393" s="101"/>
      <c r="E393" s="102"/>
      <c r="F393" s="103"/>
      <c r="G393" s="49" t="str">
        <f t="shared" si="1"/>
        <v/>
      </c>
      <c r="H393" s="76"/>
      <c r="I393" s="103"/>
      <c r="J393" s="58" t="str">
        <f>IF(F393="","", IF(I393="",_xlfn.NETWORKDAYS.INTL(F393,TODAY(),1,FERIADOS),_xlfn.NETWORKDAYS.INTL(F393,I393,1,FERIADOS)))</f>
        <v/>
      </c>
      <c r="K393" s="58" t="str">
        <f t="shared" si="2"/>
        <v/>
      </c>
      <c r="L393" s="58" t="str">
        <f t="shared" si="3"/>
        <v/>
      </c>
    </row>
    <row r="394" ht="21.0" customHeight="1">
      <c r="A394" s="76"/>
      <c r="B394" s="94"/>
      <c r="C394" s="38" t="str">
        <f t="array" ref="C394">IF(B394="","",INDEX(PARAMETROS!$J$2:$J$14,MATCH(B394,PARAMETROS!$G$2:$G$14,0),1))</f>
        <v/>
      </c>
      <c r="D394" s="101"/>
      <c r="E394" s="102"/>
      <c r="F394" s="103"/>
      <c r="G394" s="49" t="str">
        <f t="shared" si="1"/>
        <v/>
      </c>
      <c r="H394" s="76"/>
      <c r="I394" s="103"/>
      <c r="J394" s="58" t="str">
        <f>IF(F394="","", IF(I394="",_xlfn.NETWORKDAYS.INTL(F394,TODAY(),1,FERIADOS),_xlfn.NETWORKDAYS.INTL(F394,I394,1,FERIADOS)))</f>
        <v/>
      </c>
      <c r="K394" s="58" t="str">
        <f t="shared" si="2"/>
        <v/>
      </c>
      <c r="L394" s="58" t="str">
        <f t="shared" si="3"/>
        <v/>
      </c>
    </row>
    <row r="395" ht="21.0" customHeight="1">
      <c r="A395" s="76"/>
      <c r="B395" s="94"/>
      <c r="C395" s="38" t="str">
        <f t="array" ref="C395">IF(B395="","",INDEX(PARAMETROS!$J$2:$J$14,MATCH(B395,PARAMETROS!$G$2:$G$14,0),1))</f>
        <v/>
      </c>
      <c r="D395" s="101"/>
      <c r="E395" s="102"/>
      <c r="F395" s="103"/>
      <c r="G395" s="49" t="str">
        <f t="shared" si="1"/>
        <v/>
      </c>
      <c r="H395" s="76"/>
      <c r="I395" s="103"/>
      <c r="J395" s="58" t="str">
        <f>IF(F395="","", IF(I395="",_xlfn.NETWORKDAYS.INTL(F395,TODAY(),1,FERIADOS),_xlfn.NETWORKDAYS.INTL(F395,I395,1,FERIADOS)))</f>
        <v/>
      </c>
      <c r="K395" s="58" t="str">
        <f t="shared" si="2"/>
        <v/>
      </c>
      <c r="L395" s="58" t="str">
        <f t="shared" si="3"/>
        <v/>
      </c>
    </row>
    <row r="396" ht="21.0" customHeight="1">
      <c r="A396" s="76"/>
      <c r="B396" s="94"/>
      <c r="C396" s="38" t="str">
        <f t="array" ref="C396">IF(B396="","",INDEX(PARAMETROS!$J$2:$J$14,MATCH(B396,PARAMETROS!$G$2:$G$14,0),1))</f>
        <v/>
      </c>
      <c r="D396" s="101"/>
      <c r="E396" s="102"/>
      <c r="F396" s="103"/>
      <c r="G396" s="49" t="str">
        <f t="shared" si="1"/>
        <v/>
      </c>
      <c r="H396" s="76"/>
      <c r="I396" s="103"/>
      <c r="J396" s="58" t="str">
        <f>IF(F396="","", IF(I396="",_xlfn.NETWORKDAYS.INTL(F396,TODAY(),1,FERIADOS),_xlfn.NETWORKDAYS.INTL(F396,I396,1,FERIADOS)))</f>
        <v/>
      </c>
      <c r="K396" s="58" t="str">
        <f t="shared" si="2"/>
        <v/>
      </c>
      <c r="L396" s="58" t="str">
        <f t="shared" si="3"/>
        <v/>
      </c>
    </row>
    <row r="397" ht="21.0" customHeight="1">
      <c r="A397" s="76"/>
      <c r="B397" s="94"/>
      <c r="C397" s="38" t="str">
        <f t="array" ref="C397">IF(B397="","",INDEX(PARAMETROS!$J$2:$J$14,MATCH(B397,PARAMETROS!$G$2:$G$14,0),1))</f>
        <v/>
      </c>
      <c r="D397" s="101"/>
      <c r="E397" s="102"/>
      <c r="F397" s="103"/>
      <c r="G397" s="49" t="str">
        <f t="shared" si="1"/>
        <v/>
      </c>
      <c r="H397" s="76"/>
      <c r="I397" s="103"/>
      <c r="J397" s="58" t="str">
        <f>IF(F397="","", IF(I397="",_xlfn.NETWORKDAYS.INTL(F397,TODAY(),1,FERIADOS),_xlfn.NETWORKDAYS.INTL(F397,I397,1,FERIADOS)))</f>
        <v/>
      </c>
      <c r="K397" s="58" t="str">
        <f t="shared" si="2"/>
        <v/>
      </c>
      <c r="L397" s="58" t="str">
        <f t="shared" si="3"/>
        <v/>
      </c>
    </row>
    <row r="398" ht="21.0" customHeight="1">
      <c r="A398" s="76"/>
      <c r="B398" s="94"/>
      <c r="C398" s="38" t="str">
        <f t="array" ref="C398">IF(B398="","",INDEX(PARAMETROS!$J$2:$J$14,MATCH(B398,PARAMETROS!$G$2:$G$14,0),1))</f>
        <v/>
      </c>
      <c r="D398" s="101"/>
      <c r="E398" s="102"/>
      <c r="F398" s="103"/>
      <c r="G398" s="49" t="str">
        <f t="shared" si="1"/>
        <v/>
      </c>
      <c r="H398" s="76"/>
      <c r="I398" s="103"/>
      <c r="J398" s="58" t="str">
        <f>IF(F398="","", IF(I398="",_xlfn.NETWORKDAYS.INTL(F398,TODAY(),1,FERIADOS),_xlfn.NETWORKDAYS.INTL(F398,I398,1,FERIADOS)))</f>
        <v/>
      </c>
      <c r="K398" s="58" t="str">
        <f t="shared" si="2"/>
        <v/>
      </c>
      <c r="L398" s="58" t="str">
        <f t="shared" si="3"/>
        <v/>
      </c>
    </row>
    <row r="399" ht="21.0" customHeight="1">
      <c r="A399" s="76"/>
      <c r="B399" s="94"/>
      <c r="C399" s="38" t="str">
        <f t="array" ref="C399">IF(B399="","",INDEX(PARAMETROS!$J$2:$J$14,MATCH(B399,PARAMETROS!$G$2:$G$14,0),1))</f>
        <v/>
      </c>
      <c r="D399" s="101"/>
      <c r="E399" s="102"/>
      <c r="F399" s="103"/>
      <c r="G399" s="49" t="str">
        <f t="shared" si="1"/>
        <v/>
      </c>
      <c r="H399" s="76"/>
      <c r="I399" s="103"/>
      <c r="J399" s="58" t="str">
        <f>IF(F399="","", IF(I399="",_xlfn.NETWORKDAYS.INTL(F399,TODAY(),1,FERIADOS),_xlfn.NETWORKDAYS.INTL(F399,I399,1,FERIADOS)))</f>
        <v/>
      </c>
      <c r="K399" s="58" t="str">
        <f t="shared" si="2"/>
        <v/>
      </c>
      <c r="L399" s="58" t="str">
        <f t="shared" si="3"/>
        <v/>
      </c>
    </row>
    <row r="400" ht="21.0" customHeight="1">
      <c r="A400" s="76"/>
      <c r="B400" s="94"/>
      <c r="C400" s="38" t="str">
        <f t="array" ref="C400">IF(B400="","",INDEX(PARAMETROS!$J$2:$J$14,MATCH(B400,PARAMETROS!$G$2:$G$14,0),1))</f>
        <v/>
      </c>
      <c r="D400" s="101"/>
      <c r="E400" s="102"/>
      <c r="F400" s="103"/>
      <c r="G400" s="49" t="str">
        <f t="shared" si="1"/>
        <v/>
      </c>
      <c r="H400" s="76"/>
      <c r="I400" s="103"/>
      <c r="J400" s="58" t="str">
        <f>IF(F400="","", IF(I400="",_xlfn.NETWORKDAYS.INTL(F400,TODAY(),1,FERIADOS),_xlfn.NETWORKDAYS.INTL(F400,I400,1,FERIADOS)))</f>
        <v/>
      </c>
      <c r="K400" s="58" t="str">
        <f t="shared" si="2"/>
        <v/>
      </c>
      <c r="L400" s="58" t="str">
        <f t="shared" si="3"/>
        <v/>
      </c>
    </row>
    <row r="401" ht="21.0" customHeight="1">
      <c r="A401" s="76"/>
      <c r="B401" s="94"/>
      <c r="C401" s="38" t="str">
        <f t="array" ref="C401">IF(B401="","",INDEX(PARAMETROS!$J$2:$J$14,MATCH(B401,PARAMETROS!$G$2:$G$14,0),1))</f>
        <v/>
      </c>
      <c r="D401" s="101"/>
      <c r="E401" s="102"/>
      <c r="F401" s="103"/>
      <c r="G401" s="49" t="str">
        <f t="shared" si="1"/>
        <v/>
      </c>
      <c r="H401" s="76"/>
      <c r="I401" s="103"/>
      <c r="J401" s="58" t="str">
        <f>IF(F401="","", IF(I401="",_xlfn.NETWORKDAYS.INTL(F401,TODAY(),1,FERIADOS),_xlfn.NETWORKDAYS.INTL(F401,I401,1,FERIADOS)))</f>
        <v/>
      </c>
      <c r="K401" s="58" t="str">
        <f t="shared" si="2"/>
        <v/>
      </c>
      <c r="L401" s="58" t="str">
        <f t="shared" si="3"/>
        <v/>
      </c>
    </row>
    <row r="402" ht="21.0" customHeight="1">
      <c r="A402" s="76"/>
      <c r="B402" s="94"/>
      <c r="C402" s="38" t="str">
        <f t="array" ref="C402">IF(B402="","",INDEX(PARAMETROS!$J$2:$J$14,MATCH(B402,PARAMETROS!$G$2:$G$14,0),1))</f>
        <v/>
      </c>
      <c r="D402" s="101"/>
      <c r="E402" s="102"/>
      <c r="F402" s="103"/>
      <c r="G402" s="49" t="str">
        <f t="shared" si="1"/>
        <v/>
      </c>
      <c r="H402" s="76"/>
      <c r="I402" s="103"/>
      <c r="J402" s="58" t="str">
        <f>IF(F402="","", IF(I402="",_xlfn.NETWORKDAYS.INTL(F402,TODAY(),1,FERIADOS),_xlfn.NETWORKDAYS.INTL(F402,I402,1,FERIADOS)))</f>
        <v/>
      </c>
      <c r="K402" s="58" t="str">
        <f t="shared" si="2"/>
        <v/>
      </c>
      <c r="L402" s="58" t="str">
        <f t="shared" si="3"/>
        <v/>
      </c>
    </row>
    <row r="403" ht="21.0" customHeight="1">
      <c r="A403" s="76"/>
      <c r="B403" s="94"/>
      <c r="C403" s="38" t="str">
        <f t="array" ref="C403">IF(B403="","",INDEX(PARAMETROS!$J$2:$J$14,MATCH(B403,PARAMETROS!$G$2:$G$14,0),1))</f>
        <v/>
      </c>
      <c r="D403" s="101"/>
      <c r="E403" s="102"/>
      <c r="F403" s="103"/>
      <c r="G403" s="49" t="str">
        <f t="shared" si="1"/>
        <v/>
      </c>
      <c r="H403" s="76"/>
      <c r="I403" s="103"/>
      <c r="J403" s="58" t="str">
        <f>IF(F403="","", IF(I403="",_xlfn.NETWORKDAYS.INTL(F403,TODAY(),1,FERIADOS),_xlfn.NETWORKDAYS.INTL(F403,I403,1,FERIADOS)))</f>
        <v/>
      </c>
      <c r="K403" s="58" t="str">
        <f t="shared" si="2"/>
        <v/>
      </c>
      <c r="L403" s="58" t="str">
        <f t="shared" si="3"/>
        <v/>
      </c>
    </row>
    <row r="404" ht="21.0" customHeight="1">
      <c r="A404" s="76"/>
      <c r="B404" s="94"/>
      <c r="C404" s="38" t="str">
        <f t="array" ref="C404">IF(B404="","",INDEX(PARAMETROS!$J$2:$J$14,MATCH(B404,PARAMETROS!$G$2:$G$14,0),1))</f>
        <v/>
      </c>
      <c r="D404" s="101"/>
      <c r="E404" s="102"/>
      <c r="F404" s="103"/>
      <c r="G404" s="49" t="str">
        <f t="shared" si="1"/>
        <v/>
      </c>
      <c r="H404" s="76"/>
      <c r="I404" s="103"/>
      <c r="J404" s="58" t="str">
        <f>IF(F404="","", IF(I404="",_xlfn.NETWORKDAYS.INTL(F404,TODAY(),1,FERIADOS),_xlfn.NETWORKDAYS.INTL(F404,I404,1,FERIADOS)))</f>
        <v/>
      </c>
      <c r="K404" s="58" t="str">
        <f t="shared" si="2"/>
        <v/>
      </c>
      <c r="L404" s="58" t="str">
        <f t="shared" si="3"/>
        <v/>
      </c>
    </row>
    <row r="405" ht="21.0" customHeight="1">
      <c r="A405" s="76"/>
      <c r="B405" s="94"/>
      <c r="C405" s="38" t="str">
        <f t="array" ref="C405">IF(B405="","",INDEX(PARAMETROS!$J$2:$J$14,MATCH(B405,PARAMETROS!$G$2:$G$14,0),1))</f>
        <v/>
      </c>
      <c r="D405" s="101"/>
      <c r="E405" s="102"/>
      <c r="F405" s="103"/>
      <c r="G405" s="49" t="str">
        <f t="shared" si="1"/>
        <v/>
      </c>
      <c r="H405" s="76"/>
      <c r="I405" s="103"/>
      <c r="J405" s="58" t="str">
        <f>IF(F405="","", IF(I405="",_xlfn.NETWORKDAYS.INTL(F405,TODAY(),1,FERIADOS),_xlfn.NETWORKDAYS.INTL(F405,I405,1,FERIADOS)))</f>
        <v/>
      </c>
      <c r="K405" s="58" t="str">
        <f t="shared" si="2"/>
        <v/>
      </c>
      <c r="L405" s="58" t="str">
        <f t="shared" si="3"/>
        <v/>
      </c>
    </row>
    <row r="406" ht="21.0" customHeight="1">
      <c r="A406" s="76"/>
      <c r="B406" s="94"/>
      <c r="C406" s="38" t="str">
        <f t="array" ref="C406">IF(B406="","",INDEX(PARAMETROS!$J$2:$J$14,MATCH(B406,PARAMETROS!$G$2:$G$14,0),1))</f>
        <v/>
      </c>
      <c r="D406" s="101"/>
      <c r="E406" s="102"/>
      <c r="F406" s="103"/>
      <c r="G406" s="49" t="str">
        <f t="shared" si="1"/>
        <v/>
      </c>
      <c r="H406" s="76"/>
      <c r="I406" s="103"/>
      <c r="J406" s="58" t="str">
        <f>IF(F406="","", IF(I406="",_xlfn.NETWORKDAYS.INTL(F406,TODAY(),1,FERIADOS),_xlfn.NETWORKDAYS.INTL(F406,I406,1,FERIADOS)))</f>
        <v/>
      </c>
      <c r="K406" s="58" t="str">
        <f t="shared" si="2"/>
        <v/>
      </c>
      <c r="L406" s="58" t="str">
        <f t="shared" si="3"/>
        <v/>
      </c>
    </row>
    <row r="407" ht="21.0" customHeight="1">
      <c r="A407" s="76"/>
      <c r="B407" s="94"/>
      <c r="C407" s="38" t="str">
        <f t="array" ref="C407">IF(B407="","",INDEX(PARAMETROS!$J$2:$J$14,MATCH(B407,PARAMETROS!$G$2:$G$14,0),1))</f>
        <v/>
      </c>
      <c r="D407" s="101"/>
      <c r="E407" s="102"/>
      <c r="F407" s="103"/>
      <c r="G407" s="49" t="str">
        <f t="shared" si="1"/>
        <v/>
      </c>
      <c r="H407" s="76"/>
      <c r="I407" s="103"/>
      <c r="J407" s="58" t="str">
        <f>IF(F407="","", IF(I407="",_xlfn.NETWORKDAYS.INTL(F407,TODAY(),1,FERIADOS),_xlfn.NETWORKDAYS.INTL(F407,I407,1,FERIADOS)))</f>
        <v/>
      </c>
      <c r="K407" s="58" t="str">
        <f t="shared" si="2"/>
        <v/>
      </c>
      <c r="L407" s="58" t="str">
        <f t="shared" si="3"/>
        <v/>
      </c>
    </row>
    <row r="408" ht="21.0" customHeight="1">
      <c r="A408" s="76"/>
      <c r="B408" s="94"/>
      <c r="C408" s="38" t="str">
        <f t="array" ref="C408">IF(B408="","",INDEX(PARAMETROS!$J$2:$J$14,MATCH(B408,PARAMETROS!$G$2:$G$14,0),1))</f>
        <v/>
      </c>
      <c r="D408" s="101"/>
      <c r="E408" s="102"/>
      <c r="F408" s="103"/>
      <c r="G408" s="49" t="str">
        <f t="shared" si="1"/>
        <v/>
      </c>
      <c r="H408" s="76"/>
      <c r="I408" s="103"/>
      <c r="J408" s="58" t="str">
        <f>IF(F408="","", IF(I408="",_xlfn.NETWORKDAYS.INTL(F408,TODAY(),1,FERIADOS),_xlfn.NETWORKDAYS.INTL(F408,I408,1,FERIADOS)))</f>
        <v/>
      </c>
      <c r="K408" s="58" t="str">
        <f t="shared" si="2"/>
        <v/>
      </c>
      <c r="L408" s="58" t="str">
        <f t="shared" si="3"/>
        <v/>
      </c>
    </row>
    <row r="409" ht="21.0" customHeight="1">
      <c r="A409" s="76"/>
      <c r="B409" s="94"/>
      <c r="C409" s="38" t="str">
        <f t="array" ref="C409">IF(B409="","",INDEX(PARAMETROS!$J$2:$J$14,MATCH(B409,PARAMETROS!$G$2:$G$14,0),1))</f>
        <v/>
      </c>
      <c r="D409" s="101"/>
      <c r="E409" s="102"/>
      <c r="F409" s="103"/>
      <c r="G409" s="49" t="str">
        <f t="shared" si="1"/>
        <v/>
      </c>
      <c r="H409" s="76"/>
      <c r="I409" s="103"/>
      <c r="J409" s="58" t="str">
        <f>IF(F409="","", IF(I409="",_xlfn.NETWORKDAYS.INTL(F409,TODAY(),1,FERIADOS),_xlfn.NETWORKDAYS.INTL(F409,I409,1,FERIADOS)))</f>
        <v/>
      </c>
      <c r="K409" s="58" t="str">
        <f t="shared" si="2"/>
        <v/>
      </c>
      <c r="L409" s="58" t="str">
        <f t="shared" si="3"/>
        <v/>
      </c>
    </row>
    <row r="410" ht="21.0" customHeight="1">
      <c r="A410" s="76"/>
      <c r="B410" s="94"/>
      <c r="C410" s="38" t="str">
        <f t="array" ref="C410">IF(B410="","",INDEX(PARAMETROS!$J$2:$J$14,MATCH(B410,PARAMETROS!$G$2:$G$14,0),1))</f>
        <v/>
      </c>
      <c r="D410" s="101"/>
      <c r="E410" s="102"/>
      <c r="F410" s="103"/>
      <c r="G410" s="49" t="str">
        <f t="shared" si="1"/>
        <v/>
      </c>
      <c r="H410" s="76"/>
      <c r="I410" s="103"/>
      <c r="J410" s="58" t="str">
        <f>IF(F410="","", IF(I410="",_xlfn.NETWORKDAYS.INTL(F410,TODAY(),1,FERIADOS),_xlfn.NETWORKDAYS.INTL(F410,I410,1,FERIADOS)))</f>
        <v/>
      </c>
      <c r="K410" s="58" t="str">
        <f t="shared" si="2"/>
        <v/>
      </c>
      <c r="L410" s="58" t="str">
        <f t="shared" si="3"/>
        <v/>
      </c>
    </row>
    <row r="411" ht="21.0" customHeight="1">
      <c r="A411" s="76"/>
      <c r="B411" s="94"/>
      <c r="C411" s="38" t="str">
        <f t="array" ref="C411">IF(B411="","",INDEX(PARAMETROS!$J$2:$J$14,MATCH(B411,PARAMETROS!$G$2:$G$14,0),1))</f>
        <v/>
      </c>
      <c r="D411" s="101"/>
      <c r="E411" s="102"/>
      <c r="F411" s="103"/>
      <c r="G411" s="49" t="str">
        <f t="shared" si="1"/>
        <v/>
      </c>
      <c r="H411" s="76"/>
      <c r="I411" s="103"/>
      <c r="J411" s="58" t="str">
        <f>IF(F411="","", IF(I411="",_xlfn.NETWORKDAYS.INTL(F411,TODAY(),1,FERIADOS),_xlfn.NETWORKDAYS.INTL(F411,I411,1,FERIADOS)))</f>
        <v/>
      </c>
      <c r="K411" s="58" t="str">
        <f t="shared" si="2"/>
        <v/>
      </c>
      <c r="L411" s="58" t="str">
        <f t="shared" si="3"/>
        <v/>
      </c>
    </row>
    <row r="412" ht="21.0" customHeight="1">
      <c r="A412" s="76"/>
      <c r="B412" s="94"/>
      <c r="C412" s="38" t="str">
        <f t="array" ref="C412">IF(B412="","",INDEX(PARAMETROS!$J$2:$J$14,MATCH(B412,PARAMETROS!$G$2:$G$14,0),1))</f>
        <v/>
      </c>
      <c r="D412" s="101"/>
      <c r="E412" s="102"/>
      <c r="F412" s="103"/>
      <c r="G412" s="49" t="str">
        <f t="shared" si="1"/>
        <v/>
      </c>
      <c r="H412" s="76"/>
      <c r="I412" s="103"/>
      <c r="J412" s="58" t="str">
        <f>IF(F412="","", IF(I412="",_xlfn.NETWORKDAYS.INTL(F412,TODAY(),1,FERIADOS),_xlfn.NETWORKDAYS.INTL(F412,I412,1,FERIADOS)))</f>
        <v/>
      </c>
      <c r="K412" s="58" t="str">
        <f t="shared" si="2"/>
        <v/>
      </c>
      <c r="L412" s="58" t="str">
        <f t="shared" si="3"/>
        <v/>
      </c>
    </row>
    <row r="413" ht="21.0" customHeight="1">
      <c r="A413" s="76"/>
      <c r="B413" s="94"/>
      <c r="C413" s="38" t="str">
        <f t="array" ref="C413">IF(B413="","",INDEX(PARAMETROS!$J$2:$J$14,MATCH(B413,PARAMETROS!$G$2:$G$14,0),1))</f>
        <v/>
      </c>
      <c r="D413" s="101"/>
      <c r="E413" s="102"/>
      <c r="F413" s="103"/>
      <c r="G413" s="49" t="str">
        <f t="shared" si="1"/>
        <v/>
      </c>
      <c r="H413" s="76"/>
      <c r="I413" s="103"/>
      <c r="J413" s="58" t="str">
        <f>IF(F413="","", IF(I413="",_xlfn.NETWORKDAYS.INTL(F413,TODAY(),1,FERIADOS),_xlfn.NETWORKDAYS.INTL(F413,I413,1,FERIADOS)))</f>
        <v/>
      </c>
      <c r="K413" s="58" t="str">
        <f t="shared" si="2"/>
        <v/>
      </c>
      <c r="L413" s="58" t="str">
        <f t="shared" si="3"/>
        <v/>
      </c>
    </row>
    <row r="414" ht="21.0" customHeight="1">
      <c r="A414" s="76"/>
      <c r="B414" s="94"/>
      <c r="C414" s="38" t="str">
        <f t="array" ref="C414">IF(B414="","",INDEX(PARAMETROS!$J$2:$J$14,MATCH(B414,PARAMETROS!$G$2:$G$14,0),1))</f>
        <v/>
      </c>
      <c r="D414" s="101"/>
      <c r="E414" s="102"/>
      <c r="F414" s="103"/>
      <c r="G414" s="49" t="str">
        <f t="shared" si="1"/>
        <v/>
      </c>
      <c r="H414" s="76"/>
      <c r="I414" s="103"/>
      <c r="J414" s="58" t="str">
        <f>IF(F414="","", IF(I414="",_xlfn.NETWORKDAYS.INTL(F414,TODAY(),1,FERIADOS),_xlfn.NETWORKDAYS.INTL(F414,I414,1,FERIADOS)))</f>
        <v/>
      </c>
      <c r="K414" s="58" t="str">
        <f t="shared" si="2"/>
        <v/>
      </c>
      <c r="L414" s="58" t="str">
        <f t="shared" si="3"/>
        <v/>
      </c>
    </row>
    <row r="415" ht="21.0" customHeight="1">
      <c r="A415" s="76"/>
      <c r="B415" s="94"/>
      <c r="C415" s="38" t="str">
        <f t="array" ref="C415">IF(B415="","",INDEX(PARAMETROS!$J$2:$J$14,MATCH(B415,PARAMETROS!$G$2:$G$14,0),1))</f>
        <v/>
      </c>
      <c r="D415" s="101"/>
      <c r="E415" s="102"/>
      <c r="F415" s="103"/>
      <c r="G415" s="49" t="str">
        <f t="shared" si="1"/>
        <v/>
      </c>
      <c r="H415" s="76"/>
      <c r="I415" s="103"/>
      <c r="J415" s="58" t="str">
        <f>IF(F415="","", IF(I415="",_xlfn.NETWORKDAYS.INTL(F415,TODAY(),1,FERIADOS),_xlfn.NETWORKDAYS.INTL(F415,I415,1,FERIADOS)))</f>
        <v/>
      </c>
      <c r="K415" s="58" t="str">
        <f t="shared" si="2"/>
        <v/>
      </c>
      <c r="L415" s="58" t="str">
        <f t="shared" si="3"/>
        <v/>
      </c>
    </row>
    <row r="416" ht="21.0" customHeight="1">
      <c r="A416" s="76"/>
      <c r="B416" s="94"/>
      <c r="C416" s="38" t="str">
        <f t="array" ref="C416">IF(B416="","",INDEX(PARAMETROS!$J$2:$J$14,MATCH(B416,PARAMETROS!$G$2:$G$14,0),1))</f>
        <v/>
      </c>
      <c r="D416" s="101"/>
      <c r="E416" s="102"/>
      <c r="F416" s="103"/>
      <c r="G416" s="49" t="str">
        <f t="shared" si="1"/>
        <v/>
      </c>
      <c r="H416" s="76"/>
      <c r="I416" s="103"/>
      <c r="J416" s="58" t="str">
        <f>IF(F416="","", IF(I416="",_xlfn.NETWORKDAYS.INTL(F416,TODAY(),1,FERIADOS),_xlfn.NETWORKDAYS.INTL(F416,I416,1,FERIADOS)))</f>
        <v/>
      </c>
      <c r="K416" s="58" t="str">
        <f t="shared" si="2"/>
        <v/>
      </c>
      <c r="L416" s="58" t="str">
        <f t="shared" si="3"/>
        <v/>
      </c>
    </row>
    <row r="417" ht="21.0" customHeight="1">
      <c r="A417" s="76"/>
      <c r="B417" s="94"/>
      <c r="C417" s="38" t="str">
        <f t="array" ref="C417">IF(B417="","",INDEX(PARAMETROS!$J$2:$J$14,MATCH(B417,PARAMETROS!$G$2:$G$14,0),1))</f>
        <v/>
      </c>
      <c r="D417" s="101"/>
      <c r="E417" s="102"/>
      <c r="F417" s="103"/>
      <c r="G417" s="49" t="str">
        <f t="shared" si="1"/>
        <v/>
      </c>
      <c r="H417" s="76"/>
      <c r="I417" s="103"/>
      <c r="J417" s="58" t="str">
        <f>IF(F417="","", IF(I417="",_xlfn.NETWORKDAYS.INTL(F417,TODAY(),1,FERIADOS),_xlfn.NETWORKDAYS.INTL(F417,I417,1,FERIADOS)))</f>
        <v/>
      </c>
      <c r="K417" s="58" t="str">
        <f t="shared" si="2"/>
        <v/>
      </c>
      <c r="L417" s="58" t="str">
        <f t="shared" si="3"/>
        <v/>
      </c>
    </row>
    <row r="418" ht="21.0" customHeight="1">
      <c r="A418" s="76"/>
      <c r="B418" s="94"/>
      <c r="C418" s="38" t="str">
        <f t="array" ref="C418">IF(B418="","",INDEX(PARAMETROS!$J$2:$J$14,MATCH(B418,PARAMETROS!$G$2:$G$14,0),1))</f>
        <v/>
      </c>
      <c r="D418" s="101"/>
      <c r="E418" s="102"/>
      <c r="F418" s="103"/>
      <c r="G418" s="49" t="str">
        <f t="shared" si="1"/>
        <v/>
      </c>
      <c r="H418" s="76"/>
      <c r="I418" s="103"/>
      <c r="J418" s="58" t="str">
        <f>IF(F418="","", IF(I418="",_xlfn.NETWORKDAYS.INTL(F418,TODAY(),1,FERIADOS),_xlfn.NETWORKDAYS.INTL(F418,I418,1,FERIADOS)))</f>
        <v/>
      </c>
      <c r="K418" s="58" t="str">
        <f t="shared" si="2"/>
        <v/>
      </c>
      <c r="L418" s="58" t="str">
        <f t="shared" si="3"/>
        <v/>
      </c>
    </row>
    <row r="419" ht="21.0" customHeight="1">
      <c r="A419" s="76"/>
      <c r="B419" s="94"/>
      <c r="C419" s="38" t="str">
        <f t="array" ref="C419">IF(B419="","",INDEX(PARAMETROS!$J$2:$J$14,MATCH(B419,PARAMETROS!$G$2:$G$14,0),1))</f>
        <v/>
      </c>
      <c r="D419" s="101"/>
      <c r="E419" s="102"/>
      <c r="F419" s="103"/>
      <c r="G419" s="49" t="str">
        <f t="shared" si="1"/>
        <v/>
      </c>
      <c r="H419" s="76"/>
      <c r="I419" s="103"/>
      <c r="J419" s="58" t="str">
        <f>IF(F419="","", IF(I419="",_xlfn.NETWORKDAYS.INTL(F419,TODAY(),1,FERIADOS),_xlfn.NETWORKDAYS.INTL(F419,I419,1,FERIADOS)))</f>
        <v/>
      </c>
      <c r="K419" s="58" t="str">
        <f t="shared" si="2"/>
        <v/>
      </c>
      <c r="L419" s="58" t="str">
        <f t="shared" si="3"/>
        <v/>
      </c>
    </row>
    <row r="420" ht="21.0" customHeight="1">
      <c r="A420" s="76"/>
      <c r="B420" s="94"/>
      <c r="C420" s="38" t="str">
        <f t="array" ref="C420">IF(B420="","",INDEX(PARAMETROS!$J$2:$J$14,MATCH(B420,PARAMETROS!$G$2:$G$14,0),1))</f>
        <v/>
      </c>
      <c r="D420" s="101"/>
      <c r="E420" s="102"/>
      <c r="F420" s="103"/>
      <c r="G420" s="49" t="str">
        <f t="shared" si="1"/>
        <v/>
      </c>
      <c r="H420" s="76"/>
      <c r="I420" s="103"/>
      <c r="J420" s="58" t="str">
        <f>IF(F420="","", IF(I420="",_xlfn.NETWORKDAYS.INTL(F420,TODAY(),1,FERIADOS),_xlfn.NETWORKDAYS.INTL(F420,I420,1,FERIADOS)))</f>
        <v/>
      </c>
      <c r="K420" s="58" t="str">
        <f t="shared" si="2"/>
        <v/>
      </c>
      <c r="L420" s="58" t="str">
        <f t="shared" si="3"/>
        <v/>
      </c>
    </row>
    <row r="421" ht="21.0" customHeight="1">
      <c r="A421" s="76"/>
      <c r="B421" s="94"/>
      <c r="C421" s="38" t="str">
        <f t="array" ref="C421">IF(B421="","",INDEX(PARAMETROS!$J$2:$J$14,MATCH(B421,PARAMETROS!$G$2:$G$14,0),1))</f>
        <v/>
      </c>
      <c r="D421" s="101"/>
      <c r="E421" s="102"/>
      <c r="F421" s="103"/>
      <c r="G421" s="49" t="str">
        <f t="shared" si="1"/>
        <v/>
      </c>
      <c r="H421" s="76"/>
      <c r="I421" s="103"/>
      <c r="J421" s="58" t="str">
        <f>IF(F421="","", IF(I421="",_xlfn.NETWORKDAYS.INTL(F421,TODAY(),1,FERIADOS),_xlfn.NETWORKDAYS.INTL(F421,I421,1,FERIADOS)))</f>
        <v/>
      </c>
      <c r="K421" s="58" t="str">
        <f t="shared" si="2"/>
        <v/>
      </c>
      <c r="L421" s="58" t="str">
        <f t="shared" si="3"/>
        <v/>
      </c>
    </row>
    <row r="422" ht="21.0" customHeight="1">
      <c r="A422" s="76"/>
      <c r="B422" s="94"/>
      <c r="C422" s="38" t="str">
        <f t="array" ref="C422">IF(B422="","",INDEX(PARAMETROS!$J$2:$J$14,MATCH(B422,PARAMETROS!$G$2:$G$14,0),1))</f>
        <v/>
      </c>
      <c r="D422" s="101"/>
      <c r="E422" s="102"/>
      <c r="F422" s="103"/>
      <c r="G422" s="49" t="str">
        <f t="shared" si="1"/>
        <v/>
      </c>
      <c r="H422" s="76"/>
      <c r="I422" s="103"/>
      <c r="J422" s="58" t="str">
        <f>IF(F422="","", IF(I422="",_xlfn.NETWORKDAYS.INTL(F422,TODAY(),1,FERIADOS),_xlfn.NETWORKDAYS.INTL(F422,I422,1,FERIADOS)))</f>
        <v/>
      </c>
      <c r="K422" s="58" t="str">
        <f t="shared" si="2"/>
        <v/>
      </c>
      <c r="L422" s="58" t="str">
        <f t="shared" si="3"/>
        <v/>
      </c>
    </row>
    <row r="423" ht="21.0" customHeight="1">
      <c r="A423" s="76"/>
      <c r="B423" s="94"/>
      <c r="C423" s="38" t="str">
        <f t="array" ref="C423">IF(B423="","",INDEX(PARAMETROS!$J$2:$J$14,MATCH(B423,PARAMETROS!$G$2:$G$14,0),1))</f>
        <v/>
      </c>
      <c r="D423" s="101"/>
      <c r="E423" s="102"/>
      <c r="F423" s="103"/>
      <c r="G423" s="49" t="str">
        <f t="shared" si="1"/>
        <v/>
      </c>
      <c r="H423" s="76"/>
      <c r="I423" s="103"/>
      <c r="J423" s="58" t="str">
        <f>IF(F423="","", IF(I423="",_xlfn.NETWORKDAYS.INTL(F423,TODAY(),1,FERIADOS),_xlfn.NETWORKDAYS.INTL(F423,I423,1,FERIADOS)))</f>
        <v/>
      </c>
      <c r="K423" s="58" t="str">
        <f t="shared" si="2"/>
        <v/>
      </c>
      <c r="L423" s="58" t="str">
        <f t="shared" si="3"/>
        <v/>
      </c>
    </row>
    <row r="424" ht="21.0" customHeight="1">
      <c r="A424" s="76"/>
      <c r="B424" s="94"/>
      <c r="C424" s="38" t="str">
        <f t="array" ref="C424">IF(B424="","",INDEX(PARAMETROS!$J$2:$J$14,MATCH(B424,PARAMETROS!$G$2:$G$14,0),1))</f>
        <v/>
      </c>
      <c r="D424" s="101"/>
      <c r="E424" s="102"/>
      <c r="F424" s="103"/>
      <c r="G424" s="49" t="str">
        <f t="shared" si="1"/>
        <v/>
      </c>
      <c r="H424" s="76"/>
      <c r="I424" s="103"/>
      <c r="J424" s="58" t="str">
        <f>IF(F424="","", IF(I424="",_xlfn.NETWORKDAYS.INTL(F424,TODAY(),1,FERIADOS),_xlfn.NETWORKDAYS.INTL(F424,I424,1,FERIADOS)))</f>
        <v/>
      </c>
      <c r="K424" s="58" t="str">
        <f t="shared" si="2"/>
        <v/>
      </c>
      <c r="L424" s="58" t="str">
        <f t="shared" si="3"/>
        <v/>
      </c>
    </row>
    <row r="425" ht="21.0" customHeight="1">
      <c r="A425" s="76"/>
      <c r="B425" s="94"/>
      <c r="C425" s="38" t="str">
        <f t="array" ref="C425">IF(B425="","",INDEX(PARAMETROS!$J$2:$J$14,MATCH(B425,PARAMETROS!$G$2:$G$14,0),1))</f>
        <v/>
      </c>
      <c r="D425" s="101"/>
      <c r="E425" s="102"/>
      <c r="F425" s="103"/>
      <c r="G425" s="49" t="str">
        <f t="shared" si="1"/>
        <v/>
      </c>
      <c r="H425" s="76"/>
      <c r="I425" s="103"/>
      <c r="J425" s="58" t="str">
        <f>IF(F425="","", IF(I425="",_xlfn.NETWORKDAYS.INTL(F425,TODAY(),1,FERIADOS),_xlfn.NETWORKDAYS.INTL(F425,I425,1,FERIADOS)))</f>
        <v/>
      </c>
      <c r="K425" s="58" t="str">
        <f t="shared" si="2"/>
        <v/>
      </c>
      <c r="L425" s="58" t="str">
        <f t="shared" si="3"/>
        <v/>
      </c>
    </row>
    <row r="426" ht="21.0" customHeight="1">
      <c r="A426" s="76"/>
      <c r="B426" s="94"/>
      <c r="C426" s="38" t="str">
        <f t="array" ref="C426">IF(B426="","",INDEX(PARAMETROS!$J$2:$J$14,MATCH(B426,PARAMETROS!$G$2:$G$14,0),1))</f>
        <v/>
      </c>
      <c r="D426" s="101"/>
      <c r="E426" s="102"/>
      <c r="F426" s="103"/>
      <c r="G426" s="49" t="str">
        <f t="shared" si="1"/>
        <v/>
      </c>
      <c r="H426" s="76"/>
      <c r="I426" s="103"/>
      <c r="J426" s="58" t="str">
        <f>IF(F426="","", IF(I426="",_xlfn.NETWORKDAYS.INTL(F426,TODAY(),1,FERIADOS),_xlfn.NETWORKDAYS.INTL(F426,I426,1,FERIADOS)))</f>
        <v/>
      </c>
      <c r="K426" s="58" t="str">
        <f t="shared" si="2"/>
        <v/>
      </c>
      <c r="L426" s="58" t="str">
        <f t="shared" si="3"/>
        <v/>
      </c>
    </row>
    <row r="427" ht="21.0" customHeight="1">
      <c r="A427" s="76"/>
      <c r="B427" s="94"/>
      <c r="C427" s="38" t="str">
        <f t="array" ref="C427">IF(B427="","",INDEX(PARAMETROS!$J$2:$J$14,MATCH(B427,PARAMETROS!$G$2:$G$14,0),1))</f>
        <v/>
      </c>
      <c r="D427" s="101"/>
      <c r="E427" s="102"/>
      <c r="F427" s="103"/>
      <c r="G427" s="49" t="str">
        <f t="shared" si="1"/>
        <v/>
      </c>
      <c r="H427" s="76"/>
      <c r="I427" s="103"/>
      <c r="J427" s="58" t="str">
        <f>IF(F427="","", IF(I427="",_xlfn.NETWORKDAYS.INTL(F427,TODAY(),1,FERIADOS),_xlfn.NETWORKDAYS.INTL(F427,I427,1,FERIADOS)))</f>
        <v/>
      </c>
      <c r="K427" s="58" t="str">
        <f t="shared" si="2"/>
        <v/>
      </c>
      <c r="L427" s="58" t="str">
        <f t="shared" si="3"/>
        <v/>
      </c>
    </row>
    <row r="428" ht="21.0" customHeight="1">
      <c r="A428" s="76"/>
      <c r="B428" s="94"/>
      <c r="C428" s="38" t="str">
        <f t="array" ref="C428">IF(B428="","",INDEX(PARAMETROS!$J$2:$J$14,MATCH(B428,PARAMETROS!$G$2:$G$14,0),1))</f>
        <v/>
      </c>
      <c r="D428" s="101"/>
      <c r="E428" s="102"/>
      <c r="F428" s="103"/>
      <c r="G428" s="49" t="str">
        <f t="shared" si="1"/>
        <v/>
      </c>
      <c r="H428" s="76"/>
      <c r="I428" s="103"/>
      <c r="J428" s="58" t="str">
        <f>IF(F428="","", IF(I428="",_xlfn.NETWORKDAYS.INTL(F428,TODAY(),1,FERIADOS),_xlfn.NETWORKDAYS.INTL(F428,I428,1,FERIADOS)))</f>
        <v/>
      </c>
      <c r="K428" s="58" t="str">
        <f t="shared" si="2"/>
        <v/>
      </c>
      <c r="L428" s="58" t="str">
        <f t="shared" si="3"/>
        <v/>
      </c>
    </row>
    <row r="429" ht="21.0" customHeight="1">
      <c r="A429" s="76"/>
      <c r="B429" s="94"/>
      <c r="C429" s="38" t="str">
        <f t="array" ref="C429">IF(B429="","",INDEX(PARAMETROS!$J$2:$J$14,MATCH(B429,PARAMETROS!$G$2:$G$14,0),1))</f>
        <v/>
      </c>
      <c r="D429" s="101"/>
      <c r="E429" s="102"/>
      <c r="F429" s="103"/>
      <c r="G429" s="49" t="str">
        <f t="shared" si="1"/>
        <v/>
      </c>
      <c r="H429" s="76"/>
      <c r="I429" s="103"/>
      <c r="J429" s="58" t="str">
        <f>IF(F429="","", IF(I429="",_xlfn.NETWORKDAYS.INTL(F429,TODAY(),1,FERIADOS),_xlfn.NETWORKDAYS.INTL(F429,I429,1,FERIADOS)))</f>
        <v/>
      </c>
      <c r="K429" s="58" t="str">
        <f t="shared" si="2"/>
        <v/>
      </c>
      <c r="L429" s="58" t="str">
        <f t="shared" si="3"/>
        <v/>
      </c>
    </row>
    <row r="430" ht="21.0" customHeight="1">
      <c r="A430" s="76"/>
      <c r="B430" s="94"/>
      <c r="C430" s="38" t="str">
        <f t="array" ref="C430">IF(B430="","",INDEX(PARAMETROS!$J$2:$J$14,MATCH(B430,PARAMETROS!$G$2:$G$14,0),1))</f>
        <v/>
      </c>
      <c r="D430" s="101"/>
      <c r="E430" s="102"/>
      <c r="F430" s="103"/>
      <c r="G430" s="49" t="str">
        <f t="shared" si="1"/>
        <v/>
      </c>
      <c r="H430" s="76"/>
      <c r="I430" s="103"/>
      <c r="J430" s="58" t="str">
        <f>IF(F430="","", IF(I430="",_xlfn.NETWORKDAYS.INTL(F430,TODAY(),1,FERIADOS),_xlfn.NETWORKDAYS.INTL(F430,I430,1,FERIADOS)))</f>
        <v/>
      </c>
      <c r="K430" s="58" t="str">
        <f t="shared" si="2"/>
        <v/>
      </c>
      <c r="L430" s="58" t="str">
        <f t="shared" si="3"/>
        <v/>
      </c>
    </row>
    <row r="431" ht="21.0" customHeight="1">
      <c r="A431" s="76"/>
      <c r="B431" s="94"/>
      <c r="C431" s="38" t="str">
        <f t="array" ref="C431">IF(B431="","",INDEX(PARAMETROS!$J$2:$J$14,MATCH(B431,PARAMETROS!$G$2:$G$14,0),1))</f>
        <v/>
      </c>
      <c r="D431" s="101"/>
      <c r="E431" s="102"/>
      <c r="F431" s="103"/>
      <c r="G431" s="49" t="str">
        <f t="shared" si="1"/>
        <v/>
      </c>
      <c r="H431" s="76"/>
      <c r="I431" s="103"/>
      <c r="J431" s="58" t="str">
        <f>IF(F431="","", IF(I431="",_xlfn.NETWORKDAYS.INTL(F431,TODAY(),1,FERIADOS),_xlfn.NETWORKDAYS.INTL(F431,I431,1,FERIADOS)))</f>
        <v/>
      </c>
      <c r="K431" s="58" t="str">
        <f t="shared" si="2"/>
        <v/>
      </c>
      <c r="L431" s="58" t="str">
        <f t="shared" si="3"/>
        <v/>
      </c>
    </row>
    <row r="432" ht="21.0" customHeight="1">
      <c r="A432" s="76"/>
      <c r="B432" s="94"/>
      <c r="C432" s="38" t="str">
        <f t="array" ref="C432">IF(B432="","",INDEX(PARAMETROS!$J$2:$J$14,MATCH(B432,PARAMETROS!$G$2:$G$14,0),1))</f>
        <v/>
      </c>
      <c r="D432" s="101"/>
      <c r="E432" s="102"/>
      <c r="F432" s="103"/>
      <c r="G432" s="49" t="str">
        <f t="shared" si="1"/>
        <v/>
      </c>
      <c r="H432" s="76"/>
      <c r="I432" s="103"/>
      <c r="J432" s="58" t="str">
        <f>IF(F432="","", IF(I432="",_xlfn.NETWORKDAYS.INTL(F432,TODAY(),1,FERIADOS),_xlfn.NETWORKDAYS.INTL(F432,I432,1,FERIADOS)))</f>
        <v/>
      </c>
      <c r="K432" s="58" t="str">
        <f t="shared" si="2"/>
        <v/>
      </c>
      <c r="L432" s="58" t="str">
        <f t="shared" si="3"/>
        <v/>
      </c>
    </row>
    <row r="433" ht="21.0" customHeight="1">
      <c r="A433" s="76"/>
      <c r="B433" s="94"/>
      <c r="C433" s="38" t="str">
        <f t="array" ref="C433">IF(B433="","",INDEX(PARAMETROS!$J$2:$J$14,MATCH(B433,PARAMETROS!$G$2:$G$14,0),1))</f>
        <v/>
      </c>
      <c r="D433" s="101"/>
      <c r="E433" s="102"/>
      <c r="F433" s="103"/>
      <c r="G433" s="49" t="str">
        <f t="shared" si="1"/>
        <v/>
      </c>
      <c r="H433" s="76"/>
      <c r="I433" s="103"/>
      <c r="J433" s="58" t="str">
        <f>IF(F433="","", IF(I433="",_xlfn.NETWORKDAYS.INTL(F433,TODAY(),1,FERIADOS),_xlfn.NETWORKDAYS.INTL(F433,I433,1,FERIADOS)))</f>
        <v/>
      </c>
      <c r="K433" s="58" t="str">
        <f t="shared" si="2"/>
        <v/>
      </c>
      <c r="L433" s="58" t="str">
        <f t="shared" si="3"/>
        <v/>
      </c>
    </row>
    <row r="434" ht="21.0" customHeight="1">
      <c r="A434" s="76"/>
      <c r="B434" s="94"/>
      <c r="C434" s="38" t="str">
        <f t="array" ref="C434">IF(B434="","",INDEX(PARAMETROS!$J$2:$J$14,MATCH(B434,PARAMETROS!$G$2:$G$14,0),1))</f>
        <v/>
      </c>
      <c r="D434" s="101"/>
      <c r="E434" s="102"/>
      <c r="F434" s="103"/>
      <c r="G434" s="49" t="str">
        <f t="shared" si="1"/>
        <v/>
      </c>
      <c r="H434" s="76"/>
      <c r="I434" s="103"/>
      <c r="J434" s="58" t="str">
        <f>IF(F434="","", IF(I434="",_xlfn.NETWORKDAYS.INTL(F434,TODAY(),1,FERIADOS),_xlfn.NETWORKDAYS.INTL(F434,I434,1,FERIADOS)))</f>
        <v/>
      </c>
      <c r="K434" s="58" t="str">
        <f t="shared" si="2"/>
        <v/>
      </c>
      <c r="L434" s="58" t="str">
        <f t="shared" si="3"/>
        <v/>
      </c>
    </row>
    <row r="435" ht="21.0" customHeight="1">
      <c r="A435" s="76"/>
      <c r="B435" s="94"/>
      <c r="C435" s="38" t="str">
        <f t="array" ref="C435">IF(B435="","",INDEX(PARAMETROS!$J$2:$J$14,MATCH(B435,PARAMETROS!$G$2:$G$14,0),1))</f>
        <v/>
      </c>
      <c r="D435" s="101"/>
      <c r="E435" s="102"/>
      <c r="F435" s="103"/>
      <c r="G435" s="49" t="str">
        <f t="shared" si="1"/>
        <v/>
      </c>
      <c r="H435" s="76"/>
      <c r="I435" s="103"/>
      <c r="J435" s="58" t="str">
        <f>IF(F435="","", IF(I435="",_xlfn.NETWORKDAYS.INTL(F435,TODAY(),1,FERIADOS),_xlfn.NETWORKDAYS.INTL(F435,I435,1,FERIADOS)))</f>
        <v/>
      </c>
      <c r="K435" s="58" t="str">
        <f t="shared" si="2"/>
        <v/>
      </c>
      <c r="L435" s="58" t="str">
        <f t="shared" si="3"/>
        <v/>
      </c>
    </row>
    <row r="436" ht="21.0" customHeight="1">
      <c r="A436" s="76"/>
      <c r="B436" s="94"/>
      <c r="C436" s="38" t="str">
        <f t="array" ref="C436">IF(B436="","",INDEX(PARAMETROS!$J$2:$J$14,MATCH(B436,PARAMETROS!$G$2:$G$14,0),1))</f>
        <v/>
      </c>
      <c r="D436" s="101"/>
      <c r="E436" s="102"/>
      <c r="F436" s="103"/>
      <c r="G436" s="49" t="str">
        <f t="shared" si="1"/>
        <v/>
      </c>
      <c r="H436" s="76"/>
      <c r="I436" s="103"/>
      <c r="J436" s="58" t="str">
        <f>IF(F436="","", IF(I436="",_xlfn.NETWORKDAYS.INTL(F436,TODAY(),1,FERIADOS),_xlfn.NETWORKDAYS.INTL(F436,I436,1,FERIADOS)))</f>
        <v/>
      </c>
      <c r="K436" s="58" t="str">
        <f t="shared" si="2"/>
        <v/>
      </c>
      <c r="L436" s="58" t="str">
        <f t="shared" si="3"/>
        <v/>
      </c>
    </row>
    <row r="437" ht="21.0" customHeight="1">
      <c r="A437" s="76"/>
      <c r="B437" s="94"/>
      <c r="C437" s="38" t="str">
        <f t="array" ref="C437">IF(B437="","",INDEX(PARAMETROS!$J$2:$J$14,MATCH(B437,PARAMETROS!$G$2:$G$14,0),1))</f>
        <v/>
      </c>
      <c r="D437" s="101"/>
      <c r="E437" s="102"/>
      <c r="F437" s="103"/>
      <c r="G437" s="49" t="str">
        <f t="shared" si="1"/>
        <v/>
      </c>
      <c r="H437" s="76"/>
      <c r="I437" s="103"/>
      <c r="J437" s="58" t="str">
        <f>IF(F437="","", IF(I437="",_xlfn.NETWORKDAYS.INTL(F437,TODAY(),1,FERIADOS),_xlfn.NETWORKDAYS.INTL(F437,I437,1,FERIADOS)))</f>
        <v/>
      </c>
      <c r="K437" s="58" t="str">
        <f t="shared" si="2"/>
        <v/>
      </c>
      <c r="L437" s="58" t="str">
        <f t="shared" si="3"/>
        <v/>
      </c>
    </row>
    <row r="438" ht="21.0" customHeight="1">
      <c r="A438" s="76"/>
      <c r="B438" s="94"/>
      <c r="C438" s="38" t="str">
        <f t="array" ref="C438">IF(B438="","",INDEX(PARAMETROS!$J$2:$J$14,MATCH(B438,PARAMETROS!$G$2:$G$14,0),1))</f>
        <v/>
      </c>
      <c r="D438" s="101"/>
      <c r="E438" s="102"/>
      <c r="F438" s="103"/>
      <c r="G438" s="49" t="str">
        <f t="shared" si="1"/>
        <v/>
      </c>
      <c r="H438" s="76"/>
      <c r="I438" s="103"/>
      <c r="J438" s="58" t="str">
        <f>IF(F438="","", IF(I438="",_xlfn.NETWORKDAYS.INTL(F438,TODAY(),1,FERIADOS),_xlfn.NETWORKDAYS.INTL(F438,I438,1,FERIADOS)))</f>
        <v/>
      </c>
      <c r="K438" s="58" t="str">
        <f t="shared" si="2"/>
        <v/>
      </c>
      <c r="L438" s="58" t="str">
        <f t="shared" si="3"/>
        <v/>
      </c>
    </row>
    <row r="439" ht="21.0" customHeight="1">
      <c r="A439" s="76"/>
      <c r="B439" s="94"/>
      <c r="C439" s="38" t="str">
        <f t="array" ref="C439">IF(B439="","",INDEX(PARAMETROS!$J$2:$J$14,MATCH(B439,PARAMETROS!$G$2:$G$14,0),1))</f>
        <v/>
      </c>
      <c r="D439" s="101"/>
      <c r="E439" s="102"/>
      <c r="F439" s="103"/>
      <c r="G439" s="49" t="str">
        <f t="shared" si="1"/>
        <v/>
      </c>
      <c r="H439" s="76"/>
      <c r="I439" s="103"/>
      <c r="J439" s="58" t="str">
        <f>IF(F439="","", IF(I439="",_xlfn.NETWORKDAYS.INTL(F439,TODAY(),1,FERIADOS),_xlfn.NETWORKDAYS.INTL(F439,I439,1,FERIADOS)))</f>
        <v/>
      </c>
      <c r="K439" s="58" t="str">
        <f t="shared" si="2"/>
        <v/>
      </c>
      <c r="L439" s="58" t="str">
        <f t="shared" si="3"/>
        <v/>
      </c>
    </row>
    <row r="440" ht="21.0" customHeight="1">
      <c r="A440" s="76"/>
      <c r="B440" s="94"/>
      <c r="C440" s="38" t="str">
        <f t="array" ref="C440">IF(B440="","",INDEX(PARAMETROS!$J$2:$J$14,MATCH(B440,PARAMETROS!$G$2:$G$14,0),1))</f>
        <v/>
      </c>
      <c r="D440" s="101"/>
      <c r="E440" s="102"/>
      <c r="F440" s="103"/>
      <c r="G440" s="49" t="str">
        <f t="shared" si="1"/>
        <v/>
      </c>
      <c r="H440" s="76"/>
      <c r="I440" s="103"/>
      <c r="J440" s="58" t="str">
        <f>IF(F440="","", IF(I440="",_xlfn.NETWORKDAYS.INTL(F440,TODAY(),1,FERIADOS),_xlfn.NETWORKDAYS.INTL(F440,I440,1,FERIADOS)))</f>
        <v/>
      </c>
      <c r="K440" s="58" t="str">
        <f t="shared" si="2"/>
        <v/>
      </c>
      <c r="L440" s="58" t="str">
        <f t="shared" si="3"/>
        <v/>
      </c>
    </row>
    <row r="441" ht="21.0" customHeight="1">
      <c r="A441" s="76"/>
      <c r="B441" s="94"/>
      <c r="C441" s="38" t="str">
        <f t="array" ref="C441">IF(B441="","",INDEX(PARAMETROS!$J$2:$J$14,MATCH(B441,PARAMETROS!$G$2:$G$14,0),1))</f>
        <v/>
      </c>
      <c r="D441" s="101"/>
      <c r="E441" s="102"/>
      <c r="F441" s="103"/>
      <c r="G441" s="49" t="str">
        <f t="shared" si="1"/>
        <v/>
      </c>
      <c r="H441" s="76"/>
      <c r="I441" s="103"/>
      <c r="J441" s="58" t="str">
        <f>IF(F441="","", IF(I441="",_xlfn.NETWORKDAYS.INTL(F441,TODAY(),1,FERIADOS),_xlfn.NETWORKDAYS.INTL(F441,I441,1,FERIADOS)))</f>
        <v/>
      </c>
      <c r="K441" s="58" t="str">
        <f t="shared" si="2"/>
        <v/>
      </c>
      <c r="L441" s="58" t="str">
        <f t="shared" si="3"/>
        <v/>
      </c>
    </row>
    <row r="442" ht="21.0" customHeight="1">
      <c r="A442" s="76"/>
      <c r="B442" s="94"/>
      <c r="C442" s="38" t="str">
        <f t="array" ref="C442">IF(B442="","",INDEX(PARAMETROS!$J$2:$J$14,MATCH(B442,PARAMETROS!$G$2:$G$14,0),1))</f>
        <v/>
      </c>
      <c r="D442" s="101"/>
      <c r="E442" s="102"/>
      <c r="F442" s="103"/>
      <c r="G442" s="49" t="str">
        <f t="shared" si="1"/>
        <v/>
      </c>
      <c r="H442" s="76"/>
      <c r="I442" s="103"/>
      <c r="J442" s="58" t="str">
        <f>IF(F442="","", IF(I442="",_xlfn.NETWORKDAYS.INTL(F442,TODAY(),1,FERIADOS),_xlfn.NETWORKDAYS.INTL(F442,I442,1,FERIADOS)))</f>
        <v/>
      </c>
      <c r="K442" s="58" t="str">
        <f t="shared" si="2"/>
        <v/>
      </c>
      <c r="L442" s="58" t="str">
        <f t="shared" si="3"/>
        <v/>
      </c>
    </row>
    <row r="443" ht="21.0" customHeight="1">
      <c r="A443" s="76"/>
      <c r="B443" s="94"/>
      <c r="C443" s="38" t="str">
        <f t="array" ref="C443">IF(B443="","",INDEX(PARAMETROS!$J$2:$J$14,MATCH(B443,PARAMETROS!$G$2:$G$14,0),1))</f>
        <v/>
      </c>
      <c r="D443" s="101"/>
      <c r="E443" s="102"/>
      <c r="F443" s="103"/>
      <c r="G443" s="49" t="str">
        <f t="shared" si="1"/>
        <v/>
      </c>
      <c r="H443" s="76"/>
      <c r="I443" s="103"/>
      <c r="J443" s="58" t="str">
        <f>IF(F443="","", IF(I443="",_xlfn.NETWORKDAYS.INTL(F443,TODAY(),1,FERIADOS),_xlfn.NETWORKDAYS.INTL(F443,I443,1,FERIADOS)))</f>
        <v/>
      </c>
      <c r="K443" s="58" t="str">
        <f t="shared" si="2"/>
        <v/>
      </c>
      <c r="L443" s="58" t="str">
        <f t="shared" si="3"/>
        <v/>
      </c>
    </row>
    <row r="444" ht="21.0" customHeight="1">
      <c r="A444" s="76"/>
      <c r="B444" s="94"/>
      <c r="C444" s="38" t="str">
        <f t="array" ref="C444">IF(B444="","",INDEX(PARAMETROS!$J$2:$J$14,MATCH(B444,PARAMETROS!$G$2:$G$14,0),1))</f>
        <v/>
      </c>
      <c r="D444" s="101"/>
      <c r="E444" s="102"/>
      <c r="F444" s="103"/>
      <c r="G444" s="49" t="str">
        <f t="shared" si="1"/>
        <v/>
      </c>
      <c r="H444" s="76"/>
      <c r="I444" s="103"/>
      <c r="J444" s="58" t="str">
        <f>IF(F444="","", IF(I444="",_xlfn.NETWORKDAYS.INTL(F444,TODAY(),1,FERIADOS),_xlfn.NETWORKDAYS.INTL(F444,I444,1,FERIADOS)))</f>
        <v/>
      </c>
      <c r="K444" s="58" t="str">
        <f t="shared" si="2"/>
        <v/>
      </c>
      <c r="L444" s="58" t="str">
        <f t="shared" si="3"/>
        <v/>
      </c>
    </row>
    <row r="445" ht="21.0" customHeight="1">
      <c r="A445" s="76"/>
      <c r="B445" s="94"/>
      <c r="C445" s="38" t="str">
        <f t="array" ref="C445">IF(B445="","",INDEX(PARAMETROS!$J$2:$J$14,MATCH(B445,PARAMETROS!$G$2:$G$14,0),1))</f>
        <v/>
      </c>
      <c r="D445" s="101"/>
      <c r="E445" s="102"/>
      <c r="F445" s="103"/>
      <c r="G445" s="49" t="str">
        <f t="shared" si="1"/>
        <v/>
      </c>
      <c r="H445" s="76"/>
      <c r="I445" s="103"/>
      <c r="J445" s="58" t="str">
        <f>IF(F445="","", IF(I445="",_xlfn.NETWORKDAYS.INTL(F445,TODAY(),1,FERIADOS),_xlfn.NETWORKDAYS.INTL(F445,I445,1,FERIADOS)))</f>
        <v/>
      </c>
      <c r="K445" s="58" t="str">
        <f t="shared" si="2"/>
        <v/>
      </c>
      <c r="L445" s="58" t="str">
        <f t="shared" si="3"/>
        <v/>
      </c>
    </row>
    <row r="446" ht="21.0" customHeight="1">
      <c r="A446" s="76"/>
      <c r="B446" s="94"/>
      <c r="C446" s="38" t="str">
        <f t="array" ref="C446">IF(B446="","",INDEX(PARAMETROS!$J$2:$J$14,MATCH(B446,PARAMETROS!$G$2:$G$14,0),1))</f>
        <v/>
      </c>
      <c r="D446" s="101"/>
      <c r="E446" s="102"/>
      <c r="F446" s="103"/>
      <c r="G446" s="49" t="str">
        <f t="shared" si="1"/>
        <v/>
      </c>
      <c r="H446" s="76"/>
      <c r="I446" s="103"/>
      <c r="J446" s="58" t="str">
        <f>IF(F446="","", IF(I446="",_xlfn.NETWORKDAYS.INTL(F446,TODAY(),1,FERIADOS),_xlfn.NETWORKDAYS.INTL(F446,I446,1,FERIADOS)))</f>
        <v/>
      </c>
      <c r="K446" s="58" t="str">
        <f t="shared" si="2"/>
        <v/>
      </c>
      <c r="L446" s="58" t="str">
        <f t="shared" si="3"/>
        <v/>
      </c>
    </row>
    <row r="447" ht="21.0" customHeight="1">
      <c r="A447" s="76"/>
      <c r="B447" s="94"/>
      <c r="C447" s="38" t="str">
        <f t="array" ref="C447">IF(B447="","",INDEX(PARAMETROS!$J$2:$J$14,MATCH(B447,PARAMETROS!$G$2:$G$14,0),1))</f>
        <v/>
      </c>
      <c r="D447" s="101"/>
      <c r="E447" s="102"/>
      <c r="F447" s="103"/>
      <c r="G447" s="49" t="str">
        <f t="shared" si="1"/>
        <v/>
      </c>
      <c r="H447" s="76"/>
      <c r="I447" s="103"/>
      <c r="J447" s="58" t="str">
        <f>IF(F447="","", IF(I447="",_xlfn.NETWORKDAYS.INTL(F447,TODAY(),1,FERIADOS),_xlfn.NETWORKDAYS.INTL(F447,I447,1,FERIADOS)))</f>
        <v/>
      </c>
      <c r="K447" s="58" t="str">
        <f t="shared" si="2"/>
        <v/>
      </c>
      <c r="L447" s="58" t="str">
        <f t="shared" si="3"/>
        <v/>
      </c>
    </row>
    <row r="448" ht="21.0" customHeight="1">
      <c r="A448" s="76"/>
      <c r="B448" s="94"/>
      <c r="C448" s="38" t="str">
        <f t="array" ref="C448">IF(B448="","",INDEX(PARAMETROS!$J$2:$J$14,MATCH(B448,PARAMETROS!$G$2:$G$14,0),1))</f>
        <v/>
      </c>
      <c r="D448" s="101"/>
      <c r="E448" s="102"/>
      <c r="F448" s="103"/>
      <c r="G448" s="49" t="str">
        <f t="shared" si="1"/>
        <v/>
      </c>
      <c r="H448" s="76"/>
      <c r="I448" s="103"/>
      <c r="J448" s="58" t="str">
        <f>IF(F448="","", IF(I448="",_xlfn.NETWORKDAYS.INTL(F448,TODAY(),1,FERIADOS),_xlfn.NETWORKDAYS.INTL(F448,I448,1,FERIADOS)))</f>
        <v/>
      </c>
      <c r="K448" s="58" t="str">
        <f t="shared" si="2"/>
        <v/>
      </c>
      <c r="L448" s="58" t="str">
        <f t="shared" si="3"/>
        <v/>
      </c>
    </row>
    <row r="449" ht="21.0" customHeight="1">
      <c r="A449" s="76"/>
      <c r="B449" s="94"/>
      <c r="C449" s="38" t="str">
        <f t="array" ref="C449">IF(B449="","",INDEX(PARAMETROS!$J$2:$J$14,MATCH(B449,PARAMETROS!$G$2:$G$14,0),1))</f>
        <v/>
      </c>
      <c r="D449" s="101"/>
      <c r="E449" s="102"/>
      <c r="F449" s="103"/>
      <c r="G449" s="49" t="str">
        <f t="shared" si="1"/>
        <v/>
      </c>
      <c r="H449" s="76"/>
      <c r="I449" s="103"/>
      <c r="J449" s="58" t="str">
        <f>IF(F449="","", IF(I449="",_xlfn.NETWORKDAYS.INTL(F449,TODAY(),1,FERIADOS),_xlfn.NETWORKDAYS.INTL(F449,I449,1,FERIADOS)))</f>
        <v/>
      </c>
      <c r="K449" s="58" t="str">
        <f t="shared" si="2"/>
        <v/>
      </c>
      <c r="L449" s="58" t="str">
        <f t="shared" si="3"/>
        <v/>
      </c>
    </row>
    <row r="450" ht="21.0" customHeight="1">
      <c r="A450" s="76"/>
      <c r="B450" s="94"/>
      <c r="C450" s="38" t="str">
        <f t="array" ref="C450">IF(B450="","",INDEX(PARAMETROS!$J$2:$J$14,MATCH(B450,PARAMETROS!$G$2:$G$14,0),1))</f>
        <v/>
      </c>
      <c r="D450" s="101"/>
      <c r="E450" s="102"/>
      <c r="F450" s="103"/>
      <c r="G450" s="49" t="str">
        <f t="shared" si="1"/>
        <v/>
      </c>
      <c r="H450" s="76"/>
      <c r="I450" s="103"/>
      <c r="J450" s="58" t="str">
        <f>IF(F450="","", IF(I450="",_xlfn.NETWORKDAYS.INTL(F450,TODAY(),1,FERIADOS),_xlfn.NETWORKDAYS.INTL(F450,I450,1,FERIADOS)))</f>
        <v/>
      </c>
      <c r="K450" s="58" t="str">
        <f t="shared" si="2"/>
        <v/>
      </c>
      <c r="L450" s="58" t="str">
        <f t="shared" si="3"/>
        <v/>
      </c>
    </row>
    <row r="451" ht="21.0" customHeight="1">
      <c r="A451" s="76"/>
      <c r="B451" s="94"/>
      <c r="C451" s="38" t="str">
        <f t="array" ref="C451">IF(B451="","",INDEX(PARAMETROS!$J$2:$J$14,MATCH(B451,PARAMETROS!$G$2:$G$14,0),1))</f>
        <v/>
      </c>
      <c r="D451" s="101"/>
      <c r="E451" s="102"/>
      <c r="F451" s="103"/>
      <c r="G451" s="49" t="str">
        <f t="shared" si="1"/>
        <v/>
      </c>
      <c r="H451" s="76"/>
      <c r="I451" s="103"/>
      <c r="J451" s="58" t="str">
        <f>IF(F451="","", IF(I451="",_xlfn.NETWORKDAYS.INTL(F451,TODAY(),1,FERIADOS),_xlfn.NETWORKDAYS.INTL(F451,I451,1,FERIADOS)))</f>
        <v/>
      </c>
      <c r="K451" s="58" t="str">
        <f t="shared" si="2"/>
        <v/>
      </c>
      <c r="L451" s="58" t="str">
        <f t="shared" si="3"/>
        <v/>
      </c>
    </row>
    <row r="452" ht="21.0" customHeight="1">
      <c r="A452" s="76"/>
      <c r="B452" s="94"/>
      <c r="C452" s="38" t="str">
        <f t="array" ref="C452">IF(B452="","",INDEX(PARAMETROS!$J$2:$J$14,MATCH(B452,PARAMETROS!$G$2:$G$14,0),1))</f>
        <v/>
      </c>
      <c r="D452" s="101"/>
      <c r="E452" s="102"/>
      <c r="F452" s="103"/>
      <c r="G452" s="49" t="str">
        <f t="shared" si="1"/>
        <v/>
      </c>
      <c r="H452" s="76"/>
      <c r="I452" s="103"/>
      <c r="J452" s="58" t="str">
        <f>IF(F452="","", IF(I452="",_xlfn.NETWORKDAYS.INTL(F452,TODAY(),1,FERIADOS),_xlfn.NETWORKDAYS.INTL(F452,I452,1,FERIADOS)))</f>
        <v/>
      </c>
      <c r="K452" s="58" t="str">
        <f t="shared" si="2"/>
        <v/>
      </c>
      <c r="L452" s="58" t="str">
        <f t="shared" si="3"/>
        <v/>
      </c>
    </row>
    <row r="453" ht="21.0" customHeight="1">
      <c r="A453" s="76"/>
      <c r="B453" s="94"/>
      <c r="C453" s="38" t="str">
        <f t="array" ref="C453">IF(B453="","",INDEX(PARAMETROS!$J$2:$J$14,MATCH(B453,PARAMETROS!$G$2:$G$14,0),1))</f>
        <v/>
      </c>
      <c r="D453" s="101"/>
      <c r="E453" s="102"/>
      <c r="F453" s="103"/>
      <c r="G453" s="49" t="str">
        <f t="shared" si="1"/>
        <v/>
      </c>
      <c r="H453" s="76"/>
      <c r="I453" s="103"/>
      <c r="J453" s="58" t="str">
        <f>IF(F453="","", IF(I453="",_xlfn.NETWORKDAYS.INTL(F453,TODAY(),1,FERIADOS),_xlfn.NETWORKDAYS.INTL(F453,I453,1,FERIADOS)))</f>
        <v/>
      </c>
      <c r="K453" s="58" t="str">
        <f t="shared" si="2"/>
        <v/>
      </c>
      <c r="L453" s="58" t="str">
        <f t="shared" si="3"/>
        <v/>
      </c>
    </row>
    <row r="454" ht="21.0" customHeight="1">
      <c r="A454" s="76"/>
      <c r="B454" s="94"/>
      <c r="C454" s="38" t="str">
        <f t="array" ref="C454">IF(B454="","",INDEX(PARAMETROS!$J$2:$J$14,MATCH(B454,PARAMETROS!$G$2:$G$14,0),1))</f>
        <v/>
      </c>
      <c r="D454" s="101"/>
      <c r="E454" s="102"/>
      <c r="F454" s="103"/>
      <c r="G454" s="49" t="str">
        <f t="shared" si="1"/>
        <v/>
      </c>
      <c r="H454" s="76"/>
      <c r="I454" s="103"/>
      <c r="J454" s="58" t="str">
        <f>IF(F454="","", IF(I454="",_xlfn.NETWORKDAYS.INTL(F454,TODAY(),1,FERIADOS),_xlfn.NETWORKDAYS.INTL(F454,I454,1,FERIADOS)))</f>
        <v/>
      </c>
      <c r="K454" s="58" t="str">
        <f t="shared" si="2"/>
        <v/>
      </c>
      <c r="L454" s="58" t="str">
        <f t="shared" si="3"/>
        <v/>
      </c>
    </row>
    <row r="455" ht="21.0" customHeight="1">
      <c r="A455" s="76"/>
      <c r="B455" s="94"/>
      <c r="C455" s="38" t="str">
        <f t="array" ref="C455">IF(B455="","",INDEX(PARAMETROS!$J$2:$J$14,MATCH(B455,PARAMETROS!$G$2:$G$14,0),1))</f>
        <v/>
      </c>
      <c r="D455" s="101"/>
      <c r="E455" s="102"/>
      <c r="F455" s="103"/>
      <c r="G455" s="49" t="str">
        <f t="shared" si="1"/>
        <v/>
      </c>
      <c r="H455" s="76"/>
      <c r="I455" s="103"/>
      <c r="J455" s="58" t="str">
        <f>IF(F455="","", IF(I455="",_xlfn.NETWORKDAYS.INTL(F455,TODAY(),1,FERIADOS),_xlfn.NETWORKDAYS.INTL(F455,I455,1,FERIADOS)))</f>
        <v/>
      </c>
      <c r="K455" s="58" t="str">
        <f t="shared" si="2"/>
        <v/>
      </c>
      <c r="L455" s="58" t="str">
        <f t="shared" si="3"/>
        <v/>
      </c>
    </row>
    <row r="456" ht="21.0" customHeight="1">
      <c r="A456" s="76"/>
      <c r="B456" s="94"/>
      <c r="C456" s="38" t="str">
        <f t="array" ref="C456">IF(B456="","",INDEX(PARAMETROS!$J$2:$J$14,MATCH(B456,PARAMETROS!$G$2:$G$14,0),1))</f>
        <v/>
      </c>
      <c r="D456" s="101"/>
      <c r="E456" s="102"/>
      <c r="F456" s="103"/>
      <c r="G456" s="49" t="str">
        <f t="shared" si="1"/>
        <v/>
      </c>
      <c r="H456" s="76"/>
      <c r="I456" s="103"/>
      <c r="J456" s="58" t="str">
        <f>IF(F456="","", IF(I456="",_xlfn.NETWORKDAYS.INTL(F456,TODAY(),1,FERIADOS),_xlfn.NETWORKDAYS.INTL(F456,I456,1,FERIADOS)))</f>
        <v/>
      </c>
      <c r="K456" s="58" t="str">
        <f t="shared" si="2"/>
        <v/>
      </c>
      <c r="L456" s="58" t="str">
        <f t="shared" si="3"/>
        <v/>
      </c>
    </row>
    <row r="457" ht="21.0" customHeight="1">
      <c r="A457" s="76"/>
      <c r="B457" s="94"/>
      <c r="C457" s="38" t="str">
        <f t="array" ref="C457">IF(B457="","",INDEX(PARAMETROS!$J$2:$J$14,MATCH(B457,PARAMETROS!$G$2:$G$14,0),1))</f>
        <v/>
      </c>
      <c r="D457" s="101"/>
      <c r="E457" s="102"/>
      <c r="F457" s="103"/>
      <c r="G457" s="49" t="str">
        <f t="shared" si="1"/>
        <v/>
      </c>
      <c r="H457" s="76"/>
      <c r="I457" s="103"/>
      <c r="J457" s="58" t="str">
        <f>IF(F457="","", IF(I457="",_xlfn.NETWORKDAYS.INTL(F457,TODAY(),1,FERIADOS),_xlfn.NETWORKDAYS.INTL(F457,I457,1,FERIADOS)))</f>
        <v/>
      </c>
      <c r="K457" s="58" t="str">
        <f t="shared" si="2"/>
        <v/>
      </c>
      <c r="L457" s="58" t="str">
        <f t="shared" si="3"/>
        <v/>
      </c>
    </row>
    <row r="458" ht="21.0" customHeight="1">
      <c r="A458" s="76"/>
      <c r="B458" s="94"/>
      <c r="C458" s="38" t="str">
        <f t="array" ref="C458">IF(B458="","",INDEX(PARAMETROS!$J$2:$J$14,MATCH(B458,PARAMETROS!$G$2:$G$14,0),1))</f>
        <v/>
      </c>
      <c r="D458" s="101"/>
      <c r="E458" s="102"/>
      <c r="F458" s="103"/>
      <c r="G458" s="49" t="str">
        <f t="shared" si="1"/>
        <v/>
      </c>
      <c r="H458" s="76"/>
      <c r="I458" s="103"/>
      <c r="J458" s="58" t="str">
        <f>IF(F458="","", IF(I458="",_xlfn.NETWORKDAYS.INTL(F458,TODAY(),1,FERIADOS),_xlfn.NETWORKDAYS.INTL(F458,I458,1,FERIADOS)))</f>
        <v/>
      </c>
      <c r="K458" s="58" t="str">
        <f t="shared" si="2"/>
        <v/>
      </c>
      <c r="L458" s="58" t="str">
        <f t="shared" si="3"/>
        <v/>
      </c>
    </row>
    <row r="459" ht="21.0" customHeight="1">
      <c r="A459" s="76"/>
      <c r="B459" s="94"/>
      <c r="C459" s="38" t="str">
        <f t="array" ref="C459">IF(B459="","",INDEX(PARAMETROS!$J$2:$J$14,MATCH(B459,PARAMETROS!$G$2:$G$14,0),1))</f>
        <v/>
      </c>
      <c r="D459" s="101"/>
      <c r="E459" s="102"/>
      <c r="F459" s="103"/>
      <c r="G459" s="49" t="str">
        <f t="shared" si="1"/>
        <v/>
      </c>
      <c r="H459" s="76"/>
      <c r="I459" s="103"/>
      <c r="J459" s="58" t="str">
        <f>IF(F459="","", IF(I459="",_xlfn.NETWORKDAYS.INTL(F459,TODAY(),1,FERIADOS),_xlfn.NETWORKDAYS.INTL(F459,I459,1,FERIADOS)))</f>
        <v/>
      </c>
      <c r="K459" s="58" t="str">
        <f t="shared" si="2"/>
        <v/>
      </c>
      <c r="L459" s="58" t="str">
        <f t="shared" si="3"/>
        <v/>
      </c>
    </row>
    <row r="460" ht="21.0" customHeight="1">
      <c r="A460" s="76"/>
      <c r="B460" s="94"/>
      <c r="C460" s="38" t="str">
        <f t="array" ref="C460">IF(B460="","",INDEX(PARAMETROS!$J$2:$J$14,MATCH(B460,PARAMETROS!$G$2:$G$14,0),1))</f>
        <v/>
      </c>
      <c r="D460" s="101"/>
      <c r="E460" s="102"/>
      <c r="F460" s="103"/>
      <c r="G460" s="49" t="str">
        <f t="shared" si="1"/>
        <v/>
      </c>
      <c r="H460" s="76"/>
      <c r="I460" s="103"/>
      <c r="J460" s="58" t="str">
        <f>IF(F460="","", IF(I460="",_xlfn.NETWORKDAYS.INTL(F460,TODAY(),1,FERIADOS),_xlfn.NETWORKDAYS.INTL(F460,I460,1,FERIADOS)))</f>
        <v/>
      </c>
      <c r="K460" s="58" t="str">
        <f t="shared" si="2"/>
        <v/>
      </c>
      <c r="L460" s="58" t="str">
        <f t="shared" si="3"/>
        <v/>
      </c>
    </row>
    <row r="461" ht="21.0" customHeight="1">
      <c r="A461" s="76"/>
      <c r="B461" s="94"/>
      <c r="C461" s="38" t="str">
        <f t="array" ref="C461">IF(B461="","",INDEX(PARAMETROS!$J$2:$J$14,MATCH(B461,PARAMETROS!$G$2:$G$14,0),1))</f>
        <v/>
      </c>
      <c r="D461" s="101"/>
      <c r="E461" s="102"/>
      <c r="F461" s="103"/>
      <c r="G461" s="49" t="str">
        <f t="shared" si="1"/>
        <v/>
      </c>
      <c r="H461" s="76"/>
      <c r="I461" s="103"/>
      <c r="J461" s="58" t="str">
        <f>IF(F461="","", IF(I461="",_xlfn.NETWORKDAYS.INTL(F461,TODAY(),1,FERIADOS),_xlfn.NETWORKDAYS.INTL(F461,I461,1,FERIADOS)))</f>
        <v/>
      </c>
      <c r="K461" s="58" t="str">
        <f t="shared" si="2"/>
        <v/>
      </c>
      <c r="L461" s="58" t="str">
        <f t="shared" si="3"/>
        <v/>
      </c>
    </row>
    <row r="462" ht="21.0" customHeight="1">
      <c r="A462" s="76"/>
      <c r="B462" s="94"/>
      <c r="C462" s="38" t="str">
        <f t="array" ref="C462">IF(B462="","",INDEX(PARAMETROS!$J$2:$J$14,MATCH(B462,PARAMETROS!$G$2:$G$14,0),1))</f>
        <v/>
      </c>
      <c r="D462" s="101"/>
      <c r="E462" s="102"/>
      <c r="F462" s="103"/>
      <c r="G462" s="49" t="str">
        <f t="shared" si="1"/>
        <v/>
      </c>
      <c r="H462" s="76"/>
      <c r="I462" s="103"/>
      <c r="J462" s="58" t="str">
        <f>IF(F462="","", IF(I462="",_xlfn.NETWORKDAYS.INTL(F462,TODAY(),1,FERIADOS),_xlfn.NETWORKDAYS.INTL(F462,I462,1,FERIADOS)))</f>
        <v/>
      </c>
      <c r="K462" s="58" t="str">
        <f t="shared" si="2"/>
        <v/>
      </c>
      <c r="L462" s="58" t="str">
        <f t="shared" si="3"/>
        <v/>
      </c>
    </row>
    <row r="463" ht="21.0" customHeight="1">
      <c r="A463" s="76"/>
      <c r="B463" s="94"/>
      <c r="C463" s="38" t="str">
        <f t="array" ref="C463">IF(B463="","",INDEX(PARAMETROS!$J$2:$J$14,MATCH(B463,PARAMETROS!$G$2:$G$14,0),1))</f>
        <v/>
      </c>
      <c r="D463" s="101"/>
      <c r="E463" s="102"/>
      <c r="F463" s="103"/>
      <c r="G463" s="49" t="str">
        <f t="shared" si="1"/>
        <v/>
      </c>
      <c r="H463" s="76"/>
      <c r="I463" s="103"/>
      <c r="J463" s="58" t="str">
        <f>IF(F463="","", IF(I463="",_xlfn.NETWORKDAYS.INTL(F463,TODAY(),1,FERIADOS),_xlfn.NETWORKDAYS.INTL(F463,I463,1,FERIADOS)))</f>
        <v/>
      </c>
      <c r="K463" s="58" t="str">
        <f t="shared" si="2"/>
        <v/>
      </c>
      <c r="L463" s="58" t="str">
        <f t="shared" si="3"/>
        <v/>
      </c>
    </row>
    <row r="464" ht="21.0" customHeight="1">
      <c r="A464" s="76"/>
      <c r="B464" s="94"/>
      <c r="C464" s="38" t="str">
        <f t="array" ref="C464">IF(B464="","",INDEX(PARAMETROS!$J$2:$J$14,MATCH(B464,PARAMETROS!$G$2:$G$14,0),1))</f>
        <v/>
      </c>
      <c r="D464" s="101"/>
      <c r="E464" s="102"/>
      <c r="F464" s="103"/>
      <c r="G464" s="49" t="str">
        <f t="shared" si="1"/>
        <v/>
      </c>
      <c r="H464" s="76"/>
      <c r="I464" s="103"/>
      <c r="J464" s="58" t="str">
        <f>IF(F464="","", IF(I464="",_xlfn.NETWORKDAYS.INTL(F464,TODAY(),1,FERIADOS),_xlfn.NETWORKDAYS.INTL(F464,I464,1,FERIADOS)))</f>
        <v/>
      </c>
      <c r="K464" s="58" t="str">
        <f t="shared" si="2"/>
        <v/>
      </c>
      <c r="L464" s="58" t="str">
        <f t="shared" si="3"/>
        <v/>
      </c>
    </row>
    <row r="465" ht="21.0" customHeight="1">
      <c r="A465" s="76"/>
      <c r="B465" s="94"/>
      <c r="C465" s="38" t="str">
        <f t="array" ref="C465">IF(B465="","",INDEX(PARAMETROS!$J$2:$J$14,MATCH(B465,PARAMETROS!$G$2:$G$14,0),1))</f>
        <v/>
      </c>
      <c r="D465" s="101"/>
      <c r="E465" s="102"/>
      <c r="F465" s="103"/>
      <c r="G465" s="49" t="str">
        <f t="shared" si="1"/>
        <v/>
      </c>
      <c r="H465" s="76"/>
      <c r="I465" s="103"/>
      <c r="J465" s="58" t="str">
        <f>IF(F465="","", IF(I465="",_xlfn.NETWORKDAYS.INTL(F465,TODAY(),1,FERIADOS),_xlfn.NETWORKDAYS.INTL(F465,I465,1,FERIADOS)))</f>
        <v/>
      </c>
      <c r="K465" s="58" t="str">
        <f t="shared" si="2"/>
        <v/>
      </c>
      <c r="L465" s="58" t="str">
        <f t="shared" si="3"/>
        <v/>
      </c>
    </row>
    <row r="466" ht="21.0" customHeight="1">
      <c r="A466" s="76"/>
      <c r="B466" s="94"/>
      <c r="C466" s="38" t="str">
        <f t="array" ref="C466">IF(B466="","",INDEX(PARAMETROS!$J$2:$J$14,MATCH(B466,PARAMETROS!$G$2:$G$14,0),1))</f>
        <v/>
      </c>
      <c r="D466" s="101"/>
      <c r="E466" s="102"/>
      <c r="F466" s="103"/>
      <c r="G466" s="49" t="str">
        <f t="shared" si="1"/>
        <v/>
      </c>
      <c r="H466" s="76"/>
      <c r="I466" s="103"/>
      <c r="J466" s="58" t="str">
        <f>IF(F466="","", IF(I466="",_xlfn.NETWORKDAYS.INTL(F466,TODAY(),1,FERIADOS),_xlfn.NETWORKDAYS.INTL(F466,I466,1,FERIADOS)))</f>
        <v/>
      </c>
      <c r="K466" s="58" t="str">
        <f t="shared" si="2"/>
        <v/>
      </c>
      <c r="L466" s="58" t="str">
        <f t="shared" si="3"/>
        <v/>
      </c>
    </row>
    <row r="467" ht="21.0" customHeight="1">
      <c r="A467" s="76"/>
      <c r="B467" s="94"/>
      <c r="C467" s="38" t="str">
        <f t="array" ref="C467">IF(B467="","",INDEX(PARAMETROS!$J$2:$J$14,MATCH(B467,PARAMETROS!$G$2:$G$14,0),1))</f>
        <v/>
      </c>
      <c r="D467" s="101"/>
      <c r="E467" s="102"/>
      <c r="F467" s="103"/>
      <c r="G467" s="49" t="str">
        <f t="shared" si="1"/>
        <v/>
      </c>
      <c r="H467" s="76"/>
      <c r="I467" s="103"/>
      <c r="J467" s="58" t="str">
        <f>IF(F467="","", IF(I467="",_xlfn.NETWORKDAYS.INTL(F467,TODAY(),1,FERIADOS),_xlfn.NETWORKDAYS.INTL(F467,I467,1,FERIADOS)))</f>
        <v/>
      </c>
      <c r="K467" s="58" t="str">
        <f t="shared" si="2"/>
        <v/>
      </c>
      <c r="L467" s="58" t="str">
        <f t="shared" si="3"/>
        <v/>
      </c>
    </row>
    <row r="468" ht="21.0" customHeight="1">
      <c r="A468" s="76"/>
      <c r="B468" s="94"/>
      <c r="C468" s="38" t="str">
        <f t="array" ref="C468">IF(B468="","",INDEX(PARAMETROS!$J$2:$J$14,MATCH(B468,PARAMETROS!$G$2:$G$14,0),1))</f>
        <v/>
      </c>
      <c r="D468" s="101"/>
      <c r="E468" s="102"/>
      <c r="F468" s="103"/>
      <c r="G468" s="49" t="str">
        <f t="shared" si="1"/>
        <v/>
      </c>
      <c r="H468" s="76"/>
      <c r="I468" s="103"/>
      <c r="J468" s="58" t="str">
        <f>IF(F468="","", IF(I468="",_xlfn.NETWORKDAYS.INTL(F468,TODAY(),1,FERIADOS),_xlfn.NETWORKDAYS.INTL(F468,I468,1,FERIADOS)))</f>
        <v/>
      </c>
      <c r="K468" s="58" t="str">
        <f t="shared" si="2"/>
        <v/>
      </c>
      <c r="L468" s="58" t="str">
        <f t="shared" si="3"/>
        <v/>
      </c>
    </row>
    <row r="469" ht="21.0" customHeight="1">
      <c r="A469" s="76"/>
      <c r="B469" s="94"/>
      <c r="C469" s="38" t="str">
        <f t="array" ref="C469">IF(B469="","",INDEX(PARAMETROS!$J$2:$J$14,MATCH(B469,PARAMETROS!$G$2:$G$14,0),1))</f>
        <v/>
      </c>
      <c r="D469" s="101"/>
      <c r="E469" s="102"/>
      <c r="F469" s="103"/>
      <c r="G469" s="49" t="str">
        <f t="shared" si="1"/>
        <v/>
      </c>
      <c r="H469" s="76"/>
      <c r="I469" s="103"/>
      <c r="J469" s="58" t="str">
        <f>IF(F469="","", IF(I469="",_xlfn.NETWORKDAYS.INTL(F469,TODAY(),1,FERIADOS),_xlfn.NETWORKDAYS.INTL(F469,I469,1,FERIADOS)))</f>
        <v/>
      </c>
      <c r="K469" s="58" t="str">
        <f t="shared" si="2"/>
        <v/>
      </c>
      <c r="L469" s="58" t="str">
        <f t="shared" si="3"/>
        <v/>
      </c>
    </row>
    <row r="470" ht="21.0" customHeight="1">
      <c r="A470" s="76"/>
      <c r="B470" s="94"/>
      <c r="C470" s="38" t="str">
        <f t="array" ref="C470">IF(B470="","",INDEX(PARAMETROS!$J$2:$J$14,MATCH(B470,PARAMETROS!$G$2:$G$14,0),1))</f>
        <v/>
      </c>
      <c r="D470" s="101"/>
      <c r="E470" s="102"/>
      <c r="F470" s="103"/>
      <c r="G470" s="49" t="str">
        <f t="shared" si="1"/>
        <v/>
      </c>
      <c r="H470" s="76"/>
      <c r="I470" s="103"/>
      <c r="J470" s="58" t="str">
        <f>IF(F470="","", IF(I470="",_xlfn.NETWORKDAYS.INTL(F470,TODAY(),1,FERIADOS),_xlfn.NETWORKDAYS.INTL(F470,I470,1,FERIADOS)))</f>
        <v/>
      </c>
      <c r="K470" s="58" t="str">
        <f t="shared" si="2"/>
        <v/>
      </c>
      <c r="L470" s="58" t="str">
        <f t="shared" si="3"/>
        <v/>
      </c>
    </row>
    <row r="471" ht="21.0" customHeight="1">
      <c r="A471" s="76"/>
      <c r="B471" s="94"/>
      <c r="C471" s="38" t="str">
        <f t="array" ref="C471">IF(B471="","",INDEX(PARAMETROS!$J$2:$J$14,MATCH(B471,PARAMETROS!$G$2:$G$14,0),1))</f>
        <v/>
      </c>
      <c r="D471" s="101"/>
      <c r="E471" s="102"/>
      <c r="F471" s="103"/>
      <c r="G471" s="49" t="str">
        <f t="shared" si="1"/>
        <v/>
      </c>
      <c r="H471" s="76"/>
      <c r="I471" s="103"/>
      <c r="J471" s="58" t="str">
        <f>IF(F471="","", IF(I471="",_xlfn.NETWORKDAYS.INTL(F471,TODAY(),1,FERIADOS),_xlfn.NETWORKDAYS.INTL(F471,I471,1,FERIADOS)))</f>
        <v/>
      </c>
      <c r="K471" s="58" t="str">
        <f t="shared" si="2"/>
        <v/>
      </c>
      <c r="L471" s="58" t="str">
        <f t="shared" si="3"/>
        <v/>
      </c>
    </row>
    <row r="472" ht="21.0" customHeight="1">
      <c r="A472" s="76"/>
      <c r="B472" s="94"/>
      <c r="C472" s="38" t="str">
        <f t="array" ref="C472">IF(B472="","",INDEX(PARAMETROS!$J$2:$J$14,MATCH(B472,PARAMETROS!$G$2:$G$14,0),1))</f>
        <v/>
      </c>
      <c r="D472" s="101"/>
      <c r="E472" s="102"/>
      <c r="F472" s="103"/>
      <c r="G472" s="49" t="str">
        <f t="shared" si="1"/>
        <v/>
      </c>
      <c r="H472" s="76"/>
      <c r="I472" s="103"/>
      <c r="J472" s="58" t="str">
        <f>IF(F472="","", IF(I472="",_xlfn.NETWORKDAYS.INTL(F472,TODAY(),1,FERIADOS),_xlfn.NETWORKDAYS.INTL(F472,I472,1,FERIADOS)))</f>
        <v/>
      </c>
      <c r="K472" s="58" t="str">
        <f t="shared" si="2"/>
        <v/>
      </c>
      <c r="L472" s="58" t="str">
        <f t="shared" si="3"/>
        <v/>
      </c>
    </row>
    <row r="473" ht="21.0" customHeight="1">
      <c r="A473" s="76"/>
      <c r="B473" s="94"/>
      <c r="C473" s="38" t="str">
        <f t="array" ref="C473">IF(B473="","",INDEX(PARAMETROS!$J$2:$J$14,MATCH(B473,PARAMETROS!$G$2:$G$14,0),1))</f>
        <v/>
      </c>
      <c r="D473" s="101"/>
      <c r="E473" s="102"/>
      <c r="F473" s="103"/>
      <c r="G473" s="49" t="str">
        <f t="shared" si="1"/>
        <v/>
      </c>
      <c r="H473" s="76"/>
      <c r="I473" s="103"/>
      <c r="J473" s="58" t="str">
        <f>IF(F473="","", IF(I473="",_xlfn.NETWORKDAYS.INTL(F473,TODAY(),1,FERIADOS),_xlfn.NETWORKDAYS.INTL(F473,I473,1,FERIADOS)))</f>
        <v/>
      </c>
      <c r="K473" s="58" t="str">
        <f t="shared" si="2"/>
        <v/>
      </c>
      <c r="L473" s="58" t="str">
        <f t="shared" si="3"/>
        <v/>
      </c>
    </row>
    <row r="474" ht="21.0" customHeight="1">
      <c r="A474" s="76"/>
      <c r="B474" s="94"/>
      <c r="C474" s="38" t="str">
        <f t="array" ref="C474">IF(B474="","",INDEX(PARAMETROS!$J$2:$J$14,MATCH(B474,PARAMETROS!$G$2:$G$14,0),1))</f>
        <v/>
      </c>
      <c r="D474" s="101"/>
      <c r="E474" s="102"/>
      <c r="F474" s="103"/>
      <c r="G474" s="49" t="str">
        <f t="shared" si="1"/>
        <v/>
      </c>
      <c r="H474" s="76"/>
      <c r="I474" s="103"/>
      <c r="J474" s="58" t="str">
        <f>IF(F474="","", IF(I474="",_xlfn.NETWORKDAYS.INTL(F474,TODAY(),1,FERIADOS),_xlfn.NETWORKDAYS.INTL(F474,I474,1,FERIADOS)))</f>
        <v/>
      </c>
      <c r="K474" s="58" t="str">
        <f t="shared" si="2"/>
        <v/>
      </c>
      <c r="L474" s="58" t="str">
        <f t="shared" si="3"/>
        <v/>
      </c>
    </row>
    <row r="475" ht="21.0" customHeight="1">
      <c r="A475" s="76"/>
      <c r="B475" s="94"/>
      <c r="C475" s="38" t="str">
        <f t="array" ref="C475">IF(B475="","",INDEX(PARAMETROS!$J$2:$J$14,MATCH(B475,PARAMETROS!$G$2:$G$14,0),1))</f>
        <v/>
      </c>
      <c r="D475" s="101"/>
      <c r="E475" s="102"/>
      <c r="F475" s="103"/>
      <c r="G475" s="49" t="str">
        <f t="shared" si="1"/>
        <v/>
      </c>
      <c r="H475" s="76"/>
      <c r="I475" s="103"/>
      <c r="J475" s="58" t="str">
        <f>IF(F475="","", IF(I475="",_xlfn.NETWORKDAYS.INTL(F475,TODAY(),1,FERIADOS),_xlfn.NETWORKDAYS.INTL(F475,I475,1,FERIADOS)))</f>
        <v/>
      </c>
      <c r="K475" s="58" t="str">
        <f t="shared" si="2"/>
        <v/>
      </c>
      <c r="L475" s="58" t="str">
        <f t="shared" si="3"/>
        <v/>
      </c>
    </row>
    <row r="476" ht="21.0" customHeight="1">
      <c r="A476" s="76"/>
      <c r="B476" s="94"/>
      <c r="C476" s="38" t="str">
        <f t="array" ref="C476">IF(B476="","",INDEX(PARAMETROS!$J$2:$J$14,MATCH(B476,PARAMETROS!$G$2:$G$14,0),1))</f>
        <v/>
      </c>
      <c r="D476" s="101"/>
      <c r="E476" s="102"/>
      <c r="F476" s="103"/>
      <c r="G476" s="49" t="str">
        <f t="shared" si="1"/>
        <v/>
      </c>
      <c r="H476" s="76"/>
      <c r="I476" s="103"/>
      <c r="J476" s="58" t="str">
        <f>IF(F476="","", IF(I476="",_xlfn.NETWORKDAYS.INTL(F476,TODAY(),1,FERIADOS),_xlfn.NETWORKDAYS.INTL(F476,I476,1,FERIADOS)))</f>
        <v/>
      </c>
      <c r="K476" s="58" t="str">
        <f t="shared" si="2"/>
        <v/>
      </c>
      <c r="L476" s="58" t="str">
        <f t="shared" si="3"/>
        <v/>
      </c>
    </row>
    <row r="477" ht="21.0" customHeight="1">
      <c r="A477" s="76"/>
      <c r="B477" s="94"/>
      <c r="C477" s="38" t="str">
        <f t="array" ref="C477">IF(B477="","",INDEX(PARAMETROS!$J$2:$J$14,MATCH(B477,PARAMETROS!$G$2:$G$14,0),1))</f>
        <v/>
      </c>
      <c r="D477" s="101"/>
      <c r="E477" s="102"/>
      <c r="F477" s="103"/>
      <c r="G477" s="49" t="str">
        <f t="shared" si="1"/>
        <v/>
      </c>
      <c r="H477" s="76"/>
      <c r="I477" s="103"/>
      <c r="J477" s="58" t="str">
        <f>IF(F477="","", IF(I477="",_xlfn.NETWORKDAYS.INTL(F477,TODAY(),1,FERIADOS),_xlfn.NETWORKDAYS.INTL(F477,I477,1,FERIADOS)))</f>
        <v/>
      </c>
      <c r="K477" s="58" t="str">
        <f t="shared" si="2"/>
        <v/>
      </c>
      <c r="L477" s="58" t="str">
        <f t="shared" si="3"/>
        <v/>
      </c>
    </row>
    <row r="478" ht="21.0" customHeight="1">
      <c r="A478" s="76"/>
      <c r="B478" s="94"/>
      <c r="C478" s="38" t="str">
        <f t="array" ref="C478">IF(B478="","",INDEX(PARAMETROS!$J$2:$J$14,MATCH(B478,PARAMETROS!$G$2:$G$14,0),1))</f>
        <v/>
      </c>
      <c r="D478" s="101"/>
      <c r="E478" s="102"/>
      <c r="F478" s="103"/>
      <c r="G478" s="49" t="str">
        <f t="shared" si="1"/>
        <v/>
      </c>
      <c r="H478" s="76"/>
      <c r="I478" s="103"/>
      <c r="J478" s="58" t="str">
        <f>IF(F478="","", IF(I478="",_xlfn.NETWORKDAYS.INTL(F478,TODAY(),1,FERIADOS),_xlfn.NETWORKDAYS.INTL(F478,I478,1,FERIADOS)))</f>
        <v/>
      </c>
      <c r="K478" s="58" t="str">
        <f t="shared" si="2"/>
        <v/>
      </c>
      <c r="L478" s="58" t="str">
        <f t="shared" si="3"/>
        <v/>
      </c>
    </row>
    <row r="479" ht="21.0" customHeight="1">
      <c r="A479" s="76"/>
      <c r="B479" s="94"/>
      <c r="C479" s="38" t="str">
        <f t="array" ref="C479">IF(B479="","",INDEX(PARAMETROS!$J$2:$J$14,MATCH(B479,PARAMETROS!$G$2:$G$14,0),1))</f>
        <v/>
      </c>
      <c r="D479" s="101"/>
      <c r="E479" s="102"/>
      <c r="F479" s="103"/>
      <c r="G479" s="49" t="str">
        <f t="shared" si="1"/>
        <v/>
      </c>
      <c r="H479" s="76"/>
      <c r="I479" s="103"/>
      <c r="J479" s="58" t="str">
        <f>IF(F479="","", IF(I479="",_xlfn.NETWORKDAYS.INTL(F479,TODAY(),1,FERIADOS),_xlfn.NETWORKDAYS.INTL(F479,I479,1,FERIADOS)))</f>
        <v/>
      </c>
      <c r="K479" s="58" t="str">
        <f t="shared" si="2"/>
        <v/>
      </c>
      <c r="L479" s="58" t="str">
        <f t="shared" si="3"/>
        <v/>
      </c>
    </row>
    <row r="480" ht="21.0" customHeight="1">
      <c r="A480" s="76"/>
      <c r="B480" s="94"/>
      <c r="C480" s="38" t="str">
        <f t="array" ref="C480">IF(B480="","",INDEX(PARAMETROS!$J$2:$J$14,MATCH(B480,PARAMETROS!$G$2:$G$14,0),1))</f>
        <v/>
      </c>
      <c r="D480" s="101"/>
      <c r="E480" s="102"/>
      <c r="F480" s="103"/>
      <c r="G480" s="49" t="str">
        <f t="shared" si="1"/>
        <v/>
      </c>
      <c r="H480" s="76"/>
      <c r="I480" s="103"/>
      <c r="J480" s="58" t="str">
        <f>IF(F480="","", IF(I480="",_xlfn.NETWORKDAYS.INTL(F480,TODAY(),1,FERIADOS),_xlfn.NETWORKDAYS.INTL(F480,I480,1,FERIADOS)))</f>
        <v/>
      </c>
      <c r="K480" s="58" t="str">
        <f t="shared" si="2"/>
        <v/>
      </c>
      <c r="L480" s="58" t="str">
        <f t="shared" si="3"/>
        <v/>
      </c>
    </row>
    <row r="481" ht="21.0" customHeight="1">
      <c r="A481" s="76"/>
      <c r="B481" s="94"/>
      <c r="C481" s="38" t="str">
        <f t="array" ref="C481">IF(B481="","",INDEX(PARAMETROS!$J$2:$J$14,MATCH(B481,PARAMETROS!$G$2:$G$14,0),1))</f>
        <v/>
      </c>
      <c r="D481" s="101"/>
      <c r="E481" s="102"/>
      <c r="F481" s="103"/>
      <c r="G481" s="49" t="str">
        <f t="shared" si="1"/>
        <v/>
      </c>
      <c r="H481" s="76"/>
      <c r="I481" s="103"/>
      <c r="J481" s="58" t="str">
        <f>IF(F481="","", IF(I481="",_xlfn.NETWORKDAYS.INTL(F481,TODAY(),1,FERIADOS),_xlfn.NETWORKDAYS.INTL(F481,I481,1,FERIADOS)))</f>
        <v/>
      </c>
      <c r="K481" s="58" t="str">
        <f t="shared" si="2"/>
        <v/>
      </c>
      <c r="L481" s="58" t="str">
        <f t="shared" si="3"/>
        <v/>
      </c>
    </row>
    <row r="482" ht="21.0" customHeight="1">
      <c r="A482" s="76"/>
      <c r="B482" s="94"/>
      <c r="C482" s="38" t="str">
        <f t="array" ref="C482">IF(B482="","",INDEX(PARAMETROS!$J$2:$J$14,MATCH(B482,PARAMETROS!$G$2:$G$14,0),1))</f>
        <v/>
      </c>
      <c r="D482" s="101"/>
      <c r="E482" s="102"/>
      <c r="F482" s="103"/>
      <c r="G482" s="49" t="str">
        <f t="shared" si="1"/>
        <v/>
      </c>
      <c r="H482" s="76"/>
      <c r="I482" s="103"/>
      <c r="J482" s="58" t="str">
        <f>IF(F482="","", IF(I482="",_xlfn.NETWORKDAYS.INTL(F482,TODAY(),1,FERIADOS),_xlfn.NETWORKDAYS.INTL(F482,I482,1,FERIADOS)))</f>
        <v/>
      </c>
      <c r="K482" s="58" t="str">
        <f t="shared" si="2"/>
        <v/>
      </c>
      <c r="L482" s="58" t="str">
        <f t="shared" si="3"/>
        <v/>
      </c>
    </row>
    <row r="483" ht="21.0" customHeight="1">
      <c r="A483" s="76"/>
      <c r="B483" s="94"/>
      <c r="C483" s="38" t="str">
        <f t="array" ref="C483">IF(B483="","",INDEX(PARAMETROS!$J$2:$J$14,MATCH(B483,PARAMETROS!$G$2:$G$14,0),1))</f>
        <v/>
      </c>
      <c r="D483" s="101"/>
      <c r="E483" s="102"/>
      <c r="F483" s="103"/>
      <c r="G483" s="49" t="str">
        <f t="shared" si="1"/>
        <v/>
      </c>
      <c r="H483" s="76"/>
      <c r="I483" s="103"/>
      <c r="J483" s="58" t="str">
        <f>IF(F483="","", IF(I483="",_xlfn.NETWORKDAYS.INTL(F483,TODAY(),1,FERIADOS),_xlfn.NETWORKDAYS.INTL(F483,I483,1,FERIADOS)))</f>
        <v/>
      </c>
      <c r="K483" s="58" t="str">
        <f t="shared" si="2"/>
        <v/>
      </c>
      <c r="L483" s="58" t="str">
        <f t="shared" si="3"/>
        <v/>
      </c>
    </row>
    <row r="484" ht="21.0" customHeight="1">
      <c r="A484" s="76"/>
      <c r="B484" s="94"/>
      <c r="C484" s="38" t="str">
        <f t="array" ref="C484">IF(B484="","",INDEX(PARAMETROS!$J$2:$J$14,MATCH(B484,PARAMETROS!$G$2:$G$14,0),1))</f>
        <v/>
      </c>
      <c r="D484" s="101"/>
      <c r="E484" s="102"/>
      <c r="F484" s="103"/>
      <c r="G484" s="49" t="str">
        <f t="shared" si="1"/>
        <v/>
      </c>
      <c r="H484" s="76"/>
      <c r="I484" s="103"/>
      <c r="J484" s="58" t="str">
        <f>IF(F484="","", IF(I484="",_xlfn.NETWORKDAYS.INTL(F484,TODAY(),1,FERIADOS),_xlfn.NETWORKDAYS.INTL(F484,I484,1,FERIADOS)))</f>
        <v/>
      </c>
      <c r="K484" s="58" t="str">
        <f t="shared" si="2"/>
        <v/>
      </c>
      <c r="L484" s="58" t="str">
        <f t="shared" si="3"/>
        <v/>
      </c>
    </row>
    <row r="485" ht="21.0" customHeight="1">
      <c r="A485" s="76"/>
      <c r="B485" s="94"/>
      <c r="C485" s="38" t="str">
        <f t="array" ref="C485">IF(B485="","",INDEX(PARAMETROS!$J$2:$J$14,MATCH(B485,PARAMETROS!$G$2:$G$14,0),1))</f>
        <v/>
      </c>
      <c r="D485" s="101"/>
      <c r="E485" s="102"/>
      <c r="F485" s="103"/>
      <c r="G485" s="49" t="str">
        <f t="shared" si="1"/>
        <v/>
      </c>
      <c r="H485" s="76"/>
      <c r="I485" s="103"/>
      <c r="J485" s="58" t="str">
        <f>IF(F485="","", IF(I485="",_xlfn.NETWORKDAYS.INTL(F485,TODAY(),1,FERIADOS),_xlfn.NETWORKDAYS.INTL(F485,I485,1,FERIADOS)))</f>
        <v/>
      </c>
      <c r="K485" s="58" t="str">
        <f t="shared" si="2"/>
        <v/>
      </c>
      <c r="L485" s="58" t="str">
        <f t="shared" si="3"/>
        <v/>
      </c>
    </row>
    <row r="486" ht="21.0" customHeight="1">
      <c r="A486" s="76"/>
      <c r="B486" s="94"/>
      <c r="C486" s="38" t="str">
        <f t="array" ref="C486">IF(B486="","",INDEX(PARAMETROS!$J$2:$J$14,MATCH(B486,PARAMETROS!$G$2:$G$14,0),1))</f>
        <v/>
      </c>
      <c r="D486" s="101"/>
      <c r="E486" s="102"/>
      <c r="F486" s="103"/>
      <c r="G486" s="49" t="str">
        <f t="shared" si="1"/>
        <v/>
      </c>
      <c r="H486" s="76"/>
      <c r="I486" s="103"/>
      <c r="J486" s="58" t="str">
        <f>IF(F486="","", IF(I486="",_xlfn.NETWORKDAYS.INTL(F486,TODAY(),1,FERIADOS),_xlfn.NETWORKDAYS.INTL(F486,I486,1,FERIADOS)))</f>
        <v/>
      </c>
      <c r="K486" s="58" t="str">
        <f t="shared" si="2"/>
        <v/>
      </c>
      <c r="L486" s="58" t="str">
        <f t="shared" si="3"/>
        <v/>
      </c>
    </row>
    <row r="487" ht="21.0" customHeight="1">
      <c r="A487" s="76"/>
      <c r="B487" s="94"/>
      <c r="C487" s="38" t="str">
        <f t="array" ref="C487">IF(B487="","",INDEX(PARAMETROS!$J$2:$J$14,MATCH(B487,PARAMETROS!$G$2:$G$14,0),1))</f>
        <v/>
      </c>
      <c r="D487" s="101"/>
      <c r="E487" s="102"/>
      <c r="F487" s="103"/>
      <c r="G487" s="49" t="str">
        <f t="shared" si="1"/>
        <v/>
      </c>
      <c r="H487" s="76"/>
      <c r="I487" s="103"/>
      <c r="J487" s="58" t="str">
        <f>IF(F487="","", IF(I487="",_xlfn.NETWORKDAYS.INTL(F487,TODAY(),1,FERIADOS),_xlfn.NETWORKDAYS.INTL(F487,I487,1,FERIADOS)))</f>
        <v/>
      </c>
      <c r="K487" s="58" t="str">
        <f t="shared" si="2"/>
        <v/>
      </c>
      <c r="L487" s="58" t="str">
        <f t="shared" si="3"/>
        <v/>
      </c>
    </row>
    <row r="488" ht="21.0" customHeight="1">
      <c r="A488" s="76"/>
      <c r="B488" s="94"/>
      <c r="C488" s="38" t="str">
        <f t="array" ref="C488">IF(B488="","",INDEX(PARAMETROS!$J$2:$J$14,MATCH(B488,PARAMETROS!$G$2:$G$14,0),1))</f>
        <v/>
      </c>
      <c r="D488" s="101"/>
      <c r="E488" s="102"/>
      <c r="F488" s="103"/>
      <c r="G488" s="49" t="str">
        <f t="shared" si="1"/>
        <v/>
      </c>
      <c r="H488" s="76"/>
      <c r="I488" s="103"/>
      <c r="J488" s="58" t="str">
        <f>IF(F488="","", IF(I488="",_xlfn.NETWORKDAYS.INTL(F488,TODAY(),1,FERIADOS),_xlfn.NETWORKDAYS.INTL(F488,I488,1,FERIADOS)))</f>
        <v/>
      </c>
      <c r="K488" s="58" t="str">
        <f t="shared" si="2"/>
        <v/>
      </c>
      <c r="L488" s="58" t="str">
        <f t="shared" si="3"/>
        <v/>
      </c>
    </row>
    <row r="489" ht="21.0" customHeight="1">
      <c r="A489" s="76"/>
      <c r="B489" s="94"/>
      <c r="C489" s="38" t="str">
        <f t="array" ref="C489">IF(B489="","",INDEX(PARAMETROS!$J$2:$J$14,MATCH(B489,PARAMETROS!$G$2:$G$14,0),1))</f>
        <v/>
      </c>
      <c r="D489" s="101"/>
      <c r="E489" s="102"/>
      <c r="F489" s="103"/>
      <c r="G489" s="49" t="str">
        <f t="shared" si="1"/>
        <v/>
      </c>
      <c r="H489" s="76"/>
      <c r="I489" s="103"/>
      <c r="J489" s="58" t="str">
        <f>IF(F489="","", IF(I489="",_xlfn.NETWORKDAYS.INTL(F489,TODAY(),1,FERIADOS),_xlfn.NETWORKDAYS.INTL(F489,I489,1,FERIADOS)))</f>
        <v/>
      </c>
      <c r="K489" s="58" t="str">
        <f t="shared" si="2"/>
        <v/>
      </c>
      <c r="L489" s="58" t="str">
        <f t="shared" si="3"/>
        <v/>
      </c>
    </row>
    <row r="490" ht="21.0" customHeight="1">
      <c r="A490" s="76"/>
      <c r="B490" s="94"/>
      <c r="C490" s="38" t="str">
        <f t="array" ref="C490">IF(B490="","",INDEX(PARAMETROS!$J$2:$J$14,MATCH(B490,PARAMETROS!$G$2:$G$14,0),1))</f>
        <v/>
      </c>
      <c r="D490" s="101"/>
      <c r="E490" s="102"/>
      <c r="F490" s="103"/>
      <c r="G490" s="49" t="str">
        <f t="shared" si="1"/>
        <v/>
      </c>
      <c r="H490" s="76"/>
      <c r="I490" s="103"/>
      <c r="J490" s="58" t="str">
        <f>IF(F490="","", IF(I490="",_xlfn.NETWORKDAYS.INTL(F490,TODAY(),1,FERIADOS),_xlfn.NETWORKDAYS.INTL(F490,I490,1,FERIADOS)))</f>
        <v/>
      </c>
      <c r="K490" s="58" t="str">
        <f t="shared" si="2"/>
        <v/>
      </c>
      <c r="L490" s="58" t="str">
        <f t="shared" si="3"/>
        <v/>
      </c>
    </row>
    <row r="491" ht="21.0" customHeight="1">
      <c r="A491" s="76"/>
      <c r="B491" s="94"/>
      <c r="C491" s="38" t="str">
        <f t="array" ref="C491">IF(B491="","",INDEX(PARAMETROS!$J$2:$J$14,MATCH(B491,PARAMETROS!$G$2:$G$14,0),1))</f>
        <v/>
      </c>
      <c r="D491" s="101"/>
      <c r="E491" s="102"/>
      <c r="F491" s="103"/>
      <c r="G491" s="49" t="str">
        <f t="shared" si="1"/>
        <v/>
      </c>
      <c r="H491" s="76"/>
      <c r="I491" s="103"/>
      <c r="J491" s="58" t="str">
        <f>IF(F491="","", IF(I491="",_xlfn.NETWORKDAYS.INTL(F491,TODAY(),1,FERIADOS),_xlfn.NETWORKDAYS.INTL(F491,I491,1,FERIADOS)))</f>
        <v/>
      </c>
      <c r="K491" s="58" t="str">
        <f t="shared" si="2"/>
        <v/>
      </c>
      <c r="L491" s="58" t="str">
        <f t="shared" si="3"/>
        <v/>
      </c>
    </row>
    <row r="492" ht="21.0" customHeight="1">
      <c r="A492" s="76"/>
      <c r="B492" s="94"/>
      <c r="C492" s="38" t="str">
        <f t="array" ref="C492">IF(B492="","",INDEX(PARAMETROS!$J$2:$J$14,MATCH(B492,PARAMETROS!$G$2:$G$14,0),1))</f>
        <v/>
      </c>
      <c r="D492" s="101"/>
      <c r="E492" s="102"/>
      <c r="F492" s="103"/>
      <c r="G492" s="49" t="str">
        <f t="shared" si="1"/>
        <v/>
      </c>
      <c r="H492" s="76"/>
      <c r="I492" s="103"/>
      <c r="J492" s="58" t="str">
        <f>IF(F492="","", IF(I492="",_xlfn.NETWORKDAYS.INTL(F492,TODAY(),1,FERIADOS),_xlfn.NETWORKDAYS.INTL(F492,I492,1,FERIADOS)))</f>
        <v/>
      </c>
      <c r="K492" s="58" t="str">
        <f t="shared" si="2"/>
        <v/>
      </c>
      <c r="L492" s="58" t="str">
        <f t="shared" si="3"/>
        <v/>
      </c>
    </row>
    <row r="493" ht="21.0" customHeight="1">
      <c r="A493" s="76"/>
      <c r="B493" s="94"/>
      <c r="C493" s="38" t="str">
        <f t="array" ref="C493">IF(B493="","",INDEX(PARAMETROS!$J$2:$J$14,MATCH(B493,PARAMETROS!$G$2:$G$14,0),1))</f>
        <v/>
      </c>
      <c r="D493" s="101"/>
      <c r="E493" s="102"/>
      <c r="F493" s="103"/>
      <c r="G493" s="49" t="str">
        <f t="shared" si="1"/>
        <v/>
      </c>
      <c r="H493" s="76"/>
      <c r="I493" s="103"/>
      <c r="J493" s="58" t="str">
        <f>IF(F493="","", IF(I493="",_xlfn.NETWORKDAYS.INTL(F493,TODAY(),1,FERIADOS),_xlfn.NETWORKDAYS.INTL(F493,I493,1,FERIADOS)))</f>
        <v/>
      </c>
      <c r="K493" s="58" t="str">
        <f t="shared" si="2"/>
        <v/>
      </c>
      <c r="L493" s="58" t="str">
        <f t="shared" si="3"/>
        <v/>
      </c>
    </row>
    <row r="494" ht="21.0" customHeight="1">
      <c r="A494" s="76"/>
      <c r="B494" s="94"/>
      <c r="C494" s="38" t="str">
        <f t="array" ref="C494">IF(B494="","",INDEX(PARAMETROS!$J$2:$J$14,MATCH(B494,PARAMETROS!$G$2:$G$14,0),1))</f>
        <v/>
      </c>
      <c r="D494" s="101"/>
      <c r="E494" s="102"/>
      <c r="F494" s="103"/>
      <c r="G494" s="49" t="str">
        <f t="shared" si="1"/>
        <v/>
      </c>
      <c r="H494" s="76"/>
      <c r="I494" s="103"/>
      <c r="J494" s="58" t="str">
        <f>IF(F494="","", IF(I494="",_xlfn.NETWORKDAYS.INTL(F494,TODAY(),1,FERIADOS),_xlfn.NETWORKDAYS.INTL(F494,I494,1,FERIADOS)))</f>
        <v/>
      </c>
      <c r="K494" s="58" t="str">
        <f t="shared" si="2"/>
        <v/>
      </c>
      <c r="L494" s="58" t="str">
        <f t="shared" si="3"/>
        <v/>
      </c>
    </row>
    <row r="495" ht="21.0" customHeight="1">
      <c r="A495" s="76"/>
      <c r="B495" s="94"/>
      <c r="C495" s="38" t="str">
        <f t="array" ref="C495">IF(B495="","",INDEX(PARAMETROS!$J$2:$J$14,MATCH(B495,PARAMETROS!$G$2:$G$14,0),1))</f>
        <v/>
      </c>
      <c r="D495" s="101"/>
      <c r="E495" s="102"/>
      <c r="F495" s="103"/>
      <c r="G495" s="49" t="str">
        <f t="shared" si="1"/>
        <v/>
      </c>
      <c r="H495" s="76"/>
      <c r="I495" s="103"/>
      <c r="J495" s="58" t="str">
        <f>IF(F495="","", IF(I495="",_xlfn.NETWORKDAYS.INTL(F495,TODAY(),1,FERIADOS),_xlfn.NETWORKDAYS.INTL(F495,I495,1,FERIADOS)))</f>
        <v/>
      </c>
      <c r="K495" s="58" t="str">
        <f t="shared" si="2"/>
        <v/>
      </c>
      <c r="L495" s="58" t="str">
        <f t="shared" si="3"/>
        <v/>
      </c>
    </row>
    <row r="496" ht="21.0" customHeight="1">
      <c r="A496" s="76"/>
      <c r="B496" s="94"/>
      <c r="C496" s="38" t="str">
        <f t="array" ref="C496">IF(B496="","",INDEX(PARAMETROS!$J$2:$J$14,MATCH(B496,PARAMETROS!$G$2:$G$14,0),1))</f>
        <v/>
      </c>
      <c r="D496" s="101"/>
      <c r="E496" s="102"/>
      <c r="F496" s="103"/>
      <c r="G496" s="49" t="str">
        <f t="shared" si="1"/>
        <v/>
      </c>
      <c r="H496" s="76"/>
      <c r="I496" s="103"/>
      <c r="J496" s="58" t="str">
        <f>IF(F496="","", IF(I496="",_xlfn.NETWORKDAYS.INTL(F496,TODAY(),1,FERIADOS),_xlfn.NETWORKDAYS.INTL(F496,I496,1,FERIADOS)))</f>
        <v/>
      </c>
      <c r="K496" s="58" t="str">
        <f t="shared" si="2"/>
        <v/>
      </c>
      <c r="L496" s="58" t="str">
        <f t="shared" si="3"/>
        <v/>
      </c>
    </row>
    <row r="497" ht="21.0" customHeight="1">
      <c r="A497" s="76"/>
      <c r="B497" s="94"/>
      <c r="C497" s="38" t="str">
        <f t="array" ref="C497">IF(B497="","",INDEX(PARAMETROS!$J$2:$J$14,MATCH(B497,PARAMETROS!$G$2:$G$14,0),1))</f>
        <v/>
      </c>
      <c r="D497" s="101"/>
      <c r="E497" s="102"/>
      <c r="F497" s="103"/>
      <c r="G497" s="49" t="str">
        <f t="shared" si="1"/>
        <v/>
      </c>
      <c r="H497" s="76"/>
      <c r="I497" s="103"/>
      <c r="J497" s="58" t="str">
        <f>IF(F497="","", IF(I497="",_xlfn.NETWORKDAYS.INTL(F497,TODAY(),1,FERIADOS),_xlfn.NETWORKDAYS.INTL(F497,I497,1,FERIADOS)))</f>
        <v/>
      </c>
      <c r="K497" s="58" t="str">
        <f t="shared" si="2"/>
        <v/>
      </c>
      <c r="L497" s="58" t="str">
        <f t="shared" si="3"/>
        <v/>
      </c>
    </row>
    <row r="498" ht="21.0" customHeight="1">
      <c r="A498" s="76"/>
      <c r="B498" s="94"/>
      <c r="C498" s="38" t="str">
        <f t="array" ref="C498">IF(B498="","",INDEX(PARAMETROS!$J$2:$J$14,MATCH(B498,PARAMETROS!$G$2:$G$14,0),1))</f>
        <v/>
      </c>
      <c r="D498" s="101"/>
      <c r="E498" s="102"/>
      <c r="F498" s="103"/>
      <c r="G498" s="49" t="str">
        <f t="shared" si="1"/>
        <v/>
      </c>
      <c r="H498" s="76"/>
      <c r="I498" s="103"/>
      <c r="J498" s="58" t="str">
        <f>IF(F498="","", IF(I498="",_xlfn.NETWORKDAYS.INTL(F498,TODAY(),1,FERIADOS),_xlfn.NETWORKDAYS.INTL(F498,I498,1,FERIADOS)))</f>
        <v/>
      </c>
      <c r="K498" s="58" t="str">
        <f t="shared" si="2"/>
        <v/>
      </c>
      <c r="L498" s="58" t="str">
        <f t="shared" si="3"/>
        <v/>
      </c>
    </row>
    <row r="499" ht="21.0" customHeight="1">
      <c r="A499" s="76"/>
      <c r="B499" s="94"/>
      <c r="C499" s="38" t="str">
        <f t="array" ref="C499">IF(B499="","",INDEX(PARAMETROS!$J$2:$J$14,MATCH(B499,PARAMETROS!$G$2:$G$14,0),1))</f>
        <v/>
      </c>
      <c r="D499" s="101"/>
      <c r="E499" s="102"/>
      <c r="F499" s="103"/>
      <c r="G499" s="49" t="str">
        <f t="shared" si="1"/>
        <v/>
      </c>
      <c r="H499" s="76"/>
      <c r="I499" s="103"/>
      <c r="J499" s="58" t="str">
        <f>IF(F499="","", IF(I499="",_xlfn.NETWORKDAYS.INTL(F499,TODAY(),1,FERIADOS),_xlfn.NETWORKDAYS.INTL(F499,I499,1,FERIADOS)))</f>
        <v/>
      </c>
      <c r="K499" s="58" t="str">
        <f t="shared" si="2"/>
        <v/>
      </c>
      <c r="L499" s="58" t="str">
        <f t="shared" si="3"/>
        <v/>
      </c>
    </row>
    <row r="500" ht="21.0" customHeight="1">
      <c r="A500" s="76"/>
      <c r="B500" s="94"/>
      <c r="C500" s="38" t="str">
        <f t="array" ref="C500">IF(B500="","",INDEX(PARAMETROS!$J$2:$J$14,MATCH(B500,PARAMETROS!$G$2:$G$14,0),1))</f>
        <v/>
      </c>
      <c r="D500" s="101"/>
      <c r="E500" s="102"/>
      <c r="F500" s="103"/>
      <c r="G500" s="49" t="str">
        <f t="shared" si="1"/>
        <v/>
      </c>
      <c r="H500" s="76"/>
      <c r="I500" s="103"/>
      <c r="J500" s="58" t="str">
        <f>IF(F500="","", IF(I500="",_xlfn.NETWORKDAYS.INTL(F500,TODAY(),1,FERIADOS),_xlfn.NETWORKDAYS.INTL(F500,I500,1,FERIADOS)))</f>
        <v/>
      </c>
      <c r="K500" s="58" t="str">
        <f t="shared" si="2"/>
        <v/>
      </c>
      <c r="L500" s="58" t="str">
        <f t="shared" si="3"/>
        <v/>
      </c>
    </row>
    <row r="501" ht="21.0" customHeight="1">
      <c r="A501" s="76"/>
      <c r="B501" s="94"/>
      <c r="C501" s="38" t="str">
        <f t="array" ref="C501">IF(B501="","",INDEX(PARAMETROS!$J$2:$J$14,MATCH(B501,PARAMETROS!$G$2:$G$14,0),1))</f>
        <v/>
      </c>
      <c r="D501" s="101"/>
      <c r="E501" s="102"/>
      <c r="F501" s="103"/>
      <c r="G501" s="49" t="str">
        <f t="shared" si="1"/>
        <v/>
      </c>
      <c r="H501" s="76"/>
      <c r="I501" s="103"/>
      <c r="J501" s="58" t="str">
        <f>IF(F501="","", IF(I501="",_xlfn.NETWORKDAYS.INTL(F501,TODAY(),1,FERIADOS),_xlfn.NETWORKDAYS.INTL(F501,I501,1,FERIADOS)))</f>
        <v/>
      </c>
      <c r="K501" s="58" t="str">
        <f t="shared" si="2"/>
        <v/>
      </c>
      <c r="L501" s="58" t="str">
        <f t="shared" si="3"/>
        <v/>
      </c>
    </row>
    <row r="502" ht="21.0" customHeight="1">
      <c r="A502" s="76"/>
      <c r="B502" s="94"/>
      <c r="C502" s="38" t="str">
        <f t="array" ref="C502">IF(B502="","",INDEX(PARAMETROS!$J$2:$J$14,MATCH(B502,PARAMETROS!$G$2:$G$14,0),1))</f>
        <v/>
      </c>
      <c r="D502" s="101"/>
      <c r="E502" s="102"/>
      <c r="F502" s="103"/>
      <c r="G502" s="49" t="str">
        <f t="shared" si="1"/>
        <v/>
      </c>
      <c r="H502" s="76"/>
      <c r="I502" s="103"/>
      <c r="J502" s="58" t="str">
        <f>IF(F502="","", IF(I502="",_xlfn.NETWORKDAYS.INTL(F502,TODAY(),1,FERIADOS),_xlfn.NETWORKDAYS.INTL(F502,I502,1,FERIADOS)))</f>
        <v/>
      </c>
      <c r="K502" s="58" t="str">
        <f t="shared" si="2"/>
        <v/>
      </c>
      <c r="L502" s="58" t="str">
        <f t="shared" si="3"/>
        <v/>
      </c>
    </row>
    <row r="503" ht="21.0" customHeight="1">
      <c r="A503" s="76"/>
      <c r="B503" s="94"/>
      <c r="C503" s="38" t="str">
        <f t="array" ref="C503">IF(B503="","",INDEX(PARAMETROS!$J$2:$J$14,MATCH(B503,PARAMETROS!$G$2:$G$14,0),1))</f>
        <v/>
      </c>
      <c r="D503" s="101"/>
      <c r="E503" s="102"/>
      <c r="F503" s="103"/>
      <c r="G503" s="49" t="str">
        <f t="shared" si="1"/>
        <v/>
      </c>
      <c r="H503" s="76"/>
      <c r="I503" s="103"/>
      <c r="J503" s="58" t="str">
        <f>IF(F503="","", IF(I503="",_xlfn.NETWORKDAYS.INTL(F503,TODAY(),1,FERIADOS),_xlfn.NETWORKDAYS.INTL(F503,I503,1,FERIADOS)))</f>
        <v/>
      </c>
      <c r="K503" s="58" t="str">
        <f t="shared" si="2"/>
        <v/>
      </c>
      <c r="L503" s="58" t="str">
        <f t="shared" si="3"/>
        <v/>
      </c>
    </row>
    <row r="504" ht="21.0" customHeight="1">
      <c r="A504" s="76"/>
      <c r="B504" s="94"/>
      <c r="C504" s="38" t="str">
        <f t="array" ref="C504">IF(B504="","",INDEX(PARAMETROS!$J$2:$J$14,MATCH(B504,PARAMETROS!$G$2:$G$14,0),1))</f>
        <v/>
      </c>
      <c r="D504" s="101"/>
      <c r="E504" s="102"/>
      <c r="F504" s="103"/>
      <c r="G504" s="49" t="str">
        <f t="shared" si="1"/>
        <v/>
      </c>
      <c r="H504" s="76"/>
      <c r="I504" s="103"/>
      <c r="J504" s="58" t="str">
        <f>IF(F504="","", IF(I504="",_xlfn.NETWORKDAYS.INTL(F504,TODAY(),1,FERIADOS),_xlfn.NETWORKDAYS.INTL(F504,I504,1,FERIADOS)))</f>
        <v/>
      </c>
      <c r="K504" s="58" t="str">
        <f t="shared" si="2"/>
        <v/>
      </c>
      <c r="L504" s="58" t="str">
        <f t="shared" si="3"/>
        <v/>
      </c>
    </row>
    <row r="505" ht="21.0" customHeight="1">
      <c r="A505" s="76"/>
      <c r="B505" s="94"/>
      <c r="C505" s="38" t="str">
        <f t="array" ref="C505">IF(B505="","",INDEX(PARAMETROS!$J$2:$J$14,MATCH(B505,PARAMETROS!$G$2:$G$14,0),1))</f>
        <v/>
      </c>
      <c r="D505" s="101"/>
      <c r="E505" s="102"/>
      <c r="F505" s="103"/>
      <c r="G505" s="49" t="str">
        <f t="shared" si="1"/>
        <v/>
      </c>
      <c r="H505" s="76"/>
      <c r="I505" s="103"/>
      <c r="J505" s="58" t="str">
        <f>IF(F505="","", IF(I505="",_xlfn.NETWORKDAYS.INTL(F505,TODAY(),1,FERIADOS),_xlfn.NETWORKDAYS.INTL(F505,I505,1,FERIADOS)))</f>
        <v/>
      </c>
      <c r="K505" s="58" t="str">
        <f t="shared" si="2"/>
        <v/>
      </c>
      <c r="L505" s="58" t="str">
        <f t="shared" si="3"/>
        <v/>
      </c>
    </row>
    <row r="506" ht="21.0" customHeight="1">
      <c r="A506" s="76"/>
      <c r="B506" s="94"/>
      <c r="C506" s="38" t="str">
        <f t="array" ref="C506">IF(B506="","",INDEX(PARAMETROS!$J$2:$J$14,MATCH(B506,PARAMETROS!$G$2:$G$14,0),1))</f>
        <v/>
      </c>
      <c r="D506" s="101"/>
      <c r="E506" s="102"/>
      <c r="F506" s="103"/>
      <c r="G506" s="49" t="str">
        <f t="shared" si="1"/>
        <v/>
      </c>
      <c r="H506" s="76"/>
      <c r="I506" s="103"/>
      <c r="J506" s="58" t="str">
        <f>IF(F506="","", IF(I506="",_xlfn.NETWORKDAYS.INTL(F506,TODAY(),1,FERIADOS),_xlfn.NETWORKDAYS.INTL(F506,I506,1,FERIADOS)))</f>
        <v/>
      </c>
      <c r="K506" s="58" t="str">
        <f t="shared" si="2"/>
        <v/>
      </c>
      <c r="L506" s="58" t="str">
        <f t="shared" si="3"/>
        <v/>
      </c>
    </row>
    <row r="507" ht="21.0" customHeight="1">
      <c r="A507" s="76"/>
      <c r="B507" s="94"/>
      <c r="C507" s="38" t="str">
        <f t="array" ref="C507">IF(B507="","",INDEX(PARAMETROS!$J$2:$J$14,MATCH(B507,PARAMETROS!$G$2:$G$14,0),1))</f>
        <v/>
      </c>
      <c r="D507" s="101"/>
      <c r="E507" s="102"/>
      <c r="F507" s="103"/>
      <c r="G507" s="49" t="str">
        <f t="shared" si="1"/>
        <v/>
      </c>
      <c r="H507" s="76"/>
      <c r="I507" s="103"/>
      <c r="J507" s="58" t="str">
        <f>IF(F507="","", IF(I507="",_xlfn.NETWORKDAYS.INTL(F507,TODAY(),1,FERIADOS),_xlfn.NETWORKDAYS.INTL(F507,I507,1,FERIADOS)))</f>
        <v/>
      </c>
      <c r="K507" s="58" t="str">
        <f t="shared" si="2"/>
        <v/>
      </c>
      <c r="L507" s="58" t="str">
        <f t="shared" si="3"/>
        <v/>
      </c>
    </row>
    <row r="508" ht="21.0" customHeight="1">
      <c r="A508" s="76"/>
      <c r="B508" s="94"/>
      <c r="C508" s="38" t="str">
        <f t="array" ref="C508">IF(B508="","",INDEX(PARAMETROS!$J$2:$J$14,MATCH(B508,PARAMETROS!$G$2:$G$14,0),1))</f>
        <v/>
      </c>
      <c r="D508" s="101"/>
      <c r="E508" s="102"/>
      <c r="F508" s="103"/>
      <c r="G508" s="49" t="str">
        <f t="shared" si="1"/>
        <v/>
      </c>
      <c r="H508" s="76"/>
      <c r="I508" s="103"/>
      <c r="J508" s="58" t="str">
        <f>IF(F508="","", IF(I508="",_xlfn.NETWORKDAYS.INTL(F508,TODAY(),1,FERIADOS),_xlfn.NETWORKDAYS.INTL(F508,I508,1,FERIADOS)))</f>
        <v/>
      </c>
      <c r="K508" s="58" t="str">
        <f t="shared" si="2"/>
        <v/>
      </c>
      <c r="L508" s="58" t="str">
        <f t="shared" si="3"/>
        <v/>
      </c>
    </row>
    <row r="509" ht="21.0" customHeight="1">
      <c r="A509" s="76"/>
      <c r="B509" s="94"/>
      <c r="C509" s="38" t="str">
        <f t="array" ref="C509">IF(B509="","",INDEX(PARAMETROS!$J$2:$J$14,MATCH(B509,PARAMETROS!$G$2:$G$14,0),1))</f>
        <v/>
      </c>
      <c r="D509" s="101"/>
      <c r="E509" s="102"/>
      <c r="F509" s="103"/>
      <c r="G509" s="49" t="str">
        <f t="shared" si="1"/>
        <v/>
      </c>
      <c r="H509" s="76"/>
      <c r="I509" s="103"/>
      <c r="J509" s="58" t="str">
        <f>IF(F509="","", IF(I509="",_xlfn.NETWORKDAYS.INTL(F509,TODAY(),1,FERIADOS),_xlfn.NETWORKDAYS.INTL(F509,I509,1,FERIADOS)))</f>
        <v/>
      </c>
      <c r="K509" s="58" t="str">
        <f t="shared" si="2"/>
        <v/>
      </c>
      <c r="L509" s="58" t="str">
        <f t="shared" si="3"/>
        <v/>
      </c>
    </row>
    <row r="510" ht="21.0" customHeight="1">
      <c r="A510" s="76"/>
      <c r="B510" s="94"/>
      <c r="C510" s="38" t="str">
        <f t="array" ref="C510">IF(B510="","",INDEX(PARAMETROS!$J$2:$J$14,MATCH(B510,PARAMETROS!$G$2:$G$14,0),1))</f>
        <v/>
      </c>
      <c r="D510" s="101"/>
      <c r="E510" s="102"/>
      <c r="F510" s="103"/>
      <c r="G510" s="49" t="str">
        <f t="shared" si="1"/>
        <v/>
      </c>
      <c r="H510" s="76"/>
      <c r="I510" s="103"/>
      <c r="J510" s="58" t="str">
        <f>IF(F510="","", IF(I510="",_xlfn.NETWORKDAYS.INTL(F510,TODAY(),1,FERIADOS),_xlfn.NETWORKDAYS.INTL(F510,I510,1,FERIADOS)))</f>
        <v/>
      </c>
      <c r="K510" s="58" t="str">
        <f t="shared" si="2"/>
        <v/>
      </c>
      <c r="L510" s="58" t="str">
        <f t="shared" si="3"/>
        <v/>
      </c>
    </row>
    <row r="511" ht="21.0" customHeight="1">
      <c r="A511" s="76"/>
      <c r="B511" s="94"/>
      <c r="C511" s="38" t="str">
        <f t="array" ref="C511">IF(B511="","",INDEX(PARAMETROS!$J$2:$J$14,MATCH(B511,PARAMETROS!$G$2:$G$14,0),1))</f>
        <v/>
      </c>
      <c r="D511" s="101"/>
      <c r="E511" s="102"/>
      <c r="F511" s="103"/>
      <c r="G511" s="49" t="str">
        <f t="shared" si="1"/>
        <v/>
      </c>
      <c r="H511" s="76"/>
      <c r="I511" s="103"/>
      <c r="J511" s="58" t="str">
        <f>IF(F511="","", IF(I511="",_xlfn.NETWORKDAYS.INTL(F511,TODAY(),1,FERIADOS),_xlfn.NETWORKDAYS.INTL(F511,I511,1,FERIADOS)))</f>
        <v/>
      </c>
      <c r="K511" s="58" t="str">
        <f t="shared" si="2"/>
        <v/>
      </c>
      <c r="L511" s="58" t="str">
        <f t="shared" si="3"/>
        <v/>
      </c>
    </row>
    <row r="512" ht="21.0" customHeight="1">
      <c r="A512" s="76"/>
      <c r="B512" s="94"/>
      <c r="C512" s="38" t="str">
        <f t="array" ref="C512">IF(B512="","",INDEX(PARAMETROS!$J$2:$J$14,MATCH(B512,PARAMETROS!$G$2:$G$14,0),1))</f>
        <v/>
      </c>
      <c r="D512" s="101"/>
      <c r="E512" s="102"/>
      <c r="F512" s="103"/>
      <c r="G512" s="49" t="str">
        <f t="shared" si="1"/>
        <v/>
      </c>
      <c r="H512" s="76"/>
      <c r="I512" s="103"/>
      <c r="J512" s="58" t="str">
        <f>IF(F512="","", IF(I512="",_xlfn.NETWORKDAYS.INTL(F512,TODAY(),1,FERIADOS),_xlfn.NETWORKDAYS.INTL(F512,I512,1,FERIADOS)))</f>
        <v/>
      </c>
      <c r="K512" s="58" t="str">
        <f t="shared" si="2"/>
        <v/>
      </c>
      <c r="L512" s="58" t="str">
        <f t="shared" si="3"/>
        <v/>
      </c>
    </row>
    <row r="513" ht="21.0" customHeight="1">
      <c r="A513" s="76"/>
      <c r="B513" s="94"/>
      <c r="C513" s="38" t="str">
        <f t="array" ref="C513">IF(B513="","",INDEX(PARAMETROS!$J$2:$J$14,MATCH(B513,PARAMETROS!$G$2:$G$14,0),1))</f>
        <v/>
      </c>
      <c r="D513" s="101"/>
      <c r="E513" s="102"/>
      <c r="F513" s="103"/>
      <c r="G513" s="49" t="str">
        <f t="shared" si="1"/>
        <v/>
      </c>
      <c r="H513" s="76"/>
      <c r="I513" s="103"/>
      <c r="J513" s="58" t="str">
        <f>IF(F513="","", IF(I513="",_xlfn.NETWORKDAYS.INTL(F513,TODAY(),1,FERIADOS),_xlfn.NETWORKDAYS.INTL(F513,I513,1,FERIADOS)))</f>
        <v/>
      </c>
      <c r="K513" s="58" t="str">
        <f t="shared" si="2"/>
        <v/>
      </c>
      <c r="L513" s="58" t="str">
        <f t="shared" si="3"/>
        <v/>
      </c>
    </row>
    <row r="514" ht="21.0" customHeight="1">
      <c r="A514" s="76"/>
      <c r="B514" s="94"/>
      <c r="C514" s="38" t="str">
        <f t="array" ref="C514">IF(B514="","",INDEX(PARAMETROS!$J$2:$J$14,MATCH(B514,PARAMETROS!$G$2:$G$14,0),1))</f>
        <v/>
      </c>
      <c r="D514" s="101"/>
      <c r="E514" s="102"/>
      <c r="F514" s="103"/>
      <c r="G514" s="49" t="str">
        <f t="shared" si="1"/>
        <v/>
      </c>
      <c r="H514" s="76"/>
      <c r="I514" s="103"/>
      <c r="J514" s="58" t="str">
        <f>IF(F514="","", IF(I514="",_xlfn.NETWORKDAYS.INTL(F514,TODAY(),1,FERIADOS),_xlfn.NETWORKDAYS.INTL(F514,I514,1,FERIADOS)))</f>
        <v/>
      </c>
      <c r="K514" s="58" t="str">
        <f t="shared" si="2"/>
        <v/>
      </c>
      <c r="L514" s="58" t="str">
        <f t="shared" si="3"/>
        <v/>
      </c>
    </row>
    <row r="515" ht="21.0" customHeight="1">
      <c r="A515" s="76"/>
      <c r="B515" s="94"/>
      <c r="C515" s="38" t="str">
        <f t="array" ref="C515">IF(B515="","",INDEX(PARAMETROS!$J$2:$J$14,MATCH(B515,PARAMETROS!$G$2:$G$14,0),1))</f>
        <v/>
      </c>
      <c r="D515" s="101"/>
      <c r="E515" s="102"/>
      <c r="F515" s="103"/>
      <c r="G515" s="49" t="str">
        <f t="shared" si="1"/>
        <v/>
      </c>
      <c r="H515" s="76"/>
      <c r="I515" s="103"/>
      <c r="J515" s="58" t="str">
        <f>IF(F515="","", IF(I515="",_xlfn.NETWORKDAYS.INTL(F515,TODAY(),1,FERIADOS),_xlfn.NETWORKDAYS.INTL(F515,I515,1,FERIADOS)))</f>
        <v/>
      </c>
      <c r="K515" s="58" t="str">
        <f t="shared" si="2"/>
        <v/>
      </c>
      <c r="L515" s="58" t="str">
        <f t="shared" si="3"/>
        <v/>
      </c>
    </row>
    <row r="516" ht="21.0" customHeight="1">
      <c r="A516" s="76"/>
      <c r="B516" s="94"/>
      <c r="C516" s="38" t="str">
        <f t="array" ref="C516">IF(B516="","",INDEX(PARAMETROS!$J$2:$J$14,MATCH(B516,PARAMETROS!$G$2:$G$14,0),1))</f>
        <v/>
      </c>
      <c r="D516" s="101"/>
      <c r="E516" s="102"/>
      <c r="F516" s="103"/>
      <c r="G516" s="49" t="str">
        <f t="shared" si="1"/>
        <v/>
      </c>
      <c r="H516" s="76"/>
      <c r="I516" s="103"/>
      <c r="J516" s="58" t="str">
        <f>IF(F516="","", IF(I516="",_xlfn.NETWORKDAYS.INTL(F516,TODAY(),1,FERIADOS),_xlfn.NETWORKDAYS.INTL(F516,I516,1,FERIADOS)))</f>
        <v/>
      </c>
      <c r="K516" s="58" t="str">
        <f t="shared" si="2"/>
        <v/>
      </c>
      <c r="L516" s="58" t="str">
        <f t="shared" si="3"/>
        <v/>
      </c>
    </row>
    <row r="517" ht="21.0" customHeight="1">
      <c r="A517" s="76"/>
      <c r="B517" s="94"/>
      <c r="C517" s="38" t="str">
        <f t="array" ref="C517">IF(B517="","",INDEX(PARAMETROS!$J$2:$J$14,MATCH(B517,PARAMETROS!$G$2:$G$14,0),1))</f>
        <v/>
      </c>
      <c r="D517" s="101"/>
      <c r="E517" s="102"/>
      <c r="F517" s="103"/>
      <c r="G517" s="49" t="str">
        <f t="shared" si="1"/>
        <v/>
      </c>
      <c r="H517" s="76"/>
      <c r="I517" s="103"/>
      <c r="J517" s="58" t="str">
        <f>IF(F517="","", IF(I517="",_xlfn.NETWORKDAYS.INTL(F517,TODAY(),1,FERIADOS),_xlfn.NETWORKDAYS.INTL(F517,I517,1,FERIADOS)))</f>
        <v/>
      </c>
      <c r="K517" s="58" t="str">
        <f t="shared" si="2"/>
        <v/>
      </c>
      <c r="L517" s="58" t="str">
        <f t="shared" si="3"/>
        <v/>
      </c>
    </row>
    <row r="518" ht="21.0" customHeight="1">
      <c r="A518" s="76"/>
      <c r="B518" s="94"/>
      <c r="C518" s="38" t="str">
        <f t="array" ref="C518">IF(B518="","",INDEX(PARAMETROS!$J$2:$J$14,MATCH(B518,PARAMETROS!$G$2:$G$14,0),1))</f>
        <v/>
      </c>
      <c r="D518" s="101"/>
      <c r="E518" s="102"/>
      <c r="F518" s="103"/>
      <c r="G518" s="49" t="str">
        <f t="shared" si="1"/>
        <v/>
      </c>
      <c r="H518" s="76"/>
      <c r="I518" s="103"/>
      <c r="J518" s="58" t="str">
        <f>IF(F518="","", IF(I518="",_xlfn.NETWORKDAYS.INTL(F518,TODAY(),1,FERIADOS),_xlfn.NETWORKDAYS.INTL(F518,I518,1,FERIADOS)))</f>
        <v/>
      </c>
      <c r="K518" s="58" t="str">
        <f t="shared" si="2"/>
        <v/>
      </c>
      <c r="L518" s="58" t="str">
        <f t="shared" si="3"/>
        <v/>
      </c>
    </row>
    <row r="519" ht="21.0" customHeight="1">
      <c r="A519" s="76"/>
      <c r="B519" s="94"/>
      <c r="C519" s="38" t="str">
        <f t="array" ref="C519">IF(B519="","",INDEX(PARAMETROS!$J$2:$J$14,MATCH(B519,PARAMETROS!$G$2:$G$14,0),1))</f>
        <v/>
      </c>
      <c r="D519" s="101"/>
      <c r="E519" s="102"/>
      <c r="F519" s="103"/>
      <c r="G519" s="49" t="str">
        <f t="shared" si="1"/>
        <v/>
      </c>
      <c r="H519" s="76"/>
      <c r="I519" s="103"/>
      <c r="J519" s="58" t="str">
        <f>IF(F519="","", IF(I519="",_xlfn.NETWORKDAYS.INTL(F519,TODAY(),1,FERIADOS),_xlfn.NETWORKDAYS.INTL(F519,I519,1,FERIADOS)))</f>
        <v/>
      </c>
      <c r="K519" s="58" t="str">
        <f t="shared" si="2"/>
        <v/>
      </c>
      <c r="L519" s="58" t="str">
        <f t="shared" si="3"/>
        <v/>
      </c>
    </row>
    <row r="520" ht="21.0" customHeight="1">
      <c r="A520" s="76"/>
      <c r="B520" s="94"/>
      <c r="C520" s="38" t="str">
        <f t="array" ref="C520">IF(B520="","",INDEX(PARAMETROS!$J$2:$J$14,MATCH(B520,PARAMETROS!$G$2:$G$14,0),1))</f>
        <v/>
      </c>
      <c r="D520" s="101"/>
      <c r="E520" s="102"/>
      <c r="F520" s="103"/>
      <c r="G520" s="49" t="str">
        <f t="shared" si="1"/>
        <v/>
      </c>
      <c r="H520" s="76"/>
      <c r="I520" s="103"/>
      <c r="J520" s="58" t="str">
        <f>IF(F520="","", IF(I520="",_xlfn.NETWORKDAYS.INTL(F520,TODAY(),1,FERIADOS),_xlfn.NETWORKDAYS.INTL(F520,I520,1,FERIADOS)))</f>
        <v/>
      </c>
      <c r="K520" s="58" t="str">
        <f t="shared" si="2"/>
        <v/>
      </c>
      <c r="L520" s="58" t="str">
        <f t="shared" si="3"/>
        <v/>
      </c>
    </row>
    <row r="521" ht="21.0" customHeight="1">
      <c r="A521" s="76"/>
      <c r="B521" s="94"/>
      <c r="C521" s="38" t="str">
        <f t="array" ref="C521">IF(B521="","",INDEX(PARAMETROS!$J$2:$J$14,MATCH(B521,PARAMETROS!$G$2:$G$14,0),1))</f>
        <v/>
      </c>
      <c r="D521" s="101"/>
      <c r="E521" s="102"/>
      <c r="F521" s="103"/>
      <c r="G521" s="49" t="str">
        <f t="shared" si="1"/>
        <v/>
      </c>
      <c r="H521" s="76"/>
      <c r="I521" s="103"/>
      <c r="J521" s="58" t="str">
        <f>IF(F521="","", IF(I521="",_xlfn.NETWORKDAYS.INTL(F521,TODAY(),1,FERIADOS),_xlfn.NETWORKDAYS.INTL(F521,I521,1,FERIADOS)))</f>
        <v/>
      </c>
      <c r="K521" s="58" t="str">
        <f t="shared" si="2"/>
        <v/>
      </c>
      <c r="L521" s="58" t="str">
        <f t="shared" si="3"/>
        <v/>
      </c>
    </row>
    <row r="522" ht="21.0" customHeight="1">
      <c r="A522" s="76"/>
      <c r="B522" s="94"/>
      <c r="C522" s="38" t="str">
        <f t="array" ref="C522">IF(B522="","",INDEX(PARAMETROS!$J$2:$J$14,MATCH(B522,PARAMETROS!$G$2:$G$14,0),1))</f>
        <v/>
      </c>
      <c r="D522" s="101"/>
      <c r="E522" s="102"/>
      <c r="F522" s="103"/>
      <c r="G522" s="49" t="str">
        <f t="shared" si="1"/>
        <v/>
      </c>
      <c r="H522" s="76"/>
      <c r="I522" s="103"/>
      <c r="J522" s="58" t="str">
        <f>IF(F522="","", IF(I522="",_xlfn.NETWORKDAYS.INTL(F522,TODAY(),1,FERIADOS),_xlfn.NETWORKDAYS.INTL(F522,I522,1,FERIADOS)))</f>
        <v/>
      </c>
      <c r="K522" s="58" t="str">
        <f t="shared" si="2"/>
        <v/>
      </c>
      <c r="L522" s="58" t="str">
        <f t="shared" si="3"/>
        <v/>
      </c>
    </row>
    <row r="523" ht="21.0" customHeight="1">
      <c r="A523" s="76"/>
      <c r="B523" s="94"/>
      <c r="C523" s="38" t="str">
        <f t="array" ref="C523">IF(B523="","",INDEX(PARAMETROS!$J$2:$J$14,MATCH(B523,PARAMETROS!$G$2:$G$14,0),1))</f>
        <v/>
      </c>
      <c r="D523" s="101"/>
      <c r="E523" s="102"/>
      <c r="F523" s="103"/>
      <c r="G523" s="49" t="str">
        <f t="shared" si="1"/>
        <v/>
      </c>
      <c r="H523" s="76"/>
      <c r="I523" s="103"/>
      <c r="J523" s="58" t="str">
        <f>IF(F523="","", IF(I523="",_xlfn.NETWORKDAYS.INTL(F523,TODAY(),1,FERIADOS),_xlfn.NETWORKDAYS.INTL(F523,I523,1,FERIADOS)))</f>
        <v/>
      </c>
      <c r="K523" s="58" t="str">
        <f t="shared" si="2"/>
        <v/>
      </c>
      <c r="L523" s="58" t="str">
        <f t="shared" si="3"/>
        <v/>
      </c>
    </row>
    <row r="524" ht="21.0" customHeight="1">
      <c r="A524" s="76"/>
      <c r="B524" s="94"/>
      <c r="C524" s="38" t="str">
        <f t="array" ref="C524">IF(B524="","",INDEX(PARAMETROS!$J$2:$J$14,MATCH(B524,PARAMETROS!$G$2:$G$14,0),1))</f>
        <v/>
      </c>
      <c r="D524" s="101"/>
      <c r="E524" s="102"/>
      <c r="F524" s="103"/>
      <c r="G524" s="49" t="str">
        <f t="shared" si="1"/>
        <v/>
      </c>
      <c r="H524" s="76"/>
      <c r="I524" s="103"/>
      <c r="J524" s="58" t="str">
        <f>IF(F524="","", IF(I524="",_xlfn.NETWORKDAYS.INTL(F524,TODAY(),1,FERIADOS),_xlfn.NETWORKDAYS.INTL(F524,I524,1,FERIADOS)))</f>
        <v/>
      </c>
      <c r="K524" s="58" t="str">
        <f t="shared" si="2"/>
        <v/>
      </c>
      <c r="L524" s="58" t="str">
        <f t="shared" si="3"/>
        <v/>
      </c>
    </row>
    <row r="525" ht="21.0" customHeight="1">
      <c r="A525" s="76"/>
      <c r="B525" s="94"/>
      <c r="C525" s="38" t="str">
        <f t="array" ref="C525">IF(B525="","",INDEX(PARAMETROS!$J$2:$J$14,MATCH(B525,PARAMETROS!$G$2:$G$14,0),1))</f>
        <v/>
      </c>
      <c r="D525" s="101"/>
      <c r="E525" s="102"/>
      <c r="F525" s="103"/>
      <c r="G525" s="49" t="str">
        <f t="shared" si="1"/>
        <v/>
      </c>
      <c r="H525" s="76"/>
      <c r="I525" s="103"/>
      <c r="J525" s="58" t="str">
        <f>IF(F525="","", IF(I525="",_xlfn.NETWORKDAYS.INTL(F525,TODAY(),1,FERIADOS),_xlfn.NETWORKDAYS.INTL(F525,I525,1,FERIADOS)))</f>
        <v/>
      </c>
      <c r="K525" s="58" t="str">
        <f t="shared" si="2"/>
        <v/>
      </c>
      <c r="L525" s="58" t="str">
        <f t="shared" si="3"/>
        <v/>
      </c>
    </row>
    <row r="526" ht="21.0" customHeight="1">
      <c r="A526" s="76"/>
      <c r="B526" s="94"/>
      <c r="C526" s="38" t="str">
        <f t="array" ref="C526">IF(B526="","",INDEX(PARAMETROS!$J$2:$J$14,MATCH(B526,PARAMETROS!$G$2:$G$14,0),1))</f>
        <v/>
      </c>
      <c r="D526" s="101"/>
      <c r="E526" s="102"/>
      <c r="F526" s="103"/>
      <c r="G526" s="49" t="str">
        <f t="shared" si="1"/>
        <v/>
      </c>
      <c r="H526" s="76"/>
      <c r="I526" s="103"/>
      <c r="J526" s="58" t="str">
        <f>IF(F526="","", IF(I526="",_xlfn.NETWORKDAYS.INTL(F526,TODAY(),1,FERIADOS),_xlfn.NETWORKDAYS.INTL(F526,I526,1,FERIADOS)))</f>
        <v/>
      </c>
      <c r="K526" s="58" t="str">
        <f t="shared" si="2"/>
        <v/>
      </c>
      <c r="L526" s="58" t="str">
        <f t="shared" si="3"/>
        <v/>
      </c>
    </row>
    <row r="527" ht="21.0" customHeight="1">
      <c r="A527" s="76"/>
      <c r="B527" s="94"/>
      <c r="C527" s="38" t="str">
        <f t="array" ref="C527">IF(B527="","",INDEX(PARAMETROS!$J$2:$J$14,MATCH(B527,PARAMETROS!$G$2:$G$14,0),1))</f>
        <v/>
      </c>
      <c r="D527" s="101"/>
      <c r="E527" s="102"/>
      <c r="F527" s="103"/>
      <c r="G527" s="49" t="str">
        <f t="shared" si="1"/>
        <v/>
      </c>
      <c r="H527" s="76"/>
      <c r="I527" s="103"/>
      <c r="J527" s="58" t="str">
        <f>IF(F527="","", IF(I527="",_xlfn.NETWORKDAYS.INTL(F527,TODAY(),1,FERIADOS),_xlfn.NETWORKDAYS.INTL(F527,I527,1,FERIADOS)))</f>
        <v/>
      </c>
      <c r="K527" s="58" t="str">
        <f t="shared" si="2"/>
        <v/>
      </c>
      <c r="L527" s="58" t="str">
        <f t="shared" si="3"/>
        <v/>
      </c>
    </row>
    <row r="528" ht="21.0" customHeight="1">
      <c r="A528" s="76"/>
      <c r="B528" s="94"/>
      <c r="C528" s="38" t="str">
        <f t="array" ref="C528">IF(B528="","",INDEX(PARAMETROS!$J$2:$J$14,MATCH(B528,PARAMETROS!$G$2:$G$14,0),1))</f>
        <v/>
      </c>
      <c r="D528" s="101"/>
      <c r="E528" s="102"/>
      <c r="F528" s="103"/>
      <c r="G528" s="49" t="str">
        <f t="shared" si="1"/>
        <v/>
      </c>
      <c r="H528" s="76"/>
      <c r="I528" s="103"/>
      <c r="J528" s="58" t="str">
        <f>IF(F528="","", IF(I528="",_xlfn.NETWORKDAYS.INTL(F528,TODAY(),1,FERIADOS),_xlfn.NETWORKDAYS.INTL(F528,I528,1,FERIADOS)))</f>
        <v/>
      </c>
      <c r="K528" s="58" t="str">
        <f t="shared" si="2"/>
        <v/>
      </c>
      <c r="L528" s="58" t="str">
        <f t="shared" si="3"/>
        <v/>
      </c>
    </row>
    <row r="529" ht="21.0" customHeight="1">
      <c r="A529" s="76"/>
      <c r="B529" s="94"/>
      <c r="C529" s="38" t="str">
        <f t="array" ref="C529">IF(B529="","",INDEX(PARAMETROS!$J$2:$J$14,MATCH(B529,PARAMETROS!$G$2:$G$14,0),1))</f>
        <v/>
      </c>
      <c r="D529" s="101"/>
      <c r="E529" s="102"/>
      <c r="F529" s="103"/>
      <c r="G529" s="49" t="str">
        <f t="shared" si="1"/>
        <v/>
      </c>
      <c r="H529" s="76"/>
      <c r="I529" s="103"/>
      <c r="J529" s="58" t="str">
        <f>IF(F529="","", IF(I529="",_xlfn.NETWORKDAYS.INTL(F529,TODAY(),1,FERIADOS),_xlfn.NETWORKDAYS.INTL(F529,I529,1,FERIADOS)))</f>
        <v/>
      </c>
      <c r="K529" s="58" t="str">
        <f t="shared" si="2"/>
        <v/>
      </c>
      <c r="L529" s="58" t="str">
        <f t="shared" si="3"/>
        <v/>
      </c>
    </row>
    <row r="530" ht="21.0" customHeight="1">
      <c r="A530" s="76"/>
      <c r="B530" s="94"/>
      <c r="C530" s="38" t="str">
        <f t="array" ref="C530">IF(B530="","",INDEX(PARAMETROS!$J$2:$J$14,MATCH(B530,PARAMETROS!$G$2:$G$14,0),1))</f>
        <v/>
      </c>
      <c r="D530" s="101"/>
      <c r="E530" s="102"/>
      <c r="F530" s="103"/>
      <c r="G530" s="49" t="str">
        <f t="shared" si="1"/>
        <v/>
      </c>
      <c r="H530" s="76"/>
      <c r="I530" s="103"/>
      <c r="J530" s="58" t="str">
        <f>IF(F530="","", IF(I530="",_xlfn.NETWORKDAYS.INTL(F530,TODAY(),1,FERIADOS),_xlfn.NETWORKDAYS.INTL(F530,I530,1,FERIADOS)))</f>
        <v/>
      </c>
      <c r="K530" s="58" t="str">
        <f t="shared" si="2"/>
        <v/>
      </c>
      <c r="L530" s="58" t="str">
        <f t="shared" si="3"/>
        <v/>
      </c>
    </row>
    <row r="531" ht="21.0" customHeight="1">
      <c r="A531" s="76"/>
      <c r="B531" s="94"/>
      <c r="C531" s="38" t="str">
        <f t="array" ref="C531">IF(B531="","",INDEX(PARAMETROS!$J$2:$J$14,MATCH(B531,PARAMETROS!$G$2:$G$14,0),1))</f>
        <v/>
      </c>
      <c r="D531" s="101"/>
      <c r="E531" s="102"/>
      <c r="F531" s="103"/>
      <c r="G531" s="49" t="str">
        <f t="shared" si="1"/>
        <v/>
      </c>
      <c r="H531" s="76"/>
      <c r="I531" s="103"/>
      <c r="J531" s="58" t="str">
        <f>IF(F531="","", IF(I531="",_xlfn.NETWORKDAYS.INTL(F531,TODAY(),1,FERIADOS),_xlfn.NETWORKDAYS.INTL(F531,I531,1,FERIADOS)))</f>
        <v/>
      </c>
      <c r="K531" s="58" t="str">
        <f t="shared" si="2"/>
        <v/>
      </c>
      <c r="L531" s="58" t="str">
        <f t="shared" si="3"/>
        <v/>
      </c>
    </row>
    <row r="532" ht="21.0" customHeight="1">
      <c r="A532" s="76"/>
      <c r="B532" s="94"/>
      <c r="C532" s="38" t="str">
        <f t="array" ref="C532">IF(B532="","",INDEX(PARAMETROS!$J$2:$J$14,MATCH(B532,PARAMETROS!$G$2:$G$14,0),1))</f>
        <v/>
      </c>
      <c r="D532" s="101"/>
      <c r="E532" s="102"/>
      <c r="F532" s="103"/>
      <c r="G532" s="49" t="str">
        <f t="shared" si="1"/>
        <v/>
      </c>
      <c r="H532" s="76"/>
      <c r="I532" s="103"/>
      <c r="J532" s="58" t="str">
        <f>IF(F532="","", IF(I532="",_xlfn.NETWORKDAYS.INTL(F532,TODAY(),1,FERIADOS),_xlfn.NETWORKDAYS.INTL(F532,I532,1,FERIADOS)))</f>
        <v/>
      </c>
      <c r="K532" s="58" t="str">
        <f t="shared" si="2"/>
        <v/>
      </c>
      <c r="L532" s="58" t="str">
        <f t="shared" si="3"/>
        <v/>
      </c>
    </row>
    <row r="533" ht="21.0" customHeight="1">
      <c r="A533" s="76"/>
      <c r="B533" s="94"/>
      <c r="C533" s="38" t="str">
        <f t="array" ref="C533">IF(B533="","",INDEX(PARAMETROS!$J$2:$J$14,MATCH(B533,PARAMETROS!$G$2:$G$14,0),1))</f>
        <v/>
      </c>
      <c r="D533" s="101"/>
      <c r="E533" s="102"/>
      <c r="F533" s="103"/>
      <c r="G533" s="49" t="str">
        <f t="shared" si="1"/>
        <v/>
      </c>
      <c r="H533" s="76"/>
      <c r="I533" s="103"/>
      <c r="J533" s="58" t="str">
        <f>IF(F533="","", IF(I533="",_xlfn.NETWORKDAYS.INTL(F533,TODAY(),1,FERIADOS),_xlfn.NETWORKDAYS.INTL(F533,I533,1,FERIADOS)))</f>
        <v/>
      </c>
      <c r="K533" s="58" t="str">
        <f t="shared" si="2"/>
        <v/>
      </c>
      <c r="L533" s="58" t="str">
        <f t="shared" si="3"/>
        <v/>
      </c>
    </row>
    <row r="534" ht="21.0" customHeight="1">
      <c r="A534" s="76"/>
      <c r="B534" s="94"/>
      <c r="C534" s="38" t="str">
        <f t="array" ref="C534">IF(B534="","",INDEX(PARAMETROS!$J$2:$J$14,MATCH(B534,PARAMETROS!$G$2:$G$14,0),1))</f>
        <v/>
      </c>
      <c r="D534" s="101"/>
      <c r="E534" s="102"/>
      <c r="F534" s="103"/>
      <c r="G534" s="49" t="str">
        <f t="shared" si="1"/>
        <v/>
      </c>
      <c r="H534" s="76"/>
      <c r="I534" s="103"/>
      <c r="J534" s="58" t="str">
        <f>IF(F534="","", IF(I534="",_xlfn.NETWORKDAYS.INTL(F534,TODAY(),1,FERIADOS),_xlfn.NETWORKDAYS.INTL(F534,I534,1,FERIADOS)))</f>
        <v/>
      </c>
      <c r="K534" s="58" t="str">
        <f t="shared" si="2"/>
        <v/>
      </c>
      <c r="L534" s="58" t="str">
        <f t="shared" si="3"/>
        <v/>
      </c>
    </row>
    <row r="535" ht="21.0" customHeight="1">
      <c r="A535" s="76"/>
      <c r="B535" s="94"/>
      <c r="C535" s="38" t="str">
        <f t="array" ref="C535">IF(B535="","",INDEX(PARAMETROS!$J$2:$J$14,MATCH(B535,PARAMETROS!$G$2:$G$14,0),1))</f>
        <v/>
      </c>
      <c r="D535" s="101"/>
      <c r="E535" s="102"/>
      <c r="F535" s="103"/>
      <c r="G535" s="49" t="str">
        <f t="shared" si="1"/>
        <v/>
      </c>
      <c r="H535" s="76"/>
      <c r="I535" s="103"/>
      <c r="J535" s="58" t="str">
        <f>IF(F535="","", IF(I535="",_xlfn.NETWORKDAYS.INTL(F535,TODAY(),1,FERIADOS),_xlfn.NETWORKDAYS.INTL(F535,I535,1,FERIADOS)))</f>
        <v/>
      </c>
      <c r="K535" s="58" t="str">
        <f t="shared" si="2"/>
        <v/>
      </c>
      <c r="L535" s="58" t="str">
        <f t="shared" si="3"/>
        <v/>
      </c>
    </row>
    <row r="536" ht="21.0" customHeight="1">
      <c r="A536" s="76"/>
      <c r="B536" s="94"/>
      <c r="C536" s="38" t="str">
        <f t="array" ref="C536">IF(B536="","",INDEX(PARAMETROS!$J$2:$J$14,MATCH(B536,PARAMETROS!$G$2:$G$14,0),1))</f>
        <v/>
      </c>
      <c r="D536" s="101"/>
      <c r="E536" s="102"/>
      <c r="F536" s="103"/>
      <c r="G536" s="49" t="str">
        <f t="shared" si="1"/>
        <v/>
      </c>
      <c r="H536" s="76"/>
      <c r="I536" s="103"/>
      <c r="J536" s="58" t="str">
        <f>IF(F536="","", IF(I536="",_xlfn.NETWORKDAYS.INTL(F536,TODAY(),1,FERIADOS),_xlfn.NETWORKDAYS.INTL(F536,I536,1,FERIADOS)))</f>
        <v/>
      </c>
      <c r="K536" s="58" t="str">
        <f t="shared" si="2"/>
        <v/>
      </c>
      <c r="L536" s="58" t="str">
        <f t="shared" si="3"/>
        <v/>
      </c>
    </row>
    <row r="537" ht="21.0" customHeight="1">
      <c r="A537" s="76"/>
      <c r="B537" s="94"/>
      <c r="C537" s="38" t="str">
        <f t="array" ref="C537">IF(B537="","",INDEX(PARAMETROS!$J$2:$J$14,MATCH(B537,PARAMETROS!$G$2:$G$14,0),1))</f>
        <v/>
      </c>
      <c r="D537" s="101"/>
      <c r="E537" s="102"/>
      <c r="F537" s="103"/>
      <c r="G537" s="49" t="str">
        <f t="shared" si="1"/>
        <v/>
      </c>
      <c r="H537" s="76"/>
      <c r="I537" s="103"/>
      <c r="J537" s="58" t="str">
        <f>IF(F537="","", IF(I537="",_xlfn.NETWORKDAYS.INTL(F537,TODAY(),1,FERIADOS),_xlfn.NETWORKDAYS.INTL(F537,I537,1,FERIADOS)))</f>
        <v/>
      </c>
      <c r="K537" s="58" t="str">
        <f t="shared" si="2"/>
        <v/>
      </c>
      <c r="L537" s="58" t="str">
        <f t="shared" si="3"/>
        <v/>
      </c>
    </row>
    <row r="538" ht="21.0" customHeight="1">
      <c r="A538" s="76"/>
      <c r="B538" s="94"/>
      <c r="C538" s="38" t="str">
        <f t="array" ref="C538">IF(B538="","",INDEX(PARAMETROS!$J$2:$J$14,MATCH(B538,PARAMETROS!$G$2:$G$14,0),1))</f>
        <v/>
      </c>
      <c r="D538" s="101"/>
      <c r="E538" s="102"/>
      <c r="F538" s="103"/>
      <c r="G538" s="49" t="str">
        <f t="shared" si="1"/>
        <v/>
      </c>
      <c r="H538" s="76"/>
      <c r="I538" s="103"/>
      <c r="J538" s="58" t="str">
        <f>IF(F538="","", IF(I538="",_xlfn.NETWORKDAYS.INTL(F538,TODAY(),1,FERIADOS),_xlfn.NETWORKDAYS.INTL(F538,I538,1,FERIADOS)))</f>
        <v/>
      </c>
      <c r="K538" s="58" t="str">
        <f t="shared" si="2"/>
        <v/>
      </c>
      <c r="L538" s="58" t="str">
        <f t="shared" si="3"/>
        <v/>
      </c>
    </row>
    <row r="539" ht="21.0" customHeight="1">
      <c r="A539" s="76"/>
      <c r="B539" s="94"/>
      <c r="C539" s="38" t="str">
        <f t="array" ref="C539">IF(B539="","",INDEX(PARAMETROS!$J$2:$J$14,MATCH(B539,PARAMETROS!$G$2:$G$14,0),1))</f>
        <v/>
      </c>
      <c r="D539" s="101"/>
      <c r="E539" s="102"/>
      <c r="F539" s="103"/>
      <c r="G539" s="49" t="str">
        <f t="shared" si="1"/>
        <v/>
      </c>
      <c r="H539" s="76"/>
      <c r="I539" s="103"/>
      <c r="J539" s="58" t="str">
        <f>IF(F539="","", IF(I539="",_xlfn.NETWORKDAYS.INTL(F539,TODAY(),1,FERIADOS),_xlfn.NETWORKDAYS.INTL(F539,I539,1,FERIADOS)))</f>
        <v/>
      </c>
      <c r="K539" s="58" t="str">
        <f t="shared" si="2"/>
        <v/>
      </c>
      <c r="L539" s="58" t="str">
        <f t="shared" si="3"/>
        <v/>
      </c>
    </row>
    <row r="540" ht="21.0" customHeight="1">
      <c r="A540" s="76"/>
      <c r="B540" s="94"/>
      <c r="C540" s="38" t="str">
        <f t="array" ref="C540">IF(B540="","",INDEX(PARAMETROS!$J$2:$J$14,MATCH(B540,PARAMETROS!$G$2:$G$14,0),1))</f>
        <v/>
      </c>
      <c r="D540" s="101"/>
      <c r="E540" s="102"/>
      <c r="F540" s="103"/>
      <c r="G540" s="49" t="str">
        <f t="shared" si="1"/>
        <v/>
      </c>
      <c r="H540" s="76"/>
      <c r="I540" s="103"/>
      <c r="J540" s="58" t="str">
        <f>IF(F540="","", IF(I540="",_xlfn.NETWORKDAYS.INTL(F540,TODAY(),1,FERIADOS),_xlfn.NETWORKDAYS.INTL(F540,I540,1,FERIADOS)))</f>
        <v/>
      </c>
      <c r="K540" s="58" t="str">
        <f t="shared" si="2"/>
        <v/>
      </c>
      <c r="L540" s="58" t="str">
        <f t="shared" si="3"/>
        <v/>
      </c>
    </row>
    <row r="541" ht="21.0" customHeight="1">
      <c r="A541" s="76"/>
      <c r="B541" s="94"/>
      <c r="C541" s="38" t="str">
        <f t="array" ref="C541">IF(B541="","",INDEX(PARAMETROS!$J$2:$J$14,MATCH(B541,PARAMETROS!$G$2:$G$14,0),1))</f>
        <v/>
      </c>
      <c r="D541" s="101"/>
      <c r="E541" s="102"/>
      <c r="F541" s="103"/>
      <c r="G541" s="49" t="str">
        <f t="shared" si="1"/>
        <v/>
      </c>
      <c r="H541" s="76"/>
      <c r="I541" s="103"/>
      <c r="J541" s="58" t="str">
        <f>IF(F541="","", IF(I541="",_xlfn.NETWORKDAYS.INTL(F541,TODAY(),1,FERIADOS),_xlfn.NETWORKDAYS.INTL(F541,I541,1,FERIADOS)))</f>
        <v/>
      </c>
      <c r="K541" s="58" t="str">
        <f t="shared" si="2"/>
        <v/>
      </c>
      <c r="L541" s="58" t="str">
        <f t="shared" si="3"/>
        <v/>
      </c>
    </row>
    <row r="542" ht="21.0" customHeight="1">
      <c r="A542" s="76"/>
      <c r="B542" s="94"/>
      <c r="C542" s="38" t="str">
        <f t="array" ref="C542">IF(B542="","",INDEX(PARAMETROS!$J$2:$J$14,MATCH(B542,PARAMETROS!$G$2:$G$14,0),1))</f>
        <v/>
      </c>
      <c r="D542" s="101"/>
      <c r="E542" s="102"/>
      <c r="F542" s="103"/>
      <c r="G542" s="49" t="str">
        <f t="shared" si="1"/>
        <v/>
      </c>
      <c r="H542" s="76"/>
      <c r="I542" s="103"/>
      <c r="J542" s="58" t="str">
        <f>IF(F542="","", IF(I542="",_xlfn.NETWORKDAYS.INTL(F542,TODAY(),1,FERIADOS),_xlfn.NETWORKDAYS.INTL(F542,I542,1,FERIADOS)))</f>
        <v/>
      </c>
      <c r="K542" s="58" t="str">
        <f t="shared" si="2"/>
        <v/>
      </c>
      <c r="L542" s="58" t="str">
        <f t="shared" si="3"/>
        <v/>
      </c>
    </row>
    <row r="543" ht="21.0" customHeight="1">
      <c r="A543" s="76"/>
      <c r="B543" s="94"/>
      <c r="C543" s="38" t="str">
        <f t="array" ref="C543">IF(B543="","",INDEX(PARAMETROS!$J$2:$J$14,MATCH(B543,PARAMETROS!$G$2:$G$14,0),1))</f>
        <v/>
      </c>
      <c r="D543" s="101"/>
      <c r="E543" s="102"/>
      <c r="F543" s="103"/>
      <c r="G543" s="49" t="str">
        <f t="shared" si="1"/>
        <v/>
      </c>
      <c r="H543" s="76"/>
      <c r="I543" s="103"/>
      <c r="J543" s="58" t="str">
        <f>IF(F543="","", IF(I543="",_xlfn.NETWORKDAYS.INTL(F543,TODAY(),1,FERIADOS),_xlfn.NETWORKDAYS.INTL(F543,I543,1,FERIADOS)))</f>
        <v/>
      </c>
      <c r="K543" s="58" t="str">
        <f t="shared" si="2"/>
        <v/>
      </c>
      <c r="L543" s="58" t="str">
        <f t="shared" si="3"/>
        <v/>
      </c>
    </row>
    <row r="544" ht="21.0" customHeight="1">
      <c r="A544" s="76"/>
      <c r="B544" s="94"/>
      <c r="C544" s="38" t="str">
        <f t="array" ref="C544">IF(B544="","",INDEX(PARAMETROS!$J$2:$J$14,MATCH(B544,PARAMETROS!$G$2:$G$14,0),1))</f>
        <v/>
      </c>
      <c r="D544" s="101"/>
      <c r="E544" s="102"/>
      <c r="F544" s="103"/>
      <c r="G544" s="49" t="str">
        <f t="shared" si="1"/>
        <v/>
      </c>
      <c r="H544" s="76"/>
      <c r="I544" s="103"/>
      <c r="J544" s="58" t="str">
        <f>IF(F544="","", IF(I544="",_xlfn.NETWORKDAYS.INTL(F544,TODAY(),1,FERIADOS),_xlfn.NETWORKDAYS.INTL(F544,I544,1,FERIADOS)))</f>
        <v/>
      </c>
      <c r="K544" s="58" t="str">
        <f t="shared" si="2"/>
        <v/>
      </c>
      <c r="L544" s="58" t="str">
        <f t="shared" si="3"/>
        <v/>
      </c>
    </row>
    <row r="545" ht="21.0" customHeight="1">
      <c r="A545" s="76"/>
      <c r="B545" s="94"/>
      <c r="C545" s="38" t="str">
        <f t="array" ref="C545">IF(B545="","",INDEX(PARAMETROS!$J$2:$J$14,MATCH(B545,PARAMETROS!$G$2:$G$14,0),1))</f>
        <v/>
      </c>
      <c r="D545" s="101"/>
      <c r="E545" s="102"/>
      <c r="F545" s="103"/>
      <c r="G545" s="49" t="str">
        <f t="shared" si="1"/>
        <v/>
      </c>
      <c r="H545" s="76"/>
      <c r="I545" s="103"/>
      <c r="J545" s="58" t="str">
        <f>IF(F545="","", IF(I545="",_xlfn.NETWORKDAYS.INTL(F545,TODAY(),1,FERIADOS),_xlfn.NETWORKDAYS.INTL(F545,I545,1,FERIADOS)))</f>
        <v/>
      </c>
      <c r="K545" s="58" t="str">
        <f t="shared" si="2"/>
        <v/>
      </c>
      <c r="L545" s="58" t="str">
        <f t="shared" si="3"/>
        <v/>
      </c>
    </row>
    <row r="546" ht="21.0" customHeight="1">
      <c r="A546" s="76"/>
      <c r="B546" s="94"/>
      <c r="C546" s="38" t="str">
        <f t="array" ref="C546">IF(B546="","",INDEX(PARAMETROS!$J$2:$J$14,MATCH(B546,PARAMETROS!$G$2:$G$14,0),1))</f>
        <v/>
      </c>
      <c r="D546" s="101"/>
      <c r="E546" s="102"/>
      <c r="F546" s="103"/>
      <c r="G546" s="49" t="str">
        <f t="shared" si="1"/>
        <v/>
      </c>
      <c r="H546" s="76"/>
      <c r="I546" s="103"/>
      <c r="J546" s="58" t="str">
        <f>IF(F546="","", IF(I546="",_xlfn.NETWORKDAYS.INTL(F546,TODAY(),1,FERIADOS),_xlfn.NETWORKDAYS.INTL(F546,I546,1,FERIADOS)))</f>
        <v/>
      </c>
      <c r="K546" s="58" t="str">
        <f t="shared" si="2"/>
        <v/>
      </c>
      <c r="L546" s="58" t="str">
        <f t="shared" si="3"/>
        <v/>
      </c>
    </row>
    <row r="547" ht="21.0" customHeight="1">
      <c r="A547" s="76"/>
      <c r="B547" s="94"/>
      <c r="C547" s="38" t="str">
        <f t="array" ref="C547">IF(B547="","",INDEX(PARAMETROS!$J$2:$J$14,MATCH(B547,PARAMETROS!$G$2:$G$14,0),1))</f>
        <v/>
      </c>
      <c r="D547" s="101"/>
      <c r="E547" s="102"/>
      <c r="F547" s="103"/>
      <c r="G547" s="49" t="str">
        <f t="shared" si="1"/>
        <v/>
      </c>
      <c r="H547" s="76"/>
      <c r="I547" s="103"/>
      <c r="J547" s="58" t="str">
        <f>IF(F547="","", IF(I547="",_xlfn.NETWORKDAYS.INTL(F547,TODAY(),1,FERIADOS),_xlfn.NETWORKDAYS.INTL(F547,I547,1,FERIADOS)))</f>
        <v/>
      </c>
      <c r="K547" s="58" t="str">
        <f t="shared" si="2"/>
        <v/>
      </c>
      <c r="L547" s="58" t="str">
        <f t="shared" si="3"/>
        <v/>
      </c>
    </row>
    <row r="548" ht="21.0" customHeight="1">
      <c r="A548" s="76"/>
      <c r="B548" s="94"/>
      <c r="C548" s="38" t="str">
        <f t="array" ref="C548">IF(B548="","",INDEX(PARAMETROS!$J$2:$J$14,MATCH(B548,PARAMETROS!$G$2:$G$14,0),1))</f>
        <v/>
      </c>
      <c r="D548" s="101"/>
      <c r="E548" s="102"/>
      <c r="F548" s="103"/>
      <c r="G548" s="49" t="str">
        <f t="shared" si="1"/>
        <v/>
      </c>
      <c r="H548" s="76"/>
      <c r="I548" s="103"/>
      <c r="J548" s="58" t="str">
        <f>IF(F548="","", IF(I548="",_xlfn.NETWORKDAYS.INTL(F548,TODAY(),1,FERIADOS),_xlfn.NETWORKDAYS.INTL(F548,I548,1,FERIADOS)))</f>
        <v/>
      </c>
      <c r="K548" s="58" t="str">
        <f t="shared" si="2"/>
        <v/>
      </c>
      <c r="L548" s="58" t="str">
        <f t="shared" si="3"/>
        <v/>
      </c>
    </row>
    <row r="549" ht="21.0" customHeight="1">
      <c r="A549" s="76"/>
      <c r="B549" s="94"/>
      <c r="C549" s="38" t="str">
        <f t="array" ref="C549">IF(B549="","",INDEX(PARAMETROS!$J$2:$J$14,MATCH(B549,PARAMETROS!$G$2:$G$14,0),1))</f>
        <v/>
      </c>
      <c r="D549" s="101"/>
      <c r="E549" s="102"/>
      <c r="F549" s="103"/>
      <c r="G549" s="49" t="str">
        <f t="shared" si="1"/>
        <v/>
      </c>
      <c r="H549" s="76"/>
      <c r="I549" s="103"/>
      <c r="J549" s="58" t="str">
        <f>IF(F549="","", IF(I549="",_xlfn.NETWORKDAYS.INTL(F549,TODAY(),1,FERIADOS),_xlfn.NETWORKDAYS.INTL(F549,I549,1,FERIADOS)))</f>
        <v/>
      </c>
      <c r="K549" s="58" t="str">
        <f t="shared" si="2"/>
        <v/>
      </c>
      <c r="L549" s="58" t="str">
        <f t="shared" si="3"/>
        <v/>
      </c>
    </row>
    <row r="550" ht="21.0" customHeight="1">
      <c r="A550" s="76"/>
      <c r="B550" s="94"/>
      <c r="C550" s="38" t="str">
        <f t="array" ref="C550">IF(B550="","",INDEX(PARAMETROS!$J$2:$J$14,MATCH(B550,PARAMETROS!$G$2:$G$14,0),1))</f>
        <v/>
      </c>
      <c r="D550" s="101"/>
      <c r="E550" s="102"/>
      <c r="F550" s="103"/>
      <c r="G550" s="49" t="str">
        <f t="shared" si="1"/>
        <v/>
      </c>
      <c r="H550" s="76"/>
      <c r="I550" s="103"/>
      <c r="J550" s="58" t="str">
        <f>IF(F550="","", IF(I550="",_xlfn.NETWORKDAYS.INTL(F550,TODAY(),1,FERIADOS),_xlfn.NETWORKDAYS.INTL(F550,I550,1,FERIADOS)))</f>
        <v/>
      </c>
      <c r="K550" s="58" t="str">
        <f t="shared" si="2"/>
        <v/>
      </c>
      <c r="L550" s="58" t="str">
        <f t="shared" si="3"/>
        <v/>
      </c>
    </row>
    <row r="551" ht="21.0" customHeight="1">
      <c r="A551" s="76"/>
      <c r="B551" s="94"/>
      <c r="C551" s="38" t="str">
        <f t="array" ref="C551">IF(B551="","",INDEX(PARAMETROS!$J$2:$J$14,MATCH(B551,PARAMETROS!$G$2:$G$14,0),1))</f>
        <v/>
      </c>
      <c r="D551" s="101"/>
      <c r="E551" s="102"/>
      <c r="F551" s="103"/>
      <c r="G551" s="49" t="str">
        <f t="shared" si="1"/>
        <v/>
      </c>
      <c r="H551" s="76"/>
      <c r="I551" s="103"/>
      <c r="J551" s="58" t="str">
        <f>IF(F551="","", IF(I551="",_xlfn.NETWORKDAYS.INTL(F551,TODAY(),1,FERIADOS),_xlfn.NETWORKDAYS.INTL(F551,I551,1,FERIADOS)))</f>
        <v/>
      </c>
      <c r="K551" s="58" t="str">
        <f t="shared" si="2"/>
        <v/>
      </c>
      <c r="L551" s="58" t="str">
        <f t="shared" si="3"/>
        <v/>
      </c>
    </row>
    <row r="552" ht="21.0" customHeight="1">
      <c r="A552" s="76"/>
      <c r="B552" s="94"/>
      <c r="C552" s="38" t="str">
        <f t="array" ref="C552">IF(B552="","",INDEX(PARAMETROS!$J$2:$J$14,MATCH(B552,PARAMETROS!$G$2:$G$14,0),1))</f>
        <v/>
      </c>
      <c r="D552" s="101"/>
      <c r="E552" s="102"/>
      <c r="F552" s="103"/>
      <c r="G552" s="49" t="str">
        <f t="shared" si="1"/>
        <v/>
      </c>
      <c r="H552" s="76"/>
      <c r="I552" s="103"/>
      <c r="J552" s="58" t="str">
        <f>IF(F552="","", IF(I552="",_xlfn.NETWORKDAYS.INTL(F552,TODAY(),1,FERIADOS),_xlfn.NETWORKDAYS.INTL(F552,I552,1,FERIADOS)))</f>
        <v/>
      </c>
      <c r="K552" s="58" t="str">
        <f t="shared" si="2"/>
        <v/>
      </c>
      <c r="L552" s="58" t="str">
        <f t="shared" si="3"/>
        <v/>
      </c>
    </row>
    <row r="553" ht="21.0" customHeight="1">
      <c r="A553" s="76"/>
      <c r="B553" s="94"/>
      <c r="C553" s="38" t="str">
        <f t="array" ref="C553">IF(B553="","",INDEX(PARAMETROS!$J$2:$J$14,MATCH(B553,PARAMETROS!$G$2:$G$14,0),1))</f>
        <v/>
      </c>
      <c r="D553" s="101"/>
      <c r="E553" s="102"/>
      <c r="F553" s="103"/>
      <c r="G553" s="49" t="str">
        <f t="shared" si="1"/>
        <v/>
      </c>
      <c r="H553" s="76"/>
      <c r="I553" s="103"/>
      <c r="J553" s="58" t="str">
        <f>IF(F553="","", IF(I553="",_xlfn.NETWORKDAYS.INTL(F553,TODAY(),1,FERIADOS),_xlfn.NETWORKDAYS.INTL(F553,I553,1,FERIADOS)))</f>
        <v/>
      </c>
      <c r="K553" s="58" t="str">
        <f t="shared" si="2"/>
        <v/>
      </c>
      <c r="L553" s="58" t="str">
        <f t="shared" si="3"/>
        <v/>
      </c>
    </row>
    <row r="554" ht="21.0" customHeight="1">
      <c r="A554" s="76"/>
      <c r="B554" s="94"/>
      <c r="C554" s="38" t="str">
        <f t="array" ref="C554">IF(B554="","",INDEX(PARAMETROS!$J$2:$J$14,MATCH(B554,PARAMETROS!$G$2:$G$14,0),1))</f>
        <v/>
      </c>
      <c r="D554" s="101"/>
      <c r="E554" s="102"/>
      <c r="F554" s="103"/>
      <c r="G554" s="49" t="str">
        <f t="shared" si="1"/>
        <v/>
      </c>
      <c r="H554" s="76"/>
      <c r="I554" s="103"/>
      <c r="J554" s="58" t="str">
        <f>IF(F554="","", IF(I554="",_xlfn.NETWORKDAYS.INTL(F554,TODAY(),1,FERIADOS),_xlfn.NETWORKDAYS.INTL(F554,I554,1,FERIADOS)))</f>
        <v/>
      </c>
      <c r="K554" s="58" t="str">
        <f t="shared" si="2"/>
        <v/>
      </c>
      <c r="L554" s="58" t="str">
        <f t="shared" si="3"/>
        <v/>
      </c>
    </row>
    <row r="555" ht="21.0" customHeight="1">
      <c r="A555" s="76"/>
      <c r="B555" s="94"/>
      <c r="C555" s="38" t="str">
        <f t="array" ref="C555">IF(B555="","",INDEX(PARAMETROS!$J$2:$J$14,MATCH(B555,PARAMETROS!$G$2:$G$14,0),1))</f>
        <v/>
      </c>
      <c r="D555" s="101"/>
      <c r="E555" s="102"/>
      <c r="F555" s="103"/>
      <c r="G555" s="49" t="str">
        <f t="shared" si="1"/>
        <v/>
      </c>
      <c r="H555" s="76"/>
      <c r="I555" s="103"/>
      <c r="J555" s="58" t="str">
        <f>IF(F555="","", IF(I555="",_xlfn.NETWORKDAYS.INTL(F555,TODAY(),1,FERIADOS),_xlfn.NETWORKDAYS.INTL(F555,I555,1,FERIADOS)))</f>
        <v/>
      </c>
      <c r="K555" s="58" t="str">
        <f t="shared" si="2"/>
        <v/>
      </c>
      <c r="L555" s="58" t="str">
        <f t="shared" si="3"/>
        <v/>
      </c>
    </row>
    <row r="556" ht="21.0" customHeight="1">
      <c r="A556" s="76"/>
      <c r="B556" s="94"/>
      <c r="C556" s="38" t="str">
        <f t="array" ref="C556">IF(B556="","",INDEX(PARAMETROS!$J$2:$J$14,MATCH(B556,PARAMETROS!$G$2:$G$14,0),1))</f>
        <v/>
      </c>
      <c r="D556" s="101"/>
      <c r="E556" s="102"/>
      <c r="F556" s="103"/>
      <c r="G556" s="49" t="str">
        <f t="shared" si="1"/>
        <v/>
      </c>
      <c r="H556" s="76"/>
      <c r="I556" s="103"/>
      <c r="J556" s="58" t="str">
        <f>IF(F556="","", IF(I556="",_xlfn.NETWORKDAYS.INTL(F556,TODAY(),1,FERIADOS),_xlfn.NETWORKDAYS.INTL(F556,I556,1,FERIADOS)))</f>
        <v/>
      </c>
      <c r="K556" s="58" t="str">
        <f t="shared" si="2"/>
        <v/>
      </c>
      <c r="L556" s="58" t="str">
        <f t="shared" si="3"/>
        <v/>
      </c>
    </row>
    <row r="557" ht="21.0" customHeight="1">
      <c r="A557" s="76"/>
      <c r="B557" s="94"/>
      <c r="C557" s="38" t="str">
        <f t="array" ref="C557">IF(B557="","",INDEX(PARAMETROS!$J$2:$J$14,MATCH(B557,PARAMETROS!$G$2:$G$14,0),1))</f>
        <v/>
      </c>
      <c r="D557" s="101"/>
      <c r="E557" s="102"/>
      <c r="F557" s="103"/>
      <c r="G557" s="49" t="str">
        <f t="shared" si="1"/>
        <v/>
      </c>
      <c r="H557" s="76"/>
      <c r="I557" s="103"/>
      <c r="J557" s="58" t="str">
        <f>IF(F557="","", IF(I557="",_xlfn.NETWORKDAYS.INTL(F557,TODAY(),1,FERIADOS),_xlfn.NETWORKDAYS.INTL(F557,I557,1,FERIADOS)))</f>
        <v/>
      </c>
      <c r="K557" s="58" t="str">
        <f t="shared" si="2"/>
        <v/>
      </c>
      <c r="L557" s="58" t="str">
        <f t="shared" si="3"/>
        <v/>
      </c>
    </row>
    <row r="558" ht="21.0" customHeight="1">
      <c r="A558" s="76"/>
      <c r="B558" s="94"/>
      <c r="C558" s="38" t="str">
        <f t="array" ref="C558">IF(B558="","",INDEX(PARAMETROS!$J$2:$J$14,MATCH(B558,PARAMETROS!$G$2:$G$14,0),1))</f>
        <v/>
      </c>
      <c r="D558" s="101"/>
      <c r="E558" s="102"/>
      <c r="F558" s="103"/>
      <c r="G558" s="49" t="str">
        <f t="shared" si="1"/>
        <v/>
      </c>
      <c r="H558" s="76"/>
      <c r="I558" s="103"/>
      <c r="J558" s="58" t="str">
        <f>IF(F558="","", IF(I558="",_xlfn.NETWORKDAYS.INTL(F558,TODAY(),1,FERIADOS),_xlfn.NETWORKDAYS.INTL(F558,I558,1,FERIADOS)))</f>
        <v/>
      </c>
      <c r="K558" s="58" t="str">
        <f t="shared" si="2"/>
        <v/>
      </c>
      <c r="L558" s="58" t="str">
        <f t="shared" si="3"/>
        <v/>
      </c>
    </row>
    <row r="559" ht="21.0" customHeight="1">
      <c r="A559" s="76"/>
      <c r="B559" s="94"/>
      <c r="C559" s="38" t="str">
        <f t="array" ref="C559">IF(B559="","",INDEX(PARAMETROS!$J$2:$J$14,MATCH(B559,PARAMETROS!$G$2:$G$14,0),1))</f>
        <v/>
      </c>
      <c r="D559" s="101"/>
      <c r="E559" s="102"/>
      <c r="F559" s="103"/>
      <c r="G559" s="49" t="str">
        <f t="shared" si="1"/>
        <v/>
      </c>
      <c r="H559" s="76"/>
      <c r="I559" s="103"/>
      <c r="J559" s="58" t="str">
        <f>IF(F559="","", IF(I559="",_xlfn.NETWORKDAYS.INTL(F559,TODAY(),1,FERIADOS),_xlfn.NETWORKDAYS.INTL(F559,I559,1,FERIADOS)))</f>
        <v/>
      </c>
      <c r="K559" s="58" t="str">
        <f t="shared" si="2"/>
        <v/>
      </c>
      <c r="L559" s="58" t="str">
        <f t="shared" si="3"/>
        <v/>
      </c>
    </row>
    <row r="560" ht="21.0" customHeight="1">
      <c r="A560" s="76"/>
      <c r="B560" s="94"/>
      <c r="C560" s="38" t="str">
        <f t="array" ref="C560">IF(B560="","",INDEX(PARAMETROS!$J$2:$J$14,MATCH(B560,PARAMETROS!$G$2:$G$14,0),1))</f>
        <v/>
      </c>
      <c r="D560" s="101"/>
      <c r="E560" s="102"/>
      <c r="F560" s="103"/>
      <c r="G560" s="49" t="str">
        <f t="shared" si="1"/>
        <v/>
      </c>
      <c r="H560" s="76"/>
      <c r="I560" s="103"/>
      <c r="J560" s="58" t="str">
        <f>IF(F560="","", IF(I560="",_xlfn.NETWORKDAYS.INTL(F560,TODAY(),1,FERIADOS),_xlfn.NETWORKDAYS.INTL(F560,I560,1,FERIADOS)))</f>
        <v/>
      </c>
      <c r="K560" s="58" t="str">
        <f t="shared" si="2"/>
        <v/>
      </c>
      <c r="L560" s="58" t="str">
        <f t="shared" si="3"/>
        <v/>
      </c>
    </row>
    <row r="561" ht="21.0" customHeight="1">
      <c r="A561" s="76"/>
      <c r="B561" s="94"/>
      <c r="C561" s="38" t="str">
        <f t="array" ref="C561">IF(B561="","",INDEX(PARAMETROS!$J$2:$J$14,MATCH(B561,PARAMETROS!$G$2:$G$14,0),1))</f>
        <v/>
      </c>
      <c r="D561" s="101"/>
      <c r="E561" s="102"/>
      <c r="F561" s="103"/>
      <c r="G561" s="49" t="str">
        <f t="shared" si="1"/>
        <v/>
      </c>
      <c r="H561" s="76"/>
      <c r="I561" s="103"/>
      <c r="J561" s="58" t="str">
        <f>IF(F561="","", IF(I561="",_xlfn.NETWORKDAYS.INTL(F561,TODAY(),1,FERIADOS),_xlfn.NETWORKDAYS.INTL(F561,I561,1,FERIADOS)))</f>
        <v/>
      </c>
      <c r="K561" s="58" t="str">
        <f t="shared" si="2"/>
        <v/>
      </c>
      <c r="L561" s="58" t="str">
        <f t="shared" si="3"/>
        <v/>
      </c>
    </row>
    <row r="562" ht="21.0" customHeight="1">
      <c r="A562" s="76"/>
      <c r="B562" s="94"/>
      <c r="C562" s="38" t="str">
        <f t="array" ref="C562">IF(B562="","",INDEX(PARAMETROS!$J$2:$J$14,MATCH(B562,PARAMETROS!$G$2:$G$14,0),1))</f>
        <v/>
      </c>
      <c r="D562" s="101"/>
      <c r="E562" s="102"/>
      <c r="F562" s="103"/>
      <c r="G562" s="49" t="str">
        <f t="shared" si="1"/>
        <v/>
      </c>
      <c r="H562" s="76"/>
      <c r="I562" s="103"/>
      <c r="J562" s="58" t="str">
        <f>IF(F562="","", IF(I562="",_xlfn.NETWORKDAYS.INTL(F562,TODAY(),1,FERIADOS),_xlfn.NETWORKDAYS.INTL(F562,I562,1,FERIADOS)))</f>
        <v/>
      </c>
      <c r="K562" s="58" t="str">
        <f t="shared" si="2"/>
        <v/>
      </c>
      <c r="L562" s="58" t="str">
        <f t="shared" si="3"/>
        <v/>
      </c>
    </row>
    <row r="563" ht="21.0" customHeight="1">
      <c r="A563" s="76"/>
      <c r="B563" s="94"/>
      <c r="C563" s="38" t="str">
        <f t="array" ref="C563">IF(B563="","",INDEX(PARAMETROS!$J$2:$J$14,MATCH(B563,PARAMETROS!$G$2:$G$14,0),1))</f>
        <v/>
      </c>
      <c r="D563" s="101"/>
      <c r="E563" s="102"/>
      <c r="F563" s="103"/>
      <c r="G563" s="49" t="str">
        <f t="shared" si="1"/>
        <v/>
      </c>
      <c r="H563" s="76"/>
      <c r="I563" s="103"/>
      <c r="J563" s="58" t="str">
        <f>IF(F563="","", IF(I563="",_xlfn.NETWORKDAYS.INTL(F563,TODAY(),1,FERIADOS),_xlfn.NETWORKDAYS.INTL(F563,I563,1,FERIADOS)))</f>
        <v/>
      </c>
      <c r="K563" s="58" t="str">
        <f t="shared" si="2"/>
        <v/>
      </c>
      <c r="L563" s="58" t="str">
        <f t="shared" si="3"/>
        <v/>
      </c>
    </row>
    <row r="564" ht="21.0" customHeight="1">
      <c r="A564" s="76"/>
      <c r="B564" s="94"/>
      <c r="C564" s="38" t="str">
        <f t="array" ref="C564">IF(B564="","",INDEX(PARAMETROS!$J$2:$J$14,MATCH(B564,PARAMETROS!$G$2:$G$14,0),1))</f>
        <v/>
      </c>
      <c r="D564" s="101"/>
      <c r="E564" s="102"/>
      <c r="F564" s="103"/>
      <c r="G564" s="49" t="str">
        <f t="shared" si="1"/>
        <v/>
      </c>
      <c r="H564" s="76"/>
      <c r="I564" s="103"/>
      <c r="J564" s="58" t="str">
        <f>IF(F564="","", IF(I564="",_xlfn.NETWORKDAYS.INTL(F564,TODAY(),1,FERIADOS),_xlfn.NETWORKDAYS.INTL(F564,I564,1,FERIADOS)))</f>
        <v/>
      </c>
      <c r="K564" s="58" t="str">
        <f t="shared" si="2"/>
        <v/>
      </c>
      <c r="L564" s="58" t="str">
        <f t="shared" si="3"/>
        <v/>
      </c>
    </row>
    <row r="565" ht="21.0" customHeight="1">
      <c r="A565" s="76"/>
      <c r="B565" s="94"/>
      <c r="C565" s="38" t="str">
        <f t="array" ref="C565">IF(B565="","",INDEX(PARAMETROS!$J$2:$J$14,MATCH(B565,PARAMETROS!$G$2:$G$14,0),1))</f>
        <v/>
      </c>
      <c r="D565" s="101"/>
      <c r="E565" s="102"/>
      <c r="F565" s="103"/>
      <c r="G565" s="49" t="str">
        <f t="shared" si="1"/>
        <v/>
      </c>
      <c r="H565" s="76"/>
      <c r="I565" s="103"/>
      <c r="J565" s="58" t="str">
        <f>IF(F565="","", IF(I565="",_xlfn.NETWORKDAYS.INTL(F565,TODAY(),1,FERIADOS),_xlfn.NETWORKDAYS.INTL(F565,I565,1,FERIADOS)))</f>
        <v/>
      </c>
      <c r="K565" s="58" t="str">
        <f t="shared" si="2"/>
        <v/>
      </c>
      <c r="L565" s="58" t="str">
        <f t="shared" si="3"/>
        <v/>
      </c>
    </row>
    <row r="566" ht="21.0" customHeight="1">
      <c r="A566" s="76"/>
      <c r="B566" s="94"/>
      <c r="C566" s="38" t="str">
        <f t="array" ref="C566">IF(B566="","",INDEX(PARAMETROS!$J$2:$J$14,MATCH(B566,PARAMETROS!$G$2:$G$14,0),1))</f>
        <v/>
      </c>
      <c r="D566" s="101"/>
      <c r="E566" s="102"/>
      <c r="F566" s="103"/>
      <c r="G566" s="49" t="str">
        <f t="shared" si="1"/>
        <v/>
      </c>
      <c r="H566" s="76"/>
      <c r="I566" s="103"/>
      <c r="J566" s="58" t="str">
        <f>IF(F566="","", IF(I566="",_xlfn.NETWORKDAYS.INTL(F566,TODAY(),1,FERIADOS),_xlfn.NETWORKDAYS.INTL(F566,I566,1,FERIADOS)))</f>
        <v/>
      </c>
      <c r="K566" s="58" t="str">
        <f t="shared" si="2"/>
        <v/>
      </c>
      <c r="L566" s="58" t="str">
        <f t="shared" si="3"/>
        <v/>
      </c>
    </row>
    <row r="567" ht="21.0" customHeight="1">
      <c r="A567" s="76"/>
      <c r="B567" s="94"/>
      <c r="C567" s="38" t="str">
        <f t="array" ref="C567">IF(B567="","",INDEX(PARAMETROS!$J$2:$J$14,MATCH(B567,PARAMETROS!$G$2:$G$14,0),1))</f>
        <v/>
      </c>
      <c r="D567" s="101"/>
      <c r="E567" s="102"/>
      <c r="F567" s="103"/>
      <c r="G567" s="49" t="str">
        <f t="shared" si="1"/>
        <v/>
      </c>
      <c r="H567" s="76"/>
      <c r="I567" s="103"/>
      <c r="J567" s="58" t="str">
        <f>IF(F567="","", IF(I567="",_xlfn.NETWORKDAYS.INTL(F567,TODAY(),1,FERIADOS),_xlfn.NETWORKDAYS.INTL(F567,I567,1,FERIADOS)))</f>
        <v/>
      </c>
      <c r="K567" s="58" t="str">
        <f t="shared" si="2"/>
        <v/>
      </c>
      <c r="L567" s="58" t="str">
        <f t="shared" si="3"/>
        <v/>
      </c>
    </row>
    <row r="568" ht="21.0" customHeight="1">
      <c r="A568" s="76"/>
      <c r="B568" s="94"/>
      <c r="C568" s="38" t="str">
        <f t="array" ref="C568">IF(B568="","",INDEX(PARAMETROS!$J$2:$J$14,MATCH(B568,PARAMETROS!$G$2:$G$14,0),1))</f>
        <v/>
      </c>
      <c r="D568" s="101"/>
      <c r="E568" s="102"/>
      <c r="F568" s="103"/>
      <c r="G568" s="49" t="str">
        <f t="shared" si="1"/>
        <v/>
      </c>
      <c r="H568" s="76"/>
      <c r="I568" s="103"/>
      <c r="J568" s="58" t="str">
        <f>IF(F568="","", IF(I568="",_xlfn.NETWORKDAYS.INTL(F568,TODAY(),1,FERIADOS),_xlfn.NETWORKDAYS.INTL(F568,I568,1,FERIADOS)))</f>
        <v/>
      </c>
      <c r="K568" s="58" t="str">
        <f t="shared" si="2"/>
        <v/>
      </c>
      <c r="L568" s="58" t="str">
        <f t="shared" si="3"/>
        <v/>
      </c>
    </row>
    <row r="569" ht="21.0" customHeight="1">
      <c r="A569" s="76"/>
      <c r="B569" s="94"/>
      <c r="C569" s="38" t="str">
        <f t="array" ref="C569">IF(B569="","",INDEX(PARAMETROS!$J$2:$J$14,MATCH(B569,PARAMETROS!$G$2:$G$14,0),1))</f>
        <v/>
      </c>
      <c r="D569" s="101"/>
      <c r="E569" s="102"/>
      <c r="F569" s="103"/>
      <c r="G569" s="49" t="str">
        <f t="shared" si="1"/>
        <v/>
      </c>
      <c r="H569" s="76"/>
      <c r="I569" s="103"/>
      <c r="J569" s="58" t="str">
        <f>IF(F569="","", IF(I569="",_xlfn.NETWORKDAYS.INTL(F569,TODAY(),1,FERIADOS),_xlfn.NETWORKDAYS.INTL(F569,I569,1,FERIADOS)))</f>
        <v/>
      </c>
      <c r="K569" s="58" t="str">
        <f t="shared" si="2"/>
        <v/>
      </c>
      <c r="L569" s="58" t="str">
        <f t="shared" si="3"/>
        <v/>
      </c>
    </row>
    <row r="570" ht="21.0" customHeight="1">
      <c r="A570" s="76"/>
      <c r="B570" s="94"/>
      <c r="C570" s="38" t="str">
        <f t="array" ref="C570">IF(B570="","",INDEX(PARAMETROS!$J$2:$J$14,MATCH(B570,PARAMETROS!$G$2:$G$14,0),1))</f>
        <v/>
      </c>
      <c r="D570" s="101"/>
      <c r="E570" s="102"/>
      <c r="F570" s="103"/>
      <c r="G570" s="49" t="str">
        <f t="shared" si="1"/>
        <v/>
      </c>
      <c r="H570" s="76"/>
      <c r="I570" s="103"/>
      <c r="J570" s="58" t="str">
        <f>IF(F570="","", IF(I570="",_xlfn.NETWORKDAYS.INTL(F570,TODAY(),1,FERIADOS),_xlfn.NETWORKDAYS.INTL(F570,I570,1,FERIADOS)))</f>
        <v/>
      </c>
      <c r="K570" s="58" t="str">
        <f t="shared" si="2"/>
        <v/>
      </c>
      <c r="L570" s="58" t="str">
        <f t="shared" si="3"/>
        <v/>
      </c>
    </row>
    <row r="571" ht="21.0" customHeight="1">
      <c r="A571" s="76"/>
      <c r="B571" s="94"/>
      <c r="C571" s="38" t="str">
        <f t="array" ref="C571">IF(B571="","",INDEX(PARAMETROS!$J$2:$J$14,MATCH(B571,PARAMETROS!$G$2:$G$14,0),1))</f>
        <v/>
      </c>
      <c r="D571" s="101"/>
      <c r="E571" s="102"/>
      <c r="F571" s="103"/>
      <c r="G571" s="49" t="str">
        <f t="shared" si="1"/>
        <v/>
      </c>
      <c r="H571" s="76"/>
      <c r="I571" s="103"/>
      <c r="J571" s="58" t="str">
        <f>IF(F571="","", IF(I571="",_xlfn.NETWORKDAYS.INTL(F571,TODAY(),1,FERIADOS),_xlfn.NETWORKDAYS.INTL(F571,I571,1,FERIADOS)))</f>
        <v/>
      </c>
      <c r="K571" s="58" t="str">
        <f t="shared" si="2"/>
        <v/>
      </c>
      <c r="L571" s="58" t="str">
        <f t="shared" si="3"/>
        <v/>
      </c>
    </row>
    <row r="572" ht="21.0" customHeight="1">
      <c r="A572" s="76"/>
      <c r="B572" s="94"/>
      <c r="C572" s="38" t="str">
        <f t="array" ref="C572">IF(B572="","",INDEX(PARAMETROS!$J$2:$J$14,MATCH(B572,PARAMETROS!$G$2:$G$14,0),1))</f>
        <v/>
      </c>
      <c r="D572" s="101"/>
      <c r="E572" s="102"/>
      <c r="F572" s="103"/>
      <c r="G572" s="49" t="str">
        <f t="shared" si="1"/>
        <v/>
      </c>
      <c r="H572" s="76"/>
      <c r="I572" s="103"/>
      <c r="J572" s="58" t="str">
        <f>IF(F572="","", IF(I572="",_xlfn.NETWORKDAYS.INTL(F572,TODAY(),1,FERIADOS),_xlfn.NETWORKDAYS.INTL(F572,I572,1,FERIADOS)))</f>
        <v/>
      </c>
      <c r="K572" s="58" t="str">
        <f t="shared" si="2"/>
        <v/>
      </c>
      <c r="L572" s="58" t="str">
        <f t="shared" si="3"/>
        <v/>
      </c>
    </row>
    <row r="573" ht="21.0" customHeight="1">
      <c r="A573" s="76"/>
      <c r="B573" s="94"/>
      <c r="C573" s="38" t="str">
        <f t="array" ref="C573">IF(B573="","",INDEX(PARAMETROS!$J$2:$J$14,MATCH(B573,PARAMETROS!$G$2:$G$14,0),1))</f>
        <v/>
      </c>
      <c r="D573" s="101"/>
      <c r="E573" s="102"/>
      <c r="F573" s="103"/>
      <c r="G573" s="49" t="str">
        <f t="shared" si="1"/>
        <v/>
      </c>
      <c r="H573" s="76"/>
      <c r="I573" s="103"/>
      <c r="J573" s="58" t="str">
        <f>IF(F573="","", IF(I573="",_xlfn.NETWORKDAYS.INTL(F573,TODAY(),1,FERIADOS),_xlfn.NETWORKDAYS.INTL(F573,I573,1,FERIADOS)))</f>
        <v/>
      </c>
      <c r="K573" s="58" t="str">
        <f t="shared" si="2"/>
        <v/>
      </c>
      <c r="L573" s="58" t="str">
        <f t="shared" si="3"/>
        <v/>
      </c>
    </row>
    <row r="574" ht="21.0" customHeight="1">
      <c r="A574" s="76"/>
      <c r="B574" s="94"/>
      <c r="C574" s="38" t="str">
        <f t="array" ref="C574">IF(B574="","",INDEX(PARAMETROS!$J$2:$J$14,MATCH(B574,PARAMETROS!$G$2:$G$14,0),1))</f>
        <v/>
      </c>
      <c r="D574" s="101"/>
      <c r="E574" s="102"/>
      <c r="F574" s="103"/>
      <c r="G574" s="49" t="str">
        <f t="shared" si="1"/>
        <v/>
      </c>
      <c r="H574" s="76"/>
      <c r="I574" s="103"/>
      <c r="J574" s="58" t="str">
        <f>IF(F574="","", IF(I574="",_xlfn.NETWORKDAYS.INTL(F574,TODAY(),1,FERIADOS),_xlfn.NETWORKDAYS.INTL(F574,I574,1,FERIADOS)))</f>
        <v/>
      </c>
      <c r="K574" s="58" t="str">
        <f t="shared" si="2"/>
        <v/>
      </c>
      <c r="L574" s="58" t="str">
        <f t="shared" si="3"/>
        <v/>
      </c>
    </row>
    <row r="575" ht="21.0" customHeight="1">
      <c r="A575" s="76"/>
      <c r="B575" s="94"/>
      <c r="C575" s="38" t="str">
        <f t="array" ref="C575">IF(B575="","",INDEX(PARAMETROS!$J$2:$J$14,MATCH(B575,PARAMETROS!$G$2:$G$14,0),1))</f>
        <v/>
      </c>
      <c r="D575" s="101"/>
      <c r="E575" s="102"/>
      <c r="F575" s="103"/>
      <c r="G575" s="49" t="str">
        <f t="shared" si="1"/>
        <v/>
      </c>
      <c r="H575" s="76"/>
      <c r="I575" s="103"/>
      <c r="J575" s="58" t="str">
        <f>IF(F575="","", IF(I575="",_xlfn.NETWORKDAYS.INTL(F575,TODAY(),1,FERIADOS),_xlfn.NETWORKDAYS.INTL(F575,I575,1,FERIADOS)))</f>
        <v/>
      </c>
      <c r="K575" s="58" t="str">
        <f t="shared" si="2"/>
        <v/>
      </c>
      <c r="L575" s="58" t="str">
        <f t="shared" si="3"/>
        <v/>
      </c>
    </row>
    <row r="576" ht="21.0" customHeight="1">
      <c r="A576" s="76"/>
      <c r="B576" s="94"/>
      <c r="C576" s="38" t="str">
        <f t="array" ref="C576">IF(B576="","",INDEX(PARAMETROS!$J$2:$J$14,MATCH(B576,PARAMETROS!$G$2:$G$14,0),1))</f>
        <v/>
      </c>
      <c r="D576" s="101"/>
      <c r="E576" s="102"/>
      <c r="F576" s="103"/>
      <c r="G576" s="49" t="str">
        <f t="shared" si="1"/>
        <v/>
      </c>
      <c r="H576" s="76"/>
      <c r="I576" s="103"/>
      <c r="J576" s="58" t="str">
        <f>IF(F576="","", IF(I576="",_xlfn.NETWORKDAYS.INTL(F576,TODAY(),1,FERIADOS),_xlfn.NETWORKDAYS.INTL(F576,I576,1,FERIADOS)))</f>
        <v/>
      </c>
      <c r="K576" s="58" t="str">
        <f t="shared" si="2"/>
        <v/>
      </c>
      <c r="L576" s="58" t="str">
        <f t="shared" si="3"/>
        <v/>
      </c>
    </row>
    <row r="577" ht="21.0" customHeight="1">
      <c r="A577" s="76"/>
      <c r="B577" s="94"/>
      <c r="C577" s="38" t="str">
        <f t="array" ref="C577">IF(B577="","",INDEX(PARAMETROS!$J$2:$J$14,MATCH(B577,PARAMETROS!$G$2:$G$14,0),1))</f>
        <v/>
      </c>
      <c r="D577" s="101"/>
      <c r="E577" s="102"/>
      <c r="F577" s="103"/>
      <c r="G577" s="49" t="str">
        <f t="shared" si="1"/>
        <v/>
      </c>
      <c r="H577" s="76"/>
      <c r="I577" s="103"/>
      <c r="J577" s="58" t="str">
        <f>IF(F577="","", IF(I577="",_xlfn.NETWORKDAYS.INTL(F577,TODAY(),1,FERIADOS),_xlfn.NETWORKDAYS.INTL(F577,I577,1,FERIADOS)))</f>
        <v/>
      </c>
      <c r="K577" s="58" t="str">
        <f t="shared" si="2"/>
        <v/>
      </c>
      <c r="L577" s="58" t="str">
        <f t="shared" si="3"/>
        <v/>
      </c>
    </row>
    <row r="578" ht="21.0" customHeight="1">
      <c r="A578" s="76"/>
      <c r="B578" s="94"/>
      <c r="C578" s="38" t="str">
        <f t="array" ref="C578">IF(B578="","",INDEX(PARAMETROS!$J$2:$J$14,MATCH(B578,PARAMETROS!$G$2:$G$14,0),1))</f>
        <v/>
      </c>
      <c r="D578" s="101"/>
      <c r="E578" s="102"/>
      <c r="F578" s="103"/>
      <c r="G578" s="49" t="str">
        <f t="shared" si="1"/>
        <v/>
      </c>
      <c r="H578" s="76"/>
      <c r="I578" s="103"/>
      <c r="J578" s="58" t="str">
        <f>IF(F578="","", IF(I578="",_xlfn.NETWORKDAYS.INTL(F578,TODAY(),1,FERIADOS),_xlfn.NETWORKDAYS.INTL(F578,I578,1,FERIADOS)))</f>
        <v/>
      </c>
      <c r="K578" s="58" t="str">
        <f t="shared" si="2"/>
        <v/>
      </c>
      <c r="L578" s="58" t="str">
        <f t="shared" si="3"/>
        <v/>
      </c>
    </row>
    <row r="579" ht="21.0" customHeight="1">
      <c r="A579" s="76"/>
      <c r="B579" s="94"/>
      <c r="C579" s="38" t="str">
        <f t="array" ref="C579">IF(B579="","",INDEX(PARAMETROS!$J$2:$J$14,MATCH(B579,PARAMETROS!$G$2:$G$14,0),1))</f>
        <v/>
      </c>
      <c r="D579" s="101"/>
      <c r="E579" s="102"/>
      <c r="F579" s="103"/>
      <c r="G579" s="49" t="str">
        <f t="shared" si="1"/>
        <v/>
      </c>
      <c r="H579" s="76"/>
      <c r="I579" s="103"/>
      <c r="J579" s="58" t="str">
        <f>IF(F579="","", IF(I579="",_xlfn.NETWORKDAYS.INTL(F579,TODAY(),1,FERIADOS),_xlfn.NETWORKDAYS.INTL(F579,I579,1,FERIADOS)))</f>
        <v/>
      </c>
      <c r="K579" s="58" t="str">
        <f t="shared" si="2"/>
        <v/>
      </c>
      <c r="L579" s="58" t="str">
        <f t="shared" si="3"/>
        <v/>
      </c>
    </row>
    <row r="580" ht="21.0" customHeight="1">
      <c r="A580" s="76"/>
      <c r="B580" s="94"/>
      <c r="C580" s="38" t="str">
        <f t="array" ref="C580">IF(B580="","",INDEX(PARAMETROS!$J$2:$J$14,MATCH(B580,PARAMETROS!$G$2:$G$14,0),1))</f>
        <v/>
      </c>
      <c r="D580" s="101"/>
      <c r="E580" s="102"/>
      <c r="F580" s="103"/>
      <c r="G580" s="49" t="str">
        <f t="shared" si="1"/>
        <v/>
      </c>
      <c r="H580" s="76"/>
      <c r="I580" s="103"/>
      <c r="J580" s="58" t="str">
        <f>IF(F580="","", IF(I580="",_xlfn.NETWORKDAYS.INTL(F580,TODAY(),1,FERIADOS),_xlfn.NETWORKDAYS.INTL(F580,I580,1,FERIADOS)))</f>
        <v/>
      </c>
      <c r="K580" s="58" t="str">
        <f t="shared" si="2"/>
        <v/>
      </c>
      <c r="L580" s="58" t="str">
        <f t="shared" si="3"/>
        <v/>
      </c>
    </row>
    <row r="581" ht="21.0" customHeight="1">
      <c r="A581" s="76"/>
      <c r="B581" s="94"/>
      <c r="C581" s="38" t="str">
        <f t="array" ref="C581">IF(B581="","",INDEX(PARAMETROS!$J$2:$J$14,MATCH(B581,PARAMETROS!$G$2:$G$14,0),1))</f>
        <v/>
      </c>
      <c r="D581" s="101"/>
      <c r="E581" s="102"/>
      <c r="F581" s="103"/>
      <c r="G581" s="49" t="str">
        <f t="shared" si="1"/>
        <v/>
      </c>
      <c r="H581" s="76"/>
      <c r="I581" s="103"/>
      <c r="J581" s="58" t="str">
        <f>IF(F581="","", IF(I581="",_xlfn.NETWORKDAYS.INTL(F581,TODAY(),1,FERIADOS),_xlfn.NETWORKDAYS.INTL(F581,I581,1,FERIADOS)))</f>
        <v/>
      </c>
      <c r="K581" s="58" t="str">
        <f t="shared" si="2"/>
        <v/>
      </c>
      <c r="L581" s="58" t="str">
        <f t="shared" si="3"/>
        <v/>
      </c>
    </row>
    <row r="582" ht="21.0" customHeight="1">
      <c r="A582" s="76"/>
      <c r="B582" s="94"/>
      <c r="C582" s="38" t="str">
        <f t="array" ref="C582">IF(B582="","",INDEX(PARAMETROS!$J$2:$J$14,MATCH(B582,PARAMETROS!$G$2:$G$14,0),1))</f>
        <v/>
      </c>
      <c r="D582" s="101"/>
      <c r="E582" s="102"/>
      <c r="F582" s="103"/>
      <c r="G582" s="49" t="str">
        <f t="shared" si="1"/>
        <v/>
      </c>
      <c r="H582" s="76"/>
      <c r="I582" s="103"/>
      <c r="J582" s="58" t="str">
        <f>IF(F582="","", IF(I582="",_xlfn.NETWORKDAYS.INTL(F582,TODAY(),1,FERIADOS),_xlfn.NETWORKDAYS.INTL(F582,I582,1,FERIADOS)))</f>
        <v/>
      </c>
      <c r="K582" s="58" t="str">
        <f t="shared" si="2"/>
        <v/>
      </c>
      <c r="L582" s="58" t="str">
        <f t="shared" si="3"/>
        <v/>
      </c>
    </row>
    <row r="583" ht="21.0" customHeight="1">
      <c r="A583" s="76"/>
      <c r="B583" s="94"/>
      <c r="C583" s="38" t="str">
        <f t="array" ref="C583">IF(B583="","",INDEX(PARAMETROS!$J$2:$J$14,MATCH(B583,PARAMETROS!$G$2:$G$14,0),1))</f>
        <v/>
      </c>
      <c r="D583" s="101"/>
      <c r="E583" s="102"/>
      <c r="F583" s="103"/>
      <c r="G583" s="49" t="str">
        <f t="shared" si="1"/>
        <v/>
      </c>
      <c r="H583" s="76"/>
      <c r="I583" s="103"/>
      <c r="J583" s="58" t="str">
        <f>IF(F583="","", IF(I583="",_xlfn.NETWORKDAYS.INTL(F583,TODAY(),1,FERIADOS),_xlfn.NETWORKDAYS.INTL(F583,I583,1,FERIADOS)))</f>
        <v/>
      </c>
      <c r="K583" s="58" t="str">
        <f t="shared" si="2"/>
        <v/>
      </c>
      <c r="L583" s="58" t="str">
        <f t="shared" si="3"/>
        <v/>
      </c>
    </row>
    <row r="584" ht="21.0" customHeight="1">
      <c r="A584" s="76"/>
      <c r="B584" s="94"/>
      <c r="C584" s="38" t="str">
        <f t="array" ref="C584">IF(B584="","",INDEX(PARAMETROS!$J$2:$J$14,MATCH(B584,PARAMETROS!$G$2:$G$14,0),1))</f>
        <v/>
      </c>
      <c r="D584" s="101"/>
      <c r="E584" s="102"/>
      <c r="F584" s="103"/>
      <c r="G584" s="49" t="str">
        <f t="shared" si="1"/>
        <v/>
      </c>
      <c r="H584" s="76"/>
      <c r="I584" s="103"/>
      <c r="J584" s="58" t="str">
        <f>IF(F584="","", IF(I584="",_xlfn.NETWORKDAYS.INTL(F584,TODAY(),1,FERIADOS),_xlfn.NETWORKDAYS.INTL(F584,I584,1,FERIADOS)))</f>
        <v/>
      </c>
      <c r="K584" s="58" t="str">
        <f t="shared" si="2"/>
        <v/>
      </c>
      <c r="L584" s="58" t="str">
        <f t="shared" si="3"/>
        <v/>
      </c>
    </row>
    <row r="585" ht="21.0" customHeight="1">
      <c r="A585" s="76"/>
      <c r="B585" s="94"/>
      <c r="C585" s="38" t="str">
        <f t="array" ref="C585">IF(B585="","",INDEX(PARAMETROS!$J$2:$J$14,MATCH(B585,PARAMETROS!$G$2:$G$14,0),1))</f>
        <v/>
      </c>
      <c r="D585" s="101"/>
      <c r="E585" s="102"/>
      <c r="F585" s="103"/>
      <c r="G585" s="49" t="str">
        <f t="shared" si="1"/>
        <v/>
      </c>
      <c r="H585" s="76"/>
      <c r="I585" s="103"/>
      <c r="J585" s="58" t="str">
        <f>IF(F585="","", IF(I585="",_xlfn.NETWORKDAYS.INTL(F585,TODAY(),1,FERIADOS),_xlfn.NETWORKDAYS.INTL(F585,I585,1,FERIADOS)))</f>
        <v/>
      </c>
      <c r="K585" s="58" t="str">
        <f t="shared" si="2"/>
        <v/>
      </c>
      <c r="L585" s="58" t="str">
        <f t="shared" si="3"/>
        <v/>
      </c>
    </row>
    <row r="586" ht="21.0" customHeight="1">
      <c r="A586" s="76"/>
      <c r="B586" s="94"/>
      <c r="C586" s="38" t="str">
        <f t="array" ref="C586">IF(B586="","",INDEX(PARAMETROS!$J$2:$J$14,MATCH(B586,PARAMETROS!$G$2:$G$14,0),1))</f>
        <v/>
      </c>
      <c r="D586" s="101"/>
      <c r="E586" s="102"/>
      <c r="F586" s="103"/>
      <c r="G586" s="49" t="str">
        <f t="shared" si="1"/>
        <v/>
      </c>
      <c r="H586" s="76"/>
      <c r="I586" s="103"/>
      <c r="J586" s="58" t="str">
        <f>IF(F586="","", IF(I586="",_xlfn.NETWORKDAYS.INTL(F586,TODAY(),1,FERIADOS),_xlfn.NETWORKDAYS.INTL(F586,I586,1,FERIADOS)))</f>
        <v/>
      </c>
      <c r="K586" s="58" t="str">
        <f t="shared" si="2"/>
        <v/>
      </c>
      <c r="L586" s="58" t="str">
        <f t="shared" si="3"/>
        <v/>
      </c>
    </row>
    <row r="587" ht="21.0" customHeight="1">
      <c r="A587" s="76"/>
      <c r="B587" s="94"/>
      <c r="C587" s="38" t="str">
        <f t="array" ref="C587">IF(B587="","",INDEX(PARAMETROS!$J$2:$J$14,MATCH(B587,PARAMETROS!$G$2:$G$14,0),1))</f>
        <v/>
      </c>
      <c r="D587" s="101"/>
      <c r="E587" s="102"/>
      <c r="F587" s="103"/>
      <c r="G587" s="49" t="str">
        <f t="shared" si="1"/>
        <v/>
      </c>
      <c r="H587" s="76"/>
      <c r="I587" s="103"/>
      <c r="J587" s="58" t="str">
        <f>IF(F587="","", IF(I587="",_xlfn.NETWORKDAYS.INTL(F587,TODAY(),1,FERIADOS),_xlfn.NETWORKDAYS.INTL(F587,I587,1,FERIADOS)))</f>
        <v/>
      </c>
      <c r="K587" s="58" t="str">
        <f t="shared" si="2"/>
        <v/>
      </c>
      <c r="L587" s="58" t="str">
        <f t="shared" si="3"/>
        <v/>
      </c>
    </row>
    <row r="588" ht="21.0" customHeight="1">
      <c r="A588" s="76"/>
      <c r="B588" s="94"/>
      <c r="C588" s="38" t="str">
        <f t="array" ref="C588">IF(B588="","",INDEX(PARAMETROS!$J$2:$J$14,MATCH(B588,PARAMETROS!$G$2:$G$14,0),1))</f>
        <v/>
      </c>
      <c r="D588" s="101"/>
      <c r="E588" s="102"/>
      <c r="F588" s="103"/>
      <c r="G588" s="49" t="str">
        <f t="shared" si="1"/>
        <v/>
      </c>
      <c r="H588" s="76"/>
      <c r="I588" s="103"/>
      <c r="J588" s="58" t="str">
        <f>IF(F588="","", IF(I588="",_xlfn.NETWORKDAYS.INTL(F588,TODAY(),1,FERIADOS),_xlfn.NETWORKDAYS.INTL(F588,I588,1,FERIADOS)))</f>
        <v/>
      </c>
      <c r="K588" s="58" t="str">
        <f t="shared" si="2"/>
        <v/>
      </c>
      <c r="L588" s="58" t="str">
        <f t="shared" si="3"/>
        <v/>
      </c>
    </row>
    <row r="589" ht="21.0" customHeight="1">
      <c r="A589" s="76"/>
      <c r="B589" s="94"/>
      <c r="C589" s="38" t="str">
        <f t="array" ref="C589">IF(B589="","",INDEX(PARAMETROS!$J$2:$J$14,MATCH(B589,PARAMETROS!$G$2:$G$14,0),1))</f>
        <v/>
      </c>
      <c r="D589" s="101"/>
      <c r="E589" s="102"/>
      <c r="F589" s="103"/>
      <c r="G589" s="49" t="str">
        <f t="shared" si="1"/>
        <v/>
      </c>
      <c r="H589" s="76"/>
      <c r="I589" s="103"/>
      <c r="J589" s="58" t="str">
        <f>IF(F589="","", IF(I589="",_xlfn.NETWORKDAYS.INTL(F589,TODAY(),1,FERIADOS),_xlfn.NETWORKDAYS.INTL(F589,I589,1,FERIADOS)))</f>
        <v/>
      </c>
      <c r="K589" s="58" t="str">
        <f t="shared" si="2"/>
        <v/>
      </c>
      <c r="L589" s="58" t="str">
        <f t="shared" si="3"/>
        <v/>
      </c>
    </row>
    <row r="590" ht="21.0" customHeight="1">
      <c r="A590" s="76"/>
      <c r="B590" s="94"/>
      <c r="C590" s="38" t="str">
        <f t="array" ref="C590">IF(B590="","",INDEX(PARAMETROS!$J$2:$J$14,MATCH(B590,PARAMETROS!$G$2:$G$14,0),1))</f>
        <v/>
      </c>
      <c r="D590" s="101"/>
      <c r="E590" s="102"/>
      <c r="F590" s="103"/>
      <c r="G590" s="49" t="str">
        <f t="shared" si="1"/>
        <v/>
      </c>
      <c r="H590" s="76"/>
      <c r="I590" s="103"/>
      <c r="J590" s="58" t="str">
        <f>IF(F590="","", IF(I590="",_xlfn.NETWORKDAYS.INTL(F590,TODAY(),1,FERIADOS),_xlfn.NETWORKDAYS.INTL(F590,I590,1,FERIADOS)))</f>
        <v/>
      </c>
      <c r="K590" s="58" t="str">
        <f t="shared" si="2"/>
        <v/>
      </c>
      <c r="L590" s="58" t="str">
        <f t="shared" si="3"/>
        <v/>
      </c>
    </row>
    <row r="591" ht="21.0" customHeight="1">
      <c r="A591" s="76"/>
      <c r="B591" s="94"/>
      <c r="C591" s="38" t="str">
        <f t="array" ref="C591">IF(B591="","",INDEX(PARAMETROS!$J$2:$J$14,MATCH(B591,PARAMETROS!$G$2:$G$14,0),1))</f>
        <v/>
      </c>
      <c r="D591" s="101"/>
      <c r="E591" s="102"/>
      <c r="F591" s="103"/>
      <c r="G591" s="49" t="str">
        <f t="shared" si="1"/>
        <v/>
      </c>
      <c r="H591" s="76"/>
      <c r="I591" s="103"/>
      <c r="J591" s="58" t="str">
        <f>IF(F591="","", IF(I591="",_xlfn.NETWORKDAYS.INTL(F591,TODAY(),1,FERIADOS),_xlfn.NETWORKDAYS.INTL(F591,I591,1,FERIADOS)))</f>
        <v/>
      </c>
      <c r="K591" s="58" t="str">
        <f t="shared" si="2"/>
        <v/>
      </c>
      <c r="L591" s="58" t="str">
        <f t="shared" si="3"/>
        <v/>
      </c>
    </row>
    <row r="592" ht="21.0" customHeight="1">
      <c r="A592" s="76"/>
      <c r="B592" s="94"/>
      <c r="C592" s="38" t="str">
        <f t="array" ref="C592">IF(B592="","",INDEX(PARAMETROS!$J$2:$J$14,MATCH(B592,PARAMETROS!$G$2:$G$14,0),1))</f>
        <v/>
      </c>
      <c r="D592" s="101"/>
      <c r="E592" s="102"/>
      <c r="F592" s="103"/>
      <c r="G592" s="49" t="str">
        <f t="shared" si="1"/>
        <v/>
      </c>
      <c r="H592" s="76"/>
      <c r="I592" s="103"/>
      <c r="J592" s="58" t="str">
        <f>IF(F592="","", IF(I592="",_xlfn.NETWORKDAYS.INTL(F592,TODAY(),1,FERIADOS),_xlfn.NETWORKDAYS.INTL(F592,I592,1,FERIADOS)))</f>
        <v/>
      </c>
      <c r="K592" s="58" t="str">
        <f t="shared" si="2"/>
        <v/>
      </c>
      <c r="L592" s="58" t="str">
        <f t="shared" si="3"/>
        <v/>
      </c>
    </row>
    <row r="593" ht="21.0" customHeight="1">
      <c r="A593" s="76"/>
      <c r="B593" s="94"/>
      <c r="C593" s="38" t="str">
        <f t="array" ref="C593">IF(B593="","",INDEX(PARAMETROS!$J$2:$J$14,MATCH(B593,PARAMETROS!$G$2:$G$14,0),1))</f>
        <v/>
      </c>
      <c r="D593" s="101"/>
      <c r="E593" s="102"/>
      <c r="F593" s="103"/>
      <c r="G593" s="49" t="str">
        <f t="shared" si="1"/>
        <v/>
      </c>
      <c r="H593" s="76"/>
      <c r="I593" s="103"/>
      <c r="J593" s="58" t="str">
        <f>IF(F593="","", IF(I593="",_xlfn.NETWORKDAYS.INTL(F593,TODAY(),1,FERIADOS),_xlfn.NETWORKDAYS.INTL(F593,I593,1,FERIADOS)))</f>
        <v/>
      </c>
      <c r="K593" s="58" t="str">
        <f t="shared" si="2"/>
        <v/>
      </c>
      <c r="L593" s="58" t="str">
        <f t="shared" si="3"/>
        <v/>
      </c>
    </row>
    <row r="594" ht="21.0" customHeight="1">
      <c r="A594" s="76"/>
      <c r="B594" s="94"/>
      <c r="C594" s="38" t="str">
        <f t="array" ref="C594">IF(B594="","",INDEX(PARAMETROS!$J$2:$J$14,MATCH(B594,PARAMETROS!$G$2:$G$14,0),1))</f>
        <v/>
      </c>
      <c r="D594" s="101"/>
      <c r="E594" s="102"/>
      <c r="F594" s="103"/>
      <c r="G594" s="49" t="str">
        <f t="shared" si="1"/>
        <v/>
      </c>
      <c r="H594" s="76"/>
      <c r="I594" s="103"/>
      <c r="J594" s="58" t="str">
        <f>IF(F594="","", IF(I594="",_xlfn.NETWORKDAYS.INTL(F594,TODAY(),1,FERIADOS),_xlfn.NETWORKDAYS.INTL(F594,I594,1,FERIADOS)))</f>
        <v/>
      </c>
      <c r="K594" s="58" t="str">
        <f t="shared" si="2"/>
        <v/>
      </c>
      <c r="L594" s="58" t="str">
        <f t="shared" si="3"/>
        <v/>
      </c>
    </row>
    <row r="595" ht="21.0" customHeight="1">
      <c r="A595" s="76"/>
      <c r="B595" s="94"/>
      <c r="C595" s="38" t="str">
        <f t="array" ref="C595">IF(B595="","",INDEX(PARAMETROS!$J$2:$J$14,MATCH(B595,PARAMETROS!$G$2:$G$14,0),1))</f>
        <v/>
      </c>
      <c r="D595" s="101"/>
      <c r="E595" s="102"/>
      <c r="F595" s="103"/>
      <c r="G595" s="49" t="str">
        <f t="shared" si="1"/>
        <v/>
      </c>
      <c r="H595" s="76"/>
      <c r="I595" s="103"/>
      <c r="J595" s="58" t="str">
        <f>IF(F595="","", IF(I595="",_xlfn.NETWORKDAYS.INTL(F595,TODAY(),1,FERIADOS),_xlfn.NETWORKDAYS.INTL(F595,I595,1,FERIADOS)))</f>
        <v/>
      </c>
      <c r="K595" s="58" t="str">
        <f t="shared" si="2"/>
        <v/>
      </c>
      <c r="L595" s="58" t="str">
        <f t="shared" si="3"/>
        <v/>
      </c>
    </row>
    <row r="596" ht="21.0" customHeight="1">
      <c r="A596" s="76"/>
      <c r="B596" s="94"/>
      <c r="C596" s="38" t="str">
        <f t="array" ref="C596">IF(B596="","",INDEX(PARAMETROS!$J$2:$J$14,MATCH(B596,PARAMETROS!$G$2:$G$14,0),1))</f>
        <v/>
      </c>
      <c r="D596" s="101"/>
      <c r="E596" s="102"/>
      <c r="F596" s="103"/>
      <c r="G596" s="49" t="str">
        <f t="shared" si="1"/>
        <v/>
      </c>
      <c r="H596" s="76"/>
      <c r="I596" s="103"/>
      <c r="J596" s="58" t="str">
        <f>IF(F596="","", IF(I596="",_xlfn.NETWORKDAYS.INTL(F596,TODAY(),1,FERIADOS),_xlfn.NETWORKDAYS.INTL(F596,I596,1,FERIADOS)))</f>
        <v/>
      </c>
      <c r="K596" s="58" t="str">
        <f t="shared" si="2"/>
        <v/>
      </c>
      <c r="L596" s="58" t="str">
        <f t="shared" si="3"/>
        <v/>
      </c>
    </row>
    <row r="597" ht="21.0" customHeight="1">
      <c r="A597" s="76"/>
      <c r="B597" s="94"/>
      <c r="C597" s="38" t="str">
        <f t="array" ref="C597">IF(B597="","",INDEX(PARAMETROS!$J$2:$J$14,MATCH(B597,PARAMETROS!$G$2:$G$14,0),1))</f>
        <v/>
      </c>
      <c r="D597" s="101"/>
      <c r="E597" s="102"/>
      <c r="F597" s="103"/>
      <c r="G597" s="49" t="str">
        <f t="shared" si="1"/>
        <v/>
      </c>
      <c r="H597" s="76"/>
      <c r="I597" s="103"/>
      <c r="J597" s="58" t="str">
        <f>IF(F597="","", IF(I597="",_xlfn.NETWORKDAYS.INTL(F597,TODAY(),1,FERIADOS),_xlfn.NETWORKDAYS.INTL(F597,I597,1,FERIADOS)))</f>
        <v/>
      </c>
      <c r="K597" s="58" t="str">
        <f t="shared" si="2"/>
        <v/>
      </c>
      <c r="L597" s="58" t="str">
        <f t="shared" si="3"/>
        <v/>
      </c>
    </row>
    <row r="598" ht="21.0" customHeight="1">
      <c r="A598" s="76"/>
      <c r="B598" s="94"/>
      <c r="C598" s="38" t="str">
        <f t="array" ref="C598">IF(B598="","",INDEX(PARAMETROS!$J$2:$J$14,MATCH(B598,PARAMETROS!$G$2:$G$14,0),1))</f>
        <v/>
      </c>
      <c r="D598" s="101"/>
      <c r="E598" s="102"/>
      <c r="F598" s="103"/>
      <c r="G598" s="49" t="str">
        <f t="shared" si="1"/>
        <v/>
      </c>
      <c r="H598" s="76"/>
      <c r="I598" s="103"/>
      <c r="J598" s="58" t="str">
        <f>IF(F598="","", IF(I598="",_xlfn.NETWORKDAYS.INTL(F598,TODAY(),1,FERIADOS),_xlfn.NETWORKDAYS.INTL(F598,I598,1,FERIADOS)))</f>
        <v/>
      </c>
      <c r="K598" s="58" t="str">
        <f t="shared" si="2"/>
        <v/>
      </c>
      <c r="L598" s="58" t="str">
        <f t="shared" si="3"/>
        <v/>
      </c>
    </row>
    <row r="599" ht="21.0" customHeight="1">
      <c r="A599" s="76"/>
      <c r="B599" s="94"/>
      <c r="C599" s="38" t="str">
        <f t="array" ref="C599">IF(B599="","",INDEX(PARAMETROS!$J$2:$J$14,MATCH(B599,PARAMETROS!$G$2:$G$14,0),1))</f>
        <v/>
      </c>
      <c r="D599" s="101"/>
      <c r="E599" s="102"/>
      <c r="F599" s="103"/>
      <c r="G599" s="49" t="str">
        <f t="shared" si="1"/>
        <v/>
      </c>
      <c r="H599" s="76"/>
      <c r="I599" s="103"/>
      <c r="J599" s="58" t="str">
        <f>IF(F599="","", IF(I599="",_xlfn.NETWORKDAYS.INTL(F599,TODAY(),1,FERIADOS),_xlfn.NETWORKDAYS.INTL(F599,I599,1,FERIADOS)))</f>
        <v/>
      </c>
      <c r="K599" s="58" t="str">
        <f t="shared" si="2"/>
        <v/>
      </c>
      <c r="L599" s="58" t="str">
        <f t="shared" si="3"/>
        <v/>
      </c>
    </row>
    <row r="600" ht="21.0" customHeight="1">
      <c r="A600" s="76"/>
      <c r="B600" s="94"/>
      <c r="C600" s="38" t="str">
        <f t="array" ref="C600">IF(B600="","",INDEX(PARAMETROS!$J$2:$J$14,MATCH(B600,PARAMETROS!$G$2:$G$14,0),1))</f>
        <v/>
      </c>
      <c r="D600" s="101"/>
      <c r="E600" s="102"/>
      <c r="F600" s="103"/>
      <c r="G600" s="49" t="str">
        <f t="shared" si="1"/>
        <v/>
      </c>
      <c r="H600" s="76"/>
      <c r="I600" s="103"/>
      <c r="J600" s="58" t="str">
        <f>IF(F600="","", IF(I600="",_xlfn.NETWORKDAYS.INTL(F600,TODAY(),1,FERIADOS),_xlfn.NETWORKDAYS.INTL(F600,I600,1,FERIADOS)))</f>
        <v/>
      </c>
      <c r="K600" s="58" t="str">
        <f t="shared" si="2"/>
        <v/>
      </c>
      <c r="L600" s="58" t="str">
        <f t="shared" si="3"/>
        <v/>
      </c>
    </row>
    <row r="601" ht="21.0" customHeight="1">
      <c r="A601" s="76"/>
      <c r="B601" s="94"/>
      <c r="C601" s="38" t="str">
        <f t="array" ref="C601">IF(B601="","",INDEX(PARAMETROS!$J$2:$J$14,MATCH(B601,PARAMETROS!$G$2:$G$14,0),1))</f>
        <v/>
      </c>
      <c r="D601" s="101"/>
      <c r="E601" s="102"/>
      <c r="F601" s="103"/>
      <c r="G601" s="49" t="str">
        <f t="shared" si="1"/>
        <v/>
      </c>
      <c r="H601" s="76"/>
      <c r="I601" s="103"/>
      <c r="J601" s="58" t="str">
        <f>IF(F601="","", IF(I601="",_xlfn.NETWORKDAYS.INTL(F601,TODAY(),1,FERIADOS),_xlfn.NETWORKDAYS.INTL(F601,I601,1,FERIADOS)))</f>
        <v/>
      </c>
      <c r="K601" s="58" t="str">
        <f t="shared" si="2"/>
        <v/>
      </c>
      <c r="L601" s="58" t="str">
        <f t="shared" si="3"/>
        <v/>
      </c>
    </row>
    <row r="602" ht="21.0" customHeight="1">
      <c r="A602" s="76"/>
      <c r="B602" s="94"/>
      <c r="C602" s="38" t="str">
        <f t="array" ref="C602">IF(B602="","",INDEX(PARAMETROS!$J$2:$J$14,MATCH(B602,PARAMETROS!$G$2:$G$14,0),1))</f>
        <v/>
      </c>
      <c r="D602" s="101"/>
      <c r="E602" s="102"/>
      <c r="F602" s="103"/>
      <c r="G602" s="49" t="str">
        <f t="shared" si="1"/>
        <v/>
      </c>
      <c r="H602" s="76"/>
      <c r="I602" s="103"/>
      <c r="J602" s="58" t="str">
        <f>IF(F602="","", IF(I602="",_xlfn.NETWORKDAYS.INTL(F602,TODAY(),1,FERIADOS),_xlfn.NETWORKDAYS.INTL(F602,I602,1,FERIADOS)))</f>
        <v/>
      </c>
      <c r="K602" s="58" t="str">
        <f t="shared" si="2"/>
        <v/>
      </c>
      <c r="L602" s="58" t="str">
        <f t="shared" si="3"/>
        <v/>
      </c>
    </row>
    <row r="603" ht="21.0" customHeight="1">
      <c r="A603" s="76"/>
      <c r="B603" s="94"/>
      <c r="C603" s="38" t="str">
        <f t="array" ref="C603">IF(B603="","",INDEX(PARAMETROS!$J$2:$J$14,MATCH(B603,PARAMETROS!$G$2:$G$14,0),1))</f>
        <v/>
      </c>
      <c r="D603" s="101"/>
      <c r="E603" s="102"/>
      <c r="F603" s="103"/>
      <c r="G603" s="49" t="str">
        <f t="shared" si="1"/>
        <v/>
      </c>
      <c r="H603" s="76"/>
      <c r="I603" s="103"/>
      <c r="J603" s="58" t="str">
        <f>IF(F603="","", IF(I603="",_xlfn.NETWORKDAYS.INTL(F603,TODAY(),1,FERIADOS),_xlfn.NETWORKDAYS.INTL(F603,I603,1,FERIADOS)))</f>
        <v/>
      </c>
      <c r="K603" s="58" t="str">
        <f t="shared" si="2"/>
        <v/>
      </c>
      <c r="L603" s="58" t="str">
        <f t="shared" si="3"/>
        <v/>
      </c>
    </row>
    <row r="604" ht="21.0" customHeight="1">
      <c r="A604" s="76"/>
      <c r="B604" s="94"/>
      <c r="C604" s="38" t="str">
        <f t="array" ref="C604">IF(B604="","",INDEX(PARAMETROS!$J$2:$J$14,MATCH(B604,PARAMETROS!$G$2:$G$14,0),1))</f>
        <v/>
      </c>
      <c r="D604" s="101"/>
      <c r="E604" s="102"/>
      <c r="F604" s="103"/>
      <c r="G604" s="49" t="str">
        <f t="shared" si="1"/>
        <v/>
      </c>
      <c r="H604" s="76"/>
      <c r="I604" s="103"/>
      <c r="J604" s="58" t="str">
        <f>IF(F604="","", IF(I604="",_xlfn.NETWORKDAYS.INTL(F604,TODAY(),1,FERIADOS),_xlfn.NETWORKDAYS.INTL(F604,I604,1,FERIADOS)))</f>
        <v/>
      </c>
      <c r="K604" s="58" t="str">
        <f t="shared" si="2"/>
        <v/>
      </c>
      <c r="L604" s="58" t="str">
        <f t="shared" si="3"/>
        <v/>
      </c>
    </row>
    <row r="605" ht="21.0" customHeight="1">
      <c r="A605" s="76"/>
      <c r="B605" s="94"/>
      <c r="C605" s="38" t="str">
        <f t="array" ref="C605">IF(B605="","",INDEX(PARAMETROS!$J$2:$J$14,MATCH(B605,PARAMETROS!$G$2:$G$14,0),1))</f>
        <v/>
      </c>
      <c r="D605" s="101"/>
      <c r="E605" s="102"/>
      <c r="F605" s="103"/>
      <c r="G605" s="49" t="str">
        <f t="shared" si="1"/>
        <v/>
      </c>
      <c r="H605" s="76"/>
      <c r="I605" s="103"/>
      <c r="J605" s="58" t="str">
        <f>IF(F605="","", IF(I605="",_xlfn.NETWORKDAYS.INTL(F605,TODAY(),1,FERIADOS),_xlfn.NETWORKDAYS.INTL(F605,I605,1,FERIADOS)))</f>
        <v/>
      </c>
      <c r="K605" s="58" t="str">
        <f t="shared" si="2"/>
        <v/>
      </c>
      <c r="L605" s="58" t="str">
        <f t="shared" si="3"/>
        <v/>
      </c>
    </row>
    <row r="606" ht="21.0" customHeight="1">
      <c r="A606" s="76"/>
      <c r="B606" s="94"/>
      <c r="C606" s="38" t="str">
        <f t="array" ref="C606">IF(B606="","",INDEX(PARAMETROS!$J$2:$J$14,MATCH(B606,PARAMETROS!$G$2:$G$14,0),1))</f>
        <v/>
      </c>
      <c r="D606" s="101"/>
      <c r="E606" s="102"/>
      <c r="F606" s="103"/>
      <c r="G606" s="49" t="str">
        <f t="shared" si="1"/>
        <v/>
      </c>
      <c r="H606" s="76"/>
      <c r="I606" s="103"/>
      <c r="J606" s="58" t="str">
        <f>IF(F606="","", IF(I606="",_xlfn.NETWORKDAYS.INTL(F606,TODAY(),1,FERIADOS),_xlfn.NETWORKDAYS.INTL(F606,I606,1,FERIADOS)))</f>
        <v/>
      </c>
      <c r="K606" s="58" t="str">
        <f t="shared" si="2"/>
        <v/>
      </c>
      <c r="L606" s="58" t="str">
        <f t="shared" si="3"/>
        <v/>
      </c>
    </row>
    <row r="607" ht="21.0" customHeight="1">
      <c r="A607" s="76"/>
      <c r="B607" s="94"/>
      <c r="C607" s="38" t="str">
        <f t="array" ref="C607">IF(B607="","",INDEX(PARAMETROS!$J$2:$J$14,MATCH(B607,PARAMETROS!$G$2:$G$14,0),1))</f>
        <v/>
      </c>
      <c r="D607" s="101"/>
      <c r="E607" s="102"/>
      <c r="F607" s="103"/>
      <c r="G607" s="49" t="str">
        <f t="shared" si="1"/>
        <v/>
      </c>
      <c r="H607" s="76"/>
      <c r="I607" s="103"/>
      <c r="J607" s="58" t="str">
        <f>IF(F607="","", IF(I607="",_xlfn.NETWORKDAYS.INTL(F607,TODAY(),1,FERIADOS),_xlfn.NETWORKDAYS.INTL(F607,I607,1,FERIADOS)))</f>
        <v/>
      </c>
      <c r="K607" s="58" t="str">
        <f t="shared" si="2"/>
        <v/>
      </c>
      <c r="L607" s="58" t="str">
        <f t="shared" si="3"/>
        <v/>
      </c>
    </row>
    <row r="608" ht="21.0" customHeight="1">
      <c r="A608" s="76"/>
      <c r="B608" s="94"/>
      <c r="C608" s="38" t="str">
        <f t="array" ref="C608">IF(B608="","",INDEX(PARAMETROS!$J$2:$J$14,MATCH(B608,PARAMETROS!$G$2:$G$14,0),1))</f>
        <v/>
      </c>
      <c r="D608" s="101"/>
      <c r="E608" s="102"/>
      <c r="F608" s="103"/>
      <c r="G608" s="49" t="str">
        <f t="shared" si="1"/>
        <v/>
      </c>
      <c r="H608" s="76"/>
      <c r="I608" s="103"/>
      <c r="J608" s="58" t="str">
        <f>IF(F608="","", IF(I608="",_xlfn.NETWORKDAYS.INTL(F608,TODAY(),1,FERIADOS),_xlfn.NETWORKDAYS.INTL(F608,I608,1,FERIADOS)))</f>
        <v/>
      </c>
      <c r="K608" s="58" t="str">
        <f t="shared" si="2"/>
        <v/>
      </c>
      <c r="L608" s="58" t="str">
        <f t="shared" si="3"/>
        <v/>
      </c>
    </row>
    <row r="609" ht="21.0" customHeight="1">
      <c r="A609" s="76"/>
      <c r="B609" s="94"/>
      <c r="C609" s="38" t="str">
        <f t="array" ref="C609">IF(B609="","",INDEX(PARAMETROS!$J$2:$J$14,MATCH(B609,PARAMETROS!$G$2:$G$14,0),1))</f>
        <v/>
      </c>
      <c r="D609" s="101"/>
      <c r="E609" s="102"/>
      <c r="F609" s="103"/>
      <c r="G609" s="49" t="str">
        <f t="shared" si="1"/>
        <v/>
      </c>
      <c r="H609" s="76"/>
      <c r="I609" s="103"/>
      <c r="J609" s="58" t="str">
        <f>IF(F609="","", IF(I609="",_xlfn.NETWORKDAYS.INTL(F609,TODAY(),1,FERIADOS),_xlfn.NETWORKDAYS.INTL(F609,I609,1,FERIADOS)))</f>
        <v/>
      </c>
      <c r="K609" s="58" t="str">
        <f t="shared" si="2"/>
        <v/>
      </c>
      <c r="L609" s="58" t="str">
        <f t="shared" si="3"/>
        <v/>
      </c>
    </row>
    <row r="610" ht="21.0" customHeight="1">
      <c r="A610" s="76"/>
      <c r="B610" s="94"/>
      <c r="C610" s="38" t="str">
        <f t="array" ref="C610">IF(B610="","",INDEX(PARAMETROS!$J$2:$J$14,MATCH(B610,PARAMETROS!$G$2:$G$14,0),1))</f>
        <v/>
      </c>
      <c r="D610" s="101"/>
      <c r="E610" s="102"/>
      <c r="F610" s="103"/>
      <c r="G610" s="49" t="str">
        <f t="shared" si="1"/>
        <v/>
      </c>
      <c r="H610" s="76"/>
      <c r="I610" s="103"/>
      <c r="J610" s="58" t="str">
        <f>IF(F610="","", IF(I610="",_xlfn.NETWORKDAYS.INTL(F610,TODAY(),1,FERIADOS),_xlfn.NETWORKDAYS.INTL(F610,I610,1,FERIADOS)))</f>
        <v/>
      </c>
      <c r="K610" s="58" t="str">
        <f t="shared" si="2"/>
        <v/>
      </c>
      <c r="L610" s="58" t="str">
        <f t="shared" si="3"/>
        <v/>
      </c>
    </row>
    <row r="611" ht="21.0" customHeight="1">
      <c r="A611" s="76"/>
      <c r="B611" s="94"/>
      <c r="C611" s="38" t="str">
        <f t="array" ref="C611">IF(B611="","",INDEX(PARAMETROS!$J$2:$J$14,MATCH(B611,PARAMETROS!$G$2:$G$14,0),1))</f>
        <v/>
      </c>
      <c r="D611" s="101"/>
      <c r="E611" s="102"/>
      <c r="F611" s="103"/>
      <c r="G611" s="49" t="str">
        <f t="shared" si="1"/>
        <v/>
      </c>
      <c r="H611" s="76"/>
      <c r="I611" s="103"/>
      <c r="J611" s="58" t="str">
        <f>IF(F611="","", IF(I611="",_xlfn.NETWORKDAYS.INTL(F611,TODAY(),1,FERIADOS),_xlfn.NETWORKDAYS.INTL(F611,I611,1,FERIADOS)))</f>
        <v/>
      </c>
      <c r="K611" s="58" t="str">
        <f t="shared" si="2"/>
        <v/>
      </c>
      <c r="L611" s="58" t="str">
        <f t="shared" si="3"/>
        <v/>
      </c>
    </row>
    <row r="612" ht="21.0" customHeight="1">
      <c r="A612" s="76"/>
      <c r="B612" s="94"/>
      <c r="C612" s="38" t="str">
        <f t="array" ref="C612">IF(B612="","",INDEX(PARAMETROS!$J$2:$J$14,MATCH(B612,PARAMETROS!$G$2:$G$14,0),1))</f>
        <v/>
      </c>
      <c r="D612" s="101"/>
      <c r="E612" s="102"/>
      <c r="F612" s="103"/>
      <c r="G612" s="49" t="str">
        <f t="shared" si="1"/>
        <v/>
      </c>
      <c r="H612" s="76"/>
      <c r="I612" s="103"/>
      <c r="J612" s="58" t="str">
        <f>IF(F612="","", IF(I612="",_xlfn.NETWORKDAYS.INTL(F612,TODAY(),1,FERIADOS),_xlfn.NETWORKDAYS.INTL(F612,I612,1,FERIADOS)))</f>
        <v/>
      </c>
      <c r="K612" s="58" t="str">
        <f t="shared" si="2"/>
        <v/>
      </c>
      <c r="L612" s="58" t="str">
        <f t="shared" si="3"/>
        <v/>
      </c>
    </row>
    <row r="613" ht="21.0" customHeight="1">
      <c r="A613" s="76"/>
      <c r="B613" s="94"/>
      <c r="C613" s="38" t="str">
        <f t="array" ref="C613">IF(B613="","",INDEX(PARAMETROS!$J$2:$J$14,MATCH(B613,PARAMETROS!$G$2:$G$14,0),1))</f>
        <v/>
      </c>
      <c r="D613" s="101"/>
      <c r="E613" s="102"/>
      <c r="F613" s="103"/>
      <c r="G613" s="49" t="str">
        <f t="shared" si="1"/>
        <v/>
      </c>
      <c r="H613" s="76"/>
      <c r="I613" s="103"/>
      <c r="J613" s="58" t="str">
        <f>IF(F613="","", IF(I613="",_xlfn.NETWORKDAYS.INTL(F613,TODAY(),1,FERIADOS),_xlfn.NETWORKDAYS.INTL(F613,I613,1,FERIADOS)))</f>
        <v/>
      </c>
      <c r="K613" s="58" t="str">
        <f t="shared" si="2"/>
        <v/>
      </c>
      <c r="L613" s="58" t="str">
        <f t="shared" si="3"/>
        <v/>
      </c>
    </row>
    <row r="614" ht="21.0" customHeight="1">
      <c r="A614" s="76"/>
      <c r="B614" s="94"/>
      <c r="C614" s="38" t="str">
        <f t="array" ref="C614">IF(B614="","",INDEX(PARAMETROS!$J$2:$J$14,MATCH(B614,PARAMETROS!$G$2:$G$14,0),1))</f>
        <v/>
      </c>
      <c r="D614" s="101"/>
      <c r="E614" s="102"/>
      <c r="F614" s="103"/>
      <c r="G614" s="49" t="str">
        <f t="shared" si="1"/>
        <v/>
      </c>
      <c r="H614" s="76"/>
      <c r="I614" s="103"/>
      <c r="J614" s="58" t="str">
        <f>IF(F614="","", IF(I614="",_xlfn.NETWORKDAYS.INTL(F614,TODAY(),1,FERIADOS),_xlfn.NETWORKDAYS.INTL(F614,I614,1,FERIADOS)))</f>
        <v/>
      </c>
      <c r="K614" s="58" t="str">
        <f t="shared" si="2"/>
        <v/>
      </c>
      <c r="L614" s="58" t="str">
        <f t="shared" si="3"/>
        <v/>
      </c>
    </row>
    <row r="615" ht="21.0" customHeight="1">
      <c r="A615" s="76"/>
      <c r="B615" s="94"/>
      <c r="C615" s="38" t="str">
        <f t="array" ref="C615">IF(B615="","",INDEX(PARAMETROS!$J$2:$J$14,MATCH(B615,PARAMETROS!$G$2:$G$14,0),1))</f>
        <v/>
      </c>
      <c r="D615" s="101"/>
      <c r="E615" s="102"/>
      <c r="F615" s="103"/>
      <c r="G615" s="49" t="str">
        <f t="shared" si="1"/>
        <v/>
      </c>
      <c r="H615" s="76"/>
      <c r="I615" s="103"/>
      <c r="J615" s="58" t="str">
        <f>IF(F615="","", IF(I615="",_xlfn.NETWORKDAYS.INTL(F615,TODAY(),1,FERIADOS),_xlfn.NETWORKDAYS.INTL(F615,I615,1,FERIADOS)))</f>
        <v/>
      </c>
      <c r="K615" s="58" t="str">
        <f t="shared" si="2"/>
        <v/>
      </c>
      <c r="L615" s="58" t="str">
        <f t="shared" si="3"/>
        <v/>
      </c>
    </row>
    <row r="616" ht="21.0" customHeight="1">
      <c r="A616" s="76"/>
      <c r="B616" s="94"/>
      <c r="C616" s="38" t="str">
        <f t="array" ref="C616">IF(B616="","",INDEX(PARAMETROS!$J$2:$J$14,MATCH(B616,PARAMETROS!$G$2:$G$14,0),1))</f>
        <v/>
      </c>
      <c r="D616" s="101"/>
      <c r="E616" s="102"/>
      <c r="F616" s="103"/>
      <c r="G616" s="49" t="str">
        <f t="shared" si="1"/>
        <v/>
      </c>
      <c r="H616" s="76"/>
      <c r="I616" s="103"/>
      <c r="J616" s="58" t="str">
        <f>IF(F616="","", IF(I616="",_xlfn.NETWORKDAYS.INTL(F616,TODAY(),1,FERIADOS),_xlfn.NETWORKDAYS.INTL(F616,I616,1,FERIADOS)))</f>
        <v/>
      </c>
      <c r="K616" s="58" t="str">
        <f t="shared" si="2"/>
        <v/>
      </c>
      <c r="L616" s="58" t="str">
        <f t="shared" si="3"/>
        <v/>
      </c>
    </row>
    <row r="617" ht="21.0" customHeight="1">
      <c r="A617" s="76"/>
      <c r="B617" s="94"/>
      <c r="C617" s="38" t="str">
        <f t="array" ref="C617">IF(B617="","",INDEX(PARAMETROS!$J$2:$J$14,MATCH(B617,PARAMETROS!$G$2:$G$14,0),1))</f>
        <v/>
      </c>
      <c r="D617" s="101"/>
      <c r="E617" s="102"/>
      <c r="F617" s="103"/>
      <c r="G617" s="49" t="str">
        <f t="shared" si="1"/>
        <v/>
      </c>
      <c r="H617" s="76"/>
      <c r="I617" s="103"/>
      <c r="J617" s="58" t="str">
        <f>IF(F617="","", IF(I617="",_xlfn.NETWORKDAYS.INTL(F617,TODAY(),1,FERIADOS),_xlfn.NETWORKDAYS.INTL(F617,I617,1,FERIADOS)))</f>
        <v/>
      </c>
      <c r="K617" s="58" t="str">
        <f t="shared" si="2"/>
        <v/>
      </c>
      <c r="L617" s="58" t="str">
        <f t="shared" si="3"/>
        <v/>
      </c>
    </row>
    <row r="618" ht="21.0" customHeight="1">
      <c r="A618" s="76"/>
      <c r="B618" s="94"/>
      <c r="C618" s="38" t="str">
        <f t="array" ref="C618">IF(B618="","",INDEX(PARAMETROS!$J$2:$J$14,MATCH(B618,PARAMETROS!$G$2:$G$14,0),1))</f>
        <v/>
      </c>
      <c r="D618" s="101"/>
      <c r="E618" s="102"/>
      <c r="F618" s="103"/>
      <c r="G618" s="49" t="str">
        <f t="shared" si="1"/>
        <v/>
      </c>
      <c r="H618" s="76"/>
      <c r="I618" s="103"/>
      <c r="J618" s="58" t="str">
        <f>IF(F618="","", IF(I618="",_xlfn.NETWORKDAYS.INTL(F618,TODAY(),1,FERIADOS),_xlfn.NETWORKDAYS.INTL(F618,I618,1,FERIADOS)))</f>
        <v/>
      </c>
      <c r="K618" s="58" t="str">
        <f t="shared" si="2"/>
        <v/>
      </c>
      <c r="L618" s="58" t="str">
        <f t="shared" si="3"/>
        <v/>
      </c>
    </row>
    <row r="619" ht="21.0" customHeight="1">
      <c r="A619" s="76"/>
      <c r="B619" s="94"/>
      <c r="C619" s="38" t="str">
        <f t="array" ref="C619">IF(B619="","",INDEX(PARAMETROS!$J$2:$J$14,MATCH(B619,PARAMETROS!$G$2:$G$14,0),1))</f>
        <v/>
      </c>
      <c r="D619" s="101"/>
      <c r="E619" s="102"/>
      <c r="F619" s="103"/>
      <c r="G619" s="49" t="str">
        <f t="shared" si="1"/>
        <v/>
      </c>
      <c r="H619" s="76"/>
      <c r="I619" s="103"/>
      <c r="J619" s="58" t="str">
        <f>IF(F619="","", IF(I619="",_xlfn.NETWORKDAYS.INTL(F619,TODAY(),1,FERIADOS),_xlfn.NETWORKDAYS.INTL(F619,I619,1,FERIADOS)))</f>
        <v/>
      </c>
      <c r="K619" s="58" t="str">
        <f t="shared" si="2"/>
        <v/>
      </c>
      <c r="L619" s="58" t="str">
        <f t="shared" si="3"/>
        <v/>
      </c>
    </row>
    <row r="620" ht="21.0" customHeight="1">
      <c r="A620" s="76"/>
      <c r="B620" s="94"/>
      <c r="C620" s="38" t="str">
        <f t="array" ref="C620">IF(B620="","",INDEX(PARAMETROS!$J$2:$J$14,MATCH(B620,PARAMETROS!$G$2:$G$14,0),1))</f>
        <v/>
      </c>
      <c r="D620" s="101"/>
      <c r="E620" s="102"/>
      <c r="F620" s="103"/>
      <c r="G620" s="49" t="str">
        <f t="shared" si="1"/>
        <v/>
      </c>
      <c r="H620" s="76"/>
      <c r="I620" s="103"/>
      <c r="J620" s="58" t="str">
        <f>IF(F620="","", IF(I620="",_xlfn.NETWORKDAYS.INTL(F620,TODAY(),1,FERIADOS),_xlfn.NETWORKDAYS.INTL(F620,I620,1,FERIADOS)))</f>
        <v/>
      </c>
      <c r="K620" s="58" t="str">
        <f t="shared" si="2"/>
        <v/>
      </c>
      <c r="L620" s="58" t="str">
        <f t="shared" si="3"/>
        <v/>
      </c>
    </row>
    <row r="621" ht="21.0" customHeight="1">
      <c r="A621" s="76"/>
      <c r="B621" s="94"/>
      <c r="C621" s="38" t="str">
        <f t="array" ref="C621">IF(B621="","",INDEX(PARAMETROS!$J$2:$J$14,MATCH(B621,PARAMETROS!$G$2:$G$14,0),1))</f>
        <v/>
      </c>
      <c r="D621" s="101"/>
      <c r="E621" s="102"/>
      <c r="F621" s="103"/>
      <c r="G621" s="49" t="str">
        <f t="shared" si="1"/>
        <v/>
      </c>
      <c r="H621" s="76"/>
      <c r="I621" s="103"/>
      <c r="J621" s="58" t="str">
        <f>IF(F621="","", IF(I621="",_xlfn.NETWORKDAYS.INTL(F621,TODAY(),1,FERIADOS),_xlfn.NETWORKDAYS.INTL(F621,I621,1,FERIADOS)))</f>
        <v/>
      </c>
      <c r="K621" s="58" t="str">
        <f t="shared" si="2"/>
        <v/>
      </c>
      <c r="L621" s="58" t="str">
        <f t="shared" si="3"/>
        <v/>
      </c>
    </row>
    <row r="622" ht="21.0" customHeight="1">
      <c r="A622" s="76"/>
      <c r="B622" s="94"/>
      <c r="C622" s="38" t="str">
        <f t="array" ref="C622">IF(B622="","",INDEX(PARAMETROS!$J$2:$J$14,MATCH(B622,PARAMETROS!$G$2:$G$14,0),1))</f>
        <v/>
      </c>
      <c r="D622" s="101"/>
      <c r="E622" s="102"/>
      <c r="F622" s="103"/>
      <c r="G622" s="49" t="str">
        <f t="shared" si="1"/>
        <v/>
      </c>
      <c r="H622" s="76"/>
      <c r="I622" s="103"/>
      <c r="J622" s="58" t="str">
        <f>IF(F622="","", IF(I622="",_xlfn.NETWORKDAYS.INTL(F622,TODAY(),1,FERIADOS),_xlfn.NETWORKDAYS.INTL(F622,I622,1,FERIADOS)))</f>
        <v/>
      </c>
      <c r="K622" s="58" t="str">
        <f t="shared" si="2"/>
        <v/>
      </c>
      <c r="L622" s="58" t="str">
        <f t="shared" si="3"/>
        <v/>
      </c>
    </row>
    <row r="623" ht="21.0" customHeight="1">
      <c r="A623" s="76"/>
      <c r="B623" s="94"/>
      <c r="C623" s="38" t="str">
        <f t="array" ref="C623">IF(B623="","",INDEX(PARAMETROS!$J$2:$J$14,MATCH(B623,PARAMETROS!$G$2:$G$14,0),1))</f>
        <v/>
      </c>
      <c r="D623" s="101"/>
      <c r="E623" s="102"/>
      <c r="F623" s="103"/>
      <c r="G623" s="49" t="str">
        <f t="shared" si="1"/>
        <v/>
      </c>
      <c r="H623" s="76"/>
      <c r="I623" s="103"/>
      <c r="J623" s="58" t="str">
        <f>IF(F623="","", IF(I623="",_xlfn.NETWORKDAYS.INTL(F623,TODAY(),1,FERIADOS),_xlfn.NETWORKDAYS.INTL(F623,I623,1,FERIADOS)))</f>
        <v/>
      </c>
      <c r="K623" s="58" t="str">
        <f t="shared" si="2"/>
        <v/>
      </c>
      <c r="L623" s="58" t="str">
        <f t="shared" si="3"/>
        <v/>
      </c>
    </row>
    <row r="624" ht="21.0" customHeight="1">
      <c r="A624" s="76"/>
      <c r="B624" s="94"/>
      <c r="C624" s="38" t="str">
        <f t="array" ref="C624">IF(B624="","",INDEX(PARAMETROS!$J$2:$J$14,MATCH(B624,PARAMETROS!$G$2:$G$14,0),1))</f>
        <v/>
      </c>
      <c r="D624" s="101"/>
      <c r="E624" s="102"/>
      <c r="F624" s="103"/>
      <c r="G624" s="49" t="str">
        <f t="shared" si="1"/>
        <v/>
      </c>
      <c r="H624" s="76"/>
      <c r="I624" s="103"/>
      <c r="J624" s="58" t="str">
        <f>IF(F624="","", IF(I624="",_xlfn.NETWORKDAYS.INTL(F624,TODAY(),1,FERIADOS),_xlfn.NETWORKDAYS.INTL(F624,I624,1,FERIADOS)))</f>
        <v/>
      </c>
      <c r="K624" s="58" t="str">
        <f t="shared" si="2"/>
        <v/>
      </c>
      <c r="L624" s="58" t="str">
        <f t="shared" si="3"/>
        <v/>
      </c>
    </row>
    <row r="625" ht="21.0" customHeight="1">
      <c r="A625" s="76"/>
      <c r="B625" s="94"/>
      <c r="C625" s="38" t="str">
        <f t="array" ref="C625">IF(B625="","",INDEX(PARAMETROS!$J$2:$J$14,MATCH(B625,PARAMETROS!$G$2:$G$14,0),1))</f>
        <v/>
      </c>
      <c r="D625" s="101"/>
      <c r="E625" s="102"/>
      <c r="F625" s="103"/>
      <c r="G625" s="49" t="str">
        <f t="shared" si="1"/>
        <v/>
      </c>
      <c r="H625" s="76"/>
      <c r="I625" s="103"/>
      <c r="J625" s="58" t="str">
        <f>IF(F625="","", IF(I625="",_xlfn.NETWORKDAYS.INTL(F625,TODAY(),1,FERIADOS),_xlfn.NETWORKDAYS.INTL(F625,I625,1,FERIADOS)))</f>
        <v/>
      </c>
      <c r="K625" s="58" t="str">
        <f t="shared" si="2"/>
        <v/>
      </c>
      <c r="L625" s="58" t="str">
        <f t="shared" si="3"/>
        <v/>
      </c>
    </row>
    <row r="626" ht="21.0" customHeight="1">
      <c r="A626" s="76"/>
      <c r="B626" s="94"/>
      <c r="C626" s="38" t="str">
        <f t="array" ref="C626">IF(B626="","",INDEX(PARAMETROS!$J$2:$J$14,MATCH(B626,PARAMETROS!$G$2:$G$14,0),1))</f>
        <v/>
      </c>
      <c r="D626" s="101"/>
      <c r="E626" s="102"/>
      <c r="F626" s="103"/>
      <c r="G626" s="49" t="str">
        <f t="shared" si="1"/>
        <v/>
      </c>
      <c r="H626" s="76"/>
      <c r="I626" s="103"/>
      <c r="J626" s="58" t="str">
        <f>IF(F626="","", IF(I626="",_xlfn.NETWORKDAYS.INTL(F626,TODAY(),1,FERIADOS),_xlfn.NETWORKDAYS.INTL(F626,I626,1,FERIADOS)))</f>
        <v/>
      </c>
      <c r="K626" s="58" t="str">
        <f t="shared" si="2"/>
        <v/>
      </c>
      <c r="L626" s="58" t="str">
        <f t="shared" si="3"/>
        <v/>
      </c>
    </row>
    <row r="627" ht="21.0" customHeight="1">
      <c r="A627" s="76"/>
      <c r="B627" s="94"/>
      <c r="C627" s="38" t="str">
        <f t="array" ref="C627">IF(B627="","",INDEX(PARAMETROS!$J$2:$J$14,MATCH(B627,PARAMETROS!$G$2:$G$14,0),1))</f>
        <v/>
      </c>
      <c r="D627" s="101"/>
      <c r="E627" s="102"/>
      <c r="F627" s="103"/>
      <c r="G627" s="49" t="str">
        <f t="shared" si="1"/>
        <v/>
      </c>
      <c r="H627" s="76"/>
      <c r="I627" s="103"/>
      <c r="J627" s="58" t="str">
        <f>IF(F627="","", IF(I627="",_xlfn.NETWORKDAYS.INTL(F627,TODAY(),1,FERIADOS),_xlfn.NETWORKDAYS.INTL(F627,I627,1,FERIADOS)))</f>
        <v/>
      </c>
      <c r="K627" s="58" t="str">
        <f t="shared" si="2"/>
        <v/>
      </c>
      <c r="L627" s="58" t="str">
        <f t="shared" si="3"/>
        <v/>
      </c>
    </row>
    <row r="628" ht="21.0" customHeight="1">
      <c r="A628" s="76"/>
      <c r="B628" s="94"/>
      <c r="C628" s="38" t="str">
        <f t="array" ref="C628">IF(B628="","",INDEX(PARAMETROS!$J$2:$J$14,MATCH(B628,PARAMETROS!$G$2:$G$14,0),1))</f>
        <v/>
      </c>
      <c r="D628" s="101"/>
      <c r="E628" s="102"/>
      <c r="F628" s="103"/>
      <c r="G628" s="49" t="str">
        <f t="shared" si="1"/>
        <v/>
      </c>
      <c r="H628" s="76"/>
      <c r="I628" s="103"/>
      <c r="J628" s="58" t="str">
        <f>IF(F628="","", IF(I628="",_xlfn.NETWORKDAYS.INTL(F628,TODAY(),1,FERIADOS),_xlfn.NETWORKDAYS.INTL(F628,I628,1,FERIADOS)))</f>
        <v/>
      </c>
      <c r="K628" s="58" t="str">
        <f t="shared" si="2"/>
        <v/>
      </c>
      <c r="L628" s="58" t="str">
        <f t="shared" si="3"/>
        <v/>
      </c>
    </row>
    <row r="629" ht="21.0" customHeight="1">
      <c r="A629" s="76"/>
      <c r="B629" s="94"/>
      <c r="C629" s="38" t="str">
        <f t="array" ref="C629">IF(B629="","",INDEX(PARAMETROS!$J$2:$J$14,MATCH(B629,PARAMETROS!$G$2:$G$14,0),1))</f>
        <v/>
      </c>
      <c r="D629" s="101"/>
      <c r="E629" s="102"/>
      <c r="F629" s="103"/>
      <c r="G629" s="49" t="str">
        <f t="shared" si="1"/>
        <v/>
      </c>
      <c r="H629" s="76"/>
      <c r="I629" s="103"/>
      <c r="J629" s="58" t="str">
        <f>IF(F629="","", IF(I629="",_xlfn.NETWORKDAYS.INTL(F629,TODAY(),1,FERIADOS),_xlfn.NETWORKDAYS.INTL(F629,I629,1,FERIADOS)))</f>
        <v/>
      </c>
      <c r="K629" s="58" t="str">
        <f t="shared" si="2"/>
        <v/>
      </c>
      <c r="L629" s="58" t="str">
        <f t="shared" si="3"/>
        <v/>
      </c>
    </row>
    <row r="630" ht="21.0" customHeight="1">
      <c r="A630" s="76"/>
      <c r="B630" s="94"/>
      <c r="C630" s="38" t="str">
        <f t="array" ref="C630">IF(B630="","",INDEX(PARAMETROS!$J$2:$J$14,MATCH(B630,PARAMETROS!$G$2:$G$14,0),1))</f>
        <v/>
      </c>
      <c r="D630" s="101"/>
      <c r="E630" s="102"/>
      <c r="F630" s="103"/>
      <c r="G630" s="49" t="str">
        <f t="shared" si="1"/>
        <v/>
      </c>
      <c r="H630" s="76"/>
      <c r="I630" s="103"/>
      <c r="J630" s="58" t="str">
        <f>IF(F630="","", IF(I630="",_xlfn.NETWORKDAYS.INTL(F630,TODAY(),1,FERIADOS),_xlfn.NETWORKDAYS.INTL(F630,I630,1,FERIADOS)))</f>
        <v/>
      </c>
      <c r="K630" s="58" t="str">
        <f t="shared" si="2"/>
        <v/>
      </c>
      <c r="L630" s="58" t="str">
        <f t="shared" si="3"/>
        <v/>
      </c>
    </row>
    <row r="631" ht="21.0" customHeight="1">
      <c r="A631" s="76"/>
      <c r="B631" s="94"/>
      <c r="C631" s="38" t="str">
        <f t="array" ref="C631">IF(B631="","",INDEX(PARAMETROS!$J$2:$J$14,MATCH(B631,PARAMETROS!$G$2:$G$14,0),1))</f>
        <v/>
      </c>
      <c r="D631" s="101"/>
      <c r="E631" s="102"/>
      <c r="F631" s="103"/>
      <c r="G631" s="49" t="str">
        <f t="shared" si="1"/>
        <v/>
      </c>
      <c r="H631" s="76"/>
      <c r="I631" s="103"/>
      <c r="J631" s="58" t="str">
        <f>IF(F631="","", IF(I631="",_xlfn.NETWORKDAYS.INTL(F631,TODAY(),1,FERIADOS),_xlfn.NETWORKDAYS.INTL(F631,I631,1,FERIADOS)))</f>
        <v/>
      </c>
      <c r="K631" s="58" t="str">
        <f t="shared" si="2"/>
        <v/>
      </c>
      <c r="L631" s="58" t="str">
        <f t="shared" si="3"/>
        <v/>
      </c>
    </row>
    <row r="632" ht="21.0" customHeight="1">
      <c r="A632" s="76"/>
      <c r="B632" s="94"/>
      <c r="C632" s="38" t="str">
        <f t="array" ref="C632">IF(B632="","",INDEX(PARAMETROS!$J$2:$J$14,MATCH(B632,PARAMETROS!$G$2:$G$14,0),1))</f>
        <v/>
      </c>
      <c r="D632" s="101"/>
      <c r="E632" s="102"/>
      <c r="F632" s="103"/>
      <c r="G632" s="49" t="str">
        <f t="shared" si="1"/>
        <v/>
      </c>
      <c r="H632" s="76"/>
      <c r="I632" s="103"/>
      <c r="J632" s="58" t="str">
        <f>IF(F632="","", IF(I632="",_xlfn.NETWORKDAYS.INTL(F632,TODAY(),1,FERIADOS),_xlfn.NETWORKDAYS.INTL(F632,I632,1,FERIADOS)))</f>
        <v/>
      </c>
      <c r="K632" s="58" t="str">
        <f t="shared" si="2"/>
        <v/>
      </c>
      <c r="L632" s="58" t="str">
        <f t="shared" si="3"/>
        <v/>
      </c>
    </row>
    <row r="633" ht="21.0" customHeight="1">
      <c r="A633" s="76"/>
      <c r="B633" s="94"/>
      <c r="C633" s="38" t="str">
        <f t="array" ref="C633">IF(B633="","",INDEX(PARAMETROS!$J$2:$J$14,MATCH(B633,PARAMETROS!$G$2:$G$14,0),1))</f>
        <v/>
      </c>
      <c r="D633" s="101"/>
      <c r="E633" s="102"/>
      <c r="F633" s="103"/>
      <c r="G633" s="49" t="str">
        <f t="shared" si="1"/>
        <v/>
      </c>
      <c r="H633" s="76"/>
      <c r="I633" s="103"/>
      <c r="J633" s="58" t="str">
        <f>IF(F633="","", IF(I633="",_xlfn.NETWORKDAYS.INTL(F633,TODAY(),1,FERIADOS),_xlfn.NETWORKDAYS.INTL(F633,I633,1,FERIADOS)))</f>
        <v/>
      </c>
      <c r="K633" s="58" t="str">
        <f t="shared" si="2"/>
        <v/>
      </c>
      <c r="L633" s="58" t="str">
        <f t="shared" si="3"/>
        <v/>
      </c>
    </row>
    <row r="634" ht="21.0" customHeight="1">
      <c r="A634" s="76"/>
      <c r="B634" s="94"/>
      <c r="C634" s="38" t="str">
        <f t="array" ref="C634">IF(B634="","",INDEX(PARAMETROS!$J$2:$J$14,MATCH(B634,PARAMETROS!$G$2:$G$14,0),1))</f>
        <v/>
      </c>
      <c r="D634" s="101"/>
      <c r="E634" s="102"/>
      <c r="F634" s="103"/>
      <c r="G634" s="49" t="str">
        <f t="shared" si="1"/>
        <v/>
      </c>
      <c r="H634" s="76"/>
      <c r="I634" s="103"/>
      <c r="J634" s="58" t="str">
        <f>IF(F634="","", IF(I634="",_xlfn.NETWORKDAYS.INTL(F634,TODAY(),1,FERIADOS),_xlfn.NETWORKDAYS.INTL(F634,I634,1,FERIADOS)))</f>
        <v/>
      </c>
      <c r="K634" s="58" t="str">
        <f t="shared" si="2"/>
        <v/>
      </c>
      <c r="L634" s="58" t="str">
        <f t="shared" si="3"/>
        <v/>
      </c>
    </row>
    <row r="635" ht="21.0" customHeight="1">
      <c r="A635" s="76"/>
      <c r="B635" s="94"/>
      <c r="C635" s="38" t="str">
        <f t="array" ref="C635">IF(B635="","",INDEX(PARAMETROS!$J$2:$J$14,MATCH(B635,PARAMETROS!$G$2:$G$14,0),1))</f>
        <v/>
      </c>
      <c r="D635" s="101"/>
      <c r="E635" s="102"/>
      <c r="F635" s="103"/>
      <c r="G635" s="49" t="str">
        <f t="shared" si="1"/>
        <v/>
      </c>
      <c r="H635" s="76"/>
      <c r="I635" s="103"/>
      <c r="J635" s="58" t="str">
        <f>IF(F635="","", IF(I635="",_xlfn.NETWORKDAYS.INTL(F635,TODAY(),1,FERIADOS),_xlfn.NETWORKDAYS.INTL(F635,I635,1,FERIADOS)))</f>
        <v/>
      </c>
      <c r="K635" s="58" t="str">
        <f t="shared" si="2"/>
        <v/>
      </c>
      <c r="L635" s="58" t="str">
        <f t="shared" si="3"/>
        <v/>
      </c>
    </row>
    <row r="636" ht="21.0" customHeight="1">
      <c r="A636" s="76"/>
      <c r="B636" s="94"/>
      <c r="C636" s="38" t="str">
        <f t="array" ref="C636">IF(B636="","",INDEX(PARAMETROS!$J$2:$J$14,MATCH(B636,PARAMETROS!$G$2:$G$14,0),1))</f>
        <v/>
      </c>
      <c r="D636" s="101"/>
      <c r="E636" s="102"/>
      <c r="F636" s="103"/>
      <c r="G636" s="49" t="str">
        <f t="shared" si="1"/>
        <v/>
      </c>
      <c r="H636" s="76"/>
      <c r="I636" s="103"/>
      <c r="J636" s="58" t="str">
        <f>IF(F636="","", IF(I636="",_xlfn.NETWORKDAYS.INTL(F636,TODAY(),1,FERIADOS),_xlfn.NETWORKDAYS.INTL(F636,I636,1,FERIADOS)))</f>
        <v/>
      </c>
      <c r="K636" s="58" t="str">
        <f t="shared" si="2"/>
        <v/>
      </c>
      <c r="L636" s="58" t="str">
        <f t="shared" si="3"/>
        <v/>
      </c>
    </row>
    <row r="637" ht="21.0" customHeight="1">
      <c r="A637" s="76"/>
      <c r="B637" s="94"/>
      <c r="C637" s="38" t="str">
        <f t="array" ref="C637">IF(B637="","",INDEX(PARAMETROS!$J$2:$J$14,MATCH(B637,PARAMETROS!$G$2:$G$14,0),1))</f>
        <v/>
      </c>
      <c r="D637" s="101"/>
      <c r="E637" s="102"/>
      <c r="F637" s="103"/>
      <c r="G637" s="49" t="str">
        <f t="shared" si="1"/>
        <v/>
      </c>
      <c r="H637" s="76"/>
      <c r="I637" s="103"/>
      <c r="J637" s="58" t="str">
        <f>IF(F637="","", IF(I637="",_xlfn.NETWORKDAYS.INTL(F637,TODAY(),1,FERIADOS),_xlfn.NETWORKDAYS.INTL(F637,I637,1,FERIADOS)))</f>
        <v/>
      </c>
      <c r="K637" s="58" t="str">
        <f t="shared" si="2"/>
        <v/>
      </c>
      <c r="L637" s="58" t="str">
        <f t="shared" si="3"/>
        <v/>
      </c>
    </row>
    <row r="638" ht="21.0" customHeight="1">
      <c r="A638" s="76"/>
      <c r="B638" s="94"/>
      <c r="C638" s="38" t="str">
        <f t="array" ref="C638">IF(B638="","",INDEX(PARAMETROS!$J$2:$J$14,MATCH(B638,PARAMETROS!$G$2:$G$14,0),1))</f>
        <v/>
      </c>
      <c r="D638" s="101"/>
      <c r="E638" s="102"/>
      <c r="F638" s="103"/>
      <c r="G638" s="49" t="str">
        <f t="shared" si="1"/>
        <v/>
      </c>
      <c r="H638" s="76"/>
      <c r="I638" s="103"/>
      <c r="J638" s="58" t="str">
        <f>IF(F638="","", IF(I638="",_xlfn.NETWORKDAYS.INTL(F638,TODAY(),1,FERIADOS),_xlfn.NETWORKDAYS.INTL(F638,I638,1,FERIADOS)))</f>
        <v/>
      </c>
      <c r="K638" s="58" t="str">
        <f t="shared" si="2"/>
        <v/>
      </c>
      <c r="L638" s="58" t="str">
        <f t="shared" si="3"/>
        <v/>
      </c>
    </row>
    <row r="639" ht="21.0" customHeight="1">
      <c r="A639" s="76"/>
      <c r="B639" s="94"/>
      <c r="C639" s="38" t="str">
        <f t="array" ref="C639">IF(B639="","",INDEX(PARAMETROS!$J$2:$J$14,MATCH(B639,PARAMETROS!$G$2:$G$14,0),1))</f>
        <v/>
      </c>
      <c r="D639" s="101"/>
      <c r="E639" s="102"/>
      <c r="F639" s="103"/>
      <c r="G639" s="49" t="str">
        <f t="shared" si="1"/>
        <v/>
      </c>
      <c r="H639" s="76"/>
      <c r="I639" s="103"/>
      <c r="J639" s="58" t="str">
        <f>IF(F639="","", IF(I639="",_xlfn.NETWORKDAYS.INTL(F639,TODAY(),1,FERIADOS),_xlfn.NETWORKDAYS.INTL(F639,I639,1,FERIADOS)))</f>
        <v/>
      </c>
      <c r="K639" s="58" t="str">
        <f t="shared" si="2"/>
        <v/>
      </c>
      <c r="L639" s="58" t="str">
        <f t="shared" si="3"/>
        <v/>
      </c>
    </row>
    <row r="640" ht="21.0" customHeight="1">
      <c r="A640" s="76"/>
      <c r="B640" s="94"/>
      <c r="C640" s="38" t="str">
        <f t="array" ref="C640">IF(B640="","",INDEX(PARAMETROS!$J$2:$J$14,MATCH(B640,PARAMETROS!$G$2:$G$14,0),1))</f>
        <v/>
      </c>
      <c r="D640" s="101"/>
      <c r="E640" s="102"/>
      <c r="F640" s="103"/>
      <c r="G640" s="49" t="str">
        <f t="shared" si="1"/>
        <v/>
      </c>
      <c r="H640" s="76"/>
      <c r="I640" s="103"/>
      <c r="J640" s="58" t="str">
        <f>IF(F640="","", IF(I640="",_xlfn.NETWORKDAYS.INTL(F640,TODAY(),1,FERIADOS),_xlfn.NETWORKDAYS.INTL(F640,I640,1,FERIADOS)))</f>
        <v/>
      </c>
      <c r="K640" s="58" t="str">
        <f t="shared" si="2"/>
        <v/>
      </c>
      <c r="L640" s="58" t="str">
        <f t="shared" si="3"/>
        <v/>
      </c>
    </row>
    <row r="641" ht="21.0" customHeight="1">
      <c r="A641" s="76"/>
      <c r="B641" s="94"/>
      <c r="C641" s="38" t="str">
        <f t="array" ref="C641">IF(B641="","",INDEX(PARAMETROS!$J$2:$J$14,MATCH(B641,PARAMETROS!$G$2:$G$14,0),1))</f>
        <v/>
      </c>
      <c r="D641" s="101"/>
      <c r="E641" s="102"/>
      <c r="F641" s="103"/>
      <c r="G641" s="49" t="str">
        <f t="shared" si="1"/>
        <v/>
      </c>
      <c r="H641" s="76"/>
      <c r="I641" s="103"/>
      <c r="J641" s="58" t="str">
        <f>IF(F641="","", IF(I641="",_xlfn.NETWORKDAYS.INTL(F641,TODAY(),1,FERIADOS),_xlfn.NETWORKDAYS.INTL(F641,I641,1,FERIADOS)))</f>
        <v/>
      </c>
      <c r="K641" s="58" t="str">
        <f t="shared" si="2"/>
        <v/>
      </c>
      <c r="L641" s="58" t="str">
        <f t="shared" si="3"/>
        <v/>
      </c>
    </row>
    <row r="642" ht="21.0" customHeight="1">
      <c r="A642" s="76"/>
      <c r="B642" s="94"/>
      <c r="C642" s="38" t="str">
        <f t="array" ref="C642">IF(B642="","",INDEX(PARAMETROS!$J$2:$J$14,MATCH(B642,PARAMETROS!$G$2:$G$14,0),1))</f>
        <v/>
      </c>
      <c r="D642" s="101"/>
      <c r="E642" s="102"/>
      <c r="F642" s="103"/>
      <c r="G642" s="49" t="str">
        <f t="shared" si="1"/>
        <v/>
      </c>
      <c r="H642" s="76"/>
      <c r="I642" s="103"/>
      <c r="J642" s="58" t="str">
        <f>IF(F642="","", IF(I642="",_xlfn.NETWORKDAYS.INTL(F642,TODAY(),1,FERIADOS),_xlfn.NETWORKDAYS.INTL(F642,I642,1,FERIADOS)))</f>
        <v/>
      </c>
      <c r="K642" s="58" t="str">
        <f t="shared" si="2"/>
        <v/>
      </c>
      <c r="L642" s="58" t="str">
        <f t="shared" si="3"/>
        <v/>
      </c>
    </row>
    <row r="643" ht="21.0" customHeight="1">
      <c r="A643" s="76"/>
      <c r="B643" s="94"/>
      <c r="C643" s="38" t="str">
        <f t="array" ref="C643">IF(B643="","",INDEX(PARAMETROS!$J$2:$J$14,MATCH(B643,PARAMETROS!$G$2:$G$14,0),1))</f>
        <v/>
      </c>
      <c r="D643" s="101"/>
      <c r="E643" s="102"/>
      <c r="F643" s="103"/>
      <c r="G643" s="49" t="str">
        <f t="shared" si="1"/>
        <v/>
      </c>
      <c r="H643" s="76"/>
      <c r="I643" s="103"/>
      <c r="J643" s="58" t="str">
        <f>IF(F643="","", IF(I643="",_xlfn.NETWORKDAYS.INTL(F643,TODAY(),1,FERIADOS),_xlfn.NETWORKDAYS.INTL(F643,I643,1,FERIADOS)))</f>
        <v/>
      </c>
      <c r="K643" s="58" t="str">
        <f t="shared" si="2"/>
        <v/>
      </c>
      <c r="L643" s="58" t="str">
        <f t="shared" si="3"/>
        <v/>
      </c>
    </row>
    <row r="644" ht="21.0" customHeight="1">
      <c r="A644" s="76"/>
      <c r="B644" s="94"/>
      <c r="C644" s="38" t="str">
        <f t="array" ref="C644">IF(B644="","",INDEX(PARAMETROS!$J$2:$J$14,MATCH(B644,PARAMETROS!$G$2:$G$14,0),1))</f>
        <v/>
      </c>
      <c r="D644" s="101"/>
      <c r="E644" s="102"/>
      <c r="F644" s="103"/>
      <c r="G644" s="49" t="str">
        <f t="shared" si="1"/>
        <v/>
      </c>
      <c r="H644" s="76"/>
      <c r="I644" s="103"/>
      <c r="J644" s="58" t="str">
        <f>IF(F644="","", IF(I644="",_xlfn.NETWORKDAYS.INTL(F644,TODAY(),1,FERIADOS),_xlfn.NETWORKDAYS.INTL(F644,I644,1,FERIADOS)))</f>
        <v/>
      </c>
      <c r="K644" s="58" t="str">
        <f t="shared" si="2"/>
        <v/>
      </c>
      <c r="L644" s="58" t="str">
        <f t="shared" si="3"/>
        <v/>
      </c>
    </row>
    <row r="645" ht="21.0" customHeight="1">
      <c r="A645" s="76"/>
      <c r="B645" s="94"/>
      <c r="C645" s="38" t="str">
        <f t="array" ref="C645">IF(B645="","",INDEX(PARAMETROS!$J$2:$J$14,MATCH(B645,PARAMETROS!$G$2:$G$14,0),1))</f>
        <v/>
      </c>
      <c r="D645" s="101"/>
      <c r="E645" s="102"/>
      <c r="F645" s="103"/>
      <c r="G645" s="49" t="str">
        <f t="shared" si="1"/>
        <v/>
      </c>
      <c r="H645" s="76"/>
      <c r="I645" s="103"/>
      <c r="J645" s="58" t="str">
        <f>IF(F645="","", IF(I645="",_xlfn.NETWORKDAYS.INTL(F645,TODAY(),1,FERIADOS),_xlfn.NETWORKDAYS.INTL(F645,I645,1,FERIADOS)))</f>
        <v/>
      </c>
      <c r="K645" s="58" t="str">
        <f t="shared" si="2"/>
        <v/>
      </c>
      <c r="L645" s="58" t="str">
        <f t="shared" si="3"/>
        <v/>
      </c>
    </row>
    <row r="646" ht="21.0" customHeight="1">
      <c r="A646" s="76"/>
      <c r="B646" s="94"/>
      <c r="C646" s="38" t="str">
        <f t="array" ref="C646">IF(B646="","",INDEX(PARAMETROS!$J$2:$J$14,MATCH(B646,PARAMETROS!$G$2:$G$14,0),1))</f>
        <v/>
      </c>
      <c r="D646" s="101"/>
      <c r="E646" s="102"/>
      <c r="F646" s="103"/>
      <c r="G646" s="49" t="str">
        <f t="shared" si="1"/>
        <v/>
      </c>
      <c r="H646" s="76"/>
      <c r="I646" s="103"/>
      <c r="J646" s="58" t="str">
        <f>IF(F646="","", IF(I646="",_xlfn.NETWORKDAYS.INTL(F646,TODAY(),1,FERIADOS),_xlfn.NETWORKDAYS.INTL(F646,I646,1,FERIADOS)))</f>
        <v/>
      </c>
      <c r="K646" s="58" t="str">
        <f t="shared" si="2"/>
        <v/>
      </c>
      <c r="L646" s="58" t="str">
        <f t="shared" si="3"/>
        <v/>
      </c>
    </row>
    <row r="647" ht="21.0" customHeight="1">
      <c r="A647" s="76"/>
      <c r="B647" s="94"/>
      <c r="C647" s="38" t="str">
        <f t="array" ref="C647">IF(B647="","",INDEX(PARAMETROS!$J$2:$J$14,MATCH(B647,PARAMETROS!$G$2:$G$14,0),1))</f>
        <v/>
      </c>
      <c r="D647" s="101"/>
      <c r="E647" s="102"/>
      <c r="F647" s="103"/>
      <c r="G647" s="49" t="str">
        <f t="shared" si="1"/>
        <v/>
      </c>
      <c r="H647" s="76"/>
      <c r="I647" s="103"/>
      <c r="J647" s="58" t="str">
        <f>IF(F647="","", IF(I647="",_xlfn.NETWORKDAYS.INTL(F647,TODAY(),1,FERIADOS),_xlfn.NETWORKDAYS.INTL(F647,I647,1,FERIADOS)))</f>
        <v/>
      </c>
      <c r="K647" s="58" t="str">
        <f t="shared" si="2"/>
        <v/>
      </c>
      <c r="L647" s="58" t="str">
        <f t="shared" si="3"/>
        <v/>
      </c>
    </row>
    <row r="648" ht="21.0" customHeight="1">
      <c r="A648" s="76"/>
      <c r="B648" s="94"/>
      <c r="C648" s="38" t="str">
        <f t="array" ref="C648">IF(B648="","",INDEX(PARAMETROS!$J$2:$J$14,MATCH(B648,PARAMETROS!$G$2:$G$14,0),1))</f>
        <v/>
      </c>
      <c r="D648" s="101"/>
      <c r="E648" s="102"/>
      <c r="F648" s="103"/>
      <c r="G648" s="49" t="str">
        <f t="shared" si="1"/>
        <v/>
      </c>
      <c r="H648" s="76"/>
      <c r="I648" s="103"/>
      <c r="J648" s="58" t="str">
        <f>IF(F648="","", IF(I648="",_xlfn.NETWORKDAYS.INTL(F648,TODAY(),1,FERIADOS),_xlfn.NETWORKDAYS.INTL(F648,I648,1,FERIADOS)))</f>
        <v/>
      </c>
      <c r="K648" s="58" t="str">
        <f t="shared" si="2"/>
        <v/>
      </c>
      <c r="L648" s="58" t="str">
        <f t="shared" si="3"/>
        <v/>
      </c>
    </row>
    <row r="649" ht="21.0" customHeight="1">
      <c r="A649" s="76"/>
      <c r="B649" s="94"/>
      <c r="C649" s="38" t="str">
        <f t="array" ref="C649">IF(B649="","",INDEX(PARAMETROS!$J$2:$J$14,MATCH(B649,PARAMETROS!$G$2:$G$14,0),1))</f>
        <v/>
      </c>
      <c r="D649" s="101"/>
      <c r="E649" s="102"/>
      <c r="F649" s="103"/>
      <c r="G649" s="49" t="str">
        <f t="shared" si="1"/>
        <v/>
      </c>
      <c r="H649" s="76"/>
      <c r="I649" s="103"/>
      <c r="J649" s="58" t="str">
        <f>IF(F649="","", IF(I649="",_xlfn.NETWORKDAYS.INTL(F649,TODAY(),1,FERIADOS),_xlfn.NETWORKDAYS.INTL(F649,I649,1,FERIADOS)))</f>
        <v/>
      </c>
      <c r="K649" s="58" t="str">
        <f t="shared" si="2"/>
        <v/>
      </c>
      <c r="L649" s="58" t="str">
        <f t="shared" si="3"/>
        <v/>
      </c>
    </row>
    <row r="650" ht="21.0" customHeight="1">
      <c r="A650" s="76"/>
      <c r="B650" s="94"/>
      <c r="C650" s="38" t="str">
        <f t="array" ref="C650">IF(B650="","",INDEX(PARAMETROS!$J$2:$J$14,MATCH(B650,PARAMETROS!$G$2:$G$14,0),1))</f>
        <v/>
      </c>
      <c r="D650" s="101"/>
      <c r="E650" s="102"/>
      <c r="F650" s="103"/>
      <c r="G650" s="49" t="str">
        <f t="shared" si="1"/>
        <v/>
      </c>
      <c r="H650" s="76"/>
      <c r="I650" s="103"/>
      <c r="J650" s="58" t="str">
        <f>IF(F650="","", IF(I650="",_xlfn.NETWORKDAYS.INTL(F650,TODAY(),1,FERIADOS),_xlfn.NETWORKDAYS.INTL(F650,I650,1,FERIADOS)))</f>
        <v/>
      </c>
      <c r="K650" s="58" t="str">
        <f t="shared" si="2"/>
        <v/>
      </c>
      <c r="L650" s="58" t="str">
        <f t="shared" si="3"/>
        <v/>
      </c>
    </row>
    <row r="651" ht="21.0" customHeight="1">
      <c r="A651" s="76"/>
      <c r="B651" s="94"/>
      <c r="C651" s="38" t="str">
        <f t="array" ref="C651">IF(B651="","",INDEX(PARAMETROS!$J$2:$J$14,MATCH(B651,PARAMETROS!$G$2:$G$14,0),1))</f>
        <v/>
      </c>
      <c r="D651" s="101"/>
      <c r="E651" s="102"/>
      <c r="F651" s="103"/>
      <c r="G651" s="49" t="str">
        <f t="shared" si="1"/>
        <v/>
      </c>
      <c r="H651" s="76"/>
      <c r="I651" s="103"/>
      <c r="J651" s="58" t="str">
        <f>IF(F651="","", IF(I651="",_xlfn.NETWORKDAYS.INTL(F651,TODAY(),1,FERIADOS),_xlfn.NETWORKDAYS.INTL(F651,I651,1,FERIADOS)))</f>
        <v/>
      </c>
      <c r="K651" s="58" t="str">
        <f t="shared" si="2"/>
        <v/>
      </c>
      <c r="L651" s="58" t="str">
        <f t="shared" si="3"/>
        <v/>
      </c>
    </row>
    <row r="652" ht="21.0" customHeight="1">
      <c r="A652" s="76"/>
      <c r="B652" s="94"/>
      <c r="C652" s="38" t="str">
        <f t="array" ref="C652">IF(B652="","",INDEX(PARAMETROS!$J$2:$J$14,MATCH(B652,PARAMETROS!$G$2:$G$14,0),1))</f>
        <v/>
      </c>
      <c r="D652" s="101"/>
      <c r="E652" s="102"/>
      <c r="F652" s="103"/>
      <c r="G652" s="49" t="str">
        <f t="shared" si="1"/>
        <v/>
      </c>
      <c r="H652" s="76"/>
      <c r="I652" s="103"/>
      <c r="J652" s="58" t="str">
        <f>IF(F652="","", IF(I652="",_xlfn.NETWORKDAYS.INTL(F652,TODAY(),1,FERIADOS),_xlfn.NETWORKDAYS.INTL(F652,I652,1,FERIADOS)))</f>
        <v/>
      </c>
      <c r="K652" s="58" t="str">
        <f t="shared" si="2"/>
        <v/>
      </c>
      <c r="L652" s="58" t="str">
        <f t="shared" si="3"/>
        <v/>
      </c>
    </row>
    <row r="653" ht="21.0" customHeight="1">
      <c r="A653" s="76"/>
      <c r="B653" s="94"/>
      <c r="C653" s="38" t="str">
        <f t="array" ref="C653">IF(B653="","",INDEX(PARAMETROS!$J$2:$J$14,MATCH(B653,PARAMETROS!$G$2:$G$14,0),1))</f>
        <v/>
      </c>
      <c r="D653" s="101"/>
      <c r="E653" s="102"/>
      <c r="F653" s="103"/>
      <c r="G653" s="49" t="str">
        <f t="shared" si="1"/>
        <v/>
      </c>
      <c r="H653" s="76"/>
      <c r="I653" s="103"/>
      <c r="J653" s="58" t="str">
        <f>IF(F653="","", IF(I653="",_xlfn.NETWORKDAYS.INTL(F653,TODAY(),1,FERIADOS),_xlfn.NETWORKDAYS.INTL(F653,I653,1,FERIADOS)))</f>
        <v/>
      </c>
      <c r="K653" s="58" t="str">
        <f t="shared" si="2"/>
        <v/>
      </c>
      <c r="L653" s="58" t="str">
        <f t="shared" si="3"/>
        <v/>
      </c>
    </row>
    <row r="654" ht="21.0" customHeight="1">
      <c r="A654" s="76"/>
      <c r="B654" s="94"/>
      <c r="C654" s="38" t="str">
        <f t="array" ref="C654">IF(B654="","",INDEX(PARAMETROS!$J$2:$J$14,MATCH(B654,PARAMETROS!$G$2:$G$14,0),1))</f>
        <v/>
      </c>
      <c r="D654" s="101"/>
      <c r="E654" s="102"/>
      <c r="F654" s="103"/>
      <c r="G654" s="49" t="str">
        <f t="shared" si="1"/>
        <v/>
      </c>
      <c r="H654" s="76"/>
      <c r="I654" s="103"/>
      <c r="J654" s="58" t="str">
        <f>IF(F654="","", IF(I654="",_xlfn.NETWORKDAYS.INTL(F654,TODAY(),1,FERIADOS),_xlfn.NETWORKDAYS.INTL(F654,I654,1,FERIADOS)))</f>
        <v/>
      </c>
      <c r="K654" s="58" t="str">
        <f t="shared" si="2"/>
        <v/>
      </c>
      <c r="L654" s="58" t="str">
        <f t="shared" si="3"/>
        <v/>
      </c>
    </row>
    <row r="655" ht="21.0" customHeight="1">
      <c r="A655" s="76"/>
      <c r="B655" s="94"/>
      <c r="C655" s="38" t="str">
        <f t="array" ref="C655">IF(B655="","",INDEX(PARAMETROS!$J$2:$J$14,MATCH(B655,PARAMETROS!$G$2:$G$14,0),1))</f>
        <v/>
      </c>
      <c r="D655" s="101"/>
      <c r="E655" s="102"/>
      <c r="F655" s="103"/>
      <c r="G655" s="49" t="str">
        <f t="shared" si="1"/>
        <v/>
      </c>
      <c r="H655" s="76"/>
      <c r="I655" s="103"/>
      <c r="J655" s="58" t="str">
        <f>IF(F655="","", IF(I655="",_xlfn.NETWORKDAYS.INTL(F655,TODAY(),1,FERIADOS),_xlfn.NETWORKDAYS.INTL(F655,I655,1,FERIADOS)))</f>
        <v/>
      </c>
      <c r="K655" s="58" t="str">
        <f t="shared" si="2"/>
        <v/>
      </c>
      <c r="L655" s="58" t="str">
        <f t="shared" si="3"/>
        <v/>
      </c>
    </row>
    <row r="656" ht="21.0" customHeight="1">
      <c r="A656" s="76"/>
      <c r="B656" s="94"/>
      <c r="C656" s="38" t="str">
        <f t="array" ref="C656">IF(B656="","",INDEX(PARAMETROS!$J$2:$J$14,MATCH(B656,PARAMETROS!$G$2:$G$14,0),1))</f>
        <v/>
      </c>
      <c r="D656" s="101"/>
      <c r="E656" s="102"/>
      <c r="F656" s="103"/>
      <c r="G656" s="49" t="str">
        <f t="shared" si="1"/>
        <v/>
      </c>
      <c r="H656" s="76"/>
      <c r="I656" s="103"/>
      <c r="J656" s="58" t="str">
        <f>IF(F656="","", IF(I656="",_xlfn.NETWORKDAYS.INTL(F656,TODAY(),1,FERIADOS),_xlfn.NETWORKDAYS.INTL(F656,I656,1,FERIADOS)))</f>
        <v/>
      </c>
      <c r="K656" s="58" t="str">
        <f t="shared" si="2"/>
        <v/>
      </c>
      <c r="L656" s="58" t="str">
        <f t="shared" si="3"/>
        <v/>
      </c>
    </row>
    <row r="657" ht="21.0" customHeight="1">
      <c r="A657" s="76"/>
      <c r="B657" s="94"/>
      <c r="C657" s="38" t="str">
        <f t="array" ref="C657">IF(B657="","",INDEX(PARAMETROS!$J$2:$J$14,MATCH(B657,PARAMETROS!$G$2:$G$14,0),1))</f>
        <v/>
      </c>
      <c r="D657" s="101"/>
      <c r="E657" s="102"/>
      <c r="F657" s="103"/>
      <c r="G657" s="49" t="str">
        <f t="shared" si="1"/>
        <v/>
      </c>
      <c r="H657" s="76"/>
      <c r="I657" s="103"/>
      <c r="J657" s="58" t="str">
        <f>IF(F657="","", IF(I657="",_xlfn.NETWORKDAYS.INTL(F657,TODAY(),1,FERIADOS),_xlfn.NETWORKDAYS.INTL(F657,I657,1,FERIADOS)))</f>
        <v/>
      </c>
      <c r="K657" s="58" t="str">
        <f t="shared" si="2"/>
        <v/>
      </c>
      <c r="L657" s="58" t="str">
        <f t="shared" si="3"/>
        <v/>
      </c>
    </row>
    <row r="658" ht="21.0" customHeight="1">
      <c r="A658" s="76"/>
      <c r="B658" s="94"/>
      <c r="C658" s="38" t="str">
        <f t="array" ref="C658">IF(B658="","",INDEX(PARAMETROS!$J$2:$J$14,MATCH(B658,PARAMETROS!$G$2:$G$14,0),1))</f>
        <v/>
      </c>
      <c r="D658" s="101"/>
      <c r="E658" s="102"/>
      <c r="F658" s="103"/>
      <c r="G658" s="49" t="str">
        <f t="shared" si="1"/>
        <v/>
      </c>
      <c r="H658" s="76"/>
      <c r="I658" s="103"/>
      <c r="J658" s="58" t="str">
        <f>IF(F658="","", IF(I658="",_xlfn.NETWORKDAYS.INTL(F658,TODAY(),1,FERIADOS),_xlfn.NETWORKDAYS.INTL(F658,I658,1,FERIADOS)))</f>
        <v/>
      </c>
      <c r="K658" s="58" t="str">
        <f t="shared" si="2"/>
        <v/>
      </c>
      <c r="L658" s="58" t="str">
        <f t="shared" si="3"/>
        <v/>
      </c>
    </row>
    <row r="659" ht="21.0" customHeight="1">
      <c r="A659" s="76"/>
      <c r="B659" s="94"/>
      <c r="C659" s="38" t="str">
        <f t="array" ref="C659">IF(B659="","",INDEX(PARAMETROS!$J$2:$J$14,MATCH(B659,PARAMETROS!$G$2:$G$14,0),1))</f>
        <v/>
      </c>
      <c r="D659" s="101"/>
      <c r="E659" s="102"/>
      <c r="F659" s="103"/>
      <c r="G659" s="49" t="str">
        <f t="shared" si="1"/>
        <v/>
      </c>
      <c r="H659" s="76"/>
      <c r="I659" s="103"/>
      <c r="J659" s="58" t="str">
        <f>IF(F659="","", IF(I659="",_xlfn.NETWORKDAYS.INTL(F659,TODAY(),1,FERIADOS),_xlfn.NETWORKDAYS.INTL(F659,I659,1,FERIADOS)))</f>
        <v/>
      </c>
      <c r="K659" s="58" t="str">
        <f t="shared" si="2"/>
        <v/>
      </c>
      <c r="L659" s="58" t="str">
        <f t="shared" si="3"/>
        <v/>
      </c>
    </row>
    <row r="660" ht="21.0" customHeight="1">
      <c r="A660" s="76"/>
      <c r="B660" s="94"/>
      <c r="C660" s="38" t="str">
        <f t="array" ref="C660">IF(B660="","",INDEX(PARAMETROS!$J$2:$J$14,MATCH(B660,PARAMETROS!$G$2:$G$14,0),1))</f>
        <v/>
      </c>
      <c r="D660" s="101"/>
      <c r="E660" s="102"/>
      <c r="F660" s="103"/>
      <c r="G660" s="49" t="str">
        <f t="shared" si="1"/>
        <v/>
      </c>
      <c r="H660" s="76"/>
      <c r="I660" s="103"/>
      <c r="J660" s="58" t="str">
        <f>IF(F660="","", IF(I660="",_xlfn.NETWORKDAYS.INTL(F660,TODAY(),1,FERIADOS),_xlfn.NETWORKDAYS.INTL(F660,I660,1,FERIADOS)))</f>
        <v/>
      </c>
      <c r="K660" s="58" t="str">
        <f t="shared" si="2"/>
        <v/>
      </c>
      <c r="L660" s="58" t="str">
        <f t="shared" si="3"/>
        <v/>
      </c>
    </row>
    <row r="661" ht="21.0" customHeight="1">
      <c r="A661" s="76"/>
      <c r="B661" s="94"/>
      <c r="C661" s="38" t="str">
        <f t="array" ref="C661">IF(B661="","",INDEX(PARAMETROS!$J$2:$J$14,MATCH(B661,PARAMETROS!$G$2:$G$14,0),1))</f>
        <v/>
      </c>
      <c r="D661" s="101"/>
      <c r="E661" s="102"/>
      <c r="F661" s="103"/>
      <c r="G661" s="49" t="str">
        <f t="shared" si="1"/>
        <v/>
      </c>
      <c r="H661" s="76"/>
      <c r="I661" s="103"/>
      <c r="J661" s="58" t="str">
        <f>IF(F661="","", IF(I661="",_xlfn.NETWORKDAYS.INTL(F661,TODAY(),1,FERIADOS),_xlfn.NETWORKDAYS.INTL(F661,I661,1,FERIADOS)))</f>
        <v/>
      </c>
      <c r="K661" s="58" t="str">
        <f t="shared" si="2"/>
        <v/>
      </c>
      <c r="L661" s="58" t="str">
        <f t="shared" si="3"/>
        <v/>
      </c>
    </row>
    <row r="662" ht="21.0" customHeight="1">
      <c r="A662" s="76"/>
      <c r="B662" s="94"/>
      <c r="C662" s="38" t="str">
        <f t="array" ref="C662">IF(B662="","",INDEX(PARAMETROS!$J$2:$J$14,MATCH(B662,PARAMETROS!$G$2:$G$14,0),1))</f>
        <v/>
      </c>
      <c r="D662" s="101"/>
      <c r="E662" s="102"/>
      <c r="F662" s="103"/>
      <c r="G662" s="49" t="str">
        <f t="shared" si="1"/>
        <v/>
      </c>
      <c r="H662" s="76"/>
      <c r="I662" s="103"/>
      <c r="J662" s="58" t="str">
        <f>IF(F662="","", IF(I662="",_xlfn.NETWORKDAYS.INTL(F662,TODAY(),1,FERIADOS),_xlfn.NETWORKDAYS.INTL(F662,I662,1,FERIADOS)))</f>
        <v/>
      </c>
      <c r="K662" s="58" t="str">
        <f t="shared" si="2"/>
        <v/>
      </c>
      <c r="L662" s="58" t="str">
        <f t="shared" si="3"/>
        <v/>
      </c>
    </row>
    <row r="663" ht="21.0" customHeight="1">
      <c r="A663" s="76"/>
      <c r="B663" s="94"/>
      <c r="C663" s="38" t="str">
        <f t="array" ref="C663">IF(B663="","",INDEX(PARAMETROS!$J$2:$J$14,MATCH(B663,PARAMETROS!$G$2:$G$14,0),1))</f>
        <v/>
      </c>
      <c r="D663" s="101"/>
      <c r="E663" s="102"/>
      <c r="F663" s="103"/>
      <c r="G663" s="49" t="str">
        <f t="shared" si="1"/>
        <v/>
      </c>
      <c r="H663" s="76"/>
      <c r="I663" s="103"/>
      <c r="J663" s="58" t="str">
        <f>IF(F663="","", IF(I663="",_xlfn.NETWORKDAYS.INTL(F663,TODAY(),1,FERIADOS),_xlfn.NETWORKDAYS.INTL(F663,I663,1,FERIADOS)))</f>
        <v/>
      </c>
      <c r="K663" s="58" t="str">
        <f t="shared" si="2"/>
        <v/>
      </c>
      <c r="L663" s="58" t="str">
        <f t="shared" si="3"/>
        <v/>
      </c>
    </row>
    <row r="664" ht="21.0" customHeight="1">
      <c r="A664" s="76"/>
      <c r="B664" s="94"/>
      <c r="C664" s="38" t="str">
        <f t="array" ref="C664">IF(B664="","",INDEX(PARAMETROS!$J$2:$J$14,MATCH(B664,PARAMETROS!$G$2:$G$14,0),1))</f>
        <v/>
      </c>
      <c r="D664" s="101"/>
      <c r="E664" s="102"/>
      <c r="F664" s="103"/>
      <c r="G664" s="49" t="str">
        <f t="shared" si="1"/>
        <v/>
      </c>
      <c r="H664" s="76"/>
      <c r="I664" s="103"/>
      <c r="J664" s="58" t="str">
        <f>IF(F664="","", IF(I664="",_xlfn.NETWORKDAYS.INTL(F664,TODAY(),1,FERIADOS),_xlfn.NETWORKDAYS.INTL(F664,I664,1,FERIADOS)))</f>
        <v/>
      </c>
      <c r="K664" s="58" t="str">
        <f t="shared" si="2"/>
        <v/>
      </c>
      <c r="L664" s="58" t="str">
        <f t="shared" si="3"/>
        <v/>
      </c>
    </row>
    <row r="665" ht="21.0" customHeight="1">
      <c r="A665" s="76"/>
      <c r="B665" s="94"/>
      <c r="C665" s="38" t="str">
        <f t="array" ref="C665">IF(B665="","",INDEX(PARAMETROS!$J$2:$J$14,MATCH(B665,PARAMETROS!$G$2:$G$14,0),1))</f>
        <v/>
      </c>
      <c r="D665" s="101"/>
      <c r="E665" s="102"/>
      <c r="F665" s="103"/>
      <c r="G665" s="49" t="str">
        <f t="shared" si="1"/>
        <v/>
      </c>
      <c r="H665" s="76"/>
      <c r="I665" s="103"/>
      <c r="J665" s="58" t="str">
        <f>IF(F665="","", IF(I665="",_xlfn.NETWORKDAYS.INTL(F665,TODAY(),1,FERIADOS),_xlfn.NETWORKDAYS.INTL(F665,I665,1,FERIADOS)))</f>
        <v/>
      </c>
      <c r="K665" s="58" t="str">
        <f t="shared" si="2"/>
        <v/>
      </c>
      <c r="L665" s="58" t="str">
        <f t="shared" si="3"/>
        <v/>
      </c>
    </row>
    <row r="666" ht="21.0" customHeight="1">
      <c r="A666" s="76"/>
      <c r="B666" s="94"/>
      <c r="C666" s="38" t="str">
        <f t="array" ref="C666">IF(B666="","",INDEX(PARAMETROS!$J$2:$J$14,MATCH(B666,PARAMETROS!$G$2:$G$14,0),1))</f>
        <v/>
      </c>
      <c r="D666" s="101"/>
      <c r="E666" s="102"/>
      <c r="F666" s="103"/>
      <c r="G666" s="49" t="str">
        <f t="shared" si="1"/>
        <v/>
      </c>
      <c r="H666" s="76"/>
      <c r="I666" s="103"/>
      <c r="J666" s="58" t="str">
        <f>IF(F666="","", IF(I666="",_xlfn.NETWORKDAYS.INTL(F666,TODAY(),1,FERIADOS),_xlfn.NETWORKDAYS.INTL(F666,I666,1,FERIADOS)))</f>
        <v/>
      </c>
      <c r="K666" s="58" t="str">
        <f t="shared" si="2"/>
        <v/>
      </c>
      <c r="L666" s="58" t="str">
        <f t="shared" si="3"/>
        <v/>
      </c>
    </row>
    <row r="667" ht="21.0" customHeight="1">
      <c r="A667" s="76"/>
      <c r="B667" s="94"/>
      <c r="C667" s="38" t="str">
        <f t="array" ref="C667">IF(B667="","",INDEX(PARAMETROS!$J$2:$J$14,MATCH(B667,PARAMETROS!$G$2:$G$14,0),1))</f>
        <v/>
      </c>
      <c r="D667" s="101"/>
      <c r="E667" s="102"/>
      <c r="F667" s="103"/>
      <c r="G667" s="49" t="str">
        <f t="shared" si="1"/>
        <v/>
      </c>
      <c r="H667" s="76"/>
      <c r="I667" s="103"/>
      <c r="J667" s="58" t="str">
        <f>IF(F667="","", IF(I667="",_xlfn.NETWORKDAYS.INTL(F667,TODAY(),1,FERIADOS),_xlfn.NETWORKDAYS.INTL(F667,I667,1,FERIADOS)))</f>
        <v/>
      </c>
      <c r="K667" s="58" t="str">
        <f t="shared" si="2"/>
        <v/>
      </c>
      <c r="L667" s="58" t="str">
        <f t="shared" si="3"/>
        <v/>
      </c>
    </row>
    <row r="668" ht="21.0" customHeight="1">
      <c r="A668" s="76"/>
      <c r="B668" s="94"/>
      <c r="C668" s="38" t="str">
        <f t="array" ref="C668">IF(B668="","",INDEX(PARAMETROS!$J$2:$J$14,MATCH(B668,PARAMETROS!$G$2:$G$14,0),1))</f>
        <v/>
      </c>
      <c r="D668" s="101"/>
      <c r="E668" s="102"/>
      <c r="F668" s="103"/>
      <c r="G668" s="49" t="str">
        <f t="shared" si="1"/>
        <v/>
      </c>
      <c r="H668" s="76"/>
      <c r="I668" s="103"/>
      <c r="J668" s="58" t="str">
        <f>IF(F668="","", IF(I668="",_xlfn.NETWORKDAYS.INTL(F668,TODAY(),1,FERIADOS),_xlfn.NETWORKDAYS.INTL(F668,I668,1,FERIADOS)))</f>
        <v/>
      </c>
      <c r="K668" s="58" t="str">
        <f t="shared" si="2"/>
        <v/>
      </c>
      <c r="L668" s="58" t="str">
        <f t="shared" si="3"/>
        <v/>
      </c>
    </row>
    <row r="669" ht="21.0" customHeight="1">
      <c r="A669" s="76"/>
      <c r="B669" s="94"/>
      <c r="C669" s="38" t="str">
        <f t="array" ref="C669">IF(B669="","",INDEX(PARAMETROS!$J$2:$J$14,MATCH(B669,PARAMETROS!$G$2:$G$14,0),1))</f>
        <v/>
      </c>
      <c r="D669" s="101"/>
      <c r="E669" s="102"/>
      <c r="F669" s="103"/>
      <c r="G669" s="49" t="str">
        <f t="shared" si="1"/>
        <v/>
      </c>
      <c r="H669" s="76"/>
      <c r="I669" s="103"/>
      <c r="J669" s="58" t="str">
        <f>IF(F669="","", IF(I669="",_xlfn.NETWORKDAYS.INTL(F669,TODAY(),1,FERIADOS),_xlfn.NETWORKDAYS.INTL(F669,I669,1,FERIADOS)))</f>
        <v/>
      </c>
      <c r="K669" s="58" t="str">
        <f t="shared" si="2"/>
        <v/>
      </c>
      <c r="L669" s="58" t="str">
        <f t="shared" si="3"/>
        <v/>
      </c>
    </row>
    <row r="670" ht="21.0" customHeight="1">
      <c r="A670" s="76"/>
      <c r="B670" s="94"/>
      <c r="C670" s="38" t="str">
        <f t="array" ref="C670">IF(B670="","",INDEX(PARAMETROS!$J$2:$J$14,MATCH(B670,PARAMETROS!$G$2:$G$14,0),1))</f>
        <v/>
      </c>
      <c r="D670" s="101"/>
      <c r="E670" s="102"/>
      <c r="F670" s="103"/>
      <c r="G670" s="49" t="str">
        <f t="shared" si="1"/>
        <v/>
      </c>
      <c r="H670" s="76"/>
      <c r="I670" s="103"/>
      <c r="J670" s="58" t="str">
        <f>IF(F670="","", IF(I670="",_xlfn.NETWORKDAYS.INTL(F670,TODAY(),1,FERIADOS),_xlfn.NETWORKDAYS.INTL(F670,I670,1,FERIADOS)))</f>
        <v/>
      </c>
      <c r="K670" s="58" t="str">
        <f t="shared" si="2"/>
        <v/>
      </c>
      <c r="L670" s="58" t="str">
        <f t="shared" si="3"/>
        <v/>
      </c>
    </row>
    <row r="671" ht="21.0" customHeight="1">
      <c r="A671" s="76"/>
      <c r="B671" s="94"/>
      <c r="C671" s="38" t="str">
        <f t="array" ref="C671">IF(B671="","",INDEX(PARAMETROS!$J$2:$J$14,MATCH(B671,PARAMETROS!$G$2:$G$14,0),1))</f>
        <v/>
      </c>
      <c r="D671" s="101"/>
      <c r="E671" s="102"/>
      <c r="F671" s="103"/>
      <c r="G671" s="49" t="str">
        <f t="shared" si="1"/>
        <v/>
      </c>
      <c r="H671" s="76"/>
      <c r="I671" s="103"/>
      <c r="J671" s="58" t="str">
        <f>IF(F671="","", IF(I671="",_xlfn.NETWORKDAYS.INTL(F671,TODAY(),1,FERIADOS),_xlfn.NETWORKDAYS.INTL(F671,I671,1,FERIADOS)))</f>
        <v/>
      </c>
      <c r="K671" s="58" t="str">
        <f t="shared" si="2"/>
        <v/>
      </c>
      <c r="L671" s="58" t="str">
        <f t="shared" si="3"/>
        <v/>
      </c>
    </row>
    <row r="672" ht="21.0" customHeight="1">
      <c r="A672" s="76"/>
      <c r="B672" s="94"/>
      <c r="C672" s="38" t="str">
        <f t="array" ref="C672">IF(B672="","",INDEX(PARAMETROS!$J$2:$J$14,MATCH(B672,PARAMETROS!$G$2:$G$14,0),1))</f>
        <v/>
      </c>
      <c r="D672" s="101"/>
      <c r="E672" s="102"/>
      <c r="F672" s="103"/>
      <c r="G672" s="49" t="str">
        <f t="shared" si="1"/>
        <v/>
      </c>
      <c r="H672" s="76"/>
      <c r="I672" s="103"/>
      <c r="J672" s="58" t="str">
        <f>IF(F672="","", IF(I672="",_xlfn.NETWORKDAYS.INTL(F672,TODAY(),1,FERIADOS),_xlfn.NETWORKDAYS.INTL(F672,I672,1,FERIADOS)))</f>
        <v/>
      </c>
      <c r="K672" s="58" t="str">
        <f t="shared" si="2"/>
        <v/>
      </c>
      <c r="L672" s="58" t="str">
        <f t="shared" si="3"/>
        <v/>
      </c>
    </row>
    <row r="673" ht="21.0" customHeight="1">
      <c r="A673" s="76"/>
      <c r="B673" s="94"/>
      <c r="C673" s="38" t="str">
        <f t="array" ref="C673">IF(B673="","",INDEX(PARAMETROS!$J$2:$J$14,MATCH(B673,PARAMETROS!$G$2:$G$14,0),1))</f>
        <v/>
      </c>
      <c r="D673" s="101"/>
      <c r="E673" s="102"/>
      <c r="F673" s="103"/>
      <c r="G673" s="49" t="str">
        <f t="shared" si="1"/>
        <v/>
      </c>
      <c r="H673" s="76"/>
      <c r="I673" s="103"/>
      <c r="J673" s="58" t="str">
        <f>IF(F673="","", IF(I673="",_xlfn.NETWORKDAYS.INTL(F673,TODAY(),1,FERIADOS),_xlfn.NETWORKDAYS.INTL(F673,I673,1,FERIADOS)))</f>
        <v/>
      </c>
      <c r="K673" s="58" t="str">
        <f t="shared" si="2"/>
        <v/>
      </c>
      <c r="L673" s="58" t="str">
        <f t="shared" si="3"/>
        <v/>
      </c>
    </row>
    <row r="674" ht="21.0" customHeight="1">
      <c r="A674" s="76"/>
      <c r="B674" s="94"/>
      <c r="C674" s="38" t="str">
        <f t="array" ref="C674">IF(B674="","",INDEX(PARAMETROS!$J$2:$J$14,MATCH(B674,PARAMETROS!$G$2:$G$14,0),1))</f>
        <v/>
      </c>
      <c r="D674" s="101"/>
      <c r="E674" s="102"/>
      <c r="F674" s="103"/>
      <c r="G674" s="49" t="str">
        <f t="shared" si="1"/>
        <v/>
      </c>
      <c r="H674" s="76"/>
      <c r="I674" s="103"/>
      <c r="J674" s="58" t="str">
        <f>IF(F674="","", IF(I674="",_xlfn.NETWORKDAYS.INTL(F674,TODAY(),1,FERIADOS),_xlfn.NETWORKDAYS.INTL(F674,I674,1,FERIADOS)))</f>
        <v/>
      </c>
      <c r="K674" s="58" t="str">
        <f t="shared" si="2"/>
        <v/>
      </c>
      <c r="L674" s="58" t="str">
        <f t="shared" si="3"/>
        <v/>
      </c>
    </row>
    <row r="675" ht="21.0" customHeight="1">
      <c r="A675" s="76"/>
      <c r="B675" s="94"/>
      <c r="C675" s="38" t="str">
        <f t="array" ref="C675">IF(B675="","",INDEX(PARAMETROS!$J$2:$J$14,MATCH(B675,PARAMETROS!$G$2:$G$14,0),1))</f>
        <v/>
      </c>
      <c r="D675" s="101"/>
      <c r="E675" s="102"/>
      <c r="F675" s="103"/>
      <c r="G675" s="49" t="str">
        <f t="shared" si="1"/>
        <v/>
      </c>
      <c r="H675" s="76"/>
      <c r="I675" s="103"/>
      <c r="J675" s="58" t="str">
        <f>IF(F675="","", IF(I675="",_xlfn.NETWORKDAYS.INTL(F675,TODAY(),1,FERIADOS),_xlfn.NETWORKDAYS.INTL(F675,I675,1,FERIADOS)))</f>
        <v/>
      </c>
      <c r="K675" s="58" t="str">
        <f t="shared" si="2"/>
        <v/>
      </c>
      <c r="L675" s="58" t="str">
        <f t="shared" si="3"/>
        <v/>
      </c>
    </row>
    <row r="676" ht="21.0" customHeight="1">
      <c r="A676" s="76"/>
      <c r="B676" s="94"/>
      <c r="C676" s="38" t="str">
        <f t="array" ref="C676">IF(B676="","",INDEX(PARAMETROS!$J$2:$J$14,MATCH(B676,PARAMETROS!$G$2:$G$14,0),1))</f>
        <v/>
      </c>
      <c r="D676" s="101"/>
      <c r="E676" s="102"/>
      <c r="F676" s="103"/>
      <c r="G676" s="49" t="str">
        <f t="shared" si="1"/>
        <v/>
      </c>
      <c r="H676" s="76"/>
      <c r="I676" s="103"/>
      <c r="J676" s="58" t="str">
        <f>IF(F676="","", IF(I676="",_xlfn.NETWORKDAYS.INTL(F676,TODAY(),1,FERIADOS),_xlfn.NETWORKDAYS.INTL(F676,I676,1,FERIADOS)))</f>
        <v/>
      </c>
      <c r="K676" s="58" t="str">
        <f t="shared" si="2"/>
        <v/>
      </c>
      <c r="L676" s="58" t="str">
        <f t="shared" si="3"/>
        <v/>
      </c>
    </row>
    <row r="677" ht="21.0" customHeight="1">
      <c r="A677" s="76"/>
      <c r="B677" s="94"/>
      <c r="C677" s="38" t="str">
        <f t="array" ref="C677">IF(B677="","",INDEX(PARAMETROS!$J$2:$J$14,MATCH(B677,PARAMETROS!$G$2:$G$14,0),1))</f>
        <v/>
      </c>
      <c r="D677" s="101"/>
      <c r="E677" s="102"/>
      <c r="F677" s="103"/>
      <c r="G677" s="49" t="str">
        <f t="shared" si="1"/>
        <v/>
      </c>
      <c r="H677" s="76"/>
      <c r="I677" s="103"/>
      <c r="J677" s="58" t="str">
        <f>IF(F677="","", IF(I677="",_xlfn.NETWORKDAYS.INTL(F677,TODAY(),1,FERIADOS),_xlfn.NETWORKDAYS.INTL(F677,I677,1,FERIADOS)))</f>
        <v/>
      </c>
      <c r="K677" s="58" t="str">
        <f t="shared" si="2"/>
        <v/>
      </c>
      <c r="L677" s="58" t="str">
        <f t="shared" si="3"/>
        <v/>
      </c>
    </row>
    <row r="678" ht="21.0" customHeight="1">
      <c r="A678" s="76"/>
      <c r="B678" s="94"/>
      <c r="C678" s="38" t="str">
        <f t="array" ref="C678">IF(B678="","",INDEX(PARAMETROS!$J$2:$J$14,MATCH(B678,PARAMETROS!$G$2:$G$14,0),1))</f>
        <v/>
      </c>
      <c r="D678" s="101"/>
      <c r="E678" s="102"/>
      <c r="F678" s="103"/>
      <c r="G678" s="49" t="str">
        <f t="shared" si="1"/>
        <v/>
      </c>
      <c r="H678" s="76"/>
      <c r="I678" s="103"/>
      <c r="J678" s="58" t="str">
        <f>IF(F678="","", IF(I678="",_xlfn.NETWORKDAYS.INTL(F678,TODAY(),1,FERIADOS),_xlfn.NETWORKDAYS.INTL(F678,I678,1,FERIADOS)))</f>
        <v/>
      </c>
      <c r="K678" s="58" t="str">
        <f t="shared" si="2"/>
        <v/>
      </c>
      <c r="L678" s="58" t="str">
        <f t="shared" si="3"/>
        <v/>
      </c>
    </row>
    <row r="679" ht="21.0" customHeight="1">
      <c r="A679" s="76"/>
      <c r="B679" s="94"/>
      <c r="C679" s="38" t="str">
        <f t="array" ref="C679">IF(B679="","",INDEX(PARAMETROS!$J$2:$J$14,MATCH(B679,PARAMETROS!$G$2:$G$14,0),1))</f>
        <v/>
      </c>
      <c r="D679" s="101"/>
      <c r="E679" s="102"/>
      <c r="F679" s="103"/>
      <c r="G679" s="49" t="str">
        <f t="shared" si="1"/>
        <v/>
      </c>
      <c r="H679" s="76"/>
      <c r="I679" s="103"/>
      <c r="J679" s="58" t="str">
        <f>IF(F679="","", IF(I679="",_xlfn.NETWORKDAYS.INTL(F679,TODAY(),1,FERIADOS),_xlfn.NETWORKDAYS.INTL(F679,I679,1,FERIADOS)))</f>
        <v/>
      </c>
      <c r="K679" s="58" t="str">
        <f t="shared" si="2"/>
        <v/>
      </c>
      <c r="L679" s="58" t="str">
        <f t="shared" si="3"/>
        <v/>
      </c>
    </row>
    <row r="680" ht="21.0" customHeight="1">
      <c r="A680" s="76"/>
      <c r="B680" s="94"/>
      <c r="C680" s="38" t="str">
        <f t="array" ref="C680">IF(B680="","",INDEX(PARAMETROS!$J$2:$J$14,MATCH(B680,PARAMETROS!$G$2:$G$14,0),1))</f>
        <v/>
      </c>
      <c r="D680" s="101"/>
      <c r="E680" s="102"/>
      <c r="F680" s="103"/>
      <c r="G680" s="49" t="str">
        <f t="shared" si="1"/>
        <v/>
      </c>
      <c r="H680" s="76"/>
      <c r="I680" s="103"/>
      <c r="J680" s="58" t="str">
        <f>IF(F680="","", IF(I680="",_xlfn.NETWORKDAYS.INTL(F680,TODAY(),1,FERIADOS),_xlfn.NETWORKDAYS.INTL(F680,I680,1,FERIADOS)))</f>
        <v/>
      </c>
      <c r="K680" s="58" t="str">
        <f t="shared" si="2"/>
        <v/>
      </c>
      <c r="L680" s="58" t="str">
        <f t="shared" si="3"/>
        <v/>
      </c>
    </row>
    <row r="681" ht="21.0" customHeight="1">
      <c r="A681" s="76"/>
      <c r="B681" s="94"/>
      <c r="C681" s="38" t="str">
        <f t="array" ref="C681">IF(B681="","",INDEX(PARAMETROS!$J$2:$J$14,MATCH(B681,PARAMETROS!$G$2:$G$14,0),1))</f>
        <v/>
      </c>
      <c r="D681" s="101"/>
      <c r="E681" s="102"/>
      <c r="F681" s="103"/>
      <c r="G681" s="49" t="str">
        <f t="shared" si="1"/>
        <v/>
      </c>
      <c r="H681" s="76"/>
      <c r="I681" s="103"/>
      <c r="J681" s="58" t="str">
        <f>IF(F681="","", IF(I681="",_xlfn.NETWORKDAYS.INTL(F681,TODAY(),1,FERIADOS),_xlfn.NETWORKDAYS.INTL(F681,I681,1,FERIADOS)))</f>
        <v/>
      </c>
      <c r="K681" s="58" t="str">
        <f t="shared" si="2"/>
        <v/>
      </c>
      <c r="L681" s="58" t="str">
        <f t="shared" si="3"/>
        <v/>
      </c>
    </row>
    <row r="682" ht="21.0" customHeight="1">
      <c r="A682" s="76"/>
      <c r="B682" s="94"/>
      <c r="C682" s="38" t="str">
        <f t="array" ref="C682">IF(B682="","",INDEX(PARAMETROS!$J$2:$J$14,MATCH(B682,PARAMETROS!$G$2:$G$14,0),1))</f>
        <v/>
      </c>
      <c r="D682" s="101"/>
      <c r="E682" s="102"/>
      <c r="F682" s="103"/>
      <c r="G682" s="49" t="str">
        <f t="shared" si="1"/>
        <v/>
      </c>
      <c r="H682" s="76"/>
      <c r="I682" s="103"/>
      <c r="J682" s="58" t="str">
        <f>IF(F682="","", IF(I682="",_xlfn.NETWORKDAYS.INTL(F682,TODAY(),1,FERIADOS),_xlfn.NETWORKDAYS.INTL(F682,I682,1,FERIADOS)))</f>
        <v/>
      </c>
      <c r="K682" s="58" t="str">
        <f t="shared" si="2"/>
        <v/>
      </c>
      <c r="L682" s="58" t="str">
        <f t="shared" si="3"/>
        <v/>
      </c>
    </row>
    <row r="683" ht="21.0" customHeight="1">
      <c r="A683" s="76"/>
      <c r="B683" s="94"/>
      <c r="C683" s="38" t="str">
        <f t="array" ref="C683">IF(B683="","",INDEX(PARAMETROS!$J$2:$J$14,MATCH(B683,PARAMETROS!$G$2:$G$14,0),1))</f>
        <v/>
      </c>
      <c r="D683" s="101"/>
      <c r="E683" s="102"/>
      <c r="F683" s="103"/>
      <c r="G683" s="49" t="str">
        <f t="shared" si="1"/>
        <v/>
      </c>
      <c r="H683" s="76"/>
      <c r="I683" s="103"/>
      <c r="J683" s="58" t="str">
        <f>IF(F683="","", IF(I683="",_xlfn.NETWORKDAYS.INTL(F683,TODAY(),1,FERIADOS),_xlfn.NETWORKDAYS.INTL(F683,I683,1,FERIADOS)))</f>
        <v/>
      </c>
      <c r="K683" s="58" t="str">
        <f t="shared" si="2"/>
        <v/>
      </c>
      <c r="L683" s="58" t="str">
        <f t="shared" si="3"/>
        <v/>
      </c>
    </row>
    <row r="684" ht="21.0" customHeight="1">
      <c r="A684" s="76"/>
      <c r="B684" s="94"/>
      <c r="C684" s="38" t="str">
        <f t="array" ref="C684">IF(B684="","",INDEX(PARAMETROS!$J$2:$J$14,MATCH(B684,PARAMETROS!$G$2:$G$14,0),1))</f>
        <v/>
      </c>
      <c r="D684" s="101"/>
      <c r="E684" s="102"/>
      <c r="F684" s="103"/>
      <c r="G684" s="49" t="str">
        <f t="shared" si="1"/>
        <v/>
      </c>
      <c r="H684" s="76"/>
      <c r="I684" s="103"/>
      <c r="J684" s="58" t="str">
        <f>IF(F684="","", IF(I684="",_xlfn.NETWORKDAYS.INTL(F684,TODAY(),1,FERIADOS),_xlfn.NETWORKDAYS.INTL(F684,I684,1,FERIADOS)))</f>
        <v/>
      </c>
      <c r="K684" s="58" t="str">
        <f t="shared" si="2"/>
        <v/>
      </c>
      <c r="L684" s="58" t="str">
        <f t="shared" si="3"/>
        <v/>
      </c>
    </row>
    <row r="685" ht="21.0" customHeight="1">
      <c r="A685" s="76"/>
      <c r="B685" s="94"/>
      <c r="C685" s="38" t="str">
        <f t="array" ref="C685">IF(B685="","",INDEX(PARAMETROS!$J$2:$J$14,MATCH(B685,PARAMETROS!$G$2:$G$14,0),1))</f>
        <v/>
      </c>
      <c r="D685" s="101"/>
      <c r="E685" s="102"/>
      <c r="F685" s="103"/>
      <c r="G685" s="49" t="str">
        <f t="shared" si="1"/>
        <v/>
      </c>
      <c r="H685" s="76"/>
      <c r="I685" s="103"/>
      <c r="J685" s="58" t="str">
        <f>IF(F685="","", IF(I685="",_xlfn.NETWORKDAYS.INTL(F685,TODAY(),1,FERIADOS),_xlfn.NETWORKDAYS.INTL(F685,I685,1,FERIADOS)))</f>
        <v/>
      </c>
      <c r="K685" s="58" t="str">
        <f t="shared" si="2"/>
        <v/>
      </c>
      <c r="L685" s="58" t="str">
        <f t="shared" si="3"/>
        <v/>
      </c>
    </row>
    <row r="686" ht="21.0" customHeight="1">
      <c r="A686" s="76"/>
      <c r="B686" s="94"/>
      <c r="C686" s="38" t="str">
        <f t="array" ref="C686">IF(B686="","",INDEX(PARAMETROS!$J$2:$J$14,MATCH(B686,PARAMETROS!$G$2:$G$14,0),1))</f>
        <v/>
      </c>
      <c r="D686" s="101"/>
      <c r="E686" s="102"/>
      <c r="F686" s="103"/>
      <c r="G686" s="49" t="str">
        <f t="shared" si="1"/>
        <v/>
      </c>
      <c r="H686" s="76"/>
      <c r="I686" s="103"/>
      <c r="J686" s="58" t="str">
        <f>IF(F686="","", IF(I686="",_xlfn.NETWORKDAYS.INTL(F686,TODAY(),1,FERIADOS),_xlfn.NETWORKDAYS.INTL(F686,I686,1,FERIADOS)))</f>
        <v/>
      </c>
      <c r="K686" s="58" t="str">
        <f t="shared" si="2"/>
        <v/>
      </c>
      <c r="L686" s="58" t="str">
        <f t="shared" si="3"/>
        <v/>
      </c>
    </row>
    <row r="687" ht="21.0" customHeight="1">
      <c r="A687" s="76"/>
      <c r="B687" s="94"/>
      <c r="C687" s="38" t="str">
        <f t="array" ref="C687">IF(B687="","",INDEX(PARAMETROS!$J$2:$J$14,MATCH(B687,PARAMETROS!$G$2:$G$14,0),1))</f>
        <v/>
      </c>
      <c r="D687" s="101"/>
      <c r="E687" s="102"/>
      <c r="F687" s="103"/>
      <c r="G687" s="49" t="str">
        <f t="shared" si="1"/>
        <v/>
      </c>
      <c r="H687" s="76"/>
      <c r="I687" s="103"/>
      <c r="J687" s="58" t="str">
        <f>IF(F687="","", IF(I687="",_xlfn.NETWORKDAYS.INTL(F687,TODAY(),1,FERIADOS),_xlfn.NETWORKDAYS.INTL(F687,I687,1,FERIADOS)))</f>
        <v/>
      </c>
      <c r="K687" s="58" t="str">
        <f t="shared" si="2"/>
        <v/>
      </c>
      <c r="L687" s="58" t="str">
        <f t="shared" si="3"/>
        <v/>
      </c>
    </row>
    <row r="688" ht="21.0" customHeight="1">
      <c r="A688" s="76"/>
      <c r="B688" s="94"/>
      <c r="C688" s="38" t="str">
        <f t="array" ref="C688">IF(B688="","",INDEX(PARAMETROS!$J$2:$J$14,MATCH(B688,PARAMETROS!$G$2:$G$14,0),1))</f>
        <v/>
      </c>
      <c r="D688" s="101"/>
      <c r="E688" s="102"/>
      <c r="F688" s="103"/>
      <c r="G688" s="49" t="str">
        <f t="shared" si="1"/>
        <v/>
      </c>
      <c r="H688" s="76"/>
      <c r="I688" s="103"/>
      <c r="J688" s="58" t="str">
        <f>IF(F688="","", IF(I688="",_xlfn.NETWORKDAYS.INTL(F688,TODAY(),1,FERIADOS),_xlfn.NETWORKDAYS.INTL(F688,I688,1,FERIADOS)))</f>
        <v/>
      </c>
      <c r="K688" s="58" t="str">
        <f t="shared" si="2"/>
        <v/>
      </c>
      <c r="L688" s="58" t="str">
        <f t="shared" si="3"/>
        <v/>
      </c>
    </row>
    <row r="689" ht="21.0" customHeight="1">
      <c r="A689" s="76"/>
      <c r="B689" s="94"/>
      <c r="C689" s="38" t="str">
        <f t="array" ref="C689">IF(B689="","",INDEX(PARAMETROS!$J$2:$J$14,MATCH(B689,PARAMETROS!$G$2:$G$14,0),1))</f>
        <v/>
      </c>
      <c r="D689" s="101"/>
      <c r="E689" s="102"/>
      <c r="F689" s="103"/>
      <c r="G689" s="49" t="str">
        <f t="shared" si="1"/>
        <v/>
      </c>
      <c r="H689" s="76"/>
      <c r="I689" s="103"/>
      <c r="J689" s="58" t="str">
        <f>IF(F689="","", IF(I689="",_xlfn.NETWORKDAYS.INTL(F689,TODAY(),1,FERIADOS),_xlfn.NETWORKDAYS.INTL(F689,I689,1,FERIADOS)))</f>
        <v/>
      </c>
      <c r="K689" s="58" t="str">
        <f t="shared" si="2"/>
        <v/>
      </c>
      <c r="L689" s="58" t="str">
        <f t="shared" si="3"/>
        <v/>
      </c>
    </row>
    <row r="690" ht="21.0" customHeight="1">
      <c r="A690" s="76"/>
      <c r="B690" s="94"/>
      <c r="C690" s="38" t="str">
        <f t="array" ref="C690">IF(B690="","",INDEX(PARAMETROS!$J$2:$J$14,MATCH(B690,PARAMETROS!$G$2:$G$14,0),1))</f>
        <v/>
      </c>
      <c r="D690" s="101"/>
      <c r="E690" s="102"/>
      <c r="F690" s="103"/>
      <c r="G690" s="49" t="str">
        <f t="shared" si="1"/>
        <v/>
      </c>
      <c r="H690" s="76"/>
      <c r="I690" s="103"/>
      <c r="J690" s="58" t="str">
        <f>IF(F690="","", IF(I690="",_xlfn.NETWORKDAYS.INTL(F690,TODAY(),1,FERIADOS),_xlfn.NETWORKDAYS.INTL(F690,I690,1,FERIADOS)))</f>
        <v/>
      </c>
      <c r="K690" s="58" t="str">
        <f t="shared" si="2"/>
        <v/>
      </c>
      <c r="L690" s="58" t="str">
        <f t="shared" si="3"/>
        <v/>
      </c>
    </row>
    <row r="691" ht="21.0" customHeight="1">
      <c r="A691" s="76"/>
      <c r="B691" s="94"/>
      <c r="C691" s="38" t="str">
        <f t="array" ref="C691">IF(B691="","",INDEX(PARAMETROS!$J$2:$J$14,MATCH(B691,PARAMETROS!$G$2:$G$14,0),1))</f>
        <v/>
      </c>
      <c r="D691" s="101"/>
      <c r="E691" s="102"/>
      <c r="F691" s="103"/>
      <c r="G691" s="49" t="str">
        <f t="shared" si="1"/>
        <v/>
      </c>
      <c r="H691" s="76"/>
      <c r="I691" s="103"/>
      <c r="J691" s="58" t="str">
        <f>IF(F691="","", IF(I691="",_xlfn.NETWORKDAYS.INTL(F691,TODAY(),1,FERIADOS),_xlfn.NETWORKDAYS.INTL(F691,I691,1,FERIADOS)))</f>
        <v/>
      </c>
      <c r="K691" s="58" t="str">
        <f t="shared" si="2"/>
        <v/>
      </c>
      <c r="L691" s="58" t="str">
        <f t="shared" si="3"/>
        <v/>
      </c>
    </row>
    <row r="692" ht="21.0" customHeight="1">
      <c r="A692" s="76"/>
      <c r="B692" s="94"/>
      <c r="C692" s="38" t="str">
        <f t="array" ref="C692">IF(B692="","",INDEX(PARAMETROS!$J$2:$J$14,MATCH(B692,PARAMETROS!$G$2:$G$14,0),1))</f>
        <v/>
      </c>
      <c r="D692" s="101"/>
      <c r="E692" s="102"/>
      <c r="F692" s="103"/>
      <c r="G692" s="49" t="str">
        <f t="shared" si="1"/>
        <v/>
      </c>
      <c r="H692" s="76"/>
      <c r="I692" s="103"/>
      <c r="J692" s="58" t="str">
        <f>IF(F692="","", IF(I692="",_xlfn.NETWORKDAYS.INTL(F692,TODAY(),1,FERIADOS),_xlfn.NETWORKDAYS.INTL(F692,I692,1,FERIADOS)))</f>
        <v/>
      </c>
      <c r="K692" s="58" t="str">
        <f t="shared" si="2"/>
        <v/>
      </c>
      <c r="L692" s="58" t="str">
        <f t="shared" si="3"/>
        <v/>
      </c>
    </row>
    <row r="693" ht="21.0" customHeight="1">
      <c r="A693" s="76"/>
      <c r="B693" s="94"/>
      <c r="C693" s="38" t="str">
        <f t="array" ref="C693">IF(B693="","",INDEX(PARAMETROS!$J$2:$J$14,MATCH(B693,PARAMETROS!$G$2:$G$14,0),1))</f>
        <v/>
      </c>
      <c r="D693" s="101"/>
      <c r="E693" s="102"/>
      <c r="F693" s="103"/>
      <c r="G693" s="49" t="str">
        <f t="shared" si="1"/>
        <v/>
      </c>
      <c r="H693" s="76"/>
      <c r="I693" s="103"/>
      <c r="J693" s="58" t="str">
        <f>IF(F693="","", IF(I693="",_xlfn.NETWORKDAYS.INTL(F693,TODAY(),1,FERIADOS),_xlfn.NETWORKDAYS.INTL(F693,I693,1,FERIADOS)))</f>
        <v/>
      </c>
      <c r="K693" s="58" t="str">
        <f t="shared" si="2"/>
        <v/>
      </c>
      <c r="L693" s="58" t="str">
        <f t="shared" si="3"/>
        <v/>
      </c>
    </row>
    <row r="694" ht="21.0" customHeight="1">
      <c r="A694" s="76"/>
      <c r="B694" s="94"/>
      <c r="C694" s="38" t="str">
        <f t="array" ref="C694">IF(B694="","",INDEX(PARAMETROS!$J$2:$J$14,MATCH(B694,PARAMETROS!$G$2:$G$14,0),1))</f>
        <v/>
      </c>
      <c r="D694" s="101"/>
      <c r="E694" s="102"/>
      <c r="F694" s="103"/>
      <c r="G694" s="49" t="str">
        <f t="shared" si="1"/>
        <v/>
      </c>
      <c r="H694" s="76"/>
      <c r="I694" s="103"/>
      <c r="J694" s="58" t="str">
        <f>IF(F694="","", IF(I694="",_xlfn.NETWORKDAYS.INTL(F694,TODAY(),1,FERIADOS),_xlfn.NETWORKDAYS.INTL(F694,I694,1,FERIADOS)))</f>
        <v/>
      </c>
      <c r="K694" s="58" t="str">
        <f t="shared" si="2"/>
        <v/>
      </c>
      <c r="L694" s="58" t="str">
        <f t="shared" si="3"/>
        <v/>
      </c>
    </row>
    <row r="695" ht="21.0" customHeight="1">
      <c r="A695" s="76"/>
      <c r="B695" s="94"/>
      <c r="C695" s="38" t="str">
        <f t="array" ref="C695">IF(B695="","",INDEX(PARAMETROS!$J$2:$J$14,MATCH(B695,PARAMETROS!$G$2:$G$14,0),1))</f>
        <v/>
      </c>
      <c r="D695" s="101"/>
      <c r="E695" s="102"/>
      <c r="F695" s="103"/>
      <c r="G695" s="49" t="str">
        <f t="shared" si="1"/>
        <v/>
      </c>
      <c r="H695" s="76"/>
      <c r="I695" s="103"/>
      <c r="J695" s="58" t="str">
        <f>IF(F695="","", IF(I695="",_xlfn.NETWORKDAYS.INTL(F695,TODAY(),1,FERIADOS),_xlfn.NETWORKDAYS.INTL(F695,I695,1,FERIADOS)))</f>
        <v/>
      </c>
      <c r="K695" s="58" t="str">
        <f t="shared" si="2"/>
        <v/>
      </c>
      <c r="L695" s="58" t="str">
        <f t="shared" si="3"/>
        <v/>
      </c>
    </row>
    <row r="696" ht="21.0" customHeight="1">
      <c r="A696" s="76"/>
      <c r="B696" s="94"/>
      <c r="C696" s="38" t="str">
        <f t="array" ref="C696">IF(B696="","",INDEX(PARAMETROS!$J$2:$J$14,MATCH(B696,PARAMETROS!$G$2:$G$14,0),1))</f>
        <v/>
      </c>
      <c r="D696" s="101"/>
      <c r="E696" s="102"/>
      <c r="F696" s="103"/>
      <c r="G696" s="49" t="str">
        <f t="shared" si="1"/>
        <v/>
      </c>
      <c r="H696" s="76"/>
      <c r="I696" s="103"/>
      <c r="J696" s="58" t="str">
        <f>IF(F696="","", IF(I696="",_xlfn.NETWORKDAYS.INTL(F696,TODAY(),1,FERIADOS),_xlfn.NETWORKDAYS.INTL(F696,I696,1,FERIADOS)))</f>
        <v/>
      </c>
      <c r="K696" s="58" t="str">
        <f t="shared" si="2"/>
        <v/>
      </c>
      <c r="L696" s="58" t="str">
        <f t="shared" si="3"/>
        <v/>
      </c>
    </row>
    <row r="697" ht="21.0" customHeight="1">
      <c r="A697" s="76"/>
      <c r="B697" s="94"/>
      <c r="C697" s="38" t="str">
        <f t="array" ref="C697">IF(B697="","",INDEX(PARAMETROS!$J$2:$J$14,MATCH(B697,PARAMETROS!$G$2:$G$14,0),1))</f>
        <v/>
      </c>
      <c r="D697" s="101"/>
      <c r="E697" s="102"/>
      <c r="F697" s="103"/>
      <c r="G697" s="49" t="str">
        <f t="shared" si="1"/>
        <v/>
      </c>
      <c r="H697" s="76"/>
      <c r="I697" s="103"/>
      <c r="J697" s="58" t="str">
        <f>IF(F697="","", IF(I697="",_xlfn.NETWORKDAYS.INTL(F697,TODAY(),1,FERIADOS),_xlfn.NETWORKDAYS.INTL(F697,I697,1,FERIADOS)))</f>
        <v/>
      </c>
      <c r="K697" s="58" t="str">
        <f t="shared" si="2"/>
        <v/>
      </c>
      <c r="L697" s="58" t="str">
        <f t="shared" si="3"/>
        <v/>
      </c>
    </row>
    <row r="698" ht="21.0" customHeight="1">
      <c r="A698" s="76"/>
      <c r="B698" s="94"/>
      <c r="C698" s="38" t="str">
        <f t="array" ref="C698">IF(B698="","",INDEX(PARAMETROS!$J$2:$J$14,MATCH(B698,PARAMETROS!$G$2:$G$14,0),1))</f>
        <v/>
      </c>
      <c r="D698" s="101"/>
      <c r="E698" s="102"/>
      <c r="F698" s="103"/>
      <c r="G698" s="49" t="str">
        <f t="shared" si="1"/>
        <v/>
      </c>
      <c r="H698" s="76"/>
      <c r="I698" s="103"/>
      <c r="J698" s="58" t="str">
        <f>IF(F698="","", IF(I698="",_xlfn.NETWORKDAYS.INTL(F698,TODAY(),1,FERIADOS),_xlfn.NETWORKDAYS.INTL(F698,I698,1,FERIADOS)))</f>
        <v/>
      </c>
      <c r="K698" s="58" t="str">
        <f t="shared" si="2"/>
        <v/>
      </c>
      <c r="L698" s="58" t="str">
        <f t="shared" si="3"/>
        <v/>
      </c>
    </row>
    <row r="699" ht="21.0" customHeight="1">
      <c r="A699" s="76"/>
      <c r="B699" s="94"/>
      <c r="C699" s="38" t="str">
        <f t="array" ref="C699">IF(B699="","",INDEX(PARAMETROS!$J$2:$J$14,MATCH(B699,PARAMETROS!$G$2:$G$14,0),1))</f>
        <v/>
      </c>
      <c r="D699" s="101"/>
      <c r="E699" s="102"/>
      <c r="F699" s="103"/>
      <c r="G699" s="49" t="str">
        <f t="shared" si="1"/>
        <v/>
      </c>
      <c r="H699" s="76"/>
      <c r="I699" s="103"/>
      <c r="J699" s="58" t="str">
        <f>IF(F699="","", IF(I699="",_xlfn.NETWORKDAYS.INTL(F699,TODAY(),1,FERIADOS),_xlfn.NETWORKDAYS.INTL(F699,I699,1,FERIADOS)))</f>
        <v/>
      </c>
      <c r="K699" s="58" t="str">
        <f t="shared" si="2"/>
        <v/>
      </c>
      <c r="L699" s="58" t="str">
        <f t="shared" si="3"/>
        <v/>
      </c>
    </row>
    <row r="700" ht="21.0" customHeight="1">
      <c r="A700" s="76"/>
      <c r="B700" s="94"/>
      <c r="C700" s="38" t="str">
        <f t="array" ref="C700">IF(B700="","",INDEX(PARAMETROS!$J$2:$J$14,MATCH(B700,PARAMETROS!$G$2:$G$14,0),1))</f>
        <v/>
      </c>
      <c r="D700" s="101"/>
      <c r="E700" s="102"/>
      <c r="F700" s="103"/>
      <c r="G700" s="49" t="str">
        <f t="shared" si="1"/>
        <v/>
      </c>
      <c r="H700" s="76"/>
      <c r="I700" s="103"/>
      <c r="J700" s="58" t="str">
        <f>IF(F700="","", IF(I700="",_xlfn.NETWORKDAYS.INTL(F700,TODAY(),1,FERIADOS),_xlfn.NETWORKDAYS.INTL(F700,I700,1,FERIADOS)))</f>
        <v/>
      </c>
      <c r="K700" s="58" t="str">
        <f t="shared" si="2"/>
        <v/>
      </c>
      <c r="L700" s="58" t="str">
        <f t="shared" si="3"/>
        <v/>
      </c>
    </row>
    <row r="701" ht="21.0" customHeight="1">
      <c r="A701" s="76"/>
      <c r="B701" s="94"/>
      <c r="C701" s="38" t="str">
        <f t="array" ref="C701">IF(B701="","",INDEX(PARAMETROS!$J$2:$J$14,MATCH(B701,PARAMETROS!$G$2:$G$14,0),1))</f>
        <v/>
      </c>
      <c r="D701" s="101"/>
      <c r="E701" s="102"/>
      <c r="F701" s="103"/>
      <c r="G701" s="49" t="str">
        <f t="shared" si="1"/>
        <v/>
      </c>
      <c r="H701" s="76"/>
      <c r="I701" s="103"/>
      <c r="J701" s="58" t="str">
        <f>IF(F701="","", IF(I701="",_xlfn.NETWORKDAYS.INTL(F701,TODAY(),1,FERIADOS),_xlfn.NETWORKDAYS.INTL(F701,I701,1,FERIADOS)))</f>
        <v/>
      </c>
      <c r="K701" s="58" t="str">
        <f t="shared" si="2"/>
        <v/>
      </c>
      <c r="L701" s="58" t="str">
        <f t="shared" si="3"/>
        <v/>
      </c>
    </row>
    <row r="702" ht="21.0" customHeight="1">
      <c r="A702" s="76"/>
      <c r="B702" s="94"/>
      <c r="C702" s="38" t="str">
        <f t="array" ref="C702">IF(B702="","",INDEX(PARAMETROS!$J$2:$J$14,MATCH(B702,PARAMETROS!$G$2:$G$14,0),1))</f>
        <v/>
      </c>
      <c r="D702" s="101"/>
      <c r="E702" s="102"/>
      <c r="F702" s="103"/>
      <c r="G702" s="49" t="str">
        <f t="shared" si="1"/>
        <v/>
      </c>
      <c r="H702" s="76"/>
      <c r="I702" s="103"/>
      <c r="J702" s="58" t="str">
        <f>IF(F702="","", IF(I702="",_xlfn.NETWORKDAYS.INTL(F702,TODAY(),1,FERIADOS),_xlfn.NETWORKDAYS.INTL(F702,I702,1,FERIADOS)))</f>
        <v/>
      </c>
      <c r="K702" s="58" t="str">
        <f t="shared" si="2"/>
        <v/>
      </c>
      <c r="L702" s="58" t="str">
        <f t="shared" si="3"/>
        <v/>
      </c>
    </row>
    <row r="703" ht="21.0" customHeight="1">
      <c r="A703" s="76"/>
      <c r="B703" s="94"/>
      <c r="C703" s="38" t="str">
        <f t="array" ref="C703">IF(B703="","",INDEX(PARAMETROS!$J$2:$J$14,MATCH(B703,PARAMETROS!$G$2:$G$14,0),1))</f>
        <v/>
      </c>
      <c r="D703" s="101"/>
      <c r="E703" s="102"/>
      <c r="F703" s="103"/>
      <c r="G703" s="49" t="str">
        <f t="shared" si="1"/>
        <v/>
      </c>
      <c r="H703" s="76"/>
      <c r="I703" s="103"/>
      <c r="J703" s="58" t="str">
        <f>IF(F703="","", IF(I703="",_xlfn.NETWORKDAYS.INTL(F703,TODAY(),1,FERIADOS),_xlfn.NETWORKDAYS.INTL(F703,I703,1,FERIADOS)))</f>
        <v/>
      </c>
      <c r="K703" s="58" t="str">
        <f t="shared" si="2"/>
        <v/>
      </c>
      <c r="L703" s="58" t="str">
        <f t="shared" si="3"/>
        <v/>
      </c>
    </row>
    <row r="704" ht="21.0" customHeight="1">
      <c r="A704" s="76"/>
      <c r="B704" s="94"/>
      <c r="C704" s="38" t="str">
        <f t="array" ref="C704">IF(B704="","",INDEX(PARAMETROS!$J$2:$J$14,MATCH(B704,PARAMETROS!$G$2:$G$14,0),1))</f>
        <v/>
      </c>
      <c r="D704" s="101"/>
      <c r="E704" s="102"/>
      <c r="F704" s="103"/>
      <c r="G704" s="49" t="str">
        <f t="shared" si="1"/>
        <v/>
      </c>
      <c r="H704" s="76"/>
      <c r="I704" s="103"/>
      <c r="J704" s="58" t="str">
        <f>IF(F704="","", IF(I704="",_xlfn.NETWORKDAYS.INTL(F704,TODAY(),1,FERIADOS),_xlfn.NETWORKDAYS.INTL(F704,I704,1,FERIADOS)))</f>
        <v/>
      </c>
      <c r="K704" s="58" t="str">
        <f t="shared" si="2"/>
        <v/>
      </c>
      <c r="L704" s="58" t="str">
        <f t="shared" si="3"/>
        <v/>
      </c>
    </row>
    <row r="705" ht="21.0" customHeight="1">
      <c r="A705" s="76"/>
      <c r="B705" s="94"/>
      <c r="C705" s="38" t="str">
        <f t="array" ref="C705">IF(B705="","",INDEX(PARAMETROS!$J$2:$J$14,MATCH(B705,PARAMETROS!$G$2:$G$14,0),1))</f>
        <v/>
      </c>
      <c r="D705" s="101"/>
      <c r="E705" s="102"/>
      <c r="F705" s="103"/>
      <c r="G705" s="49" t="str">
        <f t="shared" si="1"/>
        <v/>
      </c>
      <c r="H705" s="76"/>
      <c r="I705" s="103"/>
      <c r="J705" s="58" t="str">
        <f>IF(F705="","", IF(I705="",_xlfn.NETWORKDAYS.INTL(F705,TODAY(),1,FERIADOS),_xlfn.NETWORKDAYS.INTL(F705,I705,1,FERIADOS)))</f>
        <v/>
      </c>
      <c r="K705" s="58" t="str">
        <f t="shared" si="2"/>
        <v/>
      </c>
      <c r="L705" s="58" t="str">
        <f t="shared" si="3"/>
        <v/>
      </c>
    </row>
    <row r="706" ht="21.0" customHeight="1">
      <c r="A706" s="76"/>
      <c r="B706" s="94"/>
      <c r="C706" s="38" t="str">
        <f t="array" ref="C706">IF(B706="","",INDEX(PARAMETROS!$J$2:$J$14,MATCH(B706,PARAMETROS!$G$2:$G$14,0),1))</f>
        <v/>
      </c>
      <c r="D706" s="101"/>
      <c r="E706" s="102"/>
      <c r="F706" s="103"/>
      <c r="G706" s="49" t="str">
        <f t="shared" si="1"/>
        <v/>
      </c>
      <c r="H706" s="76"/>
      <c r="I706" s="103"/>
      <c r="J706" s="58" t="str">
        <f>IF(F706="","", IF(I706="",_xlfn.NETWORKDAYS.INTL(F706,TODAY(),1,FERIADOS),_xlfn.NETWORKDAYS.INTL(F706,I706,1,FERIADOS)))</f>
        <v/>
      </c>
      <c r="K706" s="58" t="str">
        <f t="shared" si="2"/>
        <v/>
      </c>
      <c r="L706" s="58" t="str">
        <f t="shared" si="3"/>
        <v/>
      </c>
    </row>
    <row r="707" ht="21.0" customHeight="1">
      <c r="A707" s="76"/>
      <c r="B707" s="94"/>
      <c r="C707" s="38" t="str">
        <f t="array" ref="C707">IF(B707="","",INDEX(PARAMETROS!$J$2:$J$14,MATCH(B707,PARAMETROS!$G$2:$G$14,0),1))</f>
        <v/>
      </c>
      <c r="D707" s="101"/>
      <c r="E707" s="102"/>
      <c r="F707" s="103"/>
      <c r="G707" s="49" t="str">
        <f t="shared" si="1"/>
        <v/>
      </c>
      <c r="H707" s="76"/>
      <c r="I707" s="103"/>
      <c r="J707" s="58" t="str">
        <f>IF(F707="","", IF(I707="",_xlfn.NETWORKDAYS.INTL(F707,TODAY(),1,FERIADOS),_xlfn.NETWORKDAYS.INTL(F707,I707,1,FERIADOS)))</f>
        <v/>
      </c>
      <c r="K707" s="58" t="str">
        <f t="shared" si="2"/>
        <v/>
      </c>
      <c r="L707" s="58" t="str">
        <f t="shared" si="3"/>
        <v/>
      </c>
    </row>
    <row r="708" ht="21.0" customHeight="1">
      <c r="A708" s="76"/>
      <c r="B708" s="94"/>
      <c r="C708" s="38" t="str">
        <f t="array" ref="C708">IF(B708="","",INDEX(PARAMETROS!$J$2:$J$14,MATCH(B708,PARAMETROS!$G$2:$G$14,0),1))</f>
        <v/>
      </c>
      <c r="D708" s="101"/>
      <c r="E708" s="102"/>
      <c r="F708" s="103"/>
      <c r="G708" s="49" t="str">
        <f t="shared" si="1"/>
        <v/>
      </c>
      <c r="H708" s="76"/>
      <c r="I708" s="103"/>
      <c r="J708" s="58" t="str">
        <f>IF(F708="","", IF(I708="",_xlfn.NETWORKDAYS.INTL(F708,TODAY(),1,FERIADOS),_xlfn.NETWORKDAYS.INTL(F708,I708,1,FERIADOS)))</f>
        <v/>
      </c>
      <c r="K708" s="58" t="str">
        <f t="shared" si="2"/>
        <v/>
      </c>
      <c r="L708" s="58" t="str">
        <f t="shared" si="3"/>
        <v/>
      </c>
    </row>
    <row r="709" ht="21.0" customHeight="1">
      <c r="A709" s="76"/>
      <c r="B709" s="94"/>
      <c r="C709" s="38" t="str">
        <f t="array" ref="C709">IF(B709="","",INDEX(PARAMETROS!$J$2:$J$14,MATCH(B709,PARAMETROS!$G$2:$G$14,0),1))</f>
        <v/>
      </c>
      <c r="D709" s="101"/>
      <c r="E709" s="102"/>
      <c r="F709" s="103"/>
      <c r="G709" s="49" t="str">
        <f t="shared" si="1"/>
        <v/>
      </c>
      <c r="H709" s="76"/>
      <c r="I709" s="103"/>
      <c r="J709" s="58" t="str">
        <f>IF(F709="","", IF(I709="",_xlfn.NETWORKDAYS.INTL(F709,TODAY(),1,FERIADOS),_xlfn.NETWORKDAYS.INTL(F709,I709,1,FERIADOS)))</f>
        <v/>
      </c>
      <c r="K709" s="58" t="str">
        <f t="shared" si="2"/>
        <v/>
      </c>
      <c r="L709" s="58" t="str">
        <f t="shared" si="3"/>
        <v/>
      </c>
    </row>
    <row r="710" ht="21.0" customHeight="1">
      <c r="A710" s="76"/>
      <c r="B710" s="94"/>
      <c r="C710" s="38" t="str">
        <f t="array" ref="C710">IF(B710="","",INDEX(PARAMETROS!$J$2:$J$14,MATCH(B710,PARAMETROS!$G$2:$G$14,0),1))</f>
        <v/>
      </c>
      <c r="D710" s="101"/>
      <c r="E710" s="102"/>
      <c r="F710" s="103"/>
      <c r="G710" s="49" t="str">
        <f t="shared" si="1"/>
        <v/>
      </c>
      <c r="H710" s="76"/>
      <c r="I710" s="103"/>
      <c r="J710" s="58" t="str">
        <f>IF(F710="","", IF(I710="",_xlfn.NETWORKDAYS.INTL(F710,TODAY(),1,FERIADOS),_xlfn.NETWORKDAYS.INTL(F710,I710,1,FERIADOS)))</f>
        <v/>
      </c>
      <c r="K710" s="58" t="str">
        <f t="shared" si="2"/>
        <v/>
      </c>
      <c r="L710" s="58" t="str">
        <f t="shared" si="3"/>
        <v/>
      </c>
    </row>
    <row r="711" ht="21.0" customHeight="1">
      <c r="A711" s="76"/>
      <c r="B711" s="94"/>
      <c r="C711" s="38" t="str">
        <f t="array" ref="C711">IF(B711="","",INDEX(PARAMETROS!$J$2:$J$14,MATCH(B711,PARAMETROS!$G$2:$G$14,0),1))</f>
        <v/>
      </c>
      <c r="D711" s="101"/>
      <c r="E711" s="102"/>
      <c r="F711" s="103"/>
      <c r="G711" s="49" t="str">
        <f t="shared" si="1"/>
        <v/>
      </c>
      <c r="H711" s="76"/>
      <c r="I711" s="103"/>
      <c r="J711" s="58" t="str">
        <f>IF(F711="","", IF(I711="",_xlfn.NETWORKDAYS.INTL(F711,TODAY(),1,FERIADOS),_xlfn.NETWORKDAYS.INTL(F711,I711,1,FERIADOS)))</f>
        <v/>
      </c>
      <c r="K711" s="58" t="str">
        <f t="shared" si="2"/>
        <v/>
      </c>
      <c r="L711" s="58" t="str">
        <f t="shared" si="3"/>
        <v/>
      </c>
    </row>
    <row r="712" ht="21.0" customHeight="1">
      <c r="A712" s="76"/>
      <c r="B712" s="94"/>
      <c r="C712" s="38" t="str">
        <f t="array" ref="C712">IF(B712="","",INDEX(PARAMETROS!$J$2:$J$14,MATCH(B712,PARAMETROS!$G$2:$G$14,0),1))</f>
        <v/>
      </c>
      <c r="D712" s="101"/>
      <c r="E712" s="102"/>
      <c r="F712" s="103"/>
      <c r="G712" s="49" t="str">
        <f t="shared" si="1"/>
        <v/>
      </c>
      <c r="H712" s="76"/>
      <c r="I712" s="103"/>
      <c r="J712" s="58" t="str">
        <f>IF(F712="","", IF(I712="",_xlfn.NETWORKDAYS.INTL(F712,TODAY(),1,FERIADOS),_xlfn.NETWORKDAYS.INTL(F712,I712,1,FERIADOS)))</f>
        <v/>
      </c>
      <c r="K712" s="58" t="str">
        <f t="shared" si="2"/>
        <v/>
      </c>
      <c r="L712" s="58" t="str">
        <f t="shared" si="3"/>
        <v/>
      </c>
    </row>
    <row r="713" ht="21.0" customHeight="1">
      <c r="A713" s="76"/>
      <c r="B713" s="94"/>
      <c r="C713" s="38" t="str">
        <f t="array" ref="C713">IF(B713="","",INDEX(PARAMETROS!$J$2:$J$14,MATCH(B713,PARAMETROS!$G$2:$G$14,0),1))</f>
        <v/>
      </c>
      <c r="D713" s="101"/>
      <c r="E713" s="102"/>
      <c r="F713" s="103"/>
      <c r="G713" s="49" t="str">
        <f t="shared" si="1"/>
        <v/>
      </c>
      <c r="H713" s="76"/>
      <c r="I713" s="103"/>
      <c r="J713" s="58" t="str">
        <f>IF(F713="","", IF(I713="",_xlfn.NETWORKDAYS.INTL(F713,TODAY(),1,FERIADOS),_xlfn.NETWORKDAYS.INTL(F713,I713,1,FERIADOS)))</f>
        <v/>
      </c>
      <c r="K713" s="58" t="str">
        <f t="shared" si="2"/>
        <v/>
      </c>
      <c r="L713" s="58" t="str">
        <f t="shared" si="3"/>
        <v/>
      </c>
    </row>
    <row r="714" ht="21.0" customHeight="1">
      <c r="A714" s="76"/>
      <c r="B714" s="94"/>
      <c r="C714" s="38" t="str">
        <f t="array" ref="C714">IF(B714="","",INDEX(PARAMETROS!$J$2:$J$14,MATCH(B714,PARAMETROS!$G$2:$G$14,0),1))</f>
        <v/>
      </c>
      <c r="D714" s="101"/>
      <c r="E714" s="102"/>
      <c r="F714" s="103"/>
      <c r="G714" s="49" t="str">
        <f t="shared" si="1"/>
        <v/>
      </c>
      <c r="H714" s="76"/>
      <c r="I714" s="103"/>
      <c r="J714" s="58" t="str">
        <f>IF(F714="","", IF(I714="",_xlfn.NETWORKDAYS.INTL(F714,TODAY(),1,FERIADOS),_xlfn.NETWORKDAYS.INTL(F714,I714,1,FERIADOS)))</f>
        <v/>
      </c>
      <c r="K714" s="58" t="str">
        <f t="shared" si="2"/>
        <v/>
      </c>
      <c r="L714" s="58" t="str">
        <f t="shared" si="3"/>
        <v/>
      </c>
    </row>
    <row r="715" ht="21.0" customHeight="1">
      <c r="A715" s="76"/>
      <c r="B715" s="94"/>
      <c r="C715" s="38" t="str">
        <f t="array" ref="C715">IF(B715="","",INDEX(PARAMETROS!$J$2:$J$14,MATCH(B715,PARAMETROS!$G$2:$G$14,0),1))</f>
        <v/>
      </c>
      <c r="D715" s="101"/>
      <c r="E715" s="102"/>
      <c r="F715" s="103"/>
      <c r="G715" s="49" t="str">
        <f t="shared" si="1"/>
        <v/>
      </c>
      <c r="H715" s="76"/>
      <c r="I715" s="103"/>
      <c r="J715" s="58" t="str">
        <f>IF(F715="","", IF(I715="",_xlfn.NETWORKDAYS.INTL(F715,TODAY(),1,FERIADOS),_xlfn.NETWORKDAYS.INTL(F715,I715,1,FERIADOS)))</f>
        <v/>
      </c>
      <c r="K715" s="58" t="str">
        <f t="shared" si="2"/>
        <v/>
      </c>
      <c r="L715" s="58" t="str">
        <f t="shared" si="3"/>
        <v/>
      </c>
    </row>
    <row r="716" ht="21.0" customHeight="1">
      <c r="A716" s="76"/>
      <c r="B716" s="94"/>
      <c r="C716" s="38" t="str">
        <f t="array" ref="C716">IF(B716="","",INDEX(PARAMETROS!$J$2:$J$14,MATCH(B716,PARAMETROS!$G$2:$G$14,0),1))</f>
        <v/>
      </c>
      <c r="D716" s="101"/>
      <c r="E716" s="102"/>
      <c r="F716" s="103"/>
      <c r="G716" s="49" t="str">
        <f t="shared" si="1"/>
        <v/>
      </c>
      <c r="H716" s="76"/>
      <c r="I716" s="103"/>
      <c r="J716" s="58" t="str">
        <f>IF(F716="","", IF(I716="",_xlfn.NETWORKDAYS.INTL(F716,TODAY(),1,FERIADOS),_xlfn.NETWORKDAYS.INTL(F716,I716,1,FERIADOS)))</f>
        <v/>
      </c>
      <c r="K716" s="58" t="str">
        <f t="shared" si="2"/>
        <v/>
      </c>
      <c r="L716" s="58" t="str">
        <f t="shared" si="3"/>
        <v/>
      </c>
    </row>
    <row r="717" ht="21.0" customHeight="1">
      <c r="A717" s="76"/>
      <c r="B717" s="94"/>
      <c r="C717" s="38" t="str">
        <f t="array" ref="C717">IF(B717="","",INDEX(PARAMETROS!$J$2:$J$14,MATCH(B717,PARAMETROS!$G$2:$G$14,0),1))</f>
        <v/>
      </c>
      <c r="D717" s="101"/>
      <c r="E717" s="102"/>
      <c r="F717" s="103"/>
      <c r="G717" s="49" t="str">
        <f t="shared" si="1"/>
        <v/>
      </c>
      <c r="H717" s="76"/>
      <c r="I717" s="103"/>
      <c r="J717" s="58" t="str">
        <f>IF(F717="","", IF(I717="",_xlfn.NETWORKDAYS.INTL(F717,TODAY(),1,FERIADOS),_xlfn.NETWORKDAYS.INTL(F717,I717,1,FERIADOS)))</f>
        <v/>
      </c>
      <c r="K717" s="58" t="str">
        <f t="shared" si="2"/>
        <v/>
      </c>
      <c r="L717" s="58" t="str">
        <f t="shared" si="3"/>
        <v/>
      </c>
    </row>
    <row r="718" ht="21.0" customHeight="1">
      <c r="A718" s="76"/>
      <c r="B718" s="94"/>
      <c r="C718" s="38" t="str">
        <f t="array" ref="C718">IF(B718="","",INDEX(PARAMETROS!$J$2:$J$14,MATCH(B718,PARAMETROS!$G$2:$G$14,0),1))</f>
        <v/>
      </c>
      <c r="D718" s="101"/>
      <c r="E718" s="102"/>
      <c r="F718" s="103"/>
      <c r="G718" s="49" t="str">
        <f t="shared" si="1"/>
        <v/>
      </c>
      <c r="H718" s="76"/>
      <c r="I718" s="103"/>
      <c r="J718" s="58" t="str">
        <f>IF(F718="","", IF(I718="",_xlfn.NETWORKDAYS.INTL(F718,TODAY(),1,FERIADOS),_xlfn.NETWORKDAYS.INTL(F718,I718,1,FERIADOS)))</f>
        <v/>
      </c>
      <c r="K718" s="58" t="str">
        <f t="shared" si="2"/>
        <v/>
      </c>
      <c r="L718" s="58" t="str">
        <f t="shared" si="3"/>
        <v/>
      </c>
    </row>
    <row r="719" ht="21.0" customHeight="1">
      <c r="A719" s="76"/>
      <c r="B719" s="94"/>
      <c r="C719" s="38" t="str">
        <f t="array" ref="C719">IF(B719="","",INDEX(PARAMETROS!$J$2:$J$14,MATCH(B719,PARAMETROS!$G$2:$G$14,0),1))</f>
        <v/>
      </c>
      <c r="D719" s="101"/>
      <c r="E719" s="102"/>
      <c r="F719" s="103"/>
      <c r="G719" s="49" t="str">
        <f t="shared" si="1"/>
        <v/>
      </c>
      <c r="H719" s="76"/>
      <c r="I719" s="103"/>
      <c r="J719" s="58" t="str">
        <f>IF(F719="","", IF(I719="",_xlfn.NETWORKDAYS.INTL(F719,TODAY(),1,FERIADOS),_xlfn.NETWORKDAYS.INTL(F719,I719,1,FERIADOS)))</f>
        <v/>
      </c>
      <c r="K719" s="58" t="str">
        <f t="shared" si="2"/>
        <v/>
      </c>
      <c r="L719" s="58" t="str">
        <f t="shared" si="3"/>
        <v/>
      </c>
    </row>
    <row r="720" ht="21.0" customHeight="1">
      <c r="A720" s="76"/>
      <c r="B720" s="94"/>
      <c r="C720" s="38" t="str">
        <f t="array" ref="C720">IF(B720="","",INDEX(PARAMETROS!$J$2:$J$14,MATCH(B720,PARAMETROS!$G$2:$G$14,0),1))</f>
        <v/>
      </c>
      <c r="D720" s="101"/>
      <c r="E720" s="102"/>
      <c r="F720" s="103"/>
      <c r="G720" s="49" t="str">
        <f t="shared" si="1"/>
        <v/>
      </c>
      <c r="H720" s="76"/>
      <c r="I720" s="103"/>
      <c r="J720" s="58" t="str">
        <f>IF(F720="","", IF(I720="",_xlfn.NETWORKDAYS.INTL(F720,TODAY(),1,FERIADOS),_xlfn.NETWORKDAYS.INTL(F720,I720,1,FERIADOS)))</f>
        <v/>
      </c>
      <c r="K720" s="58" t="str">
        <f t="shared" si="2"/>
        <v/>
      </c>
      <c r="L720" s="58" t="str">
        <f t="shared" si="3"/>
        <v/>
      </c>
    </row>
    <row r="721" ht="21.0" customHeight="1">
      <c r="A721" s="76"/>
      <c r="B721" s="94"/>
      <c r="C721" s="38" t="str">
        <f t="array" ref="C721">IF(B721="","",INDEX(PARAMETROS!$J$2:$J$14,MATCH(B721,PARAMETROS!$G$2:$G$14,0),1))</f>
        <v/>
      </c>
      <c r="D721" s="101"/>
      <c r="E721" s="102"/>
      <c r="F721" s="103"/>
      <c r="G721" s="49" t="str">
        <f t="shared" si="1"/>
        <v/>
      </c>
      <c r="H721" s="76"/>
      <c r="I721" s="103"/>
      <c r="J721" s="58" t="str">
        <f>IF(F721="","", IF(I721="",_xlfn.NETWORKDAYS.INTL(F721,TODAY(),1,FERIADOS),_xlfn.NETWORKDAYS.INTL(F721,I721,1,FERIADOS)))</f>
        <v/>
      </c>
      <c r="K721" s="58" t="str">
        <f t="shared" si="2"/>
        <v/>
      </c>
      <c r="L721" s="58" t="str">
        <f t="shared" si="3"/>
        <v/>
      </c>
    </row>
    <row r="722" ht="21.0" customHeight="1">
      <c r="A722" s="76"/>
      <c r="B722" s="94"/>
      <c r="C722" s="38" t="str">
        <f t="array" ref="C722">IF(B722="","",INDEX(PARAMETROS!$J$2:$J$14,MATCH(B722,PARAMETROS!$G$2:$G$14,0),1))</f>
        <v/>
      </c>
      <c r="D722" s="101"/>
      <c r="E722" s="102"/>
      <c r="F722" s="103"/>
      <c r="G722" s="49" t="str">
        <f t="shared" si="1"/>
        <v/>
      </c>
      <c r="H722" s="76"/>
      <c r="I722" s="103"/>
      <c r="J722" s="58" t="str">
        <f>IF(F722="","", IF(I722="",_xlfn.NETWORKDAYS.INTL(F722,TODAY(),1,FERIADOS),_xlfn.NETWORKDAYS.INTL(F722,I722,1,FERIADOS)))</f>
        <v/>
      </c>
      <c r="K722" s="58" t="str">
        <f t="shared" si="2"/>
        <v/>
      </c>
      <c r="L722" s="58" t="str">
        <f t="shared" si="3"/>
        <v/>
      </c>
    </row>
    <row r="723" ht="21.0" customHeight="1">
      <c r="A723" s="76"/>
      <c r="B723" s="94"/>
      <c r="C723" s="38" t="str">
        <f t="array" ref="C723">IF(B723="","",INDEX(PARAMETROS!$J$2:$J$14,MATCH(B723,PARAMETROS!$G$2:$G$14,0),1))</f>
        <v/>
      </c>
      <c r="D723" s="101"/>
      <c r="E723" s="102"/>
      <c r="F723" s="103"/>
      <c r="G723" s="49" t="str">
        <f t="shared" si="1"/>
        <v/>
      </c>
      <c r="H723" s="76"/>
      <c r="I723" s="103"/>
      <c r="J723" s="58" t="str">
        <f>IF(F723="","", IF(I723="",_xlfn.NETWORKDAYS.INTL(F723,TODAY(),1,FERIADOS),_xlfn.NETWORKDAYS.INTL(F723,I723,1,FERIADOS)))</f>
        <v/>
      </c>
      <c r="K723" s="58" t="str">
        <f t="shared" si="2"/>
        <v/>
      </c>
      <c r="L723" s="58" t="str">
        <f t="shared" si="3"/>
        <v/>
      </c>
    </row>
    <row r="724" ht="21.0" customHeight="1">
      <c r="A724" s="76"/>
      <c r="B724" s="94"/>
      <c r="C724" s="38" t="str">
        <f t="array" ref="C724">IF(B724="","",INDEX(PARAMETROS!$J$2:$J$14,MATCH(B724,PARAMETROS!$G$2:$G$14,0),1))</f>
        <v/>
      </c>
      <c r="D724" s="101"/>
      <c r="E724" s="102"/>
      <c r="F724" s="103"/>
      <c r="G724" s="49" t="str">
        <f t="shared" si="1"/>
        <v/>
      </c>
      <c r="H724" s="76"/>
      <c r="I724" s="103"/>
      <c r="J724" s="58" t="str">
        <f>IF(F724="","", IF(I724="",_xlfn.NETWORKDAYS.INTL(F724,TODAY(),1,FERIADOS),_xlfn.NETWORKDAYS.INTL(F724,I724,1,FERIADOS)))</f>
        <v/>
      </c>
      <c r="K724" s="58" t="str">
        <f t="shared" si="2"/>
        <v/>
      </c>
      <c r="L724" s="58" t="str">
        <f t="shared" si="3"/>
        <v/>
      </c>
    </row>
    <row r="725" ht="21.0" customHeight="1">
      <c r="A725" s="76"/>
      <c r="B725" s="94"/>
      <c r="C725" s="38" t="str">
        <f t="array" ref="C725">IF(B725="","",INDEX(PARAMETROS!$J$2:$J$14,MATCH(B725,PARAMETROS!$G$2:$G$14,0),1))</f>
        <v/>
      </c>
      <c r="D725" s="101"/>
      <c r="E725" s="102"/>
      <c r="F725" s="103"/>
      <c r="G725" s="49" t="str">
        <f t="shared" si="1"/>
        <v/>
      </c>
      <c r="H725" s="76"/>
      <c r="I725" s="103"/>
      <c r="J725" s="58" t="str">
        <f>IF(F725="","", IF(I725="",_xlfn.NETWORKDAYS.INTL(F725,TODAY(),1,FERIADOS),_xlfn.NETWORKDAYS.INTL(F725,I725,1,FERIADOS)))</f>
        <v/>
      </c>
      <c r="K725" s="58" t="str">
        <f t="shared" si="2"/>
        <v/>
      </c>
      <c r="L725" s="58" t="str">
        <f t="shared" si="3"/>
        <v/>
      </c>
    </row>
    <row r="726" ht="21.0" customHeight="1">
      <c r="A726" s="76"/>
      <c r="B726" s="94"/>
      <c r="C726" s="38" t="str">
        <f t="array" ref="C726">IF(B726="","",INDEX(PARAMETROS!$J$2:$J$14,MATCH(B726,PARAMETROS!$G$2:$G$14,0),1))</f>
        <v/>
      </c>
      <c r="D726" s="101"/>
      <c r="E726" s="102"/>
      <c r="F726" s="103"/>
      <c r="G726" s="49" t="str">
        <f t="shared" si="1"/>
        <v/>
      </c>
      <c r="H726" s="76"/>
      <c r="I726" s="103"/>
      <c r="J726" s="58" t="str">
        <f>IF(F726="","", IF(I726="",_xlfn.NETWORKDAYS.INTL(F726,TODAY(),1,FERIADOS),_xlfn.NETWORKDAYS.INTL(F726,I726,1,FERIADOS)))</f>
        <v/>
      </c>
      <c r="K726" s="58" t="str">
        <f t="shared" si="2"/>
        <v/>
      </c>
      <c r="L726" s="58" t="str">
        <f t="shared" si="3"/>
        <v/>
      </c>
    </row>
    <row r="727" ht="21.0" customHeight="1">
      <c r="A727" s="76"/>
      <c r="B727" s="94"/>
      <c r="C727" s="38" t="str">
        <f t="array" ref="C727">IF(B727="","",INDEX(PARAMETROS!$J$2:$J$14,MATCH(B727,PARAMETROS!$G$2:$G$14,0),1))</f>
        <v/>
      </c>
      <c r="D727" s="101"/>
      <c r="E727" s="102"/>
      <c r="F727" s="103"/>
      <c r="G727" s="49" t="str">
        <f t="shared" si="1"/>
        <v/>
      </c>
      <c r="H727" s="76"/>
      <c r="I727" s="103"/>
      <c r="J727" s="58" t="str">
        <f>IF(F727="","", IF(I727="",_xlfn.NETWORKDAYS.INTL(F727,TODAY(),1,FERIADOS),_xlfn.NETWORKDAYS.INTL(F727,I727,1,FERIADOS)))</f>
        <v/>
      </c>
      <c r="K727" s="58" t="str">
        <f t="shared" si="2"/>
        <v/>
      </c>
      <c r="L727" s="58" t="str">
        <f t="shared" si="3"/>
        <v/>
      </c>
    </row>
    <row r="728" ht="21.0" customHeight="1">
      <c r="A728" s="76"/>
      <c r="B728" s="94"/>
      <c r="C728" s="38" t="str">
        <f t="array" ref="C728">IF(B728="","",INDEX(PARAMETROS!$J$2:$J$14,MATCH(B728,PARAMETROS!$G$2:$G$14,0),1))</f>
        <v/>
      </c>
      <c r="D728" s="101"/>
      <c r="E728" s="102"/>
      <c r="F728" s="103"/>
      <c r="G728" s="49" t="str">
        <f t="shared" si="1"/>
        <v/>
      </c>
      <c r="H728" s="76"/>
      <c r="I728" s="103"/>
      <c r="J728" s="58" t="str">
        <f>IF(F728="","", IF(I728="",_xlfn.NETWORKDAYS.INTL(F728,TODAY(),1,FERIADOS),_xlfn.NETWORKDAYS.INTL(F728,I728,1,FERIADOS)))</f>
        <v/>
      </c>
      <c r="K728" s="58" t="str">
        <f t="shared" si="2"/>
        <v/>
      </c>
      <c r="L728" s="58" t="str">
        <f t="shared" si="3"/>
        <v/>
      </c>
    </row>
    <row r="729" ht="21.0" customHeight="1">
      <c r="A729" s="76"/>
      <c r="B729" s="94"/>
      <c r="C729" s="38" t="str">
        <f t="array" ref="C729">IF(B729="","",INDEX(PARAMETROS!$J$2:$J$14,MATCH(B729,PARAMETROS!$G$2:$G$14,0),1))</f>
        <v/>
      </c>
      <c r="D729" s="101"/>
      <c r="E729" s="102"/>
      <c r="F729" s="103"/>
      <c r="G729" s="49" t="str">
        <f t="shared" si="1"/>
        <v/>
      </c>
      <c r="H729" s="76"/>
      <c r="I729" s="103"/>
      <c r="J729" s="58" t="str">
        <f>IF(F729="","", IF(I729="",_xlfn.NETWORKDAYS.INTL(F729,TODAY(),1,FERIADOS),_xlfn.NETWORKDAYS.INTL(F729,I729,1,FERIADOS)))</f>
        <v/>
      </c>
      <c r="K729" s="58" t="str">
        <f t="shared" si="2"/>
        <v/>
      </c>
      <c r="L729" s="58" t="str">
        <f t="shared" si="3"/>
        <v/>
      </c>
    </row>
    <row r="730" ht="21.0" customHeight="1">
      <c r="A730" s="76"/>
      <c r="B730" s="94"/>
      <c r="C730" s="38" t="str">
        <f t="array" ref="C730">IF(B730="","",INDEX(PARAMETROS!$J$2:$J$14,MATCH(B730,PARAMETROS!$G$2:$G$14,0),1))</f>
        <v/>
      </c>
      <c r="D730" s="101"/>
      <c r="E730" s="102"/>
      <c r="F730" s="103"/>
      <c r="G730" s="49" t="str">
        <f t="shared" si="1"/>
        <v/>
      </c>
      <c r="H730" s="76"/>
      <c r="I730" s="103"/>
      <c r="J730" s="58" t="str">
        <f>IF(F730="","", IF(I730="",_xlfn.NETWORKDAYS.INTL(F730,TODAY(),1,FERIADOS),_xlfn.NETWORKDAYS.INTL(F730,I730,1,FERIADOS)))</f>
        <v/>
      </c>
      <c r="K730" s="58" t="str">
        <f t="shared" si="2"/>
        <v/>
      </c>
      <c r="L730" s="58" t="str">
        <f t="shared" si="3"/>
        <v/>
      </c>
    </row>
    <row r="731" ht="21.0" customHeight="1">
      <c r="A731" s="76"/>
      <c r="B731" s="94"/>
      <c r="C731" s="38" t="str">
        <f t="array" ref="C731">IF(B731="","",INDEX(PARAMETROS!$J$2:$J$14,MATCH(B731,PARAMETROS!$G$2:$G$14,0),1))</f>
        <v/>
      </c>
      <c r="D731" s="101"/>
      <c r="E731" s="102"/>
      <c r="F731" s="103"/>
      <c r="G731" s="49" t="str">
        <f t="shared" si="1"/>
        <v/>
      </c>
      <c r="H731" s="76"/>
      <c r="I731" s="103"/>
      <c r="J731" s="58" t="str">
        <f>IF(F731="","", IF(I731="",_xlfn.NETWORKDAYS.INTL(F731,TODAY(),1,FERIADOS),_xlfn.NETWORKDAYS.INTL(F731,I731,1,FERIADOS)))</f>
        <v/>
      </c>
      <c r="K731" s="58" t="str">
        <f t="shared" si="2"/>
        <v/>
      </c>
      <c r="L731" s="58" t="str">
        <f t="shared" si="3"/>
        <v/>
      </c>
    </row>
    <row r="732" ht="21.0" customHeight="1">
      <c r="A732" s="76"/>
      <c r="B732" s="94"/>
      <c r="C732" s="38" t="str">
        <f t="array" ref="C732">IF(B732="","",INDEX(PARAMETROS!$J$2:$J$14,MATCH(B732,PARAMETROS!$G$2:$G$14,0),1))</f>
        <v/>
      </c>
      <c r="D732" s="101"/>
      <c r="E732" s="102"/>
      <c r="F732" s="103"/>
      <c r="G732" s="49" t="str">
        <f t="shared" si="1"/>
        <v/>
      </c>
      <c r="H732" s="76"/>
      <c r="I732" s="103"/>
      <c r="J732" s="58" t="str">
        <f>IF(F732="","", IF(I732="",_xlfn.NETWORKDAYS.INTL(F732,TODAY(),1,FERIADOS),_xlfn.NETWORKDAYS.INTL(F732,I732,1,FERIADOS)))</f>
        <v/>
      </c>
      <c r="K732" s="58" t="str">
        <f t="shared" si="2"/>
        <v/>
      </c>
      <c r="L732" s="58" t="str">
        <f t="shared" si="3"/>
        <v/>
      </c>
    </row>
    <row r="733" ht="21.0" customHeight="1">
      <c r="A733" s="76"/>
      <c r="B733" s="94"/>
      <c r="C733" s="38" t="str">
        <f t="array" ref="C733">IF(B733="","",INDEX(PARAMETROS!$J$2:$J$14,MATCH(B733,PARAMETROS!$G$2:$G$14,0),1))</f>
        <v/>
      </c>
      <c r="D733" s="101"/>
      <c r="E733" s="102"/>
      <c r="F733" s="103"/>
      <c r="G733" s="49" t="str">
        <f t="shared" si="1"/>
        <v/>
      </c>
      <c r="H733" s="76"/>
      <c r="I733" s="103"/>
      <c r="J733" s="58" t="str">
        <f>IF(F733="","", IF(I733="",_xlfn.NETWORKDAYS.INTL(F733,TODAY(),1,FERIADOS),_xlfn.NETWORKDAYS.INTL(F733,I733,1,FERIADOS)))</f>
        <v/>
      </c>
      <c r="K733" s="58" t="str">
        <f t="shared" si="2"/>
        <v/>
      </c>
      <c r="L733" s="58" t="str">
        <f t="shared" si="3"/>
        <v/>
      </c>
    </row>
    <row r="734" ht="21.0" customHeight="1">
      <c r="A734" s="76"/>
      <c r="B734" s="94"/>
      <c r="C734" s="38" t="str">
        <f t="array" ref="C734">IF(B734="","",INDEX(PARAMETROS!$J$2:$J$14,MATCH(B734,PARAMETROS!$G$2:$G$14,0),1))</f>
        <v/>
      </c>
      <c r="D734" s="101"/>
      <c r="E734" s="102"/>
      <c r="F734" s="103"/>
      <c r="G734" s="49" t="str">
        <f t="shared" si="1"/>
        <v/>
      </c>
      <c r="H734" s="76"/>
      <c r="I734" s="103"/>
      <c r="J734" s="58" t="str">
        <f>IF(F734="","", IF(I734="",_xlfn.NETWORKDAYS.INTL(F734,TODAY(),1,FERIADOS),_xlfn.NETWORKDAYS.INTL(F734,I734,1,FERIADOS)))</f>
        <v/>
      </c>
      <c r="K734" s="58" t="str">
        <f t="shared" si="2"/>
        <v/>
      </c>
      <c r="L734" s="58" t="str">
        <f t="shared" si="3"/>
        <v/>
      </c>
    </row>
    <row r="735" ht="21.0" customHeight="1">
      <c r="A735" s="76"/>
      <c r="B735" s="94"/>
      <c r="C735" s="38" t="str">
        <f t="array" ref="C735">IF(B735="","",INDEX(PARAMETROS!$J$2:$J$14,MATCH(B735,PARAMETROS!$G$2:$G$14,0),1))</f>
        <v/>
      </c>
      <c r="D735" s="101"/>
      <c r="E735" s="102"/>
      <c r="F735" s="103"/>
      <c r="G735" s="49" t="str">
        <f t="shared" si="1"/>
        <v/>
      </c>
      <c r="H735" s="76"/>
      <c r="I735" s="103"/>
      <c r="J735" s="58" t="str">
        <f>IF(F735="","", IF(I735="",_xlfn.NETWORKDAYS.INTL(F735,TODAY(),1,FERIADOS),_xlfn.NETWORKDAYS.INTL(F735,I735,1,FERIADOS)))</f>
        <v/>
      </c>
      <c r="K735" s="58" t="str">
        <f t="shared" si="2"/>
        <v/>
      </c>
      <c r="L735" s="58" t="str">
        <f t="shared" si="3"/>
        <v/>
      </c>
    </row>
    <row r="736" ht="21.0" customHeight="1">
      <c r="A736" s="76"/>
      <c r="B736" s="94"/>
      <c r="C736" s="38" t="str">
        <f t="array" ref="C736">IF(B736="","",INDEX(PARAMETROS!$J$2:$J$14,MATCH(B736,PARAMETROS!$G$2:$G$14,0),1))</f>
        <v/>
      </c>
      <c r="D736" s="101"/>
      <c r="E736" s="102"/>
      <c r="F736" s="103"/>
      <c r="G736" s="49" t="str">
        <f t="shared" si="1"/>
        <v/>
      </c>
      <c r="H736" s="76"/>
      <c r="I736" s="103"/>
      <c r="J736" s="58" t="str">
        <f>IF(F736="","", IF(I736="",_xlfn.NETWORKDAYS.INTL(F736,TODAY(),1,FERIADOS),_xlfn.NETWORKDAYS.INTL(F736,I736,1,FERIADOS)))</f>
        <v/>
      </c>
      <c r="K736" s="58" t="str">
        <f t="shared" si="2"/>
        <v/>
      </c>
      <c r="L736" s="58" t="str">
        <f t="shared" si="3"/>
        <v/>
      </c>
    </row>
    <row r="737" ht="21.0" customHeight="1">
      <c r="A737" s="76"/>
      <c r="B737" s="94"/>
      <c r="C737" s="38" t="str">
        <f t="array" ref="C737">IF(B737="","",INDEX(PARAMETROS!$J$2:$J$14,MATCH(B737,PARAMETROS!$G$2:$G$14,0),1))</f>
        <v/>
      </c>
      <c r="D737" s="101"/>
      <c r="E737" s="102"/>
      <c r="F737" s="103"/>
      <c r="G737" s="49" t="str">
        <f t="shared" si="1"/>
        <v/>
      </c>
      <c r="H737" s="76"/>
      <c r="I737" s="103"/>
      <c r="J737" s="58" t="str">
        <f>IF(F737="","", IF(I737="",_xlfn.NETWORKDAYS.INTL(F737,TODAY(),1,FERIADOS),_xlfn.NETWORKDAYS.INTL(F737,I737,1,FERIADOS)))</f>
        <v/>
      </c>
      <c r="K737" s="58" t="str">
        <f t="shared" si="2"/>
        <v/>
      </c>
      <c r="L737" s="58" t="str">
        <f t="shared" si="3"/>
        <v/>
      </c>
    </row>
    <row r="738" ht="21.0" customHeight="1">
      <c r="A738" s="76"/>
      <c r="B738" s="94"/>
      <c r="C738" s="38" t="str">
        <f t="array" ref="C738">IF(B738="","",INDEX(PARAMETROS!$J$2:$J$14,MATCH(B738,PARAMETROS!$G$2:$G$14,0),1))</f>
        <v/>
      </c>
      <c r="D738" s="101"/>
      <c r="E738" s="102"/>
      <c r="F738" s="103"/>
      <c r="G738" s="49" t="str">
        <f t="shared" si="1"/>
        <v/>
      </c>
      <c r="H738" s="76"/>
      <c r="I738" s="103"/>
      <c r="J738" s="58" t="str">
        <f>IF(F738="","", IF(I738="",_xlfn.NETWORKDAYS.INTL(F738,TODAY(),1,FERIADOS),_xlfn.NETWORKDAYS.INTL(F738,I738,1,FERIADOS)))</f>
        <v/>
      </c>
      <c r="K738" s="58" t="str">
        <f t="shared" si="2"/>
        <v/>
      </c>
      <c r="L738" s="58" t="str">
        <f t="shared" si="3"/>
        <v/>
      </c>
    </row>
    <row r="739" ht="21.0" customHeight="1">
      <c r="A739" s="76"/>
      <c r="B739" s="94"/>
      <c r="C739" s="38" t="str">
        <f t="array" ref="C739">IF(B739="","",INDEX(PARAMETROS!$J$2:$J$14,MATCH(B739,PARAMETROS!$G$2:$G$14,0),1))</f>
        <v/>
      </c>
      <c r="D739" s="101"/>
      <c r="E739" s="102"/>
      <c r="F739" s="103"/>
      <c r="G739" s="49" t="str">
        <f t="shared" si="1"/>
        <v/>
      </c>
      <c r="H739" s="76"/>
      <c r="I739" s="103"/>
      <c r="J739" s="58" t="str">
        <f>IF(F739="","", IF(I739="",_xlfn.NETWORKDAYS.INTL(F739,TODAY(),1,FERIADOS),_xlfn.NETWORKDAYS.INTL(F739,I739,1,FERIADOS)))</f>
        <v/>
      </c>
      <c r="K739" s="58" t="str">
        <f t="shared" si="2"/>
        <v/>
      </c>
      <c r="L739" s="58" t="str">
        <f t="shared" si="3"/>
        <v/>
      </c>
    </row>
    <row r="740" ht="21.0" customHeight="1">
      <c r="A740" s="76"/>
      <c r="B740" s="94"/>
      <c r="C740" s="38" t="str">
        <f t="array" ref="C740">IF(B740="","",INDEX(PARAMETROS!$J$2:$J$14,MATCH(B740,PARAMETROS!$G$2:$G$14,0),1))</f>
        <v/>
      </c>
      <c r="D740" s="101"/>
      <c r="E740" s="102"/>
      <c r="F740" s="103"/>
      <c r="G740" s="49" t="str">
        <f t="shared" si="1"/>
        <v/>
      </c>
      <c r="H740" s="76"/>
      <c r="I740" s="103"/>
      <c r="J740" s="58" t="str">
        <f>IF(F740="","", IF(I740="",_xlfn.NETWORKDAYS.INTL(F740,TODAY(),1,FERIADOS),_xlfn.NETWORKDAYS.INTL(F740,I740,1,FERIADOS)))</f>
        <v/>
      </c>
      <c r="K740" s="58" t="str">
        <f t="shared" si="2"/>
        <v/>
      </c>
      <c r="L740" s="58" t="str">
        <f t="shared" si="3"/>
        <v/>
      </c>
    </row>
    <row r="741" ht="21.0" customHeight="1">
      <c r="A741" s="76"/>
      <c r="B741" s="94"/>
      <c r="C741" s="38" t="str">
        <f t="array" ref="C741">IF(B741="","",INDEX(PARAMETROS!$J$2:$J$14,MATCH(B741,PARAMETROS!$G$2:$G$14,0),1))</f>
        <v/>
      </c>
      <c r="D741" s="101"/>
      <c r="E741" s="102"/>
      <c r="F741" s="103"/>
      <c r="G741" s="49" t="str">
        <f t="shared" si="1"/>
        <v/>
      </c>
      <c r="H741" s="76"/>
      <c r="I741" s="103"/>
      <c r="J741" s="58" t="str">
        <f>IF(F741="","", IF(I741="",_xlfn.NETWORKDAYS.INTL(F741,TODAY(),1,FERIADOS),_xlfn.NETWORKDAYS.INTL(F741,I741,1,FERIADOS)))</f>
        <v/>
      </c>
      <c r="K741" s="58" t="str">
        <f t="shared" si="2"/>
        <v/>
      </c>
      <c r="L741" s="58" t="str">
        <f t="shared" si="3"/>
        <v/>
      </c>
    </row>
    <row r="742" ht="21.0" customHeight="1">
      <c r="A742" s="76"/>
      <c r="B742" s="94"/>
      <c r="C742" s="38" t="str">
        <f t="array" ref="C742">IF(B742="","",INDEX(PARAMETROS!$J$2:$J$14,MATCH(B742,PARAMETROS!$G$2:$G$14,0),1))</f>
        <v/>
      </c>
      <c r="D742" s="101"/>
      <c r="E742" s="102"/>
      <c r="F742" s="103"/>
      <c r="G742" s="49" t="str">
        <f t="shared" si="1"/>
        <v/>
      </c>
      <c r="H742" s="76"/>
      <c r="I742" s="103"/>
      <c r="J742" s="58" t="str">
        <f>IF(F742="","", IF(I742="",_xlfn.NETWORKDAYS.INTL(F742,TODAY(),1,FERIADOS),_xlfn.NETWORKDAYS.INTL(F742,I742,1,FERIADOS)))</f>
        <v/>
      </c>
      <c r="K742" s="58" t="str">
        <f t="shared" si="2"/>
        <v/>
      </c>
      <c r="L742" s="58" t="str">
        <f t="shared" si="3"/>
        <v/>
      </c>
    </row>
    <row r="743" ht="21.0" customHeight="1">
      <c r="A743" s="76"/>
      <c r="B743" s="94"/>
      <c r="C743" s="38" t="str">
        <f t="array" ref="C743">IF(B743="","",INDEX(PARAMETROS!$J$2:$J$14,MATCH(B743,PARAMETROS!$G$2:$G$14,0),1))</f>
        <v/>
      </c>
      <c r="D743" s="101"/>
      <c r="E743" s="102"/>
      <c r="F743" s="103"/>
      <c r="G743" s="49" t="str">
        <f t="shared" si="1"/>
        <v/>
      </c>
      <c r="H743" s="76"/>
      <c r="I743" s="103"/>
      <c r="J743" s="58" t="str">
        <f>IF(F743="","", IF(I743="",_xlfn.NETWORKDAYS.INTL(F743,TODAY(),1,FERIADOS),_xlfn.NETWORKDAYS.INTL(F743,I743,1,FERIADOS)))</f>
        <v/>
      </c>
      <c r="K743" s="58" t="str">
        <f t="shared" si="2"/>
        <v/>
      </c>
      <c r="L743" s="58" t="str">
        <f t="shared" si="3"/>
        <v/>
      </c>
    </row>
    <row r="744" ht="21.0" customHeight="1">
      <c r="A744" s="76"/>
      <c r="B744" s="94"/>
      <c r="C744" s="38" t="str">
        <f t="array" ref="C744">IF(B744="","",INDEX(PARAMETROS!$J$2:$J$14,MATCH(B744,PARAMETROS!$G$2:$G$14,0),1))</f>
        <v/>
      </c>
      <c r="D744" s="101"/>
      <c r="E744" s="102"/>
      <c r="F744" s="103"/>
      <c r="G744" s="49" t="str">
        <f t="shared" si="1"/>
        <v/>
      </c>
      <c r="H744" s="76"/>
      <c r="I744" s="103"/>
      <c r="J744" s="58" t="str">
        <f>IF(F744="","", IF(I744="",_xlfn.NETWORKDAYS.INTL(F744,TODAY(),1,FERIADOS),_xlfn.NETWORKDAYS.INTL(F744,I744,1,FERIADOS)))</f>
        <v/>
      </c>
      <c r="K744" s="58" t="str">
        <f t="shared" si="2"/>
        <v/>
      </c>
      <c r="L744" s="58" t="str">
        <f t="shared" si="3"/>
        <v/>
      </c>
    </row>
    <row r="745" ht="21.0" customHeight="1">
      <c r="A745" s="76"/>
      <c r="B745" s="94"/>
      <c r="C745" s="38" t="str">
        <f t="array" ref="C745">IF(B745="","",INDEX(PARAMETROS!$J$2:$J$14,MATCH(B745,PARAMETROS!$G$2:$G$14,0),1))</f>
        <v/>
      </c>
      <c r="D745" s="101"/>
      <c r="E745" s="102"/>
      <c r="F745" s="103"/>
      <c r="G745" s="49" t="str">
        <f t="shared" si="1"/>
        <v/>
      </c>
      <c r="H745" s="76"/>
      <c r="I745" s="103"/>
      <c r="J745" s="58" t="str">
        <f>IF(F745="","", IF(I745="",_xlfn.NETWORKDAYS.INTL(F745,TODAY(),1,FERIADOS),_xlfn.NETWORKDAYS.INTL(F745,I745,1,FERIADOS)))</f>
        <v/>
      </c>
      <c r="K745" s="58" t="str">
        <f t="shared" si="2"/>
        <v/>
      </c>
      <c r="L745" s="58" t="str">
        <f t="shared" si="3"/>
        <v/>
      </c>
    </row>
    <row r="746" ht="21.0" customHeight="1">
      <c r="A746" s="76"/>
      <c r="B746" s="94"/>
      <c r="C746" s="38" t="str">
        <f t="array" ref="C746">IF(B746="","",INDEX(PARAMETROS!$J$2:$J$14,MATCH(B746,PARAMETROS!$G$2:$G$14,0),1))</f>
        <v/>
      </c>
      <c r="D746" s="101"/>
      <c r="E746" s="102"/>
      <c r="F746" s="103"/>
      <c r="G746" s="49" t="str">
        <f t="shared" si="1"/>
        <v/>
      </c>
      <c r="H746" s="76"/>
      <c r="I746" s="103"/>
      <c r="J746" s="58" t="str">
        <f>IF(F746="","", IF(I746="",_xlfn.NETWORKDAYS.INTL(F746,TODAY(),1,FERIADOS),_xlfn.NETWORKDAYS.INTL(F746,I746,1,FERIADOS)))</f>
        <v/>
      </c>
      <c r="K746" s="58" t="str">
        <f t="shared" si="2"/>
        <v/>
      </c>
      <c r="L746" s="58" t="str">
        <f t="shared" si="3"/>
        <v/>
      </c>
    </row>
    <row r="747" ht="21.0" customHeight="1">
      <c r="A747" s="76"/>
      <c r="B747" s="94"/>
      <c r="C747" s="38" t="str">
        <f t="array" ref="C747">IF(B747="","",INDEX(PARAMETROS!$J$2:$J$14,MATCH(B747,PARAMETROS!$G$2:$G$14,0),1))</f>
        <v/>
      </c>
      <c r="D747" s="101"/>
      <c r="E747" s="102"/>
      <c r="F747" s="103"/>
      <c r="G747" s="49" t="str">
        <f t="shared" si="1"/>
        <v/>
      </c>
      <c r="H747" s="76"/>
      <c r="I747" s="103"/>
      <c r="J747" s="58" t="str">
        <f>IF(F747="","", IF(I747="",_xlfn.NETWORKDAYS.INTL(F747,TODAY(),1,FERIADOS),_xlfn.NETWORKDAYS.INTL(F747,I747,1,FERIADOS)))</f>
        <v/>
      </c>
      <c r="K747" s="58" t="str">
        <f t="shared" si="2"/>
        <v/>
      </c>
      <c r="L747" s="58" t="str">
        <f t="shared" si="3"/>
        <v/>
      </c>
    </row>
    <row r="748" ht="21.0" customHeight="1">
      <c r="A748" s="76"/>
      <c r="B748" s="94"/>
      <c r="C748" s="38" t="str">
        <f t="array" ref="C748">IF(B748="","",INDEX(PARAMETROS!$J$2:$J$14,MATCH(B748,PARAMETROS!$G$2:$G$14,0),1))</f>
        <v/>
      </c>
      <c r="D748" s="101"/>
      <c r="E748" s="102"/>
      <c r="F748" s="103"/>
      <c r="G748" s="49" t="str">
        <f t="shared" si="1"/>
        <v/>
      </c>
      <c r="H748" s="76"/>
      <c r="I748" s="103"/>
      <c r="J748" s="58" t="str">
        <f>IF(F748="","", IF(I748="",_xlfn.NETWORKDAYS.INTL(F748,TODAY(),1,FERIADOS),_xlfn.NETWORKDAYS.INTL(F748,I748,1,FERIADOS)))</f>
        <v/>
      </c>
      <c r="K748" s="58" t="str">
        <f t="shared" si="2"/>
        <v/>
      </c>
      <c r="L748" s="58" t="str">
        <f t="shared" si="3"/>
        <v/>
      </c>
    </row>
    <row r="749" ht="21.0" customHeight="1">
      <c r="A749" s="76"/>
      <c r="B749" s="94"/>
      <c r="C749" s="38" t="str">
        <f t="array" ref="C749">IF(B749="","",INDEX(PARAMETROS!$J$2:$J$14,MATCH(B749,PARAMETROS!$G$2:$G$14,0),1))</f>
        <v/>
      </c>
      <c r="D749" s="101"/>
      <c r="E749" s="102"/>
      <c r="F749" s="103"/>
      <c r="G749" s="49" t="str">
        <f t="shared" si="1"/>
        <v/>
      </c>
      <c r="H749" s="76"/>
      <c r="I749" s="103"/>
      <c r="J749" s="58" t="str">
        <f>IF(F749="","", IF(I749="",_xlfn.NETWORKDAYS.INTL(F749,TODAY(),1,FERIADOS),_xlfn.NETWORKDAYS.INTL(F749,I749,1,FERIADOS)))</f>
        <v/>
      </c>
      <c r="K749" s="58" t="str">
        <f t="shared" si="2"/>
        <v/>
      </c>
      <c r="L749" s="58" t="str">
        <f t="shared" si="3"/>
        <v/>
      </c>
    </row>
    <row r="750" ht="21.0" customHeight="1">
      <c r="A750" s="76"/>
      <c r="B750" s="94"/>
      <c r="C750" s="38" t="str">
        <f t="array" ref="C750">IF(B750="","",INDEX(PARAMETROS!$J$2:$J$14,MATCH(B750,PARAMETROS!$G$2:$G$14,0),1))</f>
        <v/>
      </c>
      <c r="D750" s="101"/>
      <c r="E750" s="102"/>
      <c r="F750" s="103"/>
      <c r="G750" s="49" t="str">
        <f t="shared" si="1"/>
        <v/>
      </c>
      <c r="H750" s="76"/>
      <c r="I750" s="103"/>
      <c r="J750" s="58" t="str">
        <f>IF(F750="","", IF(I750="",_xlfn.NETWORKDAYS.INTL(F750,TODAY(),1,FERIADOS),_xlfn.NETWORKDAYS.INTL(F750,I750,1,FERIADOS)))</f>
        <v/>
      </c>
      <c r="K750" s="58" t="str">
        <f t="shared" si="2"/>
        <v/>
      </c>
      <c r="L750" s="58" t="str">
        <f t="shared" si="3"/>
        <v/>
      </c>
    </row>
    <row r="751" ht="21.0" customHeight="1">
      <c r="A751" s="76"/>
      <c r="B751" s="94"/>
      <c r="C751" s="38" t="str">
        <f t="array" ref="C751">IF(B751="","",INDEX(PARAMETROS!$J$2:$J$14,MATCH(B751,PARAMETROS!$G$2:$G$14,0),1))</f>
        <v/>
      </c>
      <c r="D751" s="101"/>
      <c r="E751" s="102"/>
      <c r="F751" s="103"/>
      <c r="G751" s="49" t="str">
        <f t="shared" si="1"/>
        <v/>
      </c>
      <c r="H751" s="76"/>
      <c r="I751" s="103"/>
      <c r="J751" s="58" t="str">
        <f>IF(F751="","", IF(I751="",_xlfn.NETWORKDAYS.INTL(F751,TODAY(),1,FERIADOS),_xlfn.NETWORKDAYS.INTL(F751,I751,1,FERIADOS)))</f>
        <v/>
      </c>
      <c r="K751" s="58" t="str">
        <f t="shared" si="2"/>
        <v/>
      </c>
      <c r="L751" s="58" t="str">
        <f t="shared" si="3"/>
        <v/>
      </c>
    </row>
    <row r="752" ht="21.0" customHeight="1">
      <c r="A752" s="76"/>
      <c r="B752" s="94"/>
      <c r="C752" s="38" t="str">
        <f t="array" ref="C752">IF(B752="","",INDEX(PARAMETROS!$J$2:$J$14,MATCH(B752,PARAMETROS!$G$2:$G$14,0),1))</f>
        <v/>
      </c>
      <c r="D752" s="101"/>
      <c r="E752" s="102"/>
      <c r="F752" s="103"/>
      <c r="G752" s="49" t="str">
        <f t="shared" si="1"/>
        <v/>
      </c>
      <c r="H752" s="76"/>
      <c r="I752" s="103"/>
      <c r="J752" s="58" t="str">
        <f>IF(F752="","", IF(I752="",_xlfn.NETWORKDAYS.INTL(F752,TODAY(),1,FERIADOS),_xlfn.NETWORKDAYS.INTL(F752,I752,1,FERIADOS)))</f>
        <v/>
      </c>
      <c r="K752" s="58" t="str">
        <f t="shared" si="2"/>
        <v/>
      </c>
      <c r="L752" s="58" t="str">
        <f t="shared" si="3"/>
        <v/>
      </c>
    </row>
    <row r="753" ht="21.0" customHeight="1">
      <c r="A753" s="76"/>
      <c r="B753" s="94"/>
      <c r="C753" s="38" t="str">
        <f t="array" ref="C753">IF(B753="","",INDEX(PARAMETROS!$J$2:$J$14,MATCH(B753,PARAMETROS!$G$2:$G$14,0),1))</f>
        <v/>
      </c>
      <c r="D753" s="101"/>
      <c r="E753" s="102"/>
      <c r="F753" s="103"/>
      <c r="G753" s="49" t="str">
        <f t="shared" si="1"/>
        <v/>
      </c>
      <c r="H753" s="76"/>
      <c r="I753" s="103"/>
      <c r="J753" s="58" t="str">
        <f>IF(F753="","", IF(I753="",_xlfn.NETWORKDAYS.INTL(F753,TODAY(),1,FERIADOS),_xlfn.NETWORKDAYS.INTL(F753,I753,1,FERIADOS)))</f>
        <v/>
      </c>
      <c r="K753" s="58" t="str">
        <f t="shared" si="2"/>
        <v/>
      </c>
      <c r="L753" s="58" t="str">
        <f t="shared" si="3"/>
        <v/>
      </c>
    </row>
    <row r="754" ht="21.0" customHeight="1">
      <c r="A754" s="76"/>
      <c r="B754" s="94"/>
      <c r="C754" s="38" t="str">
        <f t="array" ref="C754">IF(B754="","",INDEX(PARAMETROS!$J$2:$J$14,MATCH(B754,PARAMETROS!$G$2:$G$14,0),1))</f>
        <v/>
      </c>
      <c r="D754" s="101"/>
      <c r="E754" s="102"/>
      <c r="F754" s="103"/>
      <c r="G754" s="49" t="str">
        <f t="shared" si="1"/>
        <v/>
      </c>
      <c r="H754" s="76"/>
      <c r="I754" s="103"/>
      <c r="J754" s="58" t="str">
        <f>IF(F754="","", IF(I754="",_xlfn.NETWORKDAYS.INTL(F754,TODAY(),1,FERIADOS),_xlfn.NETWORKDAYS.INTL(F754,I754,1,FERIADOS)))</f>
        <v/>
      </c>
      <c r="K754" s="58" t="str">
        <f t="shared" si="2"/>
        <v/>
      </c>
      <c r="L754" s="58" t="str">
        <f t="shared" si="3"/>
        <v/>
      </c>
    </row>
    <row r="755" ht="21.0" customHeight="1">
      <c r="A755" s="76"/>
      <c r="B755" s="94"/>
      <c r="C755" s="38" t="str">
        <f t="array" ref="C755">IF(B755="","",INDEX(PARAMETROS!$J$2:$J$14,MATCH(B755,PARAMETROS!$G$2:$G$14,0),1))</f>
        <v/>
      </c>
      <c r="D755" s="101"/>
      <c r="E755" s="102"/>
      <c r="F755" s="103"/>
      <c r="G755" s="49" t="str">
        <f t="shared" si="1"/>
        <v/>
      </c>
      <c r="H755" s="76"/>
      <c r="I755" s="103"/>
      <c r="J755" s="58" t="str">
        <f>IF(F755="","", IF(I755="",_xlfn.NETWORKDAYS.INTL(F755,TODAY(),1,FERIADOS),_xlfn.NETWORKDAYS.INTL(F755,I755,1,FERIADOS)))</f>
        <v/>
      </c>
      <c r="K755" s="58" t="str">
        <f t="shared" si="2"/>
        <v/>
      </c>
      <c r="L755" s="58" t="str">
        <f t="shared" si="3"/>
        <v/>
      </c>
    </row>
    <row r="756" ht="21.0" customHeight="1">
      <c r="A756" s="76"/>
      <c r="B756" s="94"/>
      <c r="C756" s="38" t="str">
        <f t="array" ref="C756">IF(B756="","",INDEX(PARAMETROS!$J$2:$J$14,MATCH(B756,PARAMETROS!$G$2:$G$14,0),1))</f>
        <v/>
      </c>
      <c r="D756" s="101"/>
      <c r="E756" s="102"/>
      <c r="F756" s="103"/>
      <c r="G756" s="49" t="str">
        <f t="shared" si="1"/>
        <v/>
      </c>
      <c r="H756" s="76"/>
      <c r="I756" s="103"/>
      <c r="J756" s="58" t="str">
        <f>IF(F756="","", IF(I756="",_xlfn.NETWORKDAYS.INTL(F756,TODAY(),1,FERIADOS),_xlfn.NETWORKDAYS.INTL(F756,I756,1,FERIADOS)))</f>
        <v/>
      </c>
      <c r="K756" s="58" t="str">
        <f t="shared" si="2"/>
        <v/>
      </c>
      <c r="L756" s="58" t="str">
        <f t="shared" si="3"/>
        <v/>
      </c>
    </row>
    <row r="757" ht="21.0" customHeight="1">
      <c r="A757" s="76"/>
      <c r="B757" s="94"/>
      <c r="C757" s="38" t="str">
        <f t="array" ref="C757">IF(B757="","",INDEX(PARAMETROS!$J$2:$J$14,MATCH(B757,PARAMETROS!$G$2:$G$14,0),1))</f>
        <v/>
      </c>
      <c r="D757" s="101"/>
      <c r="E757" s="102"/>
      <c r="F757" s="103"/>
      <c r="G757" s="49" t="str">
        <f t="shared" si="1"/>
        <v/>
      </c>
      <c r="H757" s="76"/>
      <c r="I757" s="103"/>
      <c r="J757" s="58" t="str">
        <f>IF(F757="","", IF(I757="",_xlfn.NETWORKDAYS.INTL(F757,TODAY(),1,FERIADOS),_xlfn.NETWORKDAYS.INTL(F757,I757,1,FERIADOS)))</f>
        <v/>
      </c>
      <c r="K757" s="58" t="str">
        <f t="shared" si="2"/>
        <v/>
      </c>
      <c r="L757" s="58" t="str">
        <f t="shared" si="3"/>
        <v/>
      </c>
    </row>
    <row r="758" ht="21.0" customHeight="1">
      <c r="A758" s="76"/>
      <c r="B758" s="94"/>
      <c r="C758" s="38" t="str">
        <f t="array" ref="C758">IF(B758="","",INDEX(PARAMETROS!$J$2:$J$14,MATCH(B758,PARAMETROS!$G$2:$G$14,0),1))</f>
        <v/>
      </c>
      <c r="D758" s="101"/>
      <c r="E758" s="102"/>
      <c r="F758" s="103"/>
      <c r="G758" s="49" t="str">
        <f t="shared" si="1"/>
        <v/>
      </c>
      <c r="H758" s="76"/>
      <c r="I758" s="103"/>
      <c r="J758" s="58" t="str">
        <f>IF(F758="","", IF(I758="",_xlfn.NETWORKDAYS.INTL(F758,TODAY(),1,FERIADOS),_xlfn.NETWORKDAYS.INTL(F758,I758,1,FERIADOS)))</f>
        <v/>
      </c>
      <c r="K758" s="58" t="str">
        <f t="shared" si="2"/>
        <v/>
      </c>
      <c r="L758" s="58" t="str">
        <f t="shared" si="3"/>
        <v/>
      </c>
    </row>
    <row r="759" ht="21.0" customHeight="1">
      <c r="A759" s="76"/>
      <c r="B759" s="94"/>
      <c r="C759" s="38" t="str">
        <f t="array" ref="C759">IF(B759="","",INDEX(PARAMETROS!$J$2:$J$14,MATCH(B759,PARAMETROS!$G$2:$G$14,0),1))</f>
        <v/>
      </c>
      <c r="D759" s="101"/>
      <c r="E759" s="102"/>
      <c r="F759" s="103"/>
      <c r="G759" s="49" t="str">
        <f t="shared" si="1"/>
        <v/>
      </c>
      <c r="H759" s="76"/>
      <c r="I759" s="103"/>
      <c r="J759" s="58" t="str">
        <f>IF(F759="","", IF(I759="",_xlfn.NETWORKDAYS.INTL(F759,TODAY(),1,FERIADOS),_xlfn.NETWORKDAYS.INTL(F759,I759,1,FERIADOS)))</f>
        <v/>
      </c>
      <c r="K759" s="58" t="str">
        <f t="shared" si="2"/>
        <v/>
      </c>
      <c r="L759" s="58" t="str">
        <f t="shared" si="3"/>
        <v/>
      </c>
    </row>
    <row r="760" ht="21.0" customHeight="1">
      <c r="A760" s="76"/>
      <c r="B760" s="94"/>
      <c r="C760" s="38" t="str">
        <f t="array" ref="C760">IF(B760="","",INDEX(PARAMETROS!$J$2:$J$14,MATCH(B760,PARAMETROS!$G$2:$G$14,0),1))</f>
        <v/>
      </c>
      <c r="D760" s="101"/>
      <c r="E760" s="102"/>
      <c r="F760" s="103"/>
      <c r="G760" s="49" t="str">
        <f t="shared" si="1"/>
        <v/>
      </c>
      <c r="H760" s="76"/>
      <c r="I760" s="103"/>
      <c r="J760" s="58" t="str">
        <f>IF(F760="","", IF(I760="",_xlfn.NETWORKDAYS.INTL(F760,TODAY(),1,FERIADOS),_xlfn.NETWORKDAYS.INTL(F760,I760,1,FERIADOS)))</f>
        <v/>
      </c>
      <c r="K760" s="58" t="str">
        <f t="shared" si="2"/>
        <v/>
      </c>
      <c r="L760" s="58" t="str">
        <f t="shared" si="3"/>
        <v/>
      </c>
    </row>
    <row r="761" ht="21.0" customHeight="1">
      <c r="A761" s="76"/>
      <c r="B761" s="94"/>
      <c r="C761" s="38" t="str">
        <f t="array" ref="C761">IF(B761="","",INDEX(PARAMETROS!$J$2:$J$14,MATCH(B761,PARAMETROS!$G$2:$G$14,0),1))</f>
        <v/>
      </c>
      <c r="D761" s="101"/>
      <c r="E761" s="102"/>
      <c r="F761" s="103"/>
      <c r="G761" s="49" t="str">
        <f t="shared" si="1"/>
        <v/>
      </c>
      <c r="H761" s="76"/>
      <c r="I761" s="103"/>
      <c r="J761" s="58" t="str">
        <f>IF(F761="","", IF(I761="",_xlfn.NETWORKDAYS.INTL(F761,TODAY(),1,FERIADOS),_xlfn.NETWORKDAYS.INTL(F761,I761,1,FERIADOS)))</f>
        <v/>
      </c>
      <c r="K761" s="58" t="str">
        <f t="shared" si="2"/>
        <v/>
      </c>
      <c r="L761" s="58" t="str">
        <f t="shared" si="3"/>
        <v/>
      </c>
    </row>
    <row r="762" ht="21.0" customHeight="1">
      <c r="A762" s="76"/>
      <c r="B762" s="94"/>
      <c r="C762" s="38" t="str">
        <f t="array" ref="C762">IF(B762="","",INDEX(PARAMETROS!$J$2:$J$14,MATCH(B762,PARAMETROS!$G$2:$G$14,0),1))</f>
        <v/>
      </c>
      <c r="D762" s="101"/>
      <c r="E762" s="102"/>
      <c r="F762" s="103"/>
      <c r="G762" s="49" t="str">
        <f t="shared" si="1"/>
        <v/>
      </c>
      <c r="H762" s="76"/>
      <c r="I762" s="103"/>
      <c r="J762" s="58" t="str">
        <f>IF(F762="","", IF(I762="",_xlfn.NETWORKDAYS.INTL(F762,TODAY(),1,FERIADOS),_xlfn.NETWORKDAYS.INTL(F762,I762,1,FERIADOS)))</f>
        <v/>
      </c>
      <c r="K762" s="58" t="str">
        <f t="shared" si="2"/>
        <v/>
      </c>
      <c r="L762" s="58" t="str">
        <f t="shared" si="3"/>
        <v/>
      </c>
    </row>
    <row r="763" ht="21.0" customHeight="1">
      <c r="A763" s="76"/>
      <c r="B763" s="94"/>
      <c r="C763" s="38" t="str">
        <f t="array" ref="C763">IF(B763="","",INDEX(PARAMETROS!$J$2:$J$14,MATCH(B763,PARAMETROS!$G$2:$G$14,0),1))</f>
        <v/>
      </c>
      <c r="D763" s="101"/>
      <c r="E763" s="102"/>
      <c r="F763" s="103"/>
      <c r="G763" s="49" t="str">
        <f t="shared" si="1"/>
        <v/>
      </c>
      <c r="H763" s="76"/>
      <c r="I763" s="103"/>
      <c r="J763" s="58" t="str">
        <f>IF(F763="","", IF(I763="",_xlfn.NETWORKDAYS.INTL(F763,TODAY(),1,FERIADOS),_xlfn.NETWORKDAYS.INTL(F763,I763,1,FERIADOS)))</f>
        <v/>
      </c>
      <c r="K763" s="58" t="str">
        <f t="shared" si="2"/>
        <v/>
      </c>
      <c r="L763" s="58" t="str">
        <f t="shared" si="3"/>
        <v/>
      </c>
    </row>
    <row r="764" ht="21.0" customHeight="1">
      <c r="A764" s="76"/>
      <c r="B764" s="94"/>
      <c r="C764" s="38" t="str">
        <f t="array" ref="C764">IF(B764="","",INDEX(PARAMETROS!$J$2:$J$14,MATCH(B764,PARAMETROS!$G$2:$G$14,0),1))</f>
        <v/>
      </c>
      <c r="D764" s="101"/>
      <c r="E764" s="102"/>
      <c r="F764" s="103"/>
      <c r="G764" s="49" t="str">
        <f t="shared" si="1"/>
        <v/>
      </c>
      <c r="H764" s="76"/>
      <c r="I764" s="103"/>
      <c r="J764" s="58" t="str">
        <f>IF(F764="","", IF(I764="",_xlfn.NETWORKDAYS.INTL(F764,TODAY(),1,FERIADOS),_xlfn.NETWORKDAYS.INTL(F764,I764,1,FERIADOS)))</f>
        <v/>
      </c>
      <c r="K764" s="58" t="str">
        <f t="shared" si="2"/>
        <v/>
      </c>
      <c r="L764" s="58" t="str">
        <f t="shared" si="3"/>
        <v/>
      </c>
    </row>
    <row r="765" ht="21.0" customHeight="1">
      <c r="A765" s="76"/>
      <c r="B765" s="94"/>
      <c r="C765" s="38" t="str">
        <f t="array" ref="C765">IF(B765="","",INDEX(PARAMETROS!$J$2:$J$14,MATCH(B765,PARAMETROS!$G$2:$G$14,0),1))</f>
        <v/>
      </c>
      <c r="D765" s="101"/>
      <c r="E765" s="102"/>
      <c r="F765" s="103"/>
      <c r="G765" s="49" t="str">
        <f t="shared" si="1"/>
        <v/>
      </c>
      <c r="H765" s="76"/>
      <c r="I765" s="103"/>
      <c r="J765" s="58" t="str">
        <f>IF(F765="","", IF(I765="",_xlfn.NETWORKDAYS.INTL(F765,TODAY(),1,FERIADOS),_xlfn.NETWORKDAYS.INTL(F765,I765,1,FERIADOS)))</f>
        <v/>
      </c>
      <c r="K765" s="58" t="str">
        <f t="shared" si="2"/>
        <v/>
      </c>
      <c r="L765" s="58" t="str">
        <f t="shared" si="3"/>
        <v/>
      </c>
    </row>
    <row r="766" ht="21.0" customHeight="1">
      <c r="A766" s="76"/>
      <c r="B766" s="94"/>
      <c r="C766" s="38" t="str">
        <f t="array" ref="C766">IF(B766="","",INDEX(PARAMETROS!$J$2:$J$14,MATCH(B766,PARAMETROS!$G$2:$G$14,0),1))</f>
        <v/>
      </c>
      <c r="D766" s="101"/>
      <c r="E766" s="102"/>
      <c r="F766" s="103"/>
      <c r="G766" s="49" t="str">
        <f t="shared" si="1"/>
        <v/>
      </c>
      <c r="H766" s="76"/>
      <c r="I766" s="103"/>
      <c r="J766" s="58" t="str">
        <f>IF(F766="","", IF(I766="",_xlfn.NETWORKDAYS.INTL(F766,TODAY(),1,FERIADOS),_xlfn.NETWORKDAYS.INTL(F766,I766,1,FERIADOS)))</f>
        <v/>
      </c>
      <c r="K766" s="58" t="str">
        <f t="shared" si="2"/>
        <v/>
      </c>
      <c r="L766" s="58" t="str">
        <f t="shared" si="3"/>
        <v/>
      </c>
    </row>
    <row r="767" ht="21.0" customHeight="1">
      <c r="A767" s="76"/>
      <c r="B767" s="94"/>
      <c r="C767" s="38" t="str">
        <f t="array" ref="C767">IF(B767="","",INDEX(PARAMETROS!$J$2:$J$14,MATCH(B767,PARAMETROS!$G$2:$G$14,0),1))</f>
        <v/>
      </c>
      <c r="D767" s="101"/>
      <c r="E767" s="102"/>
      <c r="F767" s="103"/>
      <c r="G767" s="49" t="str">
        <f t="shared" si="1"/>
        <v/>
      </c>
      <c r="H767" s="76"/>
      <c r="I767" s="103"/>
      <c r="J767" s="58" t="str">
        <f>IF(F767="","", IF(I767="",_xlfn.NETWORKDAYS.INTL(F767,TODAY(),1,FERIADOS),_xlfn.NETWORKDAYS.INTL(F767,I767,1,FERIADOS)))</f>
        <v/>
      </c>
      <c r="K767" s="58" t="str">
        <f t="shared" si="2"/>
        <v/>
      </c>
      <c r="L767" s="58" t="str">
        <f t="shared" si="3"/>
        <v/>
      </c>
    </row>
    <row r="768" ht="21.0" customHeight="1">
      <c r="A768" s="76"/>
      <c r="B768" s="94"/>
      <c r="C768" s="38" t="str">
        <f t="array" ref="C768">IF(B768="","",INDEX(PARAMETROS!$J$2:$J$14,MATCH(B768,PARAMETROS!$G$2:$G$14,0),1))</f>
        <v/>
      </c>
      <c r="D768" s="101"/>
      <c r="E768" s="102"/>
      <c r="F768" s="103"/>
      <c r="G768" s="49" t="str">
        <f t="shared" si="1"/>
        <v/>
      </c>
      <c r="H768" s="76"/>
      <c r="I768" s="103"/>
      <c r="J768" s="58" t="str">
        <f>IF(F768="","", IF(I768="",_xlfn.NETWORKDAYS.INTL(F768,TODAY(),1,FERIADOS),_xlfn.NETWORKDAYS.INTL(F768,I768,1,FERIADOS)))</f>
        <v/>
      </c>
      <c r="K768" s="58" t="str">
        <f t="shared" si="2"/>
        <v/>
      </c>
      <c r="L768" s="58" t="str">
        <f t="shared" si="3"/>
        <v/>
      </c>
    </row>
    <row r="769" ht="21.0" customHeight="1">
      <c r="A769" s="76"/>
      <c r="B769" s="94"/>
      <c r="C769" s="38" t="str">
        <f t="array" ref="C769">IF(B769="","",INDEX(PARAMETROS!$J$2:$J$14,MATCH(B769,PARAMETROS!$G$2:$G$14,0),1))</f>
        <v/>
      </c>
      <c r="D769" s="101"/>
      <c r="E769" s="102"/>
      <c r="F769" s="103"/>
      <c r="G769" s="49" t="str">
        <f t="shared" si="1"/>
        <v/>
      </c>
      <c r="H769" s="76"/>
      <c r="I769" s="103"/>
      <c r="J769" s="58" t="str">
        <f>IF(F769="","", IF(I769="",_xlfn.NETWORKDAYS.INTL(F769,TODAY(),1,FERIADOS),_xlfn.NETWORKDAYS.INTL(F769,I769,1,FERIADOS)))</f>
        <v/>
      </c>
      <c r="K769" s="58" t="str">
        <f t="shared" si="2"/>
        <v/>
      </c>
      <c r="L769" s="58" t="str">
        <f t="shared" si="3"/>
        <v/>
      </c>
    </row>
    <row r="770" ht="21.0" customHeight="1">
      <c r="A770" s="76"/>
      <c r="B770" s="94"/>
      <c r="C770" s="38" t="str">
        <f t="array" ref="C770">IF(B770="","",INDEX(PARAMETROS!$J$2:$J$14,MATCH(B770,PARAMETROS!$G$2:$G$14,0),1))</f>
        <v/>
      </c>
      <c r="D770" s="101"/>
      <c r="E770" s="102"/>
      <c r="F770" s="103"/>
      <c r="G770" s="49" t="str">
        <f t="shared" si="1"/>
        <v/>
      </c>
      <c r="H770" s="76"/>
      <c r="I770" s="103"/>
      <c r="J770" s="58" t="str">
        <f>IF(F770="","", IF(I770="",_xlfn.NETWORKDAYS.INTL(F770,TODAY(),1,FERIADOS),_xlfn.NETWORKDAYS.INTL(F770,I770,1,FERIADOS)))</f>
        <v/>
      </c>
      <c r="K770" s="58" t="str">
        <f t="shared" si="2"/>
        <v/>
      </c>
      <c r="L770" s="58" t="str">
        <f t="shared" si="3"/>
        <v/>
      </c>
    </row>
    <row r="771" ht="21.0" customHeight="1">
      <c r="A771" s="76"/>
      <c r="B771" s="94"/>
      <c r="C771" s="38" t="str">
        <f t="array" ref="C771">IF(B771="","",INDEX(PARAMETROS!$J$2:$J$14,MATCH(B771,PARAMETROS!$G$2:$G$14,0),1))</f>
        <v/>
      </c>
      <c r="D771" s="101"/>
      <c r="E771" s="102"/>
      <c r="F771" s="103"/>
      <c r="G771" s="49" t="str">
        <f t="shared" si="1"/>
        <v/>
      </c>
      <c r="H771" s="76"/>
      <c r="I771" s="103"/>
      <c r="J771" s="58" t="str">
        <f>IF(F771="","", IF(I771="",_xlfn.NETWORKDAYS.INTL(F771,TODAY(),1,FERIADOS),_xlfn.NETWORKDAYS.INTL(F771,I771,1,FERIADOS)))</f>
        <v/>
      </c>
      <c r="K771" s="58" t="str">
        <f t="shared" si="2"/>
        <v/>
      </c>
      <c r="L771" s="58" t="str">
        <f t="shared" si="3"/>
        <v/>
      </c>
    </row>
    <row r="772" ht="21.0" customHeight="1">
      <c r="A772" s="76"/>
      <c r="B772" s="94"/>
      <c r="C772" s="38" t="str">
        <f t="array" ref="C772">IF(B772="","",INDEX(PARAMETROS!$J$2:$J$14,MATCH(B772,PARAMETROS!$G$2:$G$14,0),1))</f>
        <v/>
      </c>
      <c r="D772" s="101"/>
      <c r="E772" s="102"/>
      <c r="F772" s="103"/>
      <c r="G772" s="49" t="str">
        <f t="shared" si="1"/>
        <v/>
      </c>
      <c r="H772" s="76"/>
      <c r="I772" s="103"/>
      <c r="J772" s="58" t="str">
        <f>IF(F772="","", IF(I772="",_xlfn.NETWORKDAYS.INTL(F772,TODAY(),1,FERIADOS),_xlfn.NETWORKDAYS.INTL(F772,I772,1,FERIADOS)))</f>
        <v/>
      </c>
      <c r="K772" s="58" t="str">
        <f t="shared" si="2"/>
        <v/>
      </c>
      <c r="L772" s="58" t="str">
        <f t="shared" si="3"/>
        <v/>
      </c>
    </row>
    <row r="773" ht="21.0" customHeight="1">
      <c r="A773" s="76"/>
      <c r="B773" s="94"/>
      <c r="C773" s="38" t="str">
        <f t="array" ref="C773">IF(B773="","",INDEX(PARAMETROS!$J$2:$J$14,MATCH(B773,PARAMETROS!$G$2:$G$14,0),1))</f>
        <v/>
      </c>
      <c r="D773" s="101"/>
      <c r="E773" s="102"/>
      <c r="F773" s="103"/>
      <c r="G773" s="49" t="str">
        <f t="shared" si="1"/>
        <v/>
      </c>
      <c r="H773" s="76"/>
      <c r="I773" s="103"/>
      <c r="J773" s="58" t="str">
        <f>IF(F773="","", IF(I773="",_xlfn.NETWORKDAYS.INTL(F773,TODAY(),1,FERIADOS),_xlfn.NETWORKDAYS.INTL(F773,I773,1,FERIADOS)))</f>
        <v/>
      </c>
      <c r="K773" s="58" t="str">
        <f t="shared" si="2"/>
        <v/>
      </c>
      <c r="L773" s="58" t="str">
        <f t="shared" si="3"/>
        <v/>
      </c>
    </row>
    <row r="774" ht="21.0" customHeight="1">
      <c r="A774" s="76"/>
      <c r="B774" s="94"/>
      <c r="C774" s="38" t="str">
        <f t="array" ref="C774">IF(B774="","",INDEX(PARAMETROS!$J$2:$J$14,MATCH(B774,PARAMETROS!$G$2:$G$14,0),1))</f>
        <v/>
      </c>
      <c r="D774" s="101"/>
      <c r="E774" s="102"/>
      <c r="F774" s="103"/>
      <c r="G774" s="49" t="str">
        <f t="shared" si="1"/>
        <v/>
      </c>
      <c r="H774" s="76"/>
      <c r="I774" s="103"/>
      <c r="J774" s="58" t="str">
        <f>IF(F774="","", IF(I774="",_xlfn.NETWORKDAYS.INTL(F774,TODAY(),1,FERIADOS),_xlfn.NETWORKDAYS.INTL(F774,I774,1,FERIADOS)))</f>
        <v/>
      </c>
      <c r="K774" s="58" t="str">
        <f t="shared" si="2"/>
        <v/>
      </c>
      <c r="L774" s="58" t="str">
        <f t="shared" si="3"/>
        <v/>
      </c>
    </row>
    <row r="775" ht="21.0" customHeight="1">
      <c r="A775" s="76"/>
      <c r="B775" s="94"/>
      <c r="C775" s="38" t="str">
        <f t="array" ref="C775">IF(B775="","",INDEX(PARAMETROS!$J$2:$J$14,MATCH(B775,PARAMETROS!$G$2:$G$14,0),1))</f>
        <v/>
      </c>
      <c r="D775" s="101"/>
      <c r="E775" s="102"/>
      <c r="F775" s="103"/>
      <c r="G775" s="49" t="str">
        <f t="shared" si="1"/>
        <v/>
      </c>
      <c r="H775" s="76"/>
      <c r="I775" s="103"/>
      <c r="J775" s="58" t="str">
        <f>IF(F775="","", IF(I775="",_xlfn.NETWORKDAYS.INTL(F775,TODAY(),1,FERIADOS),_xlfn.NETWORKDAYS.INTL(F775,I775,1,FERIADOS)))</f>
        <v/>
      </c>
      <c r="K775" s="58" t="str">
        <f t="shared" si="2"/>
        <v/>
      </c>
      <c r="L775" s="58" t="str">
        <f t="shared" si="3"/>
        <v/>
      </c>
    </row>
    <row r="776" ht="21.0" customHeight="1">
      <c r="A776" s="76"/>
      <c r="B776" s="94"/>
      <c r="C776" s="38" t="str">
        <f t="array" ref="C776">IF(B776="","",INDEX(PARAMETROS!$J$2:$J$14,MATCH(B776,PARAMETROS!$G$2:$G$14,0),1))</f>
        <v/>
      </c>
      <c r="D776" s="101"/>
      <c r="E776" s="102"/>
      <c r="F776" s="103"/>
      <c r="G776" s="49" t="str">
        <f t="shared" si="1"/>
        <v/>
      </c>
      <c r="H776" s="76"/>
      <c r="I776" s="103"/>
      <c r="J776" s="58" t="str">
        <f>IF(F776="","", IF(I776="",_xlfn.NETWORKDAYS.INTL(F776,TODAY(),1,FERIADOS),_xlfn.NETWORKDAYS.INTL(F776,I776,1,FERIADOS)))</f>
        <v/>
      </c>
      <c r="K776" s="58" t="str">
        <f t="shared" si="2"/>
        <v/>
      </c>
      <c r="L776" s="58" t="str">
        <f t="shared" si="3"/>
        <v/>
      </c>
    </row>
    <row r="777" ht="21.0" customHeight="1">
      <c r="A777" s="76"/>
      <c r="B777" s="94"/>
      <c r="C777" s="38" t="str">
        <f t="array" ref="C777">IF(B777="","",INDEX(PARAMETROS!$J$2:$J$14,MATCH(B777,PARAMETROS!$G$2:$G$14,0),1))</f>
        <v/>
      </c>
      <c r="D777" s="101"/>
      <c r="E777" s="102"/>
      <c r="F777" s="103"/>
      <c r="G777" s="49" t="str">
        <f t="shared" si="1"/>
        <v/>
      </c>
      <c r="H777" s="76"/>
      <c r="I777" s="103"/>
      <c r="J777" s="58" t="str">
        <f>IF(F777="","", IF(I777="",_xlfn.NETWORKDAYS.INTL(F777,TODAY(),1,FERIADOS),_xlfn.NETWORKDAYS.INTL(F777,I777,1,FERIADOS)))</f>
        <v/>
      </c>
      <c r="K777" s="58" t="str">
        <f t="shared" si="2"/>
        <v/>
      </c>
      <c r="L777" s="58" t="str">
        <f t="shared" si="3"/>
        <v/>
      </c>
    </row>
    <row r="778" ht="21.0" customHeight="1">
      <c r="A778" s="76"/>
      <c r="B778" s="94"/>
      <c r="C778" s="38" t="str">
        <f t="array" ref="C778">IF(B778="","",INDEX(PARAMETROS!$J$2:$J$14,MATCH(B778,PARAMETROS!$G$2:$G$14,0),1))</f>
        <v/>
      </c>
      <c r="D778" s="101"/>
      <c r="E778" s="102"/>
      <c r="F778" s="103"/>
      <c r="G778" s="49" t="str">
        <f t="shared" si="1"/>
        <v/>
      </c>
      <c r="H778" s="76"/>
      <c r="I778" s="103"/>
      <c r="J778" s="58" t="str">
        <f>IF(F778="","", IF(I778="",_xlfn.NETWORKDAYS.INTL(F778,TODAY(),1,FERIADOS),_xlfn.NETWORKDAYS.INTL(F778,I778,1,FERIADOS)))</f>
        <v/>
      </c>
      <c r="K778" s="58" t="str">
        <f t="shared" si="2"/>
        <v/>
      </c>
      <c r="L778" s="58" t="str">
        <f t="shared" si="3"/>
        <v/>
      </c>
    </row>
    <row r="779" ht="21.0" customHeight="1">
      <c r="A779" s="76"/>
      <c r="B779" s="94"/>
      <c r="C779" s="38" t="str">
        <f t="array" ref="C779">IF(B779="","",INDEX(PARAMETROS!$J$2:$J$14,MATCH(B779,PARAMETROS!$G$2:$G$14,0),1))</f>
        <v/>
      </c>
      <c r="D779" s="101"/>
      <c r="E779" s="102"/>
      <c r="F779" s="103"/>
      <c r="G779" s="49" t="str">
        <f t="shared" si="1"/>
        <v/>
      </c>
      <c r="H779" s="76"/>
      <c r="I779" s="103"/>
      <c r="J779" s="58" t="str">
        <f>IF(F779="","", IF(I779="",_xlfn.NETWORKDAYS.INTL(F779,TODAY(),1,FERIADOS),_xlfn.NETWORKDAYS.INTL(F779,I779,1,FERIADOS)))</f>
        <v/>
      </c>
      <c r="K779" s="58" t="str">
        <f t="shared" si="2"/>
        <v/>
      </c>
      <c r="L779" s="58" t="str">
        <f t="shared" si="3"/>
        <v/>
      </c>
    </row>
    <row r="780" ht="21.0" customHeight="1">
      <c r="A780" s="76"/>
      <c r="B780" s="94"/>
      <c r="C780" s="38" t="str">
        <f t="array" ref="C780">IF(B780="","",INDEX(PARAMETROS!$J$2:$J$14,MATCH(B780,PARAMETROS!$G$2:$G$14,0),1))</f>
        <v/>
      </c>
      <c r="D780" s="101"/>
      <c r="E780" s="102"/>
      <c r="F780" s="103"/>
      <c r="G780" s="49" t="str">
        <f t="shared" si="1"/>
        <v/>
      </c>
      <c r="H780" s="76"/>
      <c r="I780" s="103"/>
      <c r="J780" s="58" t="str">
        <f>IF(F780="","", IF(I780="",_xlfn.NETWORKDAYS.INTL(F780,TODAY(),1,FERIADOS),_xlfn.NETWORKDAYS.INTL(F780,I780,1,FERIADOS)))</f>
        <v/>
      </c>
      <c r="K780" s="58" t="str">
        <f t="shared" si="2"/>
        <v/>
      </c>
      <c r="L780" s="58" t="str">
        <f t="shared" si="3"/>
        <v/>
      </c>
    </row>
    <row r="781" ht="21.0" customHeight="1">
      <c r="A781" s="76"/>
      <c r="B781" s="94"/>
      <c r="C781" s="38" t="str">
        <f t="array" ref="C781">IF(B781="","",INDEX(PARAMETROS!$J$2:$J$14,MATCH(B781,PARAMETROS!$G$2:$G$14,0),1))</f>
        <v/>
      </c>
      <c r="D781" s="101"/>
      <c r="E781" s="102"/>
      <c r="F781" s="103"/>
      <c r="G781" s="49" t="str">
        <f t="shared" si="1"/>
        <v/>
      </c>
      <c r="H781" s="76"/>
      <c r="I781" s="103"/>
      <c r="J781" s="58" t="str">
        <f>IF(F781="","", IF(I781="",_xlfn.NETWORKDAYS.INTL(F781,TODAY(),1,FERIADOS),_xlfn.NETWORKDAYS.INTL(F781,I781,1,FERIADOS)))</f>
        <v/>
      </c>
      <c r="K781" s="58" t="str">
        <f t="shared" si="2"/>
        <v/>
      </c>
      <c r="L781" s="58" t="str">
        <f t="shared" si="3"/>
        <v/>
      </c>
    </row>
    <row r="782" ht="21.0" customHeight="1">
      <c r="A782" s="76"/>
      <c r="B782" s="94"/>
      <c r="C782" s="38" t="str">
        <f t="array" ref="C782">IF(B782="","",INDEX(PARAMETROS!$J$2:$J$14,MATCH(B782,PARAMETROS!$G$2:$G$14,0),1))</f>
        <v/>
      </c>
      <c r="D782" s="101"/>
      <c r="E782" s="102"/>
      <c r="F782" s="103"/>
      <c r="G782" s="49" t="str">
        <f t="shared" si="1"/>
        <v/>
      </c>
      <c r="H782" s="76"/>
      <c r="I782" s="103"/>
      <c r="J782" s="58" t="str">
        <f>IF(F782="","", IF(I782="",_xlfn.NETWORKDAYS.INTL(F782,TODAY(),1,FERIADOS),_xlfn.NETWORKDAYS.INTL(F782,I782,1,FERIADOS)))</f>
        <v/>
      </c>
      <c r="K782" s="58" t="str">
        <f t="shared" si="2"/>
        <v/>
      </c>
      <c r="L782" s="58" t="str">
        <f t="shared" si="3"/>
        <v/>
      </c>
    </row>
    <row r="783" ht="21.0" customHeight="1">
      <c r="A783" s="76"/>
      <c r="B783" s="94"/>
      <c r="C783" s="38" t="str">
        <f t="array" ref="C783">IF(B783="","",INDEX(PARAMETROS!$J$2:$J$14,MATCH(B783,PARAMETROS!$G$2:$G$14,0),1))</f>
        <v/>
      </c>
      <c r="D783" s="101"/>
      <c r="E783" s="102"/>
      <c r="F783" s="103"/>
      <c r="G783" s="49" t="str">
        <f t="shared" si="1"/>
        <v/>
      </c>
      <c r="H783" s="76"/>
      <c r="I783" s="103"/>
      <c r="J783" s="58" t="str">
        <f>IF(F783="","", IF(I783="",_xlfn.NETWORKDAYS.INTL(F783,TODAY(),1,FERIADOS),_xlfn.NETWORKDAYS.INTL(F783,I783,1,FERIADOS)))</f>
        <v/>
      </c>
      <c r="K783" s="58" t="str">
        <f t="shared" si="2"/>
        <v/>
      </c>
      <c r="L783" s="58" t="str">
        <f t="shared" si="3"/>
        <v/>
      </c>
    </row>
    <row r="784" ht="21.0" customHeight="1">
      <c r="A784" s="76"/>
      <c r="B784" s="94"/>
      <c r="C784" s="38" t="str">
        <f t="array" ref="C784">IF(B784="","",INDEX(PARAMETROS!$J$2:$J$14,MATCH(B784,PARAMETROS!$G$2:$G$14,0),1))</f>
        <v/>
      </c>
      <c r="D784" s="101"/>
      <c r="E784" s="102"/>
      <c r="F784" s="103"/>
      <c r="G784" s="49" t="str">
        <f t="shared" si="1"/>
        <v/>
      </c>
      <c r="H784" s="76"/>
      <c r="I784" s="103"/>
      <c r="J784" s="58" t="str">
        <f>IF(F784="","", IF(I784="",_xlfn.NETWORKDAYS.INTL(F784,TODAY(),1,FERIADOS),_xlfn.NETWORKDAYS.INTL(F784,I784,1,FERIADOS)))</f>
        <v/>
      </c>
      <c r="K784" s="58" t="str">
        <f t="shared" si="2"/>
        <v/>
      </c>
      <c r="L784" s="58" t="str">
        <f t="shared" si="3"/>
        <v/>
      </c>
    </row>
    <row r="785" ht="21.0" customHeight="1">
      <c r="A785" s="76"/>
      <c r="B785" s="94"/>
      <c r="C785" s="38" t="str">
        <f t="array" ref="C785">IF(B785="","",INDEX(PARAMETROS!$J$2:$J$14,MATCH(B785,PARAMETROS!$G$2:$G$14,0),1))</f>
        <v/>
      </c>
      <c r="D785" s="101"/>
      <c r="E785" s="102"/>
      <c r="F785" s="103"/>
      <c r="G785" s="49" t="str">
        <f t="shared" si="1"/>
        <v/>
      </c>
      <c r="H785" s="76"/>
      <c r="I785" s="103"/>
      <c r="J785" s="58" t="str">
        <f>IF(F785="","", IF(I785="",_xlfn.NETWORKDAYS.INTL(F785,TODAY(),1,FERIADOS),_xlfn.NETWORKDAYS.INTL(F785,I785,1,FERIADOS)))</f>
        <v/>
      </c>
      <c r="K785" s="58" t="str">
        <f t="shared" si="2"/>
        <v/>
      </c>
      <c r="L785" s="58" t="str">
        <f t="shared" si="3"/>
        <v/>
      </c>
    </row>
    <row r="786" ht="21.0" customHeight="1">
      <c r="A786" s="76"/>
      <c r="B786" s="94"/>
      <c r="C786" s="38" t="str">
        <f t="array" ref="C786">IF(B786="","",INDEX(PARAMETROS!$J$2:$J$14,MATCH(B786,PARAMETROS!$G$2:$G$14,0),1))</f>
        <v/>
      </c>
      <c r="D786" s="101"/>
      <c r="E786" s="102"/>
      <c r="F786" s="103"/>
      <c r="G786" s="49" t="str">
        <f t="shared" si="1"/>
        <v/>
      </c>
      <c r="H786" s="76"/>
      <c r="I786" s="103"/>
      <c r="J786" s="58" t="str">
        <f>IF(F786="","", IF(I786="",_xlfn.NETWORKDAYS.INTL(F786,TODAY(),1,FERIADOS),_xlfn.NETWORKDAYS.INTL(F786,I786,1,FERIADOS)))</f>
        <v/>
      </c>
      <c r="K786" s="58" t="str">
        <f t="shared" si="2"/>
        <v/>
      </c>
      <c r="L786" s="58" t="str">
        <f t="shared" si="3"/>
        <v/>
      </c>
    </row>
    <row r="787" ht="21.0" customHeight="1">
      <c r="A787" s="76"/>
      <c r="B787" s="94"/>
      <c r="C787" s="38" t="str">
        <f t="array" ref="C787">IF(B787="","",INDEX(PARAMETROS!$J$2:$J$14,MATCH(B787,PARAMETROS!$G$2:$G$14,0),1))</f>
        <v/>
      </c>
      <c r="D787" s="101"/>
      <c r="E787" s="102"/>
      <c r="F787" s="103"/>
      <c r="G787" s="49" t="str">
        <f t="shared" si="1"/>
        <v/>
      </c>
      <c r="H787" s="76"/>
      <c r="I787" s="103"/>
      <c r="J787" s="58" t="str">
        <f>IF(F787="","", IF(I787="",_xlfn.NETWORKDAYS.INTL(F787,TODAY(),1,FERIADOS),_xlfn.NETWORKDAYS.INTL(F787,I787,1,FERIADOS)))</f>
        <v/>
      </c>
      <c r="K787" s="58" t="str">
        <f t="shared" si="2"/>
        <v/>
      </c>
      <c r="L787" s="58" t="str">
        <f t="shared" si="3"/>
        <v/>
      </c>
    </row>
    <row r="788" ht="21.0" customHeight="1">
      <c r="A788" s="76"/>
      <c r="B788" s="94"/>
      <c r="C788" s="38" t="str">
        <f t="array" ref="C788">IF(B788="","",INDEX(PARAMETROS!$J$2:$J$14,MATCH(B788,PARAMETROS!$G$2:$G$14,0),1))</f>
        <v/>
      </c>
      <c r="D788" s="101"/>
      <c r="E788" s="102"/>
      <c r="F788" s="103"/>
      <c r="G788" s="49" t="str">
        <f t="shared" si="1"/>
        <v/>
      </c>
      <c r="H788" s="76"/>
      <c r="I788" s="103"/>
      <c r="J788" s="58" t="str">
        <f>IF(F788="","", IF(I788="",_xlfn.NETWORKDAYS.INTL(F788,TODAY(),1,FERIADOS),_xlfn.NETWORKDAYS.INTL(F788,I788,1,FERIADOS)))</f>
        <v/>
      </c>
      <c r="K788" s="58" t="str">
        <f t="shared" si="2"/>
        <v/>
      </c>
      <c r="L788" s="58" t="str">
        <f t="shared" si="3"/>
        <v/>
      </c>
    </row>
    <row r="789" ht="21.0" customHeight="1">
      <c r="A789" s="76"/>
      <c r="B789" s="94"/>
      <c r="C789" s="38" t="str">
        <f t="array" ref="C789">IF(B789="","",INDEX(PARAMETROS!$J$2:$J$14,MATCH(B789,PARAMETROS!$G$2:$G$14,0),1))</f>
        <v/>
      </c>
      <c r="D789" s="101"/>
      <c r="E789" s="102"/>
      <c r="F789" s="103"/>
      <c r="G789" s="49" t="str">
        <f t="shared" si="1"/>
        <v/>
      </c>
      <c r="H789" s="76"/>
      <c r="I789" s="103"/>
      <c r="J789" s="58" t="str">
        <f>IF(F789="","", IF(I789="",_xlfn.NETWORKDAYS.INTL(F789,TODAY(),1,FERIADOS),_xlfn.NETWORKDAYS.INTL(F789,I789,1,FERIADOS)))</f>
        <v/>
      </c>
      <c r="K789" s="58" t="str">
        <f t="shared" si="2"/>
        <v/>
      </c>
      <c r="L789" s="58" t="str">
        <f t="shared" si="3"/>
        <v/>
      </c>
    </row>
    <row r="790" ht="21.0" customHeight="1">
      <c r="A790" s="76"/>
      <c r="B790" s="94"/>
      <c r="C790" s="38" t="str">
        <f t="array" ref="C790">IF(B790="","",INDEX(PARAMETROS!$J$2:$J$14,MATCH(B790,PARAMETROS!$G$2:$G$14,0),1))</f>
        <v/>
      </c>
      <c r="D790" s="101"/>
      <c r="E790" s="102"/>
      <c r="F790" s="103"/>
      <c r="G790" s="49" t="str">
        <f t="shared" si="1"/>
        <v/>
      </c>
      <c r="H790" s="76"/>
      <c r="I790" s="103"/>
      <c r="J790" s="58" t="str">
        <f>IF(F790="","", IF(I790="",_xlfn.NETWORKDAYS.INTL(F790,TODAY(),1,FERIADOS),_xlfn.NETWORKDAYS.INTL(F790,I790,1,FERIADOS)))</f>
        <v/>
      </c>
      <c r="K790" s="58" t="str">
        <f t="shared" si="2"/>
        <v/>
      </c>
      <c r="L790" s="58" t="str">
        <f t="shared" si="3"/>
        <v/>
      </c>
    </row>
    <row r="791" ht="21.0" customHeight="1">
      <c r="A791" s="76"/>
      <c r="B791" s="94"/>
      <c r="C791" s="38" t="str">
        <f t="array" ref="C791">IF(B791="","",INDEX(PARAMETROS!$J$2:$J$14,MATCH(B791,PARAMETROS!$G$2:$G$14,0),1))</f>
        <v/>
      </c>
      <c r="D791" s="101"/>
      <c r="E791" s="102"/>
      <c r="F791" s="103"/>
      <c r="G791" s="49" t="str">
        <f t="shared" si="1"/>
        <v/>
      </c>
      <c r="H791" s="76"/>
      <c r="I791" s="103"/>
      <c r="J791" s="58" t="str">
        <f>IF(F791="","", IF(I791="",_xlfn.NETWORKDAYS.INTL(F791,TODAY(),1,FERIADOS),_xlfn.NETWORKDAYS.INTL(F791,I791,1,FERIADOS)))</f>
        <v/>
      </c>
      <c r="K791" s="58" t="str">
        <f t="shared" si="2"/>
        <v/>
      </c>
      <c r="L791" s="58" t="str">
        <f t="shared" si="3"/>
        <v/>
      </c>
    </row>
    <row r="792" ht="21.0" customHeight="1">
      <c r="A792" s="76"/>
      <c r="B792" s="94"/>
      <c r="C792" s="38" t="str">
        <f t="array" ref="C792">IF(B792="","",INDEX(PARAMETROS!$J$2:$J$14,MATCH(B792,PARAMETROS!$G$2:$G$14,0),1))</f>
        <v/>
      </c>
      <c r="D792" s="101"/>
      <c r="E792" s="102"/>
      <c r="F792" s="103"/>
      <c r="G792" s="49" t="str">
        <f t="shared" si="1"/>
        <v/>
      </c>
      <c r="H792" s="76"/>
      <c r="I792" s="103"/>
      <c r="J792" s="58" t="str">
        <f>IF(F792="","", IF(I792="",_xlfn.NETWORKDAYS.INTL(F792,TODAY(),1,FERIADOS),_xlfn.NETWORKDAYS.INTL(F792,I792,1,FERIADOS)))</f>
        <v/>
      </c>
      <c r="K792" s="58" t="str">
        <f t="shared" si="2"/>
        <v/>
      </c>
      <c r="L792" s="58" t="str">
        <f t="shared" si="3"/>
        <v/>
      </c>
    </row>
    <row r="793" ht="21.0" customHeight="1">
      <c r="A793" s="76"/>
      <c r="B793" s="94"/>
      <c r="C793" s="38" t="str">
        <f t="array" ref="C793">IF(B793="","",INDEX(PARAMETROS!$J$2:$J$14,MATCH(B793,PARAMETROS!$G$2:$G$14,0),1))</f>
        <v/>
      </c>
      <c r="D793" s="101"/>
      <c r="E793" s="102"/>
      <c r="F793" s="103"/>
      <c r="G793" s="49" t="str">
        <f t="shared" si="1"/>
        <v/>
      </c>
      <c r="H793" s="76"/>
      <c r="I793" s="103"/>
      <c r="J793" s="58" t="str">
        <f>IF(F793="","", IF(I793="",_xlfn.NETWORKDAYS.INTL(F793,TODAY(),1,FERIADOS),_xlfn.NETWORKDAYS.INTL(F793,I793,1,FERIADOS)))</f>
        <v/>
      </c>
      <c r="K793" s="58" t="str">
        <f t="shared" si="2"/>
        <v/>
      </c>
      <c r="L793" s="58" t="str">
        <f t="shared" si="3"/>
        <v/>
      </c>
    </row>
    <row r="794" ht="21.0" customHeight="1">
      <c r="A794" s="76"/>
      <c r="B794" s="94"/>
      <c r="C794" s="38" t="str">
        <f t="array" ref="C794">IF(B794="","",INDEX(PARAMETROS!$J$2:$J$14,MATCH(B794,PARAMETROS!$G$2:$G$14,0),1))</f>
        <v/>
      </c>
      <c r="D794" s="101"/>
      <c r="E794" s="102"/>
      <c r="F794" s="103"/>
      <c r="G794" s="49" t="str">
        <f t="shared" si="1"/>
        <v/>
      </c>
      <c r="H794" s="76"/>
      <c r="I794" s="103"/>
      <c r="J794" s="58" t="str">
        <f>IF(F794="","", IF(I794="",_xlfn.NETWORKDAYS.INTL(F794,TODAY(),1,FERIADOS),_xlfn.NETWORKDAYS.INTL(F794,I794,1,FERIADOS)))</f>
        <v/>
      </c>
      <c r="K794" s="58" t="str">
        <f t="shared" si="2"/>
        <v/>
      </c>
      <c r="L794" s="58" t="str">
        <f t="shared" si="3"/>
        <v/>
      </c>
    </row>
    <row r="795" ht="21.0" customHeight="1">
      <c r="A795" s="76"/>
      <c r="B795" s="94"/>
      <c r="C795" s="38" t="str">
        <f t="array" ref="C795">IF(B795="","",INDEX(PARAMETROS!$J$2:$J$14,MATCH(B795,PARAMETROS!$G$2:$G$14,0),1))</f>
        <v/>
      </c>
      <c r="D795" s="101"/>
      <c r="E795" s="102"/>
      <c r="F795" s="103"/>
      <c r="G795" s="49" t="str">
        <f t="shared" si="1"/>
        <v/>
      </c>
      <c r="H795" s="76"/>
      <c r="I795" s="103"/>
      <c r="J795" s="58" t="str">
        <f>IF(F795="","", IF(I795="",_xlfn.NETWORKDAYS.INTL(F795,TODAY(),1,FERIADOS),_xlfn.NETWORKDAYS.INTL(F795,I795,1,FERIADOS)))</f>
        <v/>
      </c>
      <c r="K795" s="58" t="str">
        <f t="shared" si="2"/>
        <v/>
      </c>
      <c r="L795" s="58" t="str">
        <f t="shared" si="3"/>
        <v/>
      </c>
    </row>
    <row r="796" ht="21.0" customHeight="1">
      <c r="A796" s="76"/>
      <c r="B796" s="94"/>
      <c r="C796" s="38" t="str">
        <f t="array" ref="C796">IF(B796="","",INDEX(PARAMETROS!$J$2:$J$14,MATCH(B796,PARAMETROS!$G$2:$G$14,0),1))</f>
        <v/>
      </c>
      <c r="D796" s="101"/>
      <c r="E796" s="102"/>
      <c r="F796" s="103"/>
      <c r="G796" s="49" t="str">
        <f t="shared" si="1"/>
        <v/>
      </c>
      <c r="H796" s="76"/>
      <c r="I796" s="103"/>
      <c r="J796" s="58" t="str">
        <f>IF(F796="","", IF(I796="",_xlfn.NETWORKDAYS.INTL(F796,TODAY(),1,FERIADOS),_xlfn.NETWORKDAYS.INTL(F796,I796,1,FERIADOS)))</f>
        <v/>
      </c>
      <c r="K796" s="58" t="str">
        <f t="shared" si="2"/>
        <v/>
      </c>
      <c r="L796" s="58" t="str">
        <f t="shared" si="3"/>
        <v/>
      </c>
    </row>
    <row r="797" ht="21.0" customHeight="1">
      <c r="A797" s="76"/>
      <c r="B797" s="94"/>
      <c r="C797" s="38" t="str">
        <f t="array" ref="C797">IF(B797="","",INDEX(PARAMETROS!$J$2:$J$14,MATCH(B797,PARAMETROS!$G$2:$G$14,0),1))</f>
        <v/>
      </c>
      <c r="D797" s="101"/>
      <c r="E797" s="102"/>
      <c r="F797" s="103"/>
      <c r="G797" s="49" t="str">
        <f t="shared" si="1"/>
        <v/>
      </c>
      <c r="H797" s="76"/>
      <c r="I797" s="103"/>
      <c r="J797" s="58" t="str">
        <f>IF(F797="","", IF(I797="",_xlfn.NETWORKDAYS.INTL(F797,TODAY(),1,FERIADOS),_xlfn.NETWORKDAYS.INTL(F797,I797,1,FERIADOS)))</f>
        <v/>
      </c>
      <c r="K797" s="58" t="str">
        <f t="shared" si="2"/>
        <v/>
      </c>
      <c r="L797" s="58" t="str">
        <f t="shared" si="3"/>
        <v/>
      </c>
    </row>
    <row r="798" ht="21.0" customHeight="1">
      <c r="A798" s="76"/>
      <c r="B798" s="94"/>
      <c r="C798" s="38" t="str">
        <f t="array" ref="C798">IF(B798="","",INDEX(PARAMETROS!$J$2:$J$14,MATCH(B798,PARAMETROS!$G$2:$G$14,0),1))</f>
        <v/>
      </c>
      <c r="D798" s="101"/>
      <c r="E798" s="102"/>
      <c r="F798" s="103"/>
      <c r="G798" s="49" t="str">
        <f t="shared" si="1"/>
        <v/>
      </c>
      <c r="H798" s="76"/>
      <c r="I798" s="103"/>
      <c r="J798" s="58" t="str">
        <f>IF(F798="","", IF(I798="",_xlfn.NETWORKDAYS.INTL(F798,TODAY(),1,FERIADOS),_xlfn.NETWORKDAYS.INTL(F798,I798,1,FERIADOS)))</f>
        <v/>
      </c>
      <c r="K798" s="58" t="str">
        <f t="shared" si="2"/>
        <v/>
      </c>
      <c r="L798" s="58" t="str">
        <f t="shared" si="3"/>
        <v/>
      </c>
    </row>
    <row r="799" ht="21.0" customHeight="1">
      <c r="A799" s="76"/>
      <c r="B799" s="94"/>
      <c r="C799" s="38" t="str">
        <f t="array" ref="C799">IF(B799="","",INDEX(PARAMETROS!$J$2:$J$14,MATCH(B799,PARAMETROS!$G$2:$G$14,0),1))</f>
        <v/>
      </c>
      <c r="D799" s="101"/>
      <c r="E799" s="102"/>
      <c r="F799" s="103"/>
      <c r="G799" s="49" t="str">
        <f t="shared" si="1"/>
        <v/>
      </c>
      <c r="H799" s="76"/>
      <c r="I799" s="103"/>
      <c r="J799" s="58" t="str">
        <f>IF(F799="","", IF(I799="",_xlfn.NETWORKDAYS.INTL(F799,TODAY(),1,FERIADOS),_xlfn.NETWORKDAYS.INTL(F799,I799,1,FERIADOS)))</f>
        <v/>
      </c>
      <c r="K799" s="58" t="str">
        <f t="shared" si="2"/>
        <v/>
      </c>
      <c r="L799" s="58" t="str">
        <f t="shared" si="3"/>
        <v/>
      </c>
    </row>
    <row r="800" ht="21.0" customHeight="1">
      <c r="A800" s="76"/>
      <c r="B800" s="94"/>
      <c r="C800" s="38" t="str">
        <f t="array" ref="C800">IF(B800="","",INDEX(PARAMETROS!$J$2:$J$14,MATCH(B800,PARAMETROS!$G$2:$G$14,0),1))</f>
        <v/>
      </c>
      <c r="D800" s="101"/>
      <c r="E800" s="102"/>
      <c r="F800" s="103"/>
      <c r="G800" s="49" t="str">
        <f t="shared" si="1"/>
        <v/>
      </c>
      <c r="H800" s="76"/>
      <c r="I800" s="103"/>
      <c r="J800" s="58" t="str">
        <f>IF(F800="","", IF(I800="",_xlfn.NETWORKDAYS.INTL(F800,TODAY(),1,FERIADOS),_xlfn.NETWORKDAYS.INTL(F800,I800,1,FERIADOS)))</f>
        <v/>
      </c>
      <c r="K800" s="58" t="str">
        <f t="shared" si="2"/>
        <v/>
      </c>
      <c r="L800" s="58" t="str">
        <f t="shared" si="3"/>
        <v/>
      </c>
    </row>
    <row r="801" ht="21.0" customHeight="1">
      <c r="A801" s="76"/>
      <c r="B801" s="94"/>
      <c r="C801" s="38" t="str">
        <f t="array" ref="C801">IF(B801="","",INDEX(PARAMETROS!$J$2:$J$14,MATCH(B801,PARAMETROS!$G$2:$G$14,0),1))</f>
        <v/>
      </c>
      <c r="D801" s="101"/>
      <c r="E801" s="102"/>
      <c r="F801" s="103"/>
      <c r="G801" s="49" t="str">
        <f t="shared" si="1"/>
        <v/>
      </c>
      <c r="H801" s="76"/>
      <c r="I801" s="103"/>
      <c r="J801" s="58" t="str">
        <f>IF(F801="","", IF(I801="",_xlfn.NETWORKDAYS.INTL(F801,TODAY(),1,FERIADOS),_xlfn.NETWORKDAYS.INTL(F801,I801,1,FERIADOS)))</f>
        <v/>
      </c>
      <c r="K801" s="58" t="str">
        <f t="shared" si="2"/>
        <v/>
      </c>
      <c r="L801" s="58" t="str">
        <f t="shared" si="3"/>
        <v/>
      </c>
    </row>
    <row r="802" ht="21.0" customHeight="1">
      <c r="A802" s="76"/>
      <c r="B802" s="94"/>
      <c r="C802" s="38" t="str">
        <f t="array" ref="C802">IF(B802="","",INDEX(PARAMETROS!$J$2:$J$14,MATCH(B802,PARAMETROS!$G$2:$G$14,0),1))</f>
        <v/>
      </c>
      <c r="D802" s="101"/>
      <c r="E802" s="102"/>
      <c r="F802" s="103"/>
      <c r="G802" s="49" t="str">
        <f t="shared" si="1"/>
        <v/>
      </c>
      <c r="H802" s="76"/>
      <c r="I802" s="103"/>
      <c r="J802" s="58" t="str">
        <f>IF(F802="","", IF(I802="",_xlfn.NETWORKDAYS.INTL(F802,TODAY(),1,FERIADOS),_xlfn.NETWORKDAYS.INTL(F802,I802,1,FERIADOS)))</f>
        <v/>
      </c>
      <c r="K802" s="58" t="str">
        <f t="shared" si="2"/>
        <v/>
      </c>
      <c r="L802" s="58" t="str">
        <f t="shared" si="3"/>
        <v/>
      </c>
    </row>
    <row r="803" ht="21.0" customHeight="1">
      <c r="A803" s="76"/>
      <c r="B803" s="94"/>
      <c r="C803" s="38" t="str">
        <f t="array" ref="C803">IF(B803="","",INDEX(PARAMETROS!$J$2:$J$14,MATCH(B803,PARAMETROS!$G$2:$G$14,0),1))</f>
        <v/>
      </c>
      <c r="D803" s="101"/>
      <c r="E803" s="102"/>
      <c r="F803" s="103"/>
      <c r="G803" s="49" t="str">
        <f t="shared" si="1"/>
        <v/>
      </c>
      <c r="H803" s="76"/>
      <c r="I803" s="103"/>
      <c r="J803" s="58" t="str">
        <f>IF(F803="","", IF(I803="",_xlfn.NETWORKDAYS.INTL(F803,TODAY(),1,FERIADOS),_xlfn.NETWORKDAYS.INTL(F803,I803,1,FERIADOS)))</f>
        <v/>
      </c>
      <c r="K803" s="58" t="str">
        <f t="shared" si="2"/>
        <v/>
      </c>
      <c r="L803" s="58" t="str">
        <f t="shared" si="3"/>
        <v/>
      </c>
    </row>
    <row r="804" ht="21.0" customHeight="1">
      <c r="A804" s="76"/>
      <c r="B804" s="94"/>
      <c r="C804" s="38" t="str">
        <f t="array" ref="C804">IF(B804="","",INDEX(PARAMETROS!$J$2:$J$14,MATCH(B804,PARAMETROS!$G$2:$G$14,0),1))</f>
        <v/>
      </c>
      <c r="D804" s="101"/>
      <c r="E804" s="102"/>
      <c r="F804" s="103"/>
      <c r="G804" s="49" t="str">
        <f t="shared" si="1"/>
        <v/>
      </c>
      <c r="H804" s="76"/>
      <c r="I804" s="103"/>
      <c r="J804" s="58" t="str">
        <f>IF(F804="","", IF(I804="",_xlfn.NETWORKDAYS.INTL(F804,TODAY(),1,FERIADOS),_xlfn.NETWORKDAYS.INTL(F804,I804,1,FERIADOS)))</f>
        <v/>
      </c>
      <c r="K804" s="58" t="str">
        <f t="shared" si="2"/>
        <v/>
      </c>
      <c r="L804" s="58" t="str">
        <f t="shared" si="3"/>
        <v/>
      </c>
    </row>
    <row r="805" ht="21.0" customHeight="1">
      <c r="A805" s="76"/>
      <c r="B805" s="94"/>
      <c r="C805" s="38" t="str">
        <f t="array" ref="C805">IF(B805="","",INDEX(PARAMETROS!$J$2:$J$14,MATCH(B805,PARAMETROS!$G$2:$G$14,0),1))</f>
        <v/>
      </c>
      <c r="D805" s="101"/>
      <c r="E805" s="102"/>
      <c r="F805" s="103"/>
      <c r="G805" s="49" t="str">
        <f t="shared" si="1"/>
        <v/>
      </c>
      <c r="H805" s="76"/>
      <c r="I805" s="103"/>
      <c r="J805" s="58" t="str">
        <f>IF(F805="","", IF(I805="",_xlfn.NETWORKDAYS.INTL(F805,TODAY(),1,FERIADOS),_xlfn.NETWORKDAYS.INTL(F805,I805,1,FERIADOS)))</f>
        <v/>
      </c>
      <c r="K805" s="58" t="str">
        <f t="shared" si="2"/>
        <v/>
      </c>
      <c r="L805" s="58" t="str">
        <f t="shared" si="3"/>
        <v/>
      </c>
    </row>
    <row r="806" ht="21.0" customHeight="1">
      <c r="A806" s="76"/>
      <c r="B806" s="94"/>
      <c r="C806" s="38" t="str">
        <f t="array" ref="C806">IF(B806="","",INDEX(PARAMETROS!$J$2:$J$14,MATCH(B806,PARAMETROS!$G$2:$G$14,0),1))</f>
        <v/>
      </c>
      <c r="D806" s="101"/>
      <c r="E806" s="102"/>
      <c r="F806" s="103"/>
      <c r="G806" s="49" t="str">
        <f t="shared" si="1"/>
        <v/>
      </c>
      <c r="H806" s="76"/>
      <c r="I806" s="103"/>
      <c r="J806" s="58" t="str">
        <f>IF(F806="","", IF(I806="",_xlfn.NETWORKDAYS.INTL(F806,TODAY(),1,FERIADOS),_xlfn.NETWORKDAYS.INTL(F806,I806,1,FERIADOS)))</f>
        <v/>
      </c>
      <c r="K806" s="58" t="str">
        <f t="shared" si="2"/>
        <v/>
      </c>
      <c r="L806" s="58" t="str">
        <f t="shared" si="3"/>
        <v/>
      </c>
    </row>
    <row r="807" ht="21.0" customHeight="1">
      <c r="A807" s="76"/>
      <c r="B807" s="94"/>
      <c r="C807" s="38" t="str">
        <f t="array" ref="C807">IF(B807="","",INDEX(PARAMETROS!$J$2:$J$14,MATCH(B807,PARAMETROS!$G$2:$G$14,0),1))</f>
        <v/>
      </c>
      <c r="D807" s="101"/>
      <c r="E807" s="102"/>
      <c r="F807" s="103"/>
      <c r="G807" s="49" t="str">
        <f t="shared" si="1"/>
        <v/>
      </c>
      <c r="H807" s="76"/>
      <c r="I807" s="103"/>
      <c r="J807" s="58" t="str">
        <f>IF(F807="","", IF(I807="",_xlfn.NETWORKDAYS.INTL(F807,TODAY(),1,FERIADOS),_xlfn.NETWORKDAYS.INTL(F807,I807,1,FERIADOS)))</f>
        <v/>
      </c>
      <c r="K807" s="58" t="str">
        <f t="shared" si="2"/>
        <v/>
      </c>
      <c r="L807" s="58" t="str">
        <f t="shared" si="3"/>
        <v/>
      </c>
    </row>
    <row r="808" ht="21.0" customHeight="1">
      <c r="A808" s="76"/>
      <c r="B808" s="94"/>
      <c r="C808" s="38" t="str">
        <f t="array" ref="C808">IF(B808="","",INDEX(PARAMETROS!$J$2:$J$14,MATCH(B808,PARAMETROS!$G$2:$G$14,0),1))</f>
        <v/>
      </c>
      <c r="D808" s="101"/>
      <c r="E808" s="102"/>
      <c r="F808" s="103"/>
      <c r="G808" s="49" t="str">
        <f t="shared" si="1"/>
        <v/>
      </c>
      <c r="H808" s="76"/>
      <c r="I808" s="103"/>
      <c r="J808" s="58" t="str">
        <f>IF(F808="","", IF(I808="",_xlfn.NETWORKDAYS.INTL(F808,TODAY(),1,FERIADOS),_xlfn.NETWORKDAYS.INTL(F808,I808,1,FERIADOS)))</f>
        <v/>
      </c>
      <c r="K808" s="58" t="str">
        <f t="shared" si="2"/>
        <v/>
      </c>
      <c r="L808" s="58" t="str">
        <f t="shared" si="3"/>
        <v/>
      </c>
    </row>
    <row r="809" ht="21.0" customHeight="1">
      <c r="A809" s="76"/>
      <c r="B809" s="94"/>
      <c r="C809" s="38" t="str">
        <f t="array" ref="C809">IF(B809="","",INDEX(PARAMETROS!$J$2:$J$14,MATCH(B809,PARAMETROS!$G$2:$G$14,0),1))</f>
        <v/>
      </c>
      <c r="D809" s="101"/>
      <c r="E809" s="102"/>
      <c r="F809" s="103"/>
      <c r="G809" s="49" t="str">
        <f t="shared" si="1"/>
        <v/>
      </c>
      <c r="H809" s="76"/>
      <c r="I809" s="103"/>
      <c r="J809" s="58" t="str">
        <f>IF(F809="","", IF(I809="",_xlfn.NETWORKDAYS.INTL(F809,TODAY(),1,FERIADOS),_xlfn.NETWORKDAYS.INTL(F809,I809,1,FERIADOS)))</f>
        <v/>
      </c>
      <c r="K809" s="58" t="str">
        <f t="shared" si="2"/>
        <v/>
      </c>
      <c r="L809" s="58" t="str">
        <f t="shared" si="3"/>
        <v/>
      </c>
    </row>
    <row r="810" ht="21.0" customHeight="1">
      <c r="A810" s="76"/>
      <c r="B810" s="94"/>
      <c r="C810" s="38" t="str">
        <f t="array" ref="C810">IF(B810="","",INDEX(PARAMETROS!$J$2:$J$14,MATCH(B810,PARAMETROS!$G$2:$G$14,0),1))</f>
        <v/>
      </c>
      <c r="D810" s="101"/>
      <c r="E810" s="102"/>
      <c r="F810" s="103"/>
      <c r="G810" s="49" t="str">
        <f t="shared" si="1"/>
        <v/>
      </c>
      <c r="H810" s="76"/>
      <c r="I810" s="103"/>
      <c r="J810" s="58" t="str">
        <f>IF(F810="","", IF(I810="",_xlfn.NETWORKDAYS.INTL(F810,TODAY(),1,FERIADOS),_xlfn.NETWORKDAYS.INTL(F810,I810,1,FERIADOS)))</f>
        <v/>
      </c>
      <c r="K810" s="58" t="str">
        <f t="shared" si="2"/>
        <v/>
      </c>
      <c r="L810" s="58" t="str">
        <f t="shared" si="3"/>
        <v/>
      </c>
    </row>
    <row r="811" ht="21.0" customHeight="1">
      <c r="A811" s="76"/>
      <c r="B811" s="94"/>
      <c r="C811" s="38" t="str">
        <f t="array" ref="C811">IF(B811="","",INDEX(PARAMETROS!$J$2:$J$14,MATCH(B811,PARAMETROS!$G$2:$G$14,0),1))</f>
        <v/>
      </c>
      <c r="D811" s="101"/>
      <c r="E811" s="102"/>
      <c r="F811" s="103"/>
      <c r="G811" s="49" t="str">
        <f t="shared" si="1"/>
        <v/>
      </c>
      <c r="H811" s="76"/>
      <c r="I811" s="103"/>
      <c r="J811" s="58" t="str">
        <f>IF(F811="","", IF(I811="",_xlfn.NETWORKDAYS.INTL(F811,TODAY(),1,FERIADOS),_xlfn.NETWORKDAYS.INTL(F811,I811,1,FERIADOS)))</f>
        <v/>
      </c>
      <c r="K811" s="58" t="str">
        <f t="shared" si="2"/>
        <v/>
      </c>
      <c r="L811" s="58" t="str">
        <f t="shared" si="3"/>
        <v/>
      </c>
    </row>
    <row r="812" ht="21.0" customHeight="1">
      <c r="A812" s="76"/>
      <c r="B812" s="94"/>
      <c r="C812" s="38" t="str">
        <f t="array" ref="C812">IF(B812="","",INDEX(PARAMETROS!$J$2:$J$14,MATCH(B812,PARAMETROS!$G$2:$G$14,0),1))</f>
        <v/>
      </c>
      <c r="D812" s="101"/>
      <c r="E812" s="102"/>
      <c r="F812" s="103"/>
      <c r="G812" s="49" t="str">
        <f t="shared" si="1"/>
        <v/>
      </c>
      <c r="H812" s="76"/>
      <c r="I812" s="103"/>
      <c r="J812" s="58" t="str">
        <f>IF(F812="","", IF(I812="",_xlfn.NETWORKDAYS.INTL(F812,TODAY(),1,FERIADOS),_xlfn.NETWORKDAYS.INTL(F812,I812,1,FERIADOS)))</f>
        <v/>
      </c>
      <c r="K812" s="58" t="str">
        <f t="shared" si="2"/>
        <v/>
      </c>
      <c r="L812" s="58" t="str">
        <f t="shared" si="3"/>
        <v/>
      </c>
    </row>
    <row r="813" ht="21.0" customHeight="1">
      <c r="A813" s="76"/>
      <c r="B813" s="94"/>
      <c r="C813" s="38" t="str">
        <f t="array" ref="C813">IF(B813="","",INDEX(PARAMETROS!$J$2:$J$14,MATCH(B813,PARAMETROS!$G$2:$G$14,0),1))</f>
        <v/>
      </c>
      <c r="D813" s="101"/>
      <c r="E813" s="102"/>
      <c r="F813" s="103"/>
      <c r="G813" s="49" t="str">
        <f t="shared" si="1"/>
        <v/>
      </c>
      <c r="H813" s="76"/>
      <c r="I813" s="103"/>
      <c r="J813" s="58" t="str">
        <f>IF(F813="","", IF(I813="",_xlfn.NETWORKDAYS.INTL(F813,TODAY(),1,FERIADOS),_xlfn.NETWORKDAYS.INTL(F813,I813,1,FERIADOS)))</f>
        <v/>
      </c>
      <c r="K813" s="58" t="str">
        <f t="shared" si="2"/>
        <v/>
      </c>
      <c r="L813" s="58" t="str">
        <f t="shared" si="3"/>
        <v/>
      </c>
    </row>
    <row r="814" ht="21.0" customHeight="1">
      <c r="A814" s="76"/>
      <c r="B814" s="94"/>
      <c r="C814" s="38" t="str">
        <f t="array" ref="C814">IF(B814="","",INDEX(PARAMETROS!$J$2:$J$14,MATCH(B814,PARAMETROS!$G$2:$G$14,0),1))</f>
        <v/>
      </c>
      <c r="D814" s="101"/>
      <c r="E814" s="102"/>
      <c r="F814" s="103"/>
      <c r="G814" s="49" t="str">
        <f t="shared" si="1"/>
        <v/>
      </c>
      <c r="H814" s="76"/>
      <c r="I814" s="103"/>
      <c r="J814" s="58" t="str">
        <f>IF(F814="","", IF(I814="",_xlfn.NETWORKDAYS.INTL(F814,TODAY(),1,FERIADOS),_xlfn.NETWORKDAYS.INTL(F814,I814,1,FERIADOS)))</f>
        <v/>
      </c>
      <c r="K814" s="58" t="str">
        <f t="shared" si="2"/>
        <v/>
      </c>
      <c r="L814" s="58" t="str">
        <f t="shared" si="3"/>
        <v/>
      </c>
    </row>
    <row r="815" ht="21.0" customHeight="1">
      <c r="A815" s="76"/>
      <c r="B815" s="94"/>
      <c r="C815" s="38" t="str">
        <f t="array" ref="C815">IF(B815="","",INDEX(PARAMETROS!$J$2:$J$14,MATCH(B815,PARAMETROS!$G$2:$G$14,0),1))</f>
        <v/>
      </c>
      <c r="D815" s="101"/>
      <c r="E815" s="102"/>
      <c r="F815" s="103"/>
      <c r="G815" s="49" t="str">
        <f t="shared" si="1"/>
        <v/>
      </c>
      <c r="H815" s="76"/>
      <c r="I815" s="103"/>
      <c r="J815" s="58" t="str">
        <f>IF(F815="","", IF(I815="",_xlfn.NETWORKDAYS.INTL(F815,TODAY(),1,FERIADOS),_xlfn.NETWORKDAYS.INTL(F815,I815,1,FERIADOS)))</f>
        <v/>
      </c>
      <c r="K815" s="58" t="str">
        <f t="shared" si="2"/>
        <v/>
      </c>
      <c r="L815" s="58" t="str">
        <f t="shared" si="3"/>
        <v/>
      </c>
    </row>
    <row r="816" ht="21.0" customHeight="1">
      <c r="A816" s="76"/>
      <c r="B816" s="94"/>
      <c r="C816" s="38" t="str">
        <f t="array" ref="C816">IF(B816="","",INDEX(PARAMETROS!$J$2:$J$14,MATCH(B816,PARAMETROS!$G$2:$G$14,0),1))</f>
        <v/>
      </c>
      <c r="D816" s="101"/>
      <c r="E816" s="102"/>
      <c r="F816" s="103"/>
      <c r="G816" s="49" t="str">
        <f t="shared" si="1"/>
        <v/>
      </c>
      <c r="H816" s="76"/>
      <c r="I816" s="103"/>
      <c r="J816" s="58" t="str">
        <f>IF(F816="","", IF(I816="",_xlfn.NETWORKDAYS.INTL(F816,TODAY(),1,FERIADOS),_xlfn.NETWORKDAYS.INTL(F816,I816,1,FERIADOS)))</f>
        <v/>
      </c>
      <c r="K816" s="58" t="str">
        <f t="shared" si="2"/>
        <v/>
      </c>
      <c r="L816" s="58" t="str">
        <f t="shared" si="3"/>
        <v/>
      </c>
    </row>
    <row r="817" ht="21.0" customHeight="1">
      <c r="A817" s="76"/>
      <c r="B817" s="94"/>
      <c r="C817" s="38" t="str">
        <f t="array" ref="C817">IF(B817="","",INDEX(PARAMETROS!$J$2:$J$14,MATCH(B817,PARAMETROS!$G$2:$G$14,0),1))</f>
        <v/>
      </c>
      <c r="D817" s="101"/>
      <c r="E817" s="102"/>
      <c r="F817" s="103"/>
      <c r="G817" s="49" t="str">
        <f t="shared" si="1"/>
        <v/>
      </c>
      <c r="H817" s="76"/>
      <c r="I817" s="103"/>
      <c r="J817" s="58" t="str">
        <f>IF(F817="","", IF(I817="",_xlfn.NETWORKDAYS.INTL(F817,TODAY(),1,FERIADOS),_xlfn.NETWORKDAYS.INTL(F817,I817,1,FERIADOS)))</f>
        <v/>
      </c>
      <c r="K817" s="58" t="str">
        <f t="shared" si="2"/>
        <v/>
      </c>
      <c r="L817" s="58" t="str">
        <f t="shared" si="3"/>
        <v/>
      </c>
    </row>
    <row r="818" ht="21.0" customHeight="1">
      <c r="A818" s="76"/>
      <c r="B818" s="94"/>
      <c r="C818" s="38" t="str">
        <f t="array" ref="C818">IF(B818="","",INDEX(PARAMETROS!$J$2:$J$14,MATCH(B818,PARAMETROS!$G$2:$G$14,0),1))</f>
        <v/>
      </c>
      <c r="D818" s="101"/>
      <c r="E818" s="102"/>
      <c r="F818" s="103"/>
      <c r="G818" s="49" t="str">
        <f t="shared" si="1"/>
        <v/>
      </c>
      <c r="H818" s="76"/>
      <c r="I818" s="103"/>
      <c r="J818" s="58" t="str">
        <f>IF(F818="","", IF(I818="",_xlfn.NETWORKDAYS.INTL(F818,TODAY(),1,FERIADOS),_xlfn.NETWORKDAYS.INTL(F818,I818,1,FERIADOS)))</f>
        <v/>
      </c>
      <c r="K818" s="58" t="str">
        <f t="shared" si="2"/>
        <v/>
      </c>
      <c r="L818" s="58" t="str">
        <f t="shared" si="3"/>
        <v/>
      </c>
    </row>
    <row r="819" ht="21.0" customHeight="1">
      <c r="A819" s="76"/>
      <c r="B819" s="94"/>
      <c r="C819" s="38" t="str">
        <f t="array" ref="C819">IF(B819="","",INDEX(PARAMETROS!$J$2:$J$14,MATCH(B819,PARAMETROS!$G$2:$G$14,0),1))</f>
        <v/>
      </c>
      <c r="D819" s="101"/>
      <c r="E819" s="102"/>
      <c r="F819" s="103"/>
      <c r="G819" s="49" t="str">
        <f t="shared" si="1"/>
        <v/>
      </c>
      <c r="H819" s="76"/>
      <c r="I819" s="103"/>
      <c r="J819" s="58" t="str">
        <f>IF(F819="","", IF(I819="",_xlfn.NETWORKDAYS.INTL(F819,TODAY(),1,FERIADOS),_xlfn.NETWORKDAYS.INTL(F819,I819,1,FERIADOS)))</f>
        <v/>
      </c>
      <c r="K819" s="58" t="str">
        <f t="shared" si="2"/>
        <v/>
      </c>
      <c r="L819" s="58" t="str">
        <f t="shared" si="3"/>
        <v/>
      </c>
    </row>
    <row r="820" ht="21.0" customHeight="1">
      <c r="A820" s="76"/>
      <c r="B820" s="94"/>
      <c r="C820" s="38" t="str">
        <f t="array" ref="C820">IF(B820="","",INDEX(PARAMETROS!$J$2:$J$14,MATCH(B820,PARAMETROS!$G$2:$G$14,0),1))</f>
        <v/>
      </c>
      <c r="D820" s="101"/>
      <c r="E820" s="102"/>
      <c r="F820" s="103"/>
      <c r="G820" s="49" t="str">
        <f t="shared" si="1"/>
        <v/>
      </c>
      <c r="H820" s="76"/>
      <c r="I820" s="103"/>
      <c r="J820" s="58" t="str">
        <f>IF(F820="","", IF(I820="",_xlfn.NETWORKDAYS.INTL(F820,TODAY(),1,FERIADOS),_xlfn.NETWORKDAYS.INTL(F820,I820,1,FERIADOS)))</f>
        <v/>
      </c>
      <c r="K820" s="58" t="str">
        <f t="shared" si="2"/>
        <v/>
      </c>
      <c r="L820" s="58" t="str">
        <f t="shared" si="3"/>
        <v/>
      </c>
    </row>
    <row r="821" ht="21.0" customHeight="1">
      <c r="A821" s="76"/>
      <c r="B821" s="94"/>
      <c r="C821" s="38" t="str">
        <f t="array" ref="C821">IF(B821="","",INDEX(PARAMETROS!$J$2:$J$14,MATCH(B821,PARAMETROS!$G$2:$G$14,0),1))</f>
        <v/>
      </c>
      <c r="D821" s="101"/>
      <c r="E821" s="102"/>
      <c r="F821" s="103"/>
      <c r="G821" s="49" t="str">
        <f t="shared" si="1"/>
        <v/>
      </c>
      <c r="H821" s="76"/>
      <c r="I821" s="103"/>
      <c r="J821" s="58" t="str">
        <f>IF(F821="","", IF(I821="",_xlfn.NETWORKDAYS.INTL(F821,TODAY(),1,FERIADOS),_xlfn.NETWORKDAYS.INTL(F821,I821,1,FERIADOS)))</f>
        <v/>
      </c>
      <c r="K821" s="58" t="str">
        <f t="shared" si="2"/>
        <v/>
      </c>
      <c r="L821" s="58" t="str">
        <f t="shared" si="3"/>
        <v/>
      </c>
    </row>
    <row r="822" ht="21.0" customHeight="1">
      <c r="A822" s="76"/>
      <c r="B822" s="94"/>
      <c r="C822" s="38" t="str">
        <f t="array" ref="C822">IF(B822="","",INDEX(PARAMETROS!$J$2:$J$14,MATCH(B822,PARAMETROS!$G$2:$G$14,0),1))</f>
        <v/>
      </c>
      <c r="D822" s="101"/>
      <c r="E822" s="102"/>
      <c r="F822" s="103"/>
      <c r="G822" s="49" t="str">
        <f t="shared" si="1"/>
        <v/>
      </c>
      <c r="H822" s="76"/>
      <c r="I822" s="103"/>
      <c r="J822" s="58" t="str">
        <f>IF(F822="","", IF(I822="",_xlfn.NETWORKDAYS.INTL(F822,TODAY(),1,FERIADOS),_xlfn.NETWORKDAYS.INTL(F822,I822,1,FERIADOS)))</f>
        <v/>
      </c>
      <c r="K822" s="58" t="str">
        <f t="shared" si="2"/>
        <v/>
      </c>
      <c r="L822" s="58" t="str">
        <f t="shared" si="3"/>
        <v/>
      </c>
    </row>
    <row r="823" ht="21.0" customHeight="1">
      <c r="A823" s="76"/>
      <c r="B823" s="94"/>
      <c r="C823" s="38" t="str">
        <f t="array" ref="C823">IF(B823="","",INDEX(PARAMETROS!$J$2:$J$14,MATCH(B823,PARAMETROS!$G$2:$G$14,0),1))</f>
        <v/>
      </c>
      <c r="D823" s="101"/>
      <c r="E823" s="102"/>
      <c r="F823" s="103"/>
      <c r="G823" s="49" t="str">
        <f t="shared" si="1"/>
        <v/>
      </c>
      <c r="H823" s="76"/>
      <c r="I823" s="103"/>
      <c r="J823" s="58" t="str">
        <f>IF(F823="","", IF(I823="",_xlfn.NETWORKDAYS.INTL(F823,TODAY(),1,FERIADOS),_xlfn.NETWORKDAYS.INTL(F823,I823,1,FERIADOS)))</f>
        <v/>
      </c>
      <c r="K823" s="58" t="str">
        <f t="shared" si="2"/>
        <v/>
      </c>
      <c r="L823" s="58" t="str">
        <f t="shared" si="3"/>
        <v/>
      </c>
    </row>
    <row r="824" ht="21.0" customHeight="1">
      <c r="A824" s="76"/>
      <c r="B824" s="94"/>
      <c r="C824" s="38" t="str">
        <f t="array" ref="C824">IF(B824="","",INDEX(PARAMETROS!$J$2:$J$14,MATCH(B824,PARAMETROS!$G$2:$G$14,0),1))</f>
        <v/>
      </c>
      <c r="D824" s="101"/>
      <c r="E824" s="102"/>
      <c r="F824" s="103"/>
      <c r="G824" s="49" t="str">
        <f t="shared" si="1"/>
        <v/>
      </c>
      <c r="H824" s="76"/>
      <c r="I824" s="103"/>
      <c r="J824" s="58" t="str">
        <f>IF(F824="","", IF(I824="",_xlfn.NETWORKDAYS.INTL(F824,TODAY(),1,FERIADOS),_xlfn.NETWORKDAYS.INTL(F824,I824,1,FERIADOS)))</f>
        <v/>
      </c>
      <c r="K824" s="58" t="str">
        <f t="shared" si="2"/>
        <v/>
      </c>
      <c r="L824" s="58" t="str">
        <f t="shared" si="3"/>
        <v/>
      </c>
    </row>
    <row r="825" ht="21.0" customHeight="1">
      <c r="A825" s="76"/>
      <c r="B825" s="94"/>
      <c r="C825" s="38" t="str">
        <f t="array" ref="C825">IF(B825="","",INDEX(PARAMETROS!$J$2:$J$14,MATCH(B825,PARAMETROS!$G$2:$G$14,0),1))</f>
        <v/>
      </c>
      <c r="D825" s="101"/>
      <c r="E825" s="102"/>
      <c r="F825" s="103"/>
      <c r="G825" s="49" t="str">
        <f t="shared" si="1"/>
        <v/>
      </c>
      <c r="H825" s="76"/>
      <c r="I825" s="103"/>
      <c r="J825" s="58" t="str">
        <f>IF(F825="","", IF(I825="",_xlfn.NETWORKDAYS.INTL(F825,TODAY(),1,FERIADOS),_xlfn.NETWORKDAYS.INTL(F825,I825,1,FERIADOS)))</f>
        <v/>
      </c>
      <c r="K825" s="58" t="str">
        <f t="shared" si="2"/>
        <v/>
      </c>
      <c r="L825" s="58" t="str">
        <f t="shared" si="3"/>
        <v/>
      </c>
    </row>
    <row r="826" ht="21.0" customHeight="1">
      <c r="A826" s="76"/>
      <c r="B826" s="94"/>
      <c r="C826" s="38" t="str">
        <f t="array" ref="C826">IF(B826="","",INDEX(PARAMETROS!$J$2:$J$14,MATCH(B826,PARAMETROS!$G$2:$G$14,0),1))</f>
        <v/>
      </c>
      <c r="D826" s="101"/>
      <c r="E826" s="102"/>
      <c r="F826" s="103"/>
      <c r="G826" s="49" t="str">
        <f t="shared" si="1"/>
        <v/>
      </c>
      <c r="H826" s="76"/>
      <c r="I826" s="103"/>
      <c r="J826" s="58" t="str">
        <f>IF(F826="","", IF(I826="",_xlfn.NETWORKDAYS.INTL(F826,TODAY(),1,FERIADOS),_xlfn.NETWORKDAYS.INTL(F826,I826,1,FERIADOS)))</f>
        <v/>
      </c>
      <c r="K826" s="58" t="str">
        <f t="shared" si="2"/>
        <v/>
      </c>
      <c r="L826" s="58" t="str">
        <f t="shared" si="3"/>
        <v/>
      </c>
    </row>
    <row r="827" ht="21.0" customHeight="1">
      <c r="A827" s="76"/>
      <c r="B827" s="94"/>
      <c r="C827" s="38" t="str">
        <f t="array" ref="C827">IF(B827="","",INDEX(PARAMETROS!$J$2:$J$14,MATCH(B827,PARAMETROS!$G$2:$G$14,0),1))</f>
        <v/>
      </c>
      <c r="D827" s="101"/>
      <c r="E827" s="102"/>
      <c r="F827" s="103"/>
      <c r="G827" s="49" t="str">
        <f t="shared" si="1"/>
        <v/>
      </c>
      <c r="H827" s="76"/>
      <c r="I827" s="103"/>
      <c r="J827" s="58" t="str">
        <f>IF(F827="","", IF(I827="",_xlfn.NETWORKDAYS.INTL(F827,TODAY(),1,FERIADOS),_xlfn.NETWORKDAYS.INTL(F827,I827,1,FERIADOS)))</f>
        <v/>
      </c>
      <c r="K827" s="58" t="str">
        <f t="shared" si="2"/>
        <v/>
      </c>
      <c r="L827" s="58" t="str">
        <f t="shared" si="3"/>
        <v/>
      </c>
    </row>
    <row r="828" ht="21.0" customHeight="1">
      <c r="A828" s="76"/>
      <c r="B828" s="94"/>
      <c r="C828" s="38" t="str">
        <f t="array" ref="C828">IF(B828="","",INDEX(PARAMETROS!$J$2:$J$14,MATCH(B828,PARAMETROS!$G$2:$G$14,0),1))</f>
        <v/>
      </c>
      <c r="D828" s="101"/>
      <c r="E828" s="102"/>
      <c r="F828" s="103"/>
      <c r="G828" s="49" t="str">
        <f t="shared" si="1"/>
        <v/>
      </c>
      <c r="H828" s="76"/>
      <c r="I828" s="103"/>
      <c r="J828" s="58" t="str">
        <f>IF(F828="","", IF(I828="",_xlfn.NETWORKDAYS.INTL(F828,TODAY(),1,FERIADOS),_xlfn.NETWORKDAYS.INTL(F828,I828,1,FERIADOS)))</f>
        <v/>
      </c>
      <c r="K828" s="58" t="str">
        <f t="shared" si="2"/>
        <v/>
      </c>
      <c r="L828" s="58" t="str">
        <f t="shared" si="3"/>
        <v/>
      </c>
    </row>
    <row r="829" ht="21.0" customHeight="1">
      <c r="A829" s="76"/>
      <c r="B829" s="94"/>
      <c r="C829" s="38" t="str">
        <f t="array" ref="C829">IF(B829="","",INDEX(PARAMETROS!$J$2:$J$14,MATCH(B829,PARAMETROS!$G$2:$G$14,0),1))</f>
        <v/>
      </c>
      <c r="D829" s="101"/>
      <c r="E829" s="102"/>
      <c r="F829" s="103"/>
      <c r="G829" s="49" t="str">
        <f t="shared" si="1"/>
        <v/>
      </c>
      <c r="H829" s="76"/>
      <c r="I829" s="103"/>
      <c r="J829" s="58" t="str">
        <f>IF(F829="","", IF(I829="",_xlfn.NETWORKDAYS.INTL(F829,TODAY(),1,FERIADOS),_xlfn.NETWORKDAYS.INTL(F829,I829,1,FERIADOS)))</f>
        <v/>
      </c>
      <c r="K829" s="58" t="str">
        <f t="shared" si="2"/>
        <v/>
      </c>
      <c r="L829" s="58" t="str">
        <f t="shared" si="3"/>
        <v/>
      </c>
    </row>
    <row r="830" ht="21.0" customHeight="1">
      <c r="A830" s="76"/>
      <c r="B830" s="94"/>
      <c r="C830" s="38" t="str">
        <f t="array" ref="C830">IF(B830="","",INDEX(PARAMETROS!$J$2:$J$14,MATCH(B830,PARAMETROS!$G$2:$G$14,0),1))</f>
        <v/>
      </c>
      <c r="D830" s="101"/>
      <c r="E830" s="102"/>
      <c r="F830" s="103"/>
      <c r="G830" s="49" t="str">
        <f t="shared" si="1"/>
        <v/>
      </c>
      <c r="H830" s="76"/>
      <c r="I830" s="103"/>
      <c r="J830" s="58" t="str">
        <f>IF(F830="","", IF(I830="",_xlfn.NETWORKDAYS.INTL(F830,TODAY(),1,FERIADOS),_xlfn.NETWORKDAYS.INTL(F830,I830,1,FERIADOS)))</f>
        <v/>
      </c>
      <c r="K830" s="58" t="str">
        <f t="shared" si="2"/>
        <v/>
      </c>
      <c r="L830" s="58" t="str">
        <f t="shared" si="3"/>
        <v/>
      </c>
    </row>
    <row r="831" ht="21.0" customHeight="1">
      <c r="A831" s="76"/>
      <c r="B831" s="94"/>
      <c r="C831" s="38" t="str">
        <f t="array" ref="C831">IF(B831="","",INDEX(PARAMETROS!$J$2:$J$14,MATCH(B831,PARAMETROS!$G$2:$G$14,0),1))</f>
        <v/>
      </c>
      <c r="D831" s="101"/>
      <c r="E831" s="102"/>
      <c r="F831" s="103"/>
      <c r="G831" s="49" t="str">
        <f t="shared" si="1"/>
        <v/>
      </c>
      <c r="H831" s="76"/>
      <c r="I831" s="103"/>
      <c r="J831" s="58" t="str">
        <f>IF(F831="","", IF(I831="",_xlfn.NETWORKDAYS.INTL(F831,TODAY(),1,FERIADOS),_xlfn.NETWORKDAYS.INTL(F831,I831,1,FERIADOS)))</f>
        <v/>
      </c>
      <c r="K831" s="58" t="str">
        <f t="shared" si="2"/>
        <v/>
      </c>
      <c r="L831" s="58" t="str">
        <f t="shared" si="3"/>
        <v/>
      </c>
    </row>
    <row r="832" ht="21.0" customHeight="1">
      <c r="A832" s="76"/>
      <c r="B832" s="94"/>
      <c r="C832" s="38" t="str">
        <f t="array" ref="C832">IF(B832="","",INDEX(PARAMETROS!$J$2:$J$14,MATCH(B832,PARAMETROS!$G$2:$G$14,0),1))</f>
        <v/>
      </c>
      <c r="D832" s="101"/>
      <c r="E832" s="102"/>
      <c r="F832" s="103"/>
      <c r="G832" s="49" t="str">
        <f t="shared" si="1"/>
        <v/>
      </c>
      <c r="H832" s="76"/>
      <c r="I832" s="103"/>
      <c r="J832" s="58" t="str">
        <f>IF(F832="","", IF(I832="",_xlfn.NETWORKDAYS.INTL(F832,TODAY(),1,FERIADOS),_xlfn.NETWORKDAYS.INTL(F832,I832,1,FERIADOS)))</f>
        <v/>
      </c>
      <c r="K832" s="58" t="str">
        <f t="shared" si="2"/>
        <v/>
      </c>
      <c r="L832" s="58" t="str">
        <f t="shared" si="3"/>
        <v/>
      </c>
    </row>
    <row r="833" ht="21.0" customHeight="1">
      <c r="A833" s="76"/>
      <c r="B833" s="94"/>
      <c r="C833" s="38" t="str">
        <f t="array" ref="C833">IF(B833="","",INDEX(PARAMETROS!$J$2:$J$14,MATCH(B833,PARAMETROS!$G$2:$G$14,0),1))</f>
        <v/>
      </c>
      <c r="D833" s="101"/>
      <c r="E833" s="102"/>
      <c r="F833" s="103"/>
      <c r="G833" s="49" t="str">
        <f t="shared" si="1"/>
        <v/>
      </c>
      <c r="H833" s="76"/>
      <c r="I833" s="103"/>
      <c r="J833" s="58" t="str">
        <f>IF(F833="","", IF(I833="",_xlfn.NETWORKDAYS.INTL(F833,TODAY(),1,FERIADOS),_xlfn.NETWORKDAYS.INTL(F833,I833,1,FERIADOS)))</f>
        <v/>
      </c>
      <c r="K833" s="58" t="str">
        <f t="shared" si="2"/>
        <v/>
      </c>
      <c r="L833" s="58" t="str">
        <f t="shared" si="3"/>
        <v/>
      </c>
    </row>
    <row r="834" ht="21.0" customHeight="1">
      <c r="A834" s="76"/>
      <c r="B834" s="94"/>
      <c r="C834" s="38" t="str">
        <f t="array" ref="C834">IF(B834="","",INDEX(PARAMETROS!$J$2:$J$14,MATCH(B834,PARAMETROS!$G$2:$G$14,0),1))</f>
        <v/>
      </c>
      <c r="D834" s="101"/>
      <c r="E834" s="102"/>
      <c r="F834" s="103"/>
      <c r="G834" s="49" t="str">
        <f t="shared" si="1"/>
        <v/>
      </c>
      <c r="H834" s="76"/>
      <c r="I834" s="103"/>
      <c r="J834" s="58" t="str">
        <f>IF(F834="","", IF(I834="",_xlfn.NETWORKDAYS.INTL(F834,TODAY(),1,FERIADOS),_xlfn.NETWORKDAYS.INTL(F834,I834,1,FERIADOS)))</f>
        <v/>
      </c>
      <c r="K834" s="58" t="str">
        <f t="shared" si="2"/>
        <v/>
      </c>
      <c r="L834" s="58" t="str">
        <f t="shared" si="3"/>
        <v/>
      </c>
    </row>
    <row r="835" ht="21.0" customHeight="1">
      <c r="A835" s="76"/>
      <c r="B835" s="94"/>
      <c r="C835" s="38" t="str">
        <f t="array" ref="C835">IF(B835="","",INDEX(PARAMETROS!$J$2:$J$14,MATCH(B835,PARAMETROS!$G$2:$G$14,0),1))</f>
        <v/>
      </c>
      <c r="D835" s="101"/>
      <c r="E835" s="102"/>
      <c r="F835" s="103"/>
      <c r="G835" s="49" t="str">
        <f t="shared" si="1"/>
        <v/>
      </c>
      <c r="H835" s="76"/>
      <c r="I835" s="103"/>
      <c r="J835" s="58" t="str">
        <f>IF(F835="","", IF(I835="",_xlfn.NETWORKDAYS.INTL(F835,TODAY(),1,FERIADOS),_xlfn.NETWORKDAYS.INTL(F835,I835,1,FERIADOS)))</f>
        <v/>
      </c>
      <c r="K835" s="58" t="str">
        <f t="shared" si="2"/>
        <v/>
      </c>
      <c r="L835" s="58" t="str">
        <f t="shared" si="3"/>
        <v/>
      </c>
    </row>
    <row r="836" ht="21.0" customHeight="1">
      <c r="A836" s="76"/>
      <c r="B836" s="94"/>
      <c r="C836" s="38" t="str">
        <f t="array" ref="C836">IF(B836="","",INDEX(PARAMETROS!$J$2:$J$14,MATCH(B836,PARAMETROS!$G$2:$G$14,0),1))</f>
        <v/>
      </c>
      <c r="D836" s="101"/>
      <c r="E836" s="102"/>
      <c r="F836" s="103"/>
      <c r="G836" s="49" t="str">
        <f t="shared" si="1"/>
        <v/>
      </c>
      <c r="H836" s="76"/>
      <c r="I836" s="103"/>
      <c r="J836" s="58" t="str">
        <f>IF(F836="","", IF(I836="",_xlfn.NETWORKDAYS.INTL(F836,TODAY(),1,FERIADOS),_xlfn.NETWORKDAYS.INTL(F836,I836,1,FERIADOS)))</f>
        <v/>
      </c>
      <c r="K836" s="58" t="str">
        <f t="shared" si="2"/>
        <v/>
      </c>
      <c r="L836" s="58" t="str">
        <f t="shared" si="3"/>
        <v/>
      </c>
    </row>
    <row r="837" ht="21.0" customHeight="1">
      <c r="A837" s="76"/>
      <c r="B837" s="94"/>
      <c r="C837" s="38" t="str">
        <f t="array" ref="C837">IF(B837="","",INDEX(PARAMETROS!$J$2:$J$14,MATCH(B837,PARAMETROS!$G$2:$G$14,0),1))</f>
        <v/>
      </c>
      <c r="D837" s="101"/>
      <c r="E837" s="102"/>
      <c r="F837" s="103"/>
      <c r="G837" s="49" t="str">
        <f t="shared" si="1"/>
        <v/>
      </c>
      <c r="H837" s="76"/>
      <c r="I837" s="103"/>
      <c r="J837" s="58" t="str">
        <f>IF(F837="","", IF(I837="",_xlfn.NETWORKDAYS.INTL(F837,TODAY(),1,FERIADOS),_xlfn.NETWORKDAYS.INTL(F837,I837,1,FERIADOS)))</f>
        <v/>
      </c>
      <c r="K837" s="58" t="str">
        <f t="shared" si="2"/>
        <v/>
      </c>
      <c r="L837" s="58" t="str">
        <f t="shared" si="3"/>
        <v/>
      </c>
    </row>
    <row r="838" ht="21.0" customHeight="1">
      <c r="A838" s="76"/>
      <c r="B838" s="94"/>
      <c r="C838" s="38" t="str">
        <f t="array" ref="C838">IF(B838="","",INDEX(PARAMETROS!$J$2:$J$14,MATCH(B838,PARAMETROS!$G$2:$G$14,0),1))</f>
        <v/>
      </c>
      <c r="D838" s="101"/>
      <c r="E838" s="102"/>
      <c r="F838" s="103"/>
      <c r="G838" s="49" t="str">
        <f t="shared" si="1"/>
        <v/>
      </c>
      <c r="H838" s="76"/>
      <c r="I838" s="103"/>
      <c r="J838" s="58" t="str">
        <f>IF(F838="","", IF(I838="",_xlfn.NETWORKDAYS.INTL(F838,TODAY(),1,FERIADOS),_xlfn.NETWORKDAYS.INTL(F838,I838,1,FERIADOS)))</f>
        <v/>
      </c>
      <c r="K838" s="58" t="str">
        <f t="shared" si="2"/>
        <v/>
      </c>
      <c r="L838" s="58" t="str">
        <f t="shared" si="3"/>
        <v/>
      </c>
    </row>
    <row r="839" ht="21.0" customHeight="1">
      <c r="A839" s="76"/>
      <c r="B839" s="94"/>
      <c r="C839" s="38" t="str">
        <f t="array" ref="C839">IF(B839="","",INDEX(PARAMETROS!$J$2:$J$14,MATCH(B839,PARAMETROS!$G$2:$G$14,0),1))</f>
        <v/>
      </c>
      <c r="D839" s="101"/>
      <c r="E839" s="102"/>
      <c r="F839" s="103"/>
      <c r="G839" s="49" t="str">
        <f t="shared" si="1"/>
        <v/>
      </c>
      <c r="H839" s="76"/>
      <c r="I839" s="103"/>
      <c r="J839" s="58" t="str">
        <f>IF(F839="","", IF(I839="",_xlfn.NETWORKDAYS.INTL(F839,TODAY(),1,FERIADOS),_xlfn.NETWORKDAYS.INTL(F839,I839,1,FERIADOS)))</f>
        <v/>
      </c>
      <c r="K839" s="58" t="str">
        <f t="shared" si="2"/>
        <v/>
      </c>
      <c r="L839" s="58" t="str">
        <f t="shared" si="3"/>
        <v/>
      </c>
    </row>
    <row r="840" ht="21.0" customHeight="1">
      <c r="A840" s="76"/>
      <c r="B840" s="94"/>
      <c r="C840" s="38" t="str">
        <f t="array" ref="C840">IF(B840="","",INDEX(PARAMETROS!$J$2:$J$14,MATCH(B840,PARAMETROS!$G$2:$G$14,0),1))</f>
        <v/>
      </c>
      <c r="D840" s="101"/>
      <c r="E840" s="102"/>
      <c r="F840" s="103"/>
      <c r="G840" s="49" t="str">
        <f t="shared" si="1"/>
        <v/>
      </c>
      <c r="H840" s="76"/>
      <c r="I840" s="103"/>
      <c r="J840" s="58" t="str">
        <f>IF(F840="","", IF(I840="",_xlfn.NETWORKDAYS.INTL(F840,TODAY(),1,FERIADOS),_xlfn.NETWORKDAYS.INTL(F840,I840,1,FERIADOS)))</f>
        <v/>
      </c>
      <c r="K840" s="58" t="str">
        <f t="shared" si="2"/>
        <v/>
      </c>
      <c r="L840" s="58" t="str">
        <f t="shared" si="3"/>
        <v/>
      </c>
    </row>
    <row r="841" ht="21.0" customHeight="1">
      <c r="A841" s="76"/>
      <c r="B841" s="94"/>
      <c r="C841" s="38" t="str">
        <f t="array" ref="C841">IF(B841="","",INDEX(PARAMETROS!$J$2:$J$14,MATCH(B841,PARAMETROS!$G$2:$G$14,0),1))</f>
        <v/>
      </c>
      <c r="D841" s="101"/>
      <c r="E841" s="102"/>
      <c r="F841" s="103"/>
      <c r="G841" s="49" t="str">
        <f t="shared" si="1"/>
        <v/>
      </c>
      <c r="H841" s="76"/>
      <c r="I841" s="103"/>
      <c r="J841" s="58" t="str">
        <f>IF(F841="","", IF(I841="",_xlfn.NETWORKDAYS.INTL(F841,TODAY(),1,FERIADOS),_xlfn.NETWORKDAYS.INTL(F841,I841,1,FERIADOS)))</f>
        <v/>
      </c>
      <c r="K841" s="58" t="str">
        <f t="shared" si="2"/>
        <v/>
      </c>
      <c r="L841" s="58" t="str">
        <f t="shared" si="3"/>
        <v/>
      </c>
    </row>
    <row r="842" ht="21.0" customHeight="1">
      <c r="A842" s="76"/>
      <c r="B842" s="94"/>
      <c r="C842" s="38" t="str">
        <f t="array" ref="C842">IF(B842="","",INDEX(PARAMETROS!$J$2:$J$14,MATCH(B842,PARAMETROS!$G$2:$G$14,0),1))</f>
        <v/>
      </c>
      <c r="D842" s="101"/>
      <c r="E842" s="102"/>
      <c r="F842" s="103"/>
      <c r="G842" s="49" t="str">
        <f t="shared" si="1"/>
        <v/>
      </c>
      <c r="H842" s="76"/>
      <c r="I842" s="103"/>
      <c r="J842" s="58" t="str">
        <f>IF(F842="","", IF(I842="",_xlfn.NETWORKDAYS.INTL(F842,TODAY(),1,FERIADOS),_xlfn.NETWORKDAYS.INTL(F842,I842,1,FERIADOS)))</f>
        <v/>
      </c>
      <c r="K842" s="58" t="str">
        <f t="shared" si="2"/>
        <v/>
      </c>
      <c r="L842" s="58" t="str">
        <f t="shared" si="3"/>
        <v/>
      </c>
    </row>
    <row r="843" ht="21.0" customHeight="1">
      <c r="A843" s="76"/>
      <c r="B843" s="94"/>
      <c r="C843" s="38" t="str">
        <f t="array" ref="C843">IF(B843="","",INDEX(PARAMETROS!$J$2:$J$14,MATCH(B843,PARAMETROS!$G$2:$G$14,0),1))</f>
        <v/>
      </c>
      <c r="D843" s="101"/>
      <c r="E843" s="102"/>
      <c r="F843" s="103"/>
      <c r="G843" s="49" t="str">
        <f t="shared" si="1"/>
        <v/>
      </c>
      <c r="H843" s="76"/>
      <c r="I843" s="103"/>
      <c r="J843" s="58" t="str">
        <f>IF(F843="","", IF(I843="",_xlfn.NETWORKDAYS.INTL(F843,TODAY(),1,FERIADOS),_xlfn.NETWORKDAYS.INTL(F843,I843,1,FERIADOS)))</f>
        <v/>
      </c>
      <c r="K843" s="58" t="str">
        <f t="shared" si="2"/>
        <v/>
      </c>
      <c r="L843" s="58" t="str">
        <f t="shared" si="3"/>
        <v/>
      </c>
    </row>
    <row r="844" ht="21.0" customHeight="1">
      <c r="A844" s="76"/>
      <c r="B844" s="94"/>
      <c r="C844" s="38" t="str">
        <f t="array" ref="C844">IF(B844="","",INDEX(PARAMETROS!$J$2:$J$14,MATCH(B844,PARAMETROS!$G$2:$G$14,0),1))</f>
        <v/>
      </c>
      <c r="D844" s="101"/>
      <c r="E844" s="102"/>
      <c r="F844" s="103"/>
      <c r="G844" s="49" t="str">
        <f t="shared" si="1"/>
        <v/>
      </c>
      <c r="H844" s="76"/>
      <c r="I844" s="103"/>
      <c r="J844" s="58" t="str">
        <f>IF(F844="","", IF(I844="",_xlfn.NETWORKDAYS.INTL(F844,TODAY(),1,FERIADOS),_xlfn.NETWORKDAYS.INTL(F844,I844,1,FERIADOS)))</f>
        <v/>
      </c>
      <c r="K844" s="58" t="str">
        <f t="shared" si="2"/>
        <v/>
      </c>
      <c r="L844" s="58" t="str">
        <f t="shared" si="3"/>
        <v/>
      </c>
    </row>
    <row r="845" ht="21.0" customHeight="1">
      <c r="A845" s="76"/>
      <c r="B845" s="94"/>
      <c r="C845" s="38" t="str">
        <f t="array" ref="C845">IF(B845="","",INDEX(PARAMETROS!$J$2:$J$14,MATCH(B845,PARAMETROS!$G$2:$G$14,0),1))</f>
        <v/>
      </c>
      <c r="D845" s="101"/>
      <c r="E845" s="102"/>
      <c r="F845" s="103"/>
      <c r="G845" s="49" t="str">
        <f t="shared" si="1"/>
        <v/>
      </c>
      <c r="H845" s="76"/>
      <c r="I845" s="103"/>
      <c r="J845" s="58" t="str">
        <f>IF(F845="","", IF(I845="",_xlfn.NETWORKDAYS.INTL(F845,TODAY(),1,FERIADOS),_xlfn.NETWORKDAYS.INTL(F845,I845,1,FERIADOS)))</f>
        <v/>
      </c>
      <c r="K845" s="58" t="str">
        <f t="shared" si="2"/>
        <v/>
      </c>
      <c r="L845" s="58" t="str">
        <f t="shared" si="3"/>
        <v/>
      </c>
    </row>
    <row r="846" ht="21.0" customHeight="1">
      <c r="A846" s="76"/>
      <c r="B846" s="94"/>
      <c r="C846" s="38" t="str">
        <f t="array" ref="C846">IF(B846="","",INDEX(PARAMETROS!$J$2:$J$14,MATCH(B846,PARAMETROS!$G$2:$G$14,0),1))</f>
        <v/>
      </c>
      <c r="D846" s="101"/>
      <c r="E846" s="102"/>
      <c r="F846" s="103"/>
      <c r="G846" s="49" t="str">
        <f t="shared" si="1"/>
        <v/>
      </c>
      <c r="H846" s="76"/>
      <c r="I846" s="103"/>
      <c r="J846" s="58" t="str">
        <f>IF(F846="","", IF(I846="",_xlfn.NETWORKDAYS.INTL(F846,TODAY(),1,FERIADOS),_xlfn.NETWORKDAYS.INTL(F846,I846,1,FERIADOS)))</f>
        <v/>
      </c>
      <c r="K846" s="58" t="str">
        <f t="shared" si="2"/>
        <v/>
      </c>
      <c r="L846" s="58" t="str">
        <f t="shared" si="3"/>
        <v/>
      </c>
    </row>
    <row r="847" ht="21.0" customHeight="1">
      <c r="A847" s="76"/>
      <c r="B847" s="94"/>
      <c r="C847" s="38" t="str">
        <f t="array" ref="C847">IF(B847="","",INDEX(PARAMETROS!$J$2:$J$14,MATCH(B847,PARAMETROS!$G$2:$G$14,0),1))</f>
        <v/>
      </c>
      <c r="D847" s="101"/>
      <c r="E847" s="102"/>
      <c r="F847" s="103"/>
      <c r="G847" s="49" t="str">
        <f t="shared" si="1"/>
        <v/>
      </c>
      <c r="H847" s="76"/>
      <c r="I847" s="103"/>
      <c r="J847" s="58" t="str">
        <f>IF(F847="","", IF(I847="",_xlfn.NETWORKDAYS.INTL(F847,TODAY(),1,FERIADOS),_xlfn.NETWORKDAYS.INTL(F847,I847,1,FERIADOS)))</f>
        <v/>
      </c>
      <c r="K847" s="58" t="str">
        <f t="shared" si="2"/>
        <v/>
      </c>
      <c r="L847" s="58" t="str">
        <f t="shared" si="3"/>
        <v/>
      </c>
    </row>
    <row r="848" ht="21.0" customHeight="1">
      <c r="A848" s="76"/>
      <c r="B848" s="94"/>
      <c r="C848" s="38" t="str">
        <f t="array" ref="C848">IF(B848="","",INDEX(PARAMETROS!$J$2:$J$14,MATCH(B848,PARAMETROS!$G$2:$G$14,0),1))</f>
        <v/>
      </c>
      <c r="D848" s="101"/>
      <c r="E848" s="102"/>
      <c r="F848" s="103"/>
      <c r="G848" s="49" t="str">
        <f t="shared" si="1"/>
        <v/>
      </c>
      <c r="H848" s="76"/>
      <c r="I848" s="103"/>
      <c r="J848" s="58" t="str">
        <f>IF(F848="","", IF(I848="",_xlfn.NETWORKDAYS.INTL(F848,TODAY(),1,FERIADOS),_xlfn.NETWORKDAYS.INTL(F848,I848,1,FERIADOS)))</f>
        <v/>
      </c>
      <c r="K848" s="58" t="str">
        <f t="shared" si="2"/>
        <v/>
      </c>
      <c r="L848" s="58" t="str">
        <f t="shared" si="3"/>
        <v/>
      </c>
    </row>
    <row r="849" ht="21.0" customHeight="1">
      <c r="A849" s="76"/>
      <c r="B849" s="94"/>
      <c r="C849" s="38" t="str">
        <f t="array" ref="C849">IF(B849="","",INDEX(PARAMETROS!$J$2:$J$14,MATCH(B849,PARAMETROS!$G$2:$G$14,0),1))</f>
        <v/>
      </c>
      <c r="D849" s="101"/>
      <c r="E849" s="102"/>
      <c r="F849" s="103"/>
      <c r="G849" s="49" t="str">
        <f t="shared" si="1"/>
        <v/>
      </c>
      <c r="H849" s="76"/>
      <c r="I849" s="103"/>
      <c r="J849" s="58" t="str">
        <f>IF(F849="","", IF(I849="",_xlfn.NETWORKDAYS.INTL(F849,TODAY(),1,FERIADOS),_xlfn.NETWORKDAYS.INTL(F849,I849,1,FERIADOS)))</f>
        <v/>
      </c>
      <c r="K849" s="58" t="str">
        <f t="shared" si="2"/>
        <v/>
      </c>
      <c r="L849" s="58" t="str">
        <f t="shared" si="3"/>
        <v/>
      </c>
    </row>
    <row r="850" ht="21.0" customHeight="1">
      <c r="A850" s="76"/>
      <c r="B850" s="94"/>
      <c r="C850" s="38" t="str">
        <f t="array" ref="C850">IF(B850="","",INDEX(PARAMETROS!$J$2:$J$14,MATCH(B850,PARAMETROS!$G$2:$G$14,0),1))</f>
        <v/>
      </c>
      <c r="D850" s="101"/>
      <c r="E850" s="102"/>
      <c r="F850" s="103"/>
      <c r="G850" s="49" t="str">
        <f t="shared" si="1"/>
        <v/>
      </c>
      <c r="H850" s="76"/>
      <c r="I850" s="103"/>
      <c r="J850" s="58" t="str">
        <f>IF(F850="","", IF(I850="",_xlfn.NETWORKDAYS.INTL(F850,TODAY(),1,FERIADOS),_xlfn.NETWORKDAYS.INTL(F850,I850,1,FERIADOS)))</f>
        <v/>
      </c>
      <c r="K850" s="58" t="str">
        <f t="shared" si="2"/>
        <v/>
      </c>
      <c r="L850" s="58" t="str">
        <f t="shared" si="3"/>
        <v/>
      </c>
    </row>
    <row r="851" ht="21.0" customHeight="1">
      <c r="A851" s="76"/>
      <c r="B851" s="94"/>
      <c r="C851" s="38" t="str">
        <f t="array" ref="C851">IF(B851="","",INDEX(PARAMETROS!$J$2:$J$14,MATCH(B851,PARAMETROS!$G$2:$G$14,0),1))</f>
        <v/>
      </c>
      <c r="D851" s="101"/>
      <c r="E851" s="102"/>
      <c r="F851" s="103"/>
      <c r="G851" s="49" t="str">
        <f t="shared" si="1"/>
        <v/>
      </c>
      <c r="H851" s="76"/>
      <c r="I851" s="103"/>
      <c r="J851" s="58" t="str">
        <f>IF(F851="","", IF(I851="",_xlfn.NETWORKDAYS.INTL(F851,TODAY(),1,FERIADOS),_xlfn.NETWORKDAYS.INTL(F851,I851,1,FERIADOS)))</f>
        <v/>
      </c>
      <c r="K851" s="58" t="str">
        <f t="shared" si="2"/>
        <v/>
      </c>
      <c r="L851" s="58" t="str">
        <f t="shared" si="3"/>
        <v/>
      </c>
    </row>
    <row r="852" ht="21.0" customHeight="1">
      <c r="A852" s="76"/>
      <c r="B852" s="94"/>
      <c r="C852" s="38" t="str">
        <f t="array" ref="C852">IF(B852="","",INDEX(PARAMETROS!$J$2:$J$14,MATCH(B852,PARAMETROS!$G$2:$G$14,0),1))</f>
        <v/>
      </c>
      <c r="D852" s="101"/>
      <c r="E852" s="102"/>
      <c r="F852" s="103"/>
      <c r="G852" s="49" t="str">
        <f t="shared" si="1"/>
        <v/>
      </c>
      <c r="H852" s="76"/>
      <c r="I852" s="103"/>
      <c r="J852" s="58" t="str">
        <f>IF(F852="","", IF(I852="",_xlfn.NETWORKDAYS.INTL(F852,TODAY(),1,FERIADOS),_xlfn.NETWORKDAYS.INTL(F852,I852,1,FERIADOS)))</f>
        <v/>
      </c>
      <c r="K852" s="58" t="str">
        <f t="shared" si="2"/>
        <v/>
      </c>
      <c r="L852" s="58" t="str">
        <f t="shared" si="3"/>
        <v/>
      </c>
    </row>
    <row r="853" ht="21.0" customHeight="1">
      <c r="A853" s="76"/>
      <c r="B853" s="94"/>
      <c r="C853" s="38" t="str">
        <f t="array" ref="C853">IF(B853="","",INDEX(PARAMETROS!$J$2:$J$14,MATCH(B853,PARAMETROS!$G$2:$G$14,0),1))</f>
        <v/>
      </c>
      <c r="D853" s="101"/>
      <c r="E853" s="102"/>
      <c r="F853" s="103"/>
      <c r="G853" s="49" t="str">
        <f t="shared" si="1"/>
        <v/>
      </c>
      <c r="H853" s="76"/>
      <c r="I853" s="103"/>
      <c r="J853" s="58" t="str">
        <f>IF(F853="","", IF(I853="",_xlfn.NETWORKDAYS.INTL(F853,TODAY(),1,FERIADOS),_xlfn.NETWORKDAYS.INTL(F853,I853,1,FERIADOS)))</f>
        <v/>
      </c>
      <c r="K853" s="58" t="str">
        <f t="shared" si="2"/>
        <v/>
      </c>
      <c r="L853" s="58" t="str">
        <f t="shared" si="3"/>
        <v/>
      </c>
    </row>
    <row r="854" ht="21.0" customHeight="1">
      <c r="A854" s="76"/>
      <c r="B854" s="94"/>
      <c r="C854" s="38" t="str">
        <f t="array" ref="C854">IF(B854="","",INDEX(PARAMETROS!$J$2:$J$14,MATCH(B854,PARAMETROS!$G$2:$G$14,0),1))</f>
        <v/>
      </c>
      <c r="D854" s="101"/>
      <c r="E854" s="102"/>
      <c r="F854" s="103"/>
      <c r="G854" s="49" t="str">
        <f t="shared" si="1"/>
        <v/>
      </c>
      <c r="H854" s="76"/>
      <c r="I854" s="103"/>
      <c r="J854" s="58" t="str">
        <f>IF(F854="","", IF(I854="",_xlfn.NETWORKDAYS.INTL(F854,TODAY(),1,FERIADOS),_xlfn.NETWORKDAYS.INTL(F854,I854,1,FERIADOS)))</f>
        <v/>
      </c>
      <c r="K854" s="58" t="str">
        <f t="shared" si="2"/>
        <v/>
      </c>
      <c r="L854" s="58" t="str">
        <f t="shared" si="3"/>
        <v/>
      </c>
    </row>
    <row r="855" ht="21.0" customHeight="1">
      <c r="A855" s="76"/>
      <c r="B855" s="94"/>
      <c r="C855" s="38" t="str">
        <f t="array" ref="C855">IF(B855="","",INDEX(PARAMETROS!$J$2:$J$14,MATCH(B855,PARAMETROS!$G$2:$G$14,0),1))</f>
        <v/>
      </c>
      <c r="D855" s="101"/>
      <c r="E855" s="102"/>
      <c r="F855" s="103"/>
      <c r="G855" s="49" t="str">
        <f t="shared" si="1"/>
        <v/>
      </c>
      <c r="H855" s="76"/>
      <c r="I855" s="103"/>
      <c r="J855" s="58" t="str">
        <f>IF(F855="","", IF(I855="",_xlfn.NETWORKDAYS.INTL(F855,TODAY(),1,FERIADOS),_xlfn.NETWORKDAYS.INTL(F855,I855,1,FERIADOS)))</f>
        <v/>
      </c>
      <c r="K855" s="58" t="str">
        <f t="shared" si="2"/>
        <v/>
      </c>
      <c r="L855" s="58" t="str">
        <f t="shared" si="3"/>
        <v/>
      </c>
    </row>
    <row r="856" ht="21.0" customHeight="1">
      <c r="A856" s="76"/>
      <c r="B856" s="94"/>
      <c r="C856" s="38" t="str">
        <f t="array" ref="C856">IF(B856="","",INDEX(PARAMETROS!$J$2:$J$14,MATCH(B856,PARAMETROS!$G$2:$G$14,0),1))</f>
        <v/>
      </c>
      <c r="D856" s="101"/>
      <c r="E856" s="102"/>
      <c r="F856" s="103"/>
      <c r="G856" s="49" t="str">
        <f t="shared" si="1"/>
        <v/>
      </c>
      <c r="H856" s="76"/>
      <c r="I856" s="103"/>
      <c r="J856" s="58" t="str">
        <f>IF(F856="","", IF(I856="",_xlfn.NETWORKDAYS.INTL(F856,TODAY(),1,FERIADOS),_xlfn.NETWORKDAYS.INTL(F856,I856,1,FERIADOS)))</f>
        <v/>
      </c>
      <c r="K856" s="58" t="str">
        <f t="shared" si="2"/>
        <v/>
      </c>
      <c r="L856" s="58" t="str">
        <f t="shared" si="3"/>
        <v/>
      </c>
    </row>
    <row r="857" ht="21.0" customHeight="1">
      <c r="A857" s="76"/>
      <c r="B857" s="94"/>
      <c r="C857" s="38" t="str">
        <f t="array" ref="C857">IF(B857="","",INDEX(PARAMETROS!$J$2:$J$14,MATCH(B857,PARAMETROS!$G$2:$G$14,0),1))</f>
        <v/>
      </c>
      <c r="D857" s="101"/>
      <c r="E857" s="102"/>
      <c r="F857" s="103"/>
      <c r="G857" s="49" t="str">
        <f t="shared" si="1"/>
        <v/>
      </c>
      <c r="H857" s="76"/>
      <c r="I857" s="103"/>
      <c r="J857" s="58" t="str">
        <f>IF(F857="","", IF(I857="",_xlfn.NETWORKDAYS.INTL(F857,TODAY(),1,FERIADOS),_xlfn.NETWORKDAYS.INTL(F857,I857,1,FERIADOS)))</f>
        <v/>
      </c>
      <c r="K857" s="58" t="str">
        <f t="shared" si="2"/>
        <v/>
      </c>
      <c r="L857" s="58" t="str">
        <f t="shared" si="3"/>
        <v/>
      </c>
    </row>
    <row r="858" ht="21.0" customHeight="1">
      <c r="A858" s="76"/>
      <c r="B858" s="94"/>
      <c r="C858" s="38" t="str">
        <f t="array" ref="C858">IF(B858="","",INDEX(PARAMETROS!$J$2:$J$14,MATCH(B858,PARAMETROS!$G$2:$G$14,0),1))</f>
        <v/>
      </c>
      <c r="D858" s="101"/>
      <c r="E858" s="102"/>
      <c r="F858" s="103"/>
      <c r="G858" s="49" t="str">
        <f t="shared" si="1"/>
        <v/>
      </c>
      <c r="H858" s="76"/>
      <c r="I858" s="103"/>
      <c r="J858" s="58" t="str">
        <f>IF(F858="","", IF(I858="",_xlfn.NETWORKDAYS.INTL(F858,TODAY(),1,FERIADOS),_xlfn.NETWORKDAYS.INTL(F858,I858,1,FERIADOS)))</f>
        <v/>
      </c>
      <c r="K858" s="58" t="str">
        <f t="shared" si="2"/>
        <v/>
      </c>
      <c r="L858" s="58" t="str">
        <f t="shared" si="3"/>
        <v/>
      </c>
    </row>
    <row r="859" ht="21.0" customHeight="1">
      <c r="A859" s="76"/>
      <c r="B859" s="94"/>
      <c r="C859" s="38" t="str">
        <f t="array" ref="C859">IF(B859="","",INDEX(PARAMETROS!$J$2:$J$14,MATCH(B859,PARAMETROS!$G$2:$G$14,0),1))</f>
        <v/>
      </c>
      <c r="D859" s="101"/>
      <c r="E859" s="102"/>
      <c r="F859" s="103"/>
      <c r="G859" s="49" t="str">
        <f t="shared" si="1"/>
        <v/>
      </c>
      <c r="H859" s="76"/>
      <c r="I859" s="103"/>
      <c r="J859" s="58" t="str">
        <f>IF(F859="","", IF(I859="",_xlfn.NETWORKDAYS.INTL(F859,TODAY(),1,FERIADOS),_xlfn.NETWORKDAYS.INTL(F859,I859,1,FERIADOS)))</f>
        <v/>
      </c>
      <c r="K859" s="58" t="str">
        <f t="shared" si="2"/>
        <v/>
      </c>
      <c r="L859" s="58" t="str">
        <f t="shared" si="3"/>
        <v/>
      </c>
    </row>
    <row r="860" ht="21.0" customHeight="1">
      <c r="A860" s="76"/>
      <c r="B860" s="94"/>
      <c r="C860" s="38" t="str">
        <f t="array" ref="C860">IF(B860="","",INDEX(PARAMETROS!$J$2:$J$14,MATCH(B860,PARAMETROS!$G$2:$G$14,0),1))</f>
        <v/>
      </c>
      <c r="D860" s="101"/>
      <c r="E860" s="102"/>
      <c r="F860" s="103"/>
      <c r="G860" s="49" t="str">
        <f t="shared" si="1"/>
        <v/>
      </c>
      <c r="H860" s="76"/>
      <c r="I860" s="103"/>
      <c r="J860" s="58" t="str">
        <f>IF(F860="","", IF(I860="",_xlfn.NETWORKDAYS.INTL(F860,TODAY(),1,FERIADOS),_xlfn.NETWORKDAYS.INTL(F860,I860,1,FERIADOS)))</f>
        <v/>
      </c>
      <c r="K860" s="58" t="str">
        <f t="shared" si="2"/>
        <v/>
      </c>
      <c r="L860" s="58" t="str">
        <f t="shared" si="3"/>
        <v/>
      </c>
    </row>
    <row r="861" ht="21.0" customHeight="1">
      <c r="A861" s="76"/>
      <c r="B861" s="94"/>
      <c r="C861" s="38" t="str">
        <f t="array" ref="C861">IF(B861="","",INDEX(PARAMETROS!$J$2:$J$14,MATCH(B861,PARAMETROS!$G$2:$G$14,0),1))</f>
        <v/>
      </c>
      <c r="D861" s="101"/>
      <c r="E861" s="102"/>
      <c r="F861" s="103"/>
      <c r="G861" s="49" t="str">
        <f t="shared" si="1"/>
        <v/>
      </c>
      <c r="H861" s="76"/>
      <c r="I861" s="103"/>
      <c r="J861" s="58" t="str">
        <f>IF(F861="","", IF(I861="",_xlfn.NETWORKDAYS.INTL(F861,TODAY(),1,FERIADOS),_xlfn.NETWORKDAYS.INTL(F861,I861,1,FERIADOS)))</f>
        <v/>
      </c>
      <c r="K861" s="58" t="str">
        <f t="shared" si="2"/>
        <v/>
      </c>
      <c r="L861" s="58" t="str">
        <f t="shared" si="3"/>
        <v/>
      </c>
    </row>
    <row r="862" ht="21.0" customHeight="1">
      <c r="A862" s="76"/>
      <c r="B862" s="94"/>
      <c r="C862" s="38" t="str">
        <f t="array" ref="C862">IF(B862="","",INDEX(PARAMETROS!$J$2:$J$14,MATCH(B862,PARAMETROS!$G$2:$G$14,0),1))</f>
        <v/>
      </c>
      <c r="D862" s="101"/>
      <c r="E862" s="102"/>
      <c r="F862" s="103"/>
      <c r="G862" s="49" t="str">
        <f t="shared" si="1"/>
        <v/>
      </c>
      <c r="H862" s="76"/>
      <c r="I862" s="103"/>
      <c r="J862" s="58" t="str">
        <f>IF(F862="","", IF(I862="",_xlfn.NETWORKDAYS.INTL(F862,TODAY(),1,FERIADOS),_xlfn.NETWORKDAYS.INTL(F862,I862,1,FERIADOS)))</f>
        <v/>
      </c>
      <c r="K862" s="58" t="str">
        <f t="shared" si="2"/>
        <v/>
      </c>
      <c r="L862" s="58" t="str">
        <f t="shared" si="3"/>
        <v/>
      </c>
    </row>
    <row r="863" ht="21.0" customHeight="1">
      <c r="A863" s="76"/>
      <c r="B863" s="94"/>
      <c r="C863" s="38" t="str">
        <f t="array" ref="C863">IF(B863="","",INDEX(PARAMETROS!$J$2:$J$14,MATCH(B863,PARAMETROS!$G$2:$G$14,0),1))</f>
        <v/>
      </c>
      <c r="D863" s="101"/>
      <c r="E863" s="102"/>
      <c r="F863" s="103"/>
      <c r="G863" s="49" t="str">
        <f t="shared" si="1"/>
        <v/>
      </c>
      <c r="H863" s="76"/>
      <c r="I863" s="103"/>
      <c r="J863" s="58" t="str">
        <f>IF(F863="","", IF(I863="",_xlfn.NETWORKDAYS.INTL(F863,TODAY(),1,FERIADOS),_xlfn.NETWORKDAYS.INTL(F863,I863,1,FERIADOS)))</f>
        <v/>
      </c>
      <c r="K863" s="58" t="str">
        <f t="shared" si="2"/>
        <v/>
      </c>
      <c r="L863" s="58" t="str">
        <f t="shared" si="3"/>
        <v/>
      </c>
    </row>
    <row r="864" ht="21.0" customHeight="1">
      <c r="A864" s="76"/>
      <c r="B864" s="94"/>
      <c r="C864" s="38" t="str">
        <f t="array" ref="C864">IF(B864="","",INDEX(PARAMETROS!$J$2:$J$14,MATCH(B864,PARAMETROS!$G$2:$G$14,0),1))</f>
        <v/>
      </c>
      <c r="D864" s="101"/>
      <c r="E864" s="102"/>
      <c r="F864" s="103"/>
      <c r="G864" s="49" t="str">
        <f t="shared" si="1"/>
        <v/>
      </c>
      <c r="H864" s="76"/>
      <c r="I864" s="103"/>
      <c r="J864" s="58" t="str">
        <f>IF(F864="","", IF(I864="",_xlfn.NETWORKDAYS.INTL(F864,TODAY(),1,FERIADOS),_xlfn.NETWORKDAYS.INTL(F864,I864,1,FERIADOS)))</f>
        <v/>
      </c>
      <c r="K864" s="58" t="str">
        <f t="shared" si="2"/>
        <v/>
      </c>
      <c r="L864" s="58" t="str">
        <f t="shared" si="3"/>
        <v/>
      </c>
    </row>
    <row r="865" ht="21.0" customHeight="1">
      <c r="A865" s="76"/>
      <c r="B865" s="94"/>
      <c r="C865" s="38" t="str">
        <f t="array" ref="C865">IF(B865="","",INDEX(PARAMETROS!$J$2:$J$14,MATCH(B865,PARAMETROS!$G$2:$G$14,0),1))</f>
        <v/>
      </c>
      <c r="D865" s="101"/>
      <c r="E865" s="102"/>
      <c r="F865" s="103"/>
      <c r="G865" s="49" t="str">
        <f t="shared" si="1"/>
        <v/>
      </c>
      <c r="H865" s="76"/>
      <c r="I865" s="103"/>
      <c r="J865" s="58" t="str">
        <f>IF(F865="","", IF(I865="",_xlfn.NETWORKDAYS.INTL(F865,TODAY(),1,FERIADOS),_xlfn.NETWORKDAYS.INTL(F865,I865,1,FERIADOS)))</f>
        <v/>
      </c>
      <c r="K865" s="58" t="str">
        <f t="shared" si="2"/>
        <v/>
      </c>
      <c r="L865" s="58" t="str">
        <f t="shared" si="3"/>
        <v/>
      </c>
    </row>
    <row r="866" ht="21.0" customHeight="1">
      <c r="A866" s="76"/>
      <c r="B866" s="94"/>
      <c r="C866" s="38" t="str">
        <f t="array" ref="C866">IF(B866="","",INDEX(PARAMETROS!$J$2:$J$14,MATCH(B866,PARAMETROS!$G$2:$G$14,0),1))</f>
        <v/>
      </c>
      <c r="D866" s="101"/>
      <c r="E866" s="102"/>
      <c r="F866" s="103"/>
      <c r="G866" s="49" t="str">
        <f t="shared" si="1"/>
        <v/>
      </c>
      <c r="H866" s="76"/>
      <c r="I866" s="103"/>
      <c r="J866" s="58" t="str">
        <f>IF(F866="","", IF(I866="",_xlfn.NETWORKDAYS.INTL(F866,TODAY(),1,FERIADOS),_xlfn.NETWORKDAYS.INTL(F866,I866,1,FERIADOS)))</f>
        <v/>
      </c>
      <c r="K866" s="58" t="str">
        <f t="shared" si="2"/>
        <v/>
      </c>
      <c r="L866" s="58" t="str">
        <f t="shared" si="3"/>
        <v/>
      </c>
    </row>
    <row r="867" ht="21.0" customHeight="1">
      <c r="A867" s="76"/>
      <c r="B867" s="94"/>
      <c r="C867" s="38" t="str">
        <f t="array" ref="C867">IF(B867="","",INDEX(PARAMETROS!$J$2:$J$14,MATCH(B867,PARAMETROS!$G$2:$G$14,0),1))</f>
        <v/>
      </c>
      <c r="D867" s="101"/>
      <c r="E867" s="102"/>
      <c r="F867" s="103"/>
      <c r="G867" s="49" t="str">
        <f t="shared" si="1"/>
        <v/>
      </c>
      <c r="H867" s="76"/>
      <c r="I867" s="103"/>
      <c r="J867" s="58" t="str">
        <f>IF(F867="","", IF(I867="",_xlfn.NETWORKDAYS.INTL(F867,TODAY(),1,FERIADOS),_xlfn.NETWORKDAYS.INTL(F867,I867,1,FERIADOS)))</f>
        <v/>
      </c>
      <c r="K867" s="58" t="str">
        <f t="shared" si="2"/>
        <v/>
      </c>
      <c r="L867" s="58" t="str">
        <f t="shared" si="3"/>
        <v/>
      </c>
    </row>
    <row r="868" ht="21.0" customHeight="1">
      <c r="A868" s="76"/>
      <c r="B868" s="94"/>
      <c r="C868" s="38" t="str">
        <f t="array" ref="C868">IF(B868="","",INDEX(PARAMETROS!$J$2:$J$14,MATCH(B868,PARAMETROS!$G$2:$G$14,0),1))</f>
        <v/>
      </c>
      <c r="D868" s="101"/>
      <c r="E868" s="102"/>
      <c r="F868" s="103"/>
      <c r="G868" s="49" t="str">
        <f t="shared" si="1"/>
        <v/>
      </c>
      <c r="H868" s="76"/>
      <c r="I868" s="103"/>
      <c r="J868" s="58" t="str">
        <f>IF(F868="","", IF(I868="",_xlfn.NETWORKDAYS.INTL(F868,TODAY(),1,FERIADOS),_xlfn.NETWORKDAYS.INTL(F868,I868,1,FERIADOS)))</f>
        <v/>
      </c>
      <c r="K868" s="58" t="str">
        <f t="shared" si="2"/>
        <v/>
      </c>
      <c r="L868" s="58" t="str">
        <f t="shared" si="3"/>
        <v/>
      </c>
    </row>
    <row r="869" ht="21.0" customHeight="1">
      <c r="A869" s="76"/>
      <c r="B869" s="94"/>
      <c r="C869" s="38" t="str">
        <f t="array" ref="C869">IF(B869="","",INDEX(PARAMETROS!$J$2:$J$14,MATCH(B869,PARAMETROS!$G$2:$G$14,0),1))</f>
        <v/>
      </c>
      <c r="D869" s="101"/>
      <c r="E869" s="102"/>
      <c r="F869" s="103"/>
      <c r="G869" s="49" t="str">
        <f t="shared" si="1"/>
        <v/>
      </c>
      <c r="H869" s="76"/>
      <c r="I869" s="103"/>
      <c r="J869" s="58" t="str">
        <f>IF(F869="","", IF(I869="",_xlfn.NETWORKDAYS.INTL(F869,TODAY(),1,FERIADOS),_xlfn.NETWORKDAYS.INTL(F869,I869,1,FERIADOS)))</f>
        <v/>
      </c>
      <c r="K869" s="58" t="str">
        <f t="shared" si="2"/>
        <v/>
      </c>
      <c r="L869" s="58" t="str">
        <f t="shared" si="3"/>
        <v/>
      </c>
    </row>
    <row r="870" ht="21.0" customHeight="1">
      <c r="A870" s="76"/>
      <c r="B870" s="94"/>
      <c r="C870" s="38" t="str">
        <f t="array" ref="C870">IF(B870="","",INDEX(PARAMETROS!$J$2:$J$14,MATCH(B870,PARAMETROS!$G$2:$G$14,0),1))</f>
        <v/>
      </c>
      <c r="D870" s="101"/>
      <c r="E870" s="102"/>
      <c r="F870" s="103"/>
      <c r="G870" s="49" t="str">
        <f t="shared" si="1"/>
        <v/>
      </c>
      <c r="H870" s="76"/>
      <c r="I870" s="103"/>
      <c r="J870" s="58" t="str">
        <f>IF(F870="","", IF(I870="",_xlfn.NETWORKDAYS.INTL(F870,TODAY(),1,FERIADOS),_xlfn.NETWORKDAYS.INTL(F870,I870,1,FERIADOS)))</f>
        <v/>
      </c>
      <c r="K870" s="58" t="str">
        <f t="shared" si="2"/>
        <v/>
      </c>
      <c r="L870" s="58" t="str">
        <f t="shared" si="3"/>
        <v/>
      </c>
    </row>
    <row r="871" ht="21.0" customHeight="1">
      <c r="A871" s="76"/>
      <c r="B871" s="94"/>
      <c r="C871" s="38" t="str">
        <f t="array" ref="C871">IF(B871="","",INDEX(PARAMETROS!$J$2:$J$14,MATCH(B871,PARAMETROS!$G$2:$G$14,0),1))</f>
        <v/>
      </c>
      <c r="D871" s="101"/>
      <c r="E871" s="102"/>
      <c r="F871" s="103"/>
      <c r="G871" s="49" t="str">
        <f t="shared" si="1"/>
        <v/>
      </c>
      <c r="H871" s="76"/>
      <c r="I871" s="103"/>
      <c r="J871" s="58" t="str">
        <f>IF(F871="","", IF(I871="",_xlfn.NETWORKDAYS.INTL(F871,TODAY(),1,FERIADOS),_xlfn.NETWORKDAYS.INTL(F871,I871,1,FERIADOS)))</f>
        <v/>
      </c>
      <c r="K871" s="58" t="str">
        <f t="shared" si="2"/>
        <v/>
      </c>
      <c r="L871" s="58" t="str">
        <f t="shared" si="3"/>
        <v/>
      </c>
    </row>
    <row r="872" ht="21.0" customHeight="1">
      <c r="A872" s="76"/>
      <c r="B872" s="94"/>
      <c r="C872" s="38" t="str">
        <f t="array" ref="C872">IF(B872="","",INDEX(PARAMETROS!$J$2:$J$14,MATCH(B872,PARAMETROS!$G$2:$G$14,0),1))</f>
        <v/>
      </c>
      <c r="D872" s="101"/>
      <c r="E872" s="102"/>
      <c r="F872" s="103"/>
      <c r="G872" s="49" t="str">
        <f t="shared" si="1"/>
        <v/>
      </c>
      <c r="H872" s="76"/>
      <c r="I872" s="103"/>
      <c r="J872" s="58" t="str">
        <f>IF(F872="","", IF(I872="",_xlfn.NETWORKDAYS.INTL(F872,TODAY(),1,FERIADOS),_xlfn.NETWORKDAYS.INTL(F872,I872,1,FERIADOS)))</f>
        <v/>
      </c>
      <c r="K872" s="58" t="str">
        <f t="shared" si="2"/>
        <v/>
      </c>
      <c r="L872" s="58" t="str">
        <f t="shared" si="3"/>
        <v/>
      </c>
    </row>
    <row r="873" ht="21.0" customHeight="1">
      <c r="A873" s="76"/>
      <c r="B873" s="94"/>
      <c r="C873" s="38" t="str">
        <f t="array" ref="C873">IF(B873="","",INDEX(PARAMETROS!$J$2:$J$14,MATCH(B873,PARAMETROS!$G$2:$G$14,0),1))</f>
        <v/>
      </c>
      <c r="D873" s="101"/>
      <c r="E873" s="102"/>
      <c r="F873" s="103"/>
      <c r="G873" s="49" t="str">
        <f t="shared" si="1"/>
        <v/>
      </c>
      <c r="H873" s="76"/>
      <c r="I873" s="103"/>
      <c r="J873" s="58" t="str">
        <f>IF(F873="","", IF(I873="",_xlfn.NETWORKDAYS.INTL(F873,TODAY(),1,FERIADOS),_xlfn.NETWORKDAYS.INTL(F873,I873,1,FERIADOS)))</f>
        <v/>
      </c>
      <c r="K873" s="58" t="str">
        <f t="shared" si="2"/>
        <v/>
      </c>
      <c r="L873" s="58" t="str">
        <f t="shared" si="3"/>
        <v/>
      </c>
    </row>
    <row r="874" ht="21.0" customHeight="1">
      <c r="A874" s="76"/>
      <c r="B874" s="94"/>
      <c r="C874" s="38" t="str">
        <f t="array" ref="C874">IF(B874="","",INDEX(PARAMETROS!$J$2:$J$14,MATCH(B874,PARAMETROS!$G$2:$G$14,0),1))</f>
        <v/>
      </c>
      <c r="D874" s="101"/>
      <c r="E874" s="102"/>
      <c r="F874" s="103"/>
      <c r="G874" s="49" t="str">
        <f t="shared" si="1"/>
        <v/>
      </c>
      <c r="H874" s="76"/>
      <c r="I874" s="103"/>
      <c r="J874" s="58" t="str">
        <f>IF(F874="","", IF(I874="",_xlfn.NETWORKDAYS.INTL(F874,TODAY(),1,FERIADOS),_xlfn.NETWORKDAYS.INTL(F874,I874,1,FERIADOS)))</f>
        <v/>
      </c>
      <c r="K874" s="58" t="str">
        <f t="shared" si="2"/>
        <v/>
      </c>
      <c r="L874" s="58" t="str">
        <f t="shared" si="3"/>
        <v/>
      </c>
    </row>
    <row r="875" ht="21.0" customHeight="1">
      <c r="A875" s="76"/>
      <c r="B875" s="94"/>
      <c r="C875" s="38" t="str">
        <f t="array" ref="C875">IF(B875="","",INDEX(PARAMETROS!$J$2:$J$14,MATCH(B875,PARAMETROS!$G$2:$G$14,0),1))</f>
        <v/>
      </c>
      <c r="D875" s="101"/>
      <c r="E875" s="102"/>
      <c r="F875" s="103"/>
      <c r="G875" s="49" t="str">
        <f t="shared" si="1"/>
        <v/>
      </c>
      <c r="H875" s="76"/>
      <c r="I875" s="103"/>
      <c r="J875" s="58" t="str">
        <f>IF(F875="","", IF(I875="",_xlfn.NETWORKDAYS.INTL(F875,TODAY(),1,FERIADOS),_xlfn.NETWORKDAYS.INTL(F875,I875,1,FERIADOS)))</f>
        <v/>
      </c>
      <c r="K875" s="58" t="str">
        <f t="shared" si="2"/>
        <v/>
      </c>
      <c r="L875" s="58" t="str">
        <f t="shared" si="3"/>
        <v/>
      </c>
    </row>
    <row r="876" ht="21.0" customHeight="1">
      <c r="A876" s="76"/>
      <c r="B876" s="94"/>
      <c r="C876" s="38" t="str">
        <f t="array" ref="C876">IF(B876="","",INDEX(PARAMETROS!$J$2:$J$14,MATCH(B876,PARAMETROS!$G$2:$G$14,0),1))</f>
        <v/>
      </c>
      <c r="D876" s="101"/>
      <c r="E876" s="102"/>
      <c r="F876" s="103"/>
      <c r="G876" s="49" t="str">
        <f t="shared" si="1"/>
        <v/>
      </c>
      <c r="H876" s="76"/>
      <c r="I876" s="103"/>
      <c r="J876" s="58" t="str">
        <f>IF(F876="","", IF(I876="",_xlfn.NETWORKDAYS.INTL(F876,TODAY(),1,FERIADOS),_xlfn.NETWORKDAYS.INTL(F876,I876,1,FERIADOS)))</f>
        <v/>
      </c>
      <c r="K876" s="58" t="str">
        <f t="shared" si="2"/>
        <v/>
      </c>
      <c r="L876" s="58" t="str">
        <f t="shared" si="3"/>
        <v/>
      </c>
    </row>
    <row r="877" ht="21.0" customHeight="1">
      <c r="A877" s="76"/>
      <c r="B877" s="94"/>
      <c r="C877" s="38" t="str">
        <f t="array" ref="C877">IF(B877="","",INDEX(PARAMETROS!$J$2:$J$14,MATCH(B877,PARAMETROS!$G$2:$G$14,0),1))</f>
        <v/>
      </c>
      <c r="D877" s="101"/>
      <c r="E877" s="102"/>
      <c r="F877" s="103"/>
      <c r="G877" s="49" t="str">
        <f t="shared" si="1"/>
        <v/>
      </c>
      <c r="H877" s="76"/>
      <c r="I877" s="103"/>
      <c r="J877" s="58" t="str">
        <f>IF(F877="","", IF(I877="",_xlfn.NETWORKDAYS.INTL(F877,TODAY(),1,FERIADOS),_xlfn.NETWORKDAYS.INTL(F877,I877,1,FERIADOS)))</f>
        <v/>
      </c>
      <c r="K877" s="58" t="str">
        <f t="shared" si="2"/>
        <v/>
      </c>
      <c r="L877" s="58" t="str">
        <f t="shared" si="3"/>
        <v/>
      </c>
    </row>
    <row r="878" ht="21.0" customHeight="1">
      <c r="A878" s="76"/>
      <c r="B878" s="94"/>
      <c r="C878" s="38" t="str">
        <f t="array" ref="C878">IF(B878="","",INDEX(PARAMETROS!$J$2:$J$14,MATCH(B878,PARAMETROS!$G$2:$G$14,0),1))</f>
        <v/>
      </c>
      <c r="D878" s="101"/>
      <c r="E878" s="102"/>
      <c r="F878" s="103"/>
      <c r="G878" s="49" t="str">
        <f t="shared" si="1"/>
        <v/>
      </c>
      <c r="H878" s="76"/>
      <c r="I878" s="103"/>
      <c r="J878" s="58" t="str">
        <f>IF(F878="","", IF(I878="",_xlfn.NETWORKDAYS.INTL(F878,TODAY(),1,FERIADOS),_xlfn.NETWORKDAYS.INTL(F878,I878,1,FERIADOS)))</f>
        <v/>
      </c>
      <c r="K878" s="58" t="str">
        <f t="shared" si="2"/>
        <v/>
      </c>
      <c r="L878" s="58" t="str">
        <f t="shared" si="3"/>
        <v/>
      </c>
    </row>
    <row r="879" ht="21.0" customHeight="1">
      <c r="A879" s="76"/>
      <c r="B879" s="94"/>
      <c r="C879" s="38" t="str">
        <f t="array" ref="C879">IF(B879="","",INDEX(PARAMETROS!$J$2:$J$14,MATCH(B879,PARAMETROS!$G$2:$G$14,0),1))</f>
        <v/>
      </c>
      <c r="D879" s="101"/>
      <c r="E879" s="102"/>
      <c r="F879" s="103"/>
      <c r="G879" s="49" t="str">
        <f t="shared" si="1"/>
        <v/>
      </c>
      <c r="H879" s="76"/>
      <c r="I879" s="103"/>
      <c r="J879" s="58" t="str">
        <f>IF(F879="","", IF(I879="",_xlfn.NETWORKDAYS.INTL(F879,TODAY(),1,FERIADOS),_xlfn.NETWORKDAYS.INTL(F879,I879,1,FERIADOS)))</f>
        <v/>
      </c>
      <c r="K879" s="58" t="str">
        <f t="shared" si="2"/>
        <v/>
      </c>
      <c r="L879" s="58" t="str">
        <f t="shared" si="3"/>
        <v/>
      </c>
    </row>
    <row r="880" ht="21.0" customHeight="1">
      <c r="A880" s="76"/>
      <c r="B880" s="94"/>
      <c r="C880" s="38" t="str">
        <f t="array" ref="C880">IF(B880="","",INDEX(PARAMETROS!$J$2:$J$14,MATCH(B880,PARAMETROS!$G$2:$G$14,0),1))</f>
        <v/>
      </c>
      <c r="D880" s="101"/>
      <c r="E880" s="102"/>
      <c r="F880" s="103"/>
      <c r="G880" s="49" t="str">
        <f t="shared" si="1"/>
        <v/>
      </c>
      <c r="H880" s="76"/>
      <c r="I880" s="103"/>
      <c r="J880" s="58" t="str">
        <f>IF(F880="","", IF(I880="",_xlfn.NETWORKDAYS.INTL(F880,TODAY(),1,FERIADOS),_xlfn.NETWORKDAYS.INTL(F880,I880,1,FERIADOS)))</f>
        <v/>
      </c>
      <c r="K880" s="58" t="str">
        <f t="shared" si="2"/>
        <v/>
      </c>
      <c r="L880" s="58" t="str">
        <f t="shared" si="3"/>
        <v/>
      </c>
    </row>
    <row r="881" ht="21.0" customHeight="1">
      <c r="A881" s="76"/>
      <c r="B881" s="94"/>
      <c r="C881" s="38" t="str">
        <f t="array" ref="C881">IF(B881="","",INDEX(PARAMETROS!$J$2:$J$14,MATCH(B881,PARAMETROS!$G$2:$G$14,0),1))</f>
        <v/>
      </c>
      <c r="D881" s="101"/>
      <c r="E881" s="102"/>
      <c r="F881" s="103"/>
      <c r="G881" s="49" t="str">
        <f t="shared" si="1"/>
        <v/>
      </c>
      <c r="H881" s="76"/>
      <c r="I881" s="103"/>
      <c r="J881" s="58" t="str">
        <f>IF(F881="","", IF(I881="",_xlfn.NETWORKDAYS.INTL(F881,TODAY(),1,FERIADOS),_xlfn.NETWORKDAYS.INTL(F881,I881,1,FERIADOS)))</f>
        <v/>
      </c>
      <c r="K881" s="58" t="str">
        <f t="shared" si="2"/>
        <v/>
      </c>
      <c r="L881" s="58" t="str">
        <f t="shared" si="3"/>
        <v/>
      </c>
    </row>
    <row r="882" ht="21.0" customHeight="1">
      <c r="A882" s="76"/>
      <c r="B882" s="94"/>
      <c r="C882" s="38" t="str">
        <f t="array" ref="C882">IF(B882="","",INDEX(PARAMETROS!$J$2:$J$14,MATCH(B882,PARAMETROS!$G$2:$G$14,0),1))</f>
        <v/>
      </c>
      <c r="D882" s="101"/>
      <c r="E882" s="102"/>
      <c r="F882" s="103"/>
      <c r="G882" s="49" t="str">
        <f t="shared" si="1"/>
        <v/>
      </c>
      <c r="H882" s="76"/>
      <c r="I882" s="103"/>
      <c r="J882" s="58" t="str">
        <f>IF(F882="","", IF(I882="",_xlfn.NETWORKDAYS.INTL(F882,TODAY(),1,FERIADOS),_xlfn.NETWORKDAYS.INTL(F882,I882,1,FERIADOS)))</f>
        <v/>
      </c>
      <c r="K882" s="58" t="str">
        <f t="shared" si="2"/>
        <v/>
      </c>
      <c r="L882" s="58" t="str">
        <f t="shared" si="3"/>
        <v/>
      </c>
    </row>
    <row r="883" ht="21.0" customHeight="1">
      <c r="A883" s="76"/>
      <c r="B883" s="94"/>
      <c r="C883" s="38" t="str">
        <f t="array" ref="C883">IF(B883="","",INDEX(PARAMETROS!$J$2:$J$14,MATCH(B883,PARAMETROS!$G$2:$G$14,0),1))</f>
        <v/>
      </c>
      <c r="D883" s="101"/>
      <c r="E883" s="102"/>
      <c r="F883" s="103"/>
      <c r="G883" s="49" t="str">
        <f t="shared" si="1"/>
        <v/>
      </c>
      <c r="H883" s="76"/>
      <c r="I883" s="103"/>
      <c r="J883" s="58" t="str">
        <f>IF(F883="","", IF(I883="",_xlfn.NETWORKDAYS.INTL(F883,TODAY(),1,FERIADOS),_xlfn.NETWORKDAYS.INTL(F883,I883,1,FERIADOS)))</f>
        <v/>
      </c>
      <c r="K883" s="58" t="str">
        <f t="shared" si="2"/>
        <v/>
      </c>
      <c r="L883" s="58" t="str">
        <f t="shared" si="3"/>
        <v/>
      </c>
    </row>
    <row r="884" ht="21.0" customHeight="1">
      <c r="A884" s="76"/>
      <c r="B884" s="94"/>
      <c r="C884" s="38" t="str">
        <f t="array" ref="C884">IF(B884="","",INDEX(PARAMETROS!$J$2:$J$14,MATCH(B884,PARAMETROS!$G$2:$G$14,0),1))</f>
        <v/>
      </c>
      <c r="D884" s="101"/>
      <c r="E884" s="102"/>
      <c r="F884" s="103"/>
      <c r="G884" s="49" t="str">
        <f t="shared" si="1"/>
        <v/>
      </c>
      <c r="H884" s="76"/>
      <c r="I884" s="103"/>
      <c r="J884" s="58" t="str">
        <f>IF(F884="","", IF(I884="",_xlfn.NETWORKDAYS.INTL(F884,TODAY(),1,FERIADOS),_xlfn.NETWORKDAYS.INTL(F884,I884,1,FERIADOS)))</f>
        <v/>
      </c>
      <c r="K884" s="58" t="str">
        <f t="shared" si="2"/>
        <v/>
      </c>
      <c r="L884" s="58" t="str">
        <f t="shared" si="3"/>
        <v/>
      </c>
    </row>
    <row r="885" ht="21.0" customHeight="1">
      <c r="A885" s="76"/>
      <c r="B885" s="94"/>
      <c r="C885" s="38" t="str">
        <f t="array" ref="C885">IF(B885="","",INDEX(PARAMETROS!$J$2:$J$14,MATCH(B885,PARAMETROS!$G$2:$G$14,0),1))</f>
        <v/>
      </c>
      <c r="D885" s="101"/>
      <c r="E885" s="102"/>
      <c r="F885" s="103"/>
      <c r="G885" s="49" t="str">
        <f t="shared" si="1"/>
        <v/>
      </c>
      <c r="H885" s="76"/>
      <c r="I885" s="103"/>
      <c r="J885" s="58" t="str">
        <f>IF(F885="","", IF(I885="",_xlfn.NETWORKDAYS.INTL(F885,TODAY(),1,FERIADOS),_xlfn.NETWORKDAYS.INTL(F885,I885,1,FERIADOS)))</f>
        <v/>
      </c>
      <c r="K885" s="58" t="str">
        <f t="shared" si="2"/>
        <v/>
      </c>
      <c r="L885" s="58" t="str">
        <f t="shared" si="3"/>
        <v/>
      </c>
    </row>
    <row r="886" ht="21.0" customHeight="1">
      <c r="A886" s="76"/>
      <c r="B886" s="94"/>
      <c r="C886" s="38" t="str">
        <f t="array" ref="C886">IF(B886="","",INDEX(PARAMETROS!$J$2:$J$14,MATCH(B886,PARAMETROS!$G$2:$G$14,0),1))</f>
        <v/>
      </c>
      <c r="D886" s="101"/>
      <c r="E886" s="102"/>
      <c r="F886" s="103"/>
      <c r="G886" s="49" t="str">
        <f t="shared" si="1"/>
        <v/>
      </c>
      <c r="H886" s="76"/>
      <c r="I886" s="103"/>
      <c r="J886" s="58" t="str">
        <f>IF(F886="","", IF(I886="",_xlfn.NETWORKDAYS.INTL(F886,TODAY(),1,FERIADOS),_xlfn.NETWORKDAYS.INTL(F886,I886,1,FERIADOS)))</f>
        <v/>
      </c>
      <c r="K886" s="58" t="str">
        <f t="shared" si="2"/>
        <v/>
      </c>
      <c r="L886" s="58" t="str">
        <f t="shared" si="3"/>
        <v/>
      </c>
    </row>
    <row r="887" ht="21.0" customHeight="1">
      <c r="A887" s="76"/>
      <c r="B887" s="94"/>
      <c r="C887" s="38" t="str">
        <f t="array" ref="C887">IF(B887="","",INDEX(PARAMETROS!$J$2:$J$14,MATCH(B887,PARAMETROS!$G$2:$G$14,0),1))</f>
        <v/>
      </c>
      <c r="D887" s="101"/>
      <c r="E887" s="102"/>
      <c r="F887" s="103"/>
      <c r="G887" s="49" t="str">
        <f t="shared" si="1"/>
        <v/>
      </c>
      <c r="H887" s="76"/>
      <c r="I887" s="103"/>
      <c r="J887" s="58" t="str">
        <f>IF(F887="","", IF(I887="",_xlfn.NETWORKDAYS.INTL(F887,TODAY(),1,FERIADOS),_xlfn.NETWORKDAYS.INTL(F887,I887,1,FERIADOS)))</f>
        <v/>
      </c>
      <c r="K887" s="58" t="str">
        <f t="shared" si="2"/>
        <v/>
      </c>
      <c r="L887" s="58" t="str">
        <f t="shared" si="3"/>
        <v/>
      </c>
    </row>
    <row r="888" ht="21.0" customHeight="1">
      <c r="A888" s="76"/>
      <c r="B888" s="94"/>
      <c r="C888" s="38" t="str">
        <f t="array" ref="C888">IF(B888="","",INDEX(PARAMETROS!$J$2:$J$14,MATCH(B888,PARAMETROS!$G$2:$G$14,0),1))</f>
        <v/>
      </c>
      <c r="D888" s="101"/>
      <c r="E888" s="102"/>
      <c r="F888" s="103"/>
      <c r="G888" s="49" t="str">
        <f t="shared" si="1"/>
        <v/>
      </c>
      <c r="H888" s="76"/>
      <c r="I888" s="103"/>
      <c r="J888" s="58" t="str">
        <f>IF(F888="","", IF(I888="",_xlfn.NETWORKDAYS.INTL(F888,TODAY(),1,FERIADOS),_xlfn.NETWORKDAYS.INTL(F888,I888,1,FERIADOS)))</f>
        <v/>
      </c>
      <c r="K888" s="58" t="str">
        <f t="shared" si="2"/>
        <v/>
      </c>
      <c r="L888" s="58" t="str">
        <f t="shared" si="3"/>
        <v/>
      </c>
    </row>
    <row r="889" ht="21.0" customHeight="1">
      <c r="A889" s="76"/>
      <c r="B889" s="94"/>
      <c r="C889" s="38" t="str">
        <f t="array" ref="C889">IF(B889="","",INDEX(PARAMETROS!$J$2:$J$14,MATCH(B889,PARAMETROS!$G$2:$G$14,0),1))</f>
        <v/>
      </c>
      <c r="D889" s="101"/>
      <c r="E889" s="102"/>
      <c r="F889" s="103"/>
      <c r="G889" s="49" t="str">
        <f t="shared" si="1"/>
        <v/>
      </c>
      <c r="H889" s="76"/>
      <c r="I889" s="103"/>
      <c r="J889" s="58" t="str">
        <f>IF(F889="","", IF(I889="",_xlfn.NETWORKDAYS.INTL(F889,TODAY(),1,FERIADOS),_xlfn.NETWORKDAYS.INTL(F889,I889,1,FERIADOS)))</f>
        <v/>
      </c>
      <c r="K889" s="58" t="str">
        <f t="shared" si="2"/>
        <v/>
      </c>
      <c r="L889" s="58" t="str">
        <f t="shared" si="3"/>
        <v/>
      </c>
    </row>
    <row r="890" ht="21.0" customHeight="1">
      <c r="A890" s="76"/>
      <c r="B890" s="94"/>
      <c r="C890" s="38" t="str">
        <f t="array" ref="C890">IF(B890="","",INDEX(PARAMETROS!$J$2:$J$14,MATCH(B890,PARAMETROS!$G$2:$G$14,0),1))</f>
        <v/>
      </c>
      <c r="D890" s="101"/>
      <c r="E890" s="102"/>
      <c r="F890" s="103"/>
      <c r="G890" s="49" t="str">
        <f t="shared" si="1"/>
        <v/>
      </c>
      <c r="H890" s="76"/>
      <c r="I890" s="103"/>
      <c r="J890" s="58" t="str">
        <f>IF(F890="","", IF(I890="",_xlfn.NETWORKDAYS.INTL(F890,TODAY(),1,FERIADOS),_xlfn.NETWORKDAYS.INTL(F890,I890,1,FERIADOS)))</f>
        <v/>
      </c>
      <c r="K890" s="58" t="str">
        <f t="shared" si="2"/>
        <v/>
      </c>
      <c r="L890" s="58" t="str">
        <f t="shared" si="3"/>
        <v/>
      </c>
    </row>
    <row r="891" ht="21.0" customHeight="1">
      <c r="A891" s="76"/>
      <c r="B891" s="94"/>
      <c r="C891" s="38" t="str">
        <f t="array" ref="C891">IF(B891="","",INDEX(PARAMETROS!$J$2:$J$14,MATCH(B891,PARAMETROS!$G$2:$G$14,0),1))</f>
        <v/>
      </c>
      <c r="D891" s="101"/>
      <c r="E891" s="102"/>
      <c r="F891" s="103"/>
      <c r="G891" s="49" t="str">
        <f t="shared" si="1"/>
        <v/>
      </c>
      <c r="H891" s="76"/>
      <c r="I891" s="103"/>
      <c r="J891" s="58" t="str">
        <f>IF(F891="","", IF(I891="",_xlfn.NETWORKDAYS.INTL(F891,TODAY(),1,FERIADOS),_xlfn.NETWORKDAYS.INTL(F891,I891,1,FERIADOS)))</f>
        <v/>
      </c>
      <c r="K891" s="58" t="str">
        <f t="shared" si="2"/>
        <v/>
      </c>
      <c r="L891" s="58" t="str">
        <f t="shared" si="3"/>
        <v/>
      </c>
    </row>
    <row r="892" ht="21.0" customHeight="1">
      <c r="A892" s="76"/>
      <c r="B892" s="94"/>
      <c r="C892" s="38" t="str">
        <f t="array" ref="C892">IF(B892="","",INDEX(PARAMETROS!$J$2:$J$14,MATCH(B892,PARAMETROS!$G$2:$G$14,0),1))</f>
        <v/>
      </c>
      <c r="D892" s="101"/>
      <c r="E892" s="102"/>
      <c r="F892" s="103"/>
      <c r="G892" s="49" t="str">
        <f t="shared" si="1"/>
        <v/>
      </c>
      <c r="H892" s="76"/>
      <c r="I892" s="103"/>
      <c r="J892" s="58" t="str">
        <f>IF(F892="","", IF(I892="",_xlfn.NETWORKDAYS.INTL(F892,TODAY(),1,FERIADOS),_xlfn.NETWORKDAYS.INTL(F892,I892,1,FERIADOS)))</f>
        <v/>
      </c>
      <c r="K892" s="58" t="str">
        <f t="shared" si="2"/>
        <v/>
      </c>
      <c r="L892" s="58" t="str">
        <f t="shared" si="3"/>
        <v/>
      </c>
    </row>
    <row r="893" ht="21.0" customHeight="1">
      <c r="A893" s="76"/>
      <c r="B893" s="94"/>
      <c r="C893" s="38" t="str">
        <f t="array" ref="C893">IF(B893="","",INDEX(PARAMETROS!$J$2:$J$14,MATCH(B893,PARAMETROS!$G$2:$G$14,0),1))</f>
        <v/>
      </c>
      <c r="D893" s="101"/>
      <c r="E893" s="102"/>
      <c r="F893" s="103"/>
      <c r="G893" s="49" t="str">
        <f t="shared" si="1"/>
        <v/>
      </c>
      <c r="H893" s="76"/>
      <c r="I893" s="103"/>
      <c r="J893" s="58" t="str">
        <f>IF(F893="","", IF(I893="",_xlfn.NETWORKDAYS.INTL(F893,TODAY(),1,FERIADOS),_xlfn.NETWORKDAYS.INTL(F893,I893,1,FERIADOS)))</f>
        <v/>
      </c>
      <c r="K893" s="58" t="str">
        <f t="shared" si="2"/>
        <v/>
      </c>
      <c r="L893" s="58" t="str">
        <f t="shared" si="3"/>
        <v/>
      </c>
    </row>
    <row r="894" ht="21.0" customHeight="1">
      <c r="A894" s="76"/>
      <c r="B894" s="94"/>
      <c r="C894" s="38" t="str">
        <f t="array" ref="C894">IF(B894="","",INDEX(PARAMETROS!$J$2:$J$14,MATCH(B894,PARAMETROS!$G$2:$G$14,0),1))</f>
        <v/>
      </c>
      <c r="D894" s="101"/>
      <c r="E894" s="102"/>
      <c r="F894" s="103"/>
      <c r="G894" s="49" t="str">
        <f t="shared" si="1"/>
        <v/>
      </c>
      <c r="H894" s="76"/>
      <c r="I894" s="103"/>
      <c r="J894" s="58" t="str">
        <f>IF(F894="","", IF(I894="",_xlfn.NETWORKDAYS.INTL(F894,TODAY(),1,FERIADOS),_xlfn.NETWORKDAYS.INTL(F894,I894,1,FERIADOS)))</f>
        <v/>
      </c>
      <c r="K894" s="58" t="str">
        <f t="shared" si="2"/>
        <v/>
      </c>
      <c r="L894" s="58" t="str">
        <f t="shared" si="3"/>
        <v/>
      </c>
    </row>
    <row r="895" ht="21.0" customHeight="1">
      <c r="A895" s="76"/>
      <c r="B895" s="94"/>
      <c r="C895" s="38" t="str">
        <f t="array" ref="C895">IF(B895="","",INDEX(PARAMETROS!$J$2:$J$14,MATCH(B895,PARAMETROS!$G$2:$G$14,0),1))</f>
        <v/>
      </c>
      <c r="D895" s="101"/>
      <c r="E895" s="102"/>
      <c r="F895" s="103"/>
      <c r="G895" s="49" t="str">
        <f t="shared" si="1"/>
        <v/>
      </c>
      <c r="H895" s="76"/>
      <c r="I895" s="103"/>
      <c r="J895" s="58" t="str">
        <f>IF(F895="","", IF(I895="",_xlfn.NETWORKDAYS.INTL(F895,TODAY(),1,FERIADOS),_xlfn.NETWORKDAYS.INTL(F895,I895,1,FERIADOS)))</f>
        <v/>
      </c>
      <c r="K895" s="58" t="str">
        <f t="shared" si="2"/>
        <v/>
      </c>
      <c r="L895" s="58" t="str">
        <f t="shared" si="3"/>
        <v/>
      </c>
    </row>
    <row r="896" ht="21.0" customHeight="1">
      <c r="A896" s="76"/>
      <c r="B896" s="94"/>
      <c r="C896" s="38" t="str">
        <f t="array" ref="C896">IF(B896="","",INDEX(PARAMETROS!$J$2:$J$14,MATCH(B896,PARAMETROS!$G$2:$G$14,0),1))</f>
        <v/>
      </c>
      <c r="D896" s="101"/>
      <c r="E896" s="102"/>
      <c r="F896" s="103"/>
      <c r="G896" s="49" t="str">
        <f t="shared" si="1"/>
        <v/>
      </c>
      <c r="H896" s="76"/>
      <c r="I896" s="103"/>
      <c r="J896" s="58" t="str">
        <f>IF(F896="","", IF(I896="",_xlfn.NETWORKDAYS.INTL(F896,TODAY(),1,FERIADOS),_xlfn.NETWORKDAYS.INTL(F896,I896,1,FERIADOS)))</f>
        <v/>
      </c>
      <c r="K896" s="58" t="str">
        <f t="shared" si="2"/>
        <v/>
      </c>
      <c r="L896" s="58" t="str">
        <f t="shared" si="3"/>
        <v/>
      </c>
    </row>
    <row r="897" ht="21.0" customHeight="1">
      <c r="A897" s="76"/>
      <c r="B897" s="94"/>
      <c r="C897" s="38" t="str">
        <f t="array" ref="C897">IF(B897="","",INDEX(PARAMETROS!$J$2:$J$14,MATCH(B897,PARAMETROS!$G$2:$G$14,0),1))</f>
        <v/>
      </c>
      <c r="D897" s="101"/>
      <c r="E897" s="102"/>
      <c r="F897" s="103"/>
      <c r="G897" s="49" t="str">
        <f t="shared" si="1"/>
        <v/>
      </c>
      <c r="H897" s="76"/>
      <c r="I897" s="103"/>
      <c r="J897" s="58" t="str">
        <f>IF(F897="","", IF(I897="",_xlfn.NETWORKDAYS.INTL(F897,TODAY(),1,FERIADOS),_xlfn.NETWORKDAYS.INTL(F897,I897,1,FERIADOS)))</f>
        <v/>
      </c>
      <c r="K897" s="58" t="str">
        <f t="shared" si="2"/>
        <v/>
      </c>
      <c r="L897" s="58" t="str">
        <f t="shared" si="3"/>
        <v/>
      </c>
    </row>
    <row r="898" ht="21.0" customHeight="1">
      <c r="A898" s="76"/>
      <c r="B898" s="94"/>
      <c r="C898" s="38" t="str">
        <f t="array" ref="C898">IF(B898="","",INDEX(PARAMETROS!$J$2:$J$14,MATCH(B898,PARAMETROS!$G$2:$G$14,0),1))</f>
        <v/>
      </c>
      <c r="D898" s="101"/>
      <c r="E898" s="102"/>
      <c r="F898" s="103"/>
      <c r="G898" s="49" t="str">
        <f t="shared" si="1"/>
        <v/>
      </c>
      <c r="H898" s="76"/>
      <c r="I898" s="103"/>
      <c r="J898" s="58" t="str">
        <f>IF(F898="","", IF(I898="",_xlfn.NETWORKDAYS.INTL(F898,TODAY(),1,FERIADOS),_xlfn.NETWORKDAYS.INTL(F898,I898,1,FERIADOS)))</f>
        <v/>
      </c>
      <c r="K898" s="58" t="str">
        <f t="shared" si="2"/>
        <v/>
      </c>
      <c r="L898" s="58" t="str">
        <f t="shared" si="3"/>
        <v/>
      </c>
    </row>
    <row r="899" ht="21.0" customHeight="1">
      <c r="A899" s="76"/>
      <c r="B899" s="94"/>
      <c r="C899" s="38" t="str">
        <f t="array" ref="C899">IF(B899="","",INDEX(PARAMETROS!$J$2:$J$14,MATCH(B899,PARAMETROS!$G$2:$G$14,0),1))</f>
        <v/>
      </c>
      <c r="D899" s="101"/>
      <c r="E899" s="102"/>
      <c r="F899" s="103"/>
      <c r="G899" s="49" t="str">
        <f t="shared" si="1"/>
        <v/>
      </c>
      <c r="H899" s="76"/>
      <c r="I899" s="103"/>
      <c r="J899" s="58" t="str">
        <f>IF(F899="","", IF(I899="",_xlfn.NETWORKDAYS.INTL(F899,TODAY(),1,FERIADOS),_xlfn.NETWORKDAYS.INTL(F899,I899,1,FERIADOS)))</f>
        <v/>
      </c>
      <c r="K899" s="58" t="str">
        <f t="shared" si="2"/>
        <v/>
      </c>
      <c r="L899" s="58" t="str">
        <f t="shared" si="3"/>
        <v/>
      </c>
    </row>
    <row r="900" ht="21.0" customHeight="1">
      <c r="A900" s="76"/>
      <c r="B900" s="94"/>
      <c r="C900" s="38" t="str">
        <f t="array" ref="C900">IF(B900="","",INDEX(PARAMETROS!$J$2:$J$14,MATCH(B900,PARAMETROS!$G$2:$G$14,0),1))</f>
        <v/>
      </c>
      <c r="D900" s="101"/>
      <c r="E900" s="102"/>
      <c r="F900" s="103"/>
      <c r="G900" s="49" t="str">
        <f t="shared" si="1"/>
        <v/>
      </c>
      <c r="H900" s="76"/>
      <c r="I900" s="103"/>
      <c r="J900" s="58" t="str">
        <f>IF(F900="","", IF(I900="",_xlfn.NETWORKDAYS.INTL(F900,TODAY(),1,FERIADOS),_xlfn.NETWORKDAYS.INTL(F900,I900,1,FERIADOS)))</f>
        <v/>
      </c>
      <c r="K900" s="58" t="str">
        <f t="shared" si="2"/>
        <v/>
      </c>
      <c r="L900" s="58" t="str">
        <f t="shared" si="3"/>
        <v/>
      </c>
    </row>
    <row r="901" ht="21.0" customHeight="1">
      <c r="A901" s="76"/>
      <c r="B901" s="94"/>
      <c r="C901" s="38" t="str">
        <f t="array" ref="C901">IF(B901="","",INDEX(PARAMETROS!$J$2:$J$14,MATCH(B901,PARAMETROS!$G$2:$G$14,0),1))</f>
        <v/>
      </c>
      <c r="D901" s="101"/>
      <c r="E901" s="102"/>
      <c r="F901" s="103"/>
      <c r="G901" s="49" t="str">
        <f t="shared" si="1"/>
        <v/>
      </c>
      <c r="H901" s="76"/>
      <c r="I901" s="103"/>
      <c r="J901" s="58" t="str">
        <f>IF(F901="","", IF(I901="",_xlfn.NETWORKDAYS.INTL(F901,TODAY(),1,FERIADOS),_xlfn.NETWORKDAYS.INTL(F901,I901,1,FERIADOS)))</f>
        <v/>
      </c>
      <c r="K901" s="58" t="str">
        <f t="shared" si="2"/>
        <v/>
      </c>
      <c r="L901" s="58" t="str">
        <f t="shared" si="3"/>
        <v/>
      </c>
    </row>
    <row r="902" ht="21.0" customHeight="1">
      <c r="A902" s="76"/>
      <c r="B902" s="94"/>
      <c r="C902" s="38" t="str">
        <f t="array" ref="C902">IF(B902="","",INDEX(PARAMETROS!$J$2:$J$14,MATCH(B902,PARAMETROS!$G$2:$G$14,0),1))</f>
        <v/>
      </c>
      <c r="D902" s="101"/>
      <c r="E902" s="102"/>
      <c r="F902" s="103"/>
      <c r="G902" s="49" t="str">
        <f t="shared" si="1"/>
        <v/>
      </c>
      <c r="H902" s="76"/>
      <c r="I902" s="103"/>
      <c r="J902" s="58" t="str">
        <f>IF(F902="","", IF(I902="",_xlfn.NETWORKDAYS.INTL(F902,TODAY(),1,FERIADOS),_xlfn.NETWORKDAYS.INTL(F902,I902,1,FERIADOS)))</f>
        <v/>
      </c>
      <c r="K902" s="58" t="str">
        <f t="shared" si="2"/>
        <v/>
      </c>
      <c r="L902" s="58" t="str">
        <f t="shared" si="3"/>
        <v/>
      </c>
    </row>
    <row r="903" ht="21.0" customHeight="1">
      <c r="A903" s="76"/>
      <c r="B903" s="94"/>
      <c r="C903" s="38" t="str">
        <f t="array" ref="C903">IF(B903="","",INDEX(PARAMETROS!$J$2:$J$14,MATCH(B903,PARAMETROS!$G$2:$G$14,0),1))</f>
        <v/>
      </c>
      <c r="D903" s="101"/>
      <c r="E903" s="102"/>
      <c r="F903" s="103"/>
      <c r="G903" s="49" t="str">
        <f t="shared" si="1"/>
        <v/>
      </c>
      <c r="H903" s="76"/>
      <c r="I903" s="103"/>
      <c r="J903" s="58" t="str">
        <f>IF(F903="","", IF(I903="",_xlfn.NETWORKDAYS.INTL(F903,TODAY(),1,FERIADOS),_xlfn.NETWORKDAYS.INTL(F903,I903,1,FERIADOS)))</f>
        <v/>
      </c>
      <c r="K903" s="58" t="str">
        <f t="shared" si="2"/>
        <v/>
      </c>
      <c r="L903" s="58" t="str">
        <f t="shared" si="3"/>
        <v/>
      </c>
    </row>
    <row r="904" ht="21.0" customHeight="1">
      <c r="A904" s="76"/>
      <c r="B904" s="94"/>
      <c r="C904" s="38" t="str">
        <f t="array" ref="C904">IF(B904="","",INDEX(PARAMETROS!$J$2:$J$14,MATCH(B904,PARAMETROS!$G$2:$G$14,0),1))</f>
        <v/>
      </c>
      <c r="D904" s="101"/>
      <c r="E904" s="102"/>
      <c r="F904" s="103"/>
      <c r="G904" s="49" t="str">
        <f t="shared" si="1"/>
        <v/>
      </c>
      <c r="H904" s="76"/>
      <c r="I904" s="103"/>
      <c r="J904" s="58" t="str">
        <f>IF(F904="","", IF(I904="",_xlfn.NETWORKDAYS.INTL(F904,TODAY(),1,FERIADOS),_xlfn.NETWORKDAYS.INTL(F904,I904,1,FERIADOS)))</f>
        <v/>
      </c>
      <c r="K904" s="58" t="str">
        <f t="shared" si="2"/>
        <v/>
      </c>
      <c r="L904" s="58" t="str">
        <f t="shared" si="3"/>
        <v/>
      </c>
    </row>
    <row r="905" ht="21.0" customHeight="1">
      <c r="A905" s="76"/>
      <c r="B905" s="94"/>
      <c r="C905" s="38" t="str">
        <f t="array" ref="C905">IF(B905="","",INDEX(PARAMETROS!$J$2:$J$14,MATCH(B905,PARAMETROS!$G$2:$G$14,0),1))</f>
        <v/>
      </c>
      <c r="D905" s="101"/>
      <c r="E905" s="102"/>
      <c r="F905" s="103"/>
      <c r="G905" s="49" t="str">
        <f t="shared" si="1"/>
        <v/>
      </c>
      <c r="H905" s="76"/>
      <c r="I905" s="103"/>
      <c r="J905" s="58" t="str">
        <f>IF(F905="","", IF(I905="",_xlfn.NETWORKDAYS.INTL(F905,TODAY(),1,FERIADOS),_xlfn.NETWORKDAYS.INTL(F905,I905,1,FERIADOS)))</f>
        <v/>
      </c>
      <c r="K905" s="58" t="str">
        <f t="shared" si="2"/>
        <v/>
      </c>
      <c r="L905" s="58" t="str">
        <f t="shared" si="3"/>
        <v/>
      </c>
    </row>
    <row r="906" ht="21.0" customHeight="1">
      <c r="A906" s="76"/>
      <c r="B906" s="94"/>
      <c r="C906" s="38" t="str">
        <f t="array" ref="C906">IF(B906="","",INDEX(PARAMETROS!$J$2:$J$14,MATCH(B906,PARAMETROS!$G$2:$G$14,0),1))</f>
        <v/>
      </c>
      <c r="D906" s="101"/>
      <c r="E906" s="102"/>
      <c r="F906" s="103"/>
      <c r="G906" s="49" t="str">
        <f t="shared" si="1"/>
        <v/>
      </c>
      <c r="H906" s="76"/>
      <c r="I906" s="103"/>
      <c r="J906" s="58" t="str">
        <f>IF(F906="","", IF(I906="",_xlfn.NETWORKDAYS.INTL(F906,TODAY(),1,FERIADOS),_xlfn.NETWORKDAYS.INTL(F906,I906,1,FERIADOS)))</f>
        <v/>
      </c>
      <c r="K906" s="58" t="str">
        <f t="shared" si="2"/>
        <v/>
      </c>
      <c r="L906" s="58" t="str">
        <f t="shared" si="3"/>
        <v/>
      </c>
    </row>
    <row r="907" ht="21.0" customHeight="1">
      <c r="A907" s="76"/>
      <c r="B907" s="94"/>
      <c r="C907" s="38" t="str">
        <f t="array" ref="C907">IF(B907="","",INDEX(PARAMETROS!$J$2:$J$14,MATCH(B907,PARAMETROS!$G$2:$G$14,0),1))</f>
        <v/>
      </c>
      <c r="D907" s="101"/>
      <c r="E907" s="102"/>
      <c r="F907" s="103"/>
      <c r="G907" s="49" t="str">
        <f t="shared" si="1"/>
        <v/>
      </c>
      <c r="H907" s="76"/>
      <c r="I907" s="103"/>
      <c r="J907" s="58" t="str">
        <f>IF(F907="","", IF(I907="",_xlfn.NETWORKDAYS.INTL(F907,TODAY(),1,FERIADOS),_xlfn.NETWORKDAYS.INTL(F907,I907,1,FERIADOS)))</f>
        <v/>
      </c>
      <c r="K907" s="58" t="str">
        <f t="shared" si="2"/>
        <v/>
      </c>
      <c r="L907" s="58" t="str">
        <f t="shared" si="3"/>
        <v/>
      </c>
    </row>
    <row r="908" ht="21.0" customHeight="1">
      <c r="A908" s="76"/>
      <c r="B908" s="94"/>
      <c r="C908" s="38" t="str">
        <f t="array" ref="C908">IF(B908="","",INDEX(PARAMETROS!$J$2:$J$14,MATCH(B908,PARAMETROS!$G$2:$G$14,0),1))</f>
        <v/>
      </c>
      <c r="D908" s="101"/>
      <c r="E908" s="102"/>
      <c r="F908" s="103"/>
      <c r="G908" s="49" t="str">
        <f t="shared" si="1"/>
        <v/>
      </c>
      <c r="H908" s="76"/>
      <c r="I908" s="103"/>
      <c r="J908" s="58" t="str">
        <f>IF(F908="","", IF(I908="",_xlfn.NETWORKDAYS.INTL(F908,TODAY(),1,FERIADOS),_xlfn.NETWORKDAYS.INTL(F908,I908,1,FERIADOS)))</f>
        <v/>
      </c>
      <c r="K908" s="58" t="str">
        <f t="shared" si="2"/>
        <v/>
      </c>
      <c r="L908" s="58" t="str">
        <f t="shared" si="3"/>
        <v/>
      </c>
    </row>
    <row r="909" ht="21.0" customHeight="1">
      <c r="A909" s="76"/>
      <c r="B909" s="94"/>
      <c r="C909" s="38" t="str">
        <f t="array" ref="C909">IF(B909="","",INDEX(PARAMETROS!$J$2:$J$14,MATCH(B909,PARAMETROS!$G$2:$G$14,0),1))</f>
        <v/>
      </c>
      <c r="D909" s="101"/>
      <c r="E909" s="102"/>
      <c r="F909" s="103"/>
      <c r="G909" s="49" t="str">
        <f t="shared" si="1"/>
        <v/>
      </c>
      <c r="H909" s="76"/>
      <c r="I909" s="103"/>
      <c r="J909" s="58" t="str">
        <f>IF(F909="","", IF(I909="",_xlfn.NETWORKDAYS.INTL(F909,TODAY(),1,FERIADOS),_xlfn.NETWORKDAYS.INTL(F909,I909,1,FERIADOS)))</f>
        <v/>
      </c>
      <c r="K909" s="58" t="str">
        <f t="shared" si="2"/>
        <v/>
      </c>
      <c r="L909" s="58" t="str">
        <f t="shared" si="3"/>
        <v/>
      </c>
    </row>
    <row r="910" ht="21.0" customHeight="1">
      <c r="A910" s="76"/>
      <c r="B910" s="94"/>
      <c r="C910" s="38" t="str">
        <f t="array" ref="C910">IF(B910="","",INDEX(PARAMETROS!$J$2:$J$14,MATCH(B910,PARAMETROS!$G$2:$G$14,0),1))</f>
        <v/>
      </c>
      <c r="D910" s="101"/>
      <c r="E910" s="102"/>
      <c r="F910" s="103"/>
      <c r="G910" s="49" t="str">
        <f t="shared" si="1"/>
        <v/>
      </c>
      <c r="H910" s="76"/>
      <c r="I910" s="103"/>
      <c r="J910" s="58" t="str">
        <f>IF(F910="","", IF(I910="",_xlfn.NETWORKDAYS.INTL(F910,TODAY(),1,FERIADOS),_xlfn.NETWORKDAYS.INTL(F910,I910,1,FERIADOS)))</f>
        <v/>
      </c>
      <c r="K910" s="58" t="str">
        <f t="shared" si="2"/>
        <v/>
      </c>
      <c r="L910" s="58" t="str">
        <f t="shared" si="3"/>
        <v/>
      </c>
    </row>
    <row r="911" ht="21.0" customHeight="1">
      <c r="A911" s="76"/>
      <c r="B911" s="94"/>
      <c r="C911" s="38" t="str">
        <f t="array" ref="C911">IF(B911="","",INDEX(PARAMETROS!$J$2:$J$14,MATCH(B911,PARAMETROS!$G$2:$G$14,0),1))</f>
        <v/>
      </c>
      <c r="D911" s="101"/>
      <c r="E911" s="102"/>
      <c r="F911" s="103"/>
      <c r="G911" s="49" t="str">
        <f t="shared" si="1"/>
        <v/>
      </c>
      <c r="H911" s="76"/>
      <c r="I911" s="103"/>
      <c r="J911" s="58" t="str">
        <f>IF(F911="","", IF(I911="",_xlfn.NETWORKDAYS.INTL(F911,TODAY(),1,FERIADOS),_xlfn.NETWORKDAYS.INTL(F911,I911,1,FERIADOS)))</f>
        <v/>
      </c>
      <c r="K911" s="58" t="str">
        <f t="shared" si="2"/>
        <v/>
      </c>
      <c r="L911" s="58" t="str">
        <f t="shared" si="3"/>
        <v/>
      </c>
    </row>
  </sheetData>
  <autoFilter ref="$A$1:$J$99"/>
  <customSheetViews>
    <customSheetView guid="{A9DEB9CB-2C8B-4BA2-925D-91D676755513}" filter="1" showAutoFilter="1">
      <autoFilter ref="$A$1:$K$9">
        <filterColumn colId="0">
          <filters>
            <filter val="MULTA COERCITIVA - 1/CAGR"/>
            <filter val="COD_PROY_MC"/>
            <filter val="MULTA COERCITIVA - 2/CAGR"/>
          </filters>
        </filterColumn>
      </autoFilter>
    </customSheetView>
    <customSheetView guid="{2F1E8D0E-F6C1-4DBF-8F0A-069495DFD063}" filter="1" showAutoFilter="1">
      <autoFilter ref="$A$1:$K$911">
        <filterColumn colId="0">
          <filters>
            <filter val="MULTA COERCITIVA - 6/CAGR"/>
            <filter val="MULTA COERCITIVA - 9/CAGR"/>
            <filter val="MULTA COERCITIVA - 3/CAGR"/>
            <filter val="COD_PROY_MC"/>
            <filter val="MULTA COERCITIVA - 1/CAGR"/>
            <filter val="MULTA COERCITIVA - 11/CAGR"/>
            <filter val="MULTA COERCITIVA - 4/CAGR"/>
            <filter val="MULTA COERCITIVA - 8/CAGR"/>
            <filter val="MULTA COERCITIVA - 2/CAGR"/>
            <filter val="MULTA COERCITIVA - 10/CAGR"/>
            <filter val="MULTA COERCITIVA - 5/CAGR"/>
            <filter val="MULTA COERCITIVA - 7/CAGR"/>
          </filters>
        </filterColumn>
      </autoFilter>
    </customSheetView>
    <customSheetView guid="{9589F337-F154-4765-A546-B88859D0B7EA}" filter="1" showAutoFilter="1">
      <autoFilter ref="$A$1:$K$8">
        <filterColumn colId="0">
          <filters>
            <filter val="MULTA COERCITIVA - 1/CAGR"/>
            <filter val="COD_PROY_MC"/>
            <filter val="MULTA COERCITIVA - 2/CAGR"/>
          </filters>
        </filterColumn>
      </autoFilter>
    </customSheetView>
    <customSheetView guid="{4E383481-2CD7-4997-8549-8804B3766B15}" filter="1" showAutoFilter="1">
      <autoFilter ref="$A$1:$K$8">
        <filterColumn colId="0">
          <filters>
            <filter val="MULTA COERCITIVA - 1/CAGR"/>
            <filter val="COD_PROY_MC"/>
            <filter val="MULTA COERCITIVA - 2/CAGR"/>
          </filters>
        </filterColumn>
      </autoFilter>
    </customSheetView>
    <customSheetView guid="{F84F9888-17BB-45DD-9A84-1B337BF940EC}" filter="1" showAutoFilter="1">
      <autoFilter ref="$A$1:$K$8">
        <filterColumn colId="4">
          <filters>
            <filter val="ASCON, ALEX"/>
            <filter val="PEÑA, AGUSTÍN"/>
            <filter val="ENCARGADO_MC"/>
            <filter val="SEERANO, CRISTIAN"/>
            <filter val="DSAP"/>
            <filter val="LAVERIANO, BETSABE"/>
          </filters>
        </filterColumn>
      </autoFilter>
    </customSheetView>
    <customSheetView guid="{FD50DABA-5B6F-4936-B067-8DDED246406E}" filter="1" showAutoFilter="1">
      <autoFilter ref="$A$1:$K$8"/>
    </customSheetView>
    <customSheetView guid="{9EC9DD5F-F71D-4F8F-8140-C1F02CBDF5B7}" filter="1" showAutoFilter="1">
      <autoFilter ref="$A$1:$K$8">
        <filterColumn colId="0">
          <filters>
            <filter val="MULTA COERCITIVA - 1/CAGR"/>
            <filter val="COD_PROY_MC"/>
            <filter val="MULTA COERCITIVA - 2/CAGR"/>
          </filters>
        </filterColumn>
      </autoFilter>
    </customSheetView>
    <customSheetView guid="{67E0C31B-51B8-4B98-AFD1-D44B7EB5A5E6}" filter="1" showAutoFilter="1">
      <autoFilter ref="$A$1:$K$8"/>
    </customSheetView>
    <customSheetView guid="{3A9A9343-6A7A-496C-8252-2617C1ECA26E}" filter="1" showAutoFilter="1">
      <autoFilter ref="$A$1:$K$8">
        <filterColumn colId="0">
          <filters>
            <filter val="MULTA COERCITIVA - 1/CAGR"/>
            <filter val="COD_PROY_MC"/>
            <filter val="MULTA COERCITIVA - 2/CAGR"/>
          </filters>
        </filterColumn>
      </autoFilter>
    </customSheetView>
    <customSheetView guid="{198C4933-D23F-4153-9337-08F3CD6DB21A}" filter="1" showAutoFilter="1">
      <autoFilter ref="$A$1:$K$8">
        <filterColumn colId="0">
          <filters>
            <filter val="MULTA COERCITIVA - 1/CAGR"/>
            <filter val="COD_PROY_MC"/>
            <filter val="MULTA COERCITIVA - 2/CAGR"/>
          </filters>
        </filterColumn>
      </autoFilter>
    </customSheetView>
    <customSheetView guid="{B85F7DFC-BF79-4C0C-B97A-991A15E6741B}" filter="1" showAutoFilter="1">
      <autoFilter ref="$A$1:$K$8"/>
    </customSheetView>
    <customSheetView guid="{E157A347-D657-4E09-9A22-791CD6436665}" filter="1" showAutoFilter="1">
      <autoFilter ref="$A$1:$K$8"/>
    </customSheetView>
    <customSheetView guid="{FF8C140B-42B4-4DCD-9311-D00A2772C93B}" filter="1" showAutoFilter="1">
      <autoFilter ref="$A$1:$K$8">
        <filterColumn colId="0">
          <filters>
            <filter val="MULTA COERCITIVA - 1/CAGR"/>
            <filter val="COD_PROY_MC"/>
            <filter val="MULTA COERCITIVA - 2/CAGR"/>
          </filters>
        </filterColumn>
      </autoFilter>
    </customSheetView>
    <customSheetView guid="{3A236F02-AC29-4F27-A47C-308DDFDE584B}" filter="1" showAutoFilter="1">
      <autoFilter ref="$A$1:$K$8">
        <filterColumn colId="0">
          <filters>
            <filter val="MULTA COERCITIVA - 1/CAGR"/>
            <filter val="COD_PROY_MC"/>
            <filter val="MULTA COERCITIVA - 2/CAGR"/>
          </filters>
        </filterColumn>
      </autoFilter>
    </customSheetView>
    <customSheetView guid="{0F775C1A-2B6B-42C0-9142-0889D70FD6AC}" filter="1" showAutoFilter="1">
      <autoFilter ref="$A$1:$K$8"/>
    </customSheetView>
    <customSheetView guid="{1040A414-DC1C-42EF-8F5E-E5D432928D90}" filter="1" showAutoFilter="1">
      <autoFilter ref="$A$1:$K$8">
        <filterColumn colId="0">
          <filters>
            <filter val="MULTA COERCITIVA - 1/CAGR"/>
            <filter val="COD_PROY_MC"/>
            <filter val="MULTA COERCITIVA - 2/CAGR"/>
          </filters>
        </filterColumn>
      </autoFilter>
    </customSheetView>
    <customSheetView guid="{FE249A66-A136-44AC-B540-B04B8D284251}" filter="1" showAutoFilter="1">
      <autoFilter ref="$A$1:$K$8">
        <filterColumn colId="4">
          <filters>
            <filter val="ASCON, ALEX"/>
            <filter val="PEÑA, AGUSTÍN"/>
            <filter val="ENCARGADO_MC"/>
            <filter val="SEERANO, CRISTIAN"/>
            <filter val="DSAP"/>
            <filter val="LAVERIANO, BETSABE"/>
          </filters>
        </filterColumn>
      </autoFilter>
    </customSheetView>
    <customSheetView guid="{C722D24B-32C5-4E23-8574-7A7B71831F42}" filter="1" showAutoFilter="1">
      <autoFilter ref="$A$1:$K$8">
        <filterColumn colId="0">
          <filters>
            <filter val="MULTA COERCITIVA - 1/CAGR"/>
            <filter val="COD_PROY_MC"/>
            <filter val="MULTA COERCITIVA - 2/CAGR"/>
          </filters>
        </filterColumn>
      </autoFilter>
    </customSheetView>
    <customSheetView guid="{CB60A8E0-82C4-466A-AF09-3B798ABBEA8F}" filter="1" showAutoFilter="1">
      <autoFilter ref="$A$1:$K$8"/>
    </customSheetView>
    <customSheetView guid="{9520C0C3-37AB-433E-ABC9-23BD8E1662B9}" filter="1" showAutoFilter="1">
      <autoFilter ref="$A$1:$K$8"/>
    </customSheetView>
    <customSheetView guid="{9260C663-4564-4A92-A38B-0852123E355E}" filter="1" showAutoFilter="1">
      <autoFilter ref="$A$1:$K$8">
        <filterColumn colId="0">
          <filters>
            <filter val="MULTA COERCITIVA - 1/CAGR"/>
            <filter val="COD_PROY_MC"/>
            <filter val="MULTA COERCITIVA - 2/CAGR"/>
          </filters>
        </filterColumn>
      </autoFilter>
    </customSheetView>
    <customSheetView guid="{97CFEDFC-6CCF-4A83-B38C-0FAFEBE4FFA6}" filter="1" showAutoFilter="1">
      <autoFilter ref="$A$1:$K$8">
        <filterColumn colId="0">
          <filters>
            <filter val="MULTA COERCITIVA - 1/CAGR"/>
            <filter val="COD_PROY_MC"/>
            <filter val="MULTA COERCITIVA - 2/CAGR"/>
          </filters>
        </filterColumn>
      </autoFilter>
    </customSheetView>
    <customSheetView guid="{6F1C5073-763D-4AAD-8A2E-A37DA839D014}" filter="1" showAutoFilter="1">
      <autoFilter ref="$A$1:$K$8">
        <filterColumn colId="0">
          <filters>
            <filter val="MULTA COERCITIVA - 1/CAGR"/>
            <filter val="COD_PROY_MC"/>
            <filter val="MULTA COERCITIVA - 2/CAGR"/>
          </filters>
        </filterColumn>
      </autoFilter>
    </customSheetView>
  </customSheetViews>
  <conditionalFormatting sqref="G3:G911">
    <cfRule type="containsText" dxfId="0" priority="1" operator="containsText" text="TERMINADO">
      <formula>NOT(ISERROR(SEARCH(("TERMINADO"),(G3))))</formula>
    </cfRule>
  </conditionalFormatting>
  <conditionalFormatting sqref="G3:G911">
    <cfRule type="containsText" dxfId="1" priority="2" operator="containsText" text="PENDIENTE">
      <formula>NOT(ISERROR(SEARCH(("PENDIENTE"),(G3))))</formula>
    </cfRule>
  </conditionalFormatting>
  <conditionalFormatting sqref="B3:F911">
    <cfRule type="expression" dxfId="2" priority="3">
      <formula>IF(AND($A3&lt;&gt;"", B3=""),1,0)</formula>
    </cfRule>
  </conditionalFormatting>
  <dataValidations>
    <dataValidation type="list" allowBlank="1" showErrorMessage="1" sqref="B3:B911">
      <formula1>"1,2,3,4,5,6"</formula1>
    </dataValidation>
    <dataValidation type="list" allowBlank="1" showErrorMessage="1" sqref="H3 H8 H13 H15 H17:H18 H23 H25 H27:H28 H33 H38 H43 H48 H53:H54 H56 H59 H61:H62 H64 H66 H69 H71:H72 H74 H76 H79 H81:H82 H84 H86 H89 H91:H92 H94 H96 H99:H100 H102 H104 H107:H108 H110 H112 H115:H116 H118 H120 H123:H124 H126 H128 H131:H132 H134 H136 H139:H140 H142 H144 H147:H148 H150 H152 H155:H156 H158 H160 H163:H164 H166 H168 H171:H172 H174 H176 H179:H180 H182 H184 H187:H188 H190 H192 H195:H196 H198 H200 H203:H204 H206 H208 H211:H212 H214 H216 H219:H220 H222 H224 H227:H228 H230 H232 H235:H236 H238 H240 H243:H244 H246 H248 H251:H252 H254 H256 H259:H260 H262 H264 H267:H268 H270 H273:H274 H276 H279:H280 H282 H285:H286 H288 H291:H292 H294 H297:H298 H300 H303:H304 H306 H309">
      <formula1>"NO APLICA"</formula1>
    </dataValidation>
    <dataValidation type="list" allowBlank="1" showErrorMessage="1" sqref="D7 D58 D60 D68 D70 D78 D80 D88 D90 D98 D106 D114 D122 D130 D138 D146 D154 D162 D170 D178 D186 D194 D202 D210 D218 D226 D234 D242 D250 D258 D266 D272 D278 D284 D290 D296 D302 D308">
      <formula1>"REVISION,REVISION,CORRECCION"</formula1>
    </dataValidation>
    <dataValidation type="list" allowBlank="1" showErrorMessage="1" sqref="D8 D17 D22 D27 D32 D37 D61 D71 D81 D91 D99 D107 D115 D123 D131 D139 D147 D155 D163 D171 D179 D187 D195 D203 D211 D219 D227 D235 D243 D251 D259 D267 D273 D279 D285 D291 D297 D303 D309">
      <formula1>"FIRMA"</formula1>
    </dataValidation>
    <dataValidation type="list" allowBlank="1" showErrorMessage="1" sqref="D3 D13 D18 D23 D28 D33 D38 D43 D48 D53 D59 D62 D66 D69 D72 D74 D79 D82 D84 D89 D92 D94 D100 D102 D108 D110 D116 D118 D124 D126 D132 D134 D140 D142 D148 D150 D156 D158 D164 D166 D172 D174 D180 D182 D188 D190 D196 D198 D204 D206 D212 D214 D220 D222 D228 D230 D236 D238 D244 D246 D252 D254 D260 D262 D268 D274 D280 D286 D292 D298 D304">
      <formula1>"ELABORACION DE PROYECTO,CORRECCION"</formula1>
    </dataValidation>
    <dataValidation type="date" operator="greaterThanOrEqual" allowBlank="1" showDropDown="1" showErrorMessage="1" sqref="I3:I911">
      <formula1>F3</formula1>
    </dataValidation>
    <dataValidation type="list" allowBlank="1" showErrorMessage="1" sqref="D14 D16 D19 D21 D63 D65 D67 D73 D75 D77 D83 D85 D87 D93 D95 D97 D101 D103 D105 D109 D111 D113 D117 D119 D121 D125 D127 D129 D133 D135 D137 D141 D143 D145 D149 D151 D153 D157 D159 D161 D165 D167 D169 D173 D175 D177 D181 D183 D185 D189 D191 D193 D197 D199 D201 D205 D207 D209 D213 D215 D217 D221 D223 D225 D229 D231 D233 D237 D239 D241 D245 D247 D249 D253 D255 D257 D261 D263 D265 D269 D271 D275 D277 D281 D283 D287 D289 D293 D295 D299 D301 D305 D307">
      <formula1>"REVISION ,REVISION ,CORRECCION"</formula1>
    </dataValidation>
    <dataValidation type="list" allowBlank="1" showErrorMessage="1" sqref="H7 H14 H16 H24 H26 H29:H30 H34:H35 H55 H57:H58 H60 H63 H65 H67:H68 H70 H73 H75 H77:H78 H80 H83 H85 H87:H88 H90 H93 H95 H97:H98 H101 H103 H105:H106 H109 H111 H113:H114 H117 H119 H121:H122 H125 H127 H129:H130 H133 H135 H137:H138 H141 H143 H145:H146 H149 H151 H153:H154 H157 H159 H161:H162 H165 H167 H169:H170 H173 H175 H177:H178 H181 H183 H185:H186 H189 H191 H193:H194 H197 H199 H201:H202 H205 H207 H209:H210 H213 H215 H217:H218 H221 H223 H225:H226 H229 H231 H233:H234 H237 H239 H241:H242 H245 H247 H249:H250 H253 H255 H257:H258 H261 H263 H265:H266 H269 H271:H272 H275 H277:H278 H281 H284 H287 H289:H290 H293 H295:H296 H299 H301:H302 H305 H307:H308">
      <formula1>"CONFORME (SIN CORRECIONES),DEVOLUCION (PARA CORREGIR)"</formula1>
    </dataValidation>
    <dataValidation type="list" allowBlank="1" showErrorMessage="1" sqref="E3:E911">
      <formula1>Equipo!C$2:C911</formula1>
    </dataValidation>
    <dataValidation type="list" allowBlank="1" showErrorMessage="1" sqref="A3:A911">
      <formula1>MA_INDIVIDUALES!R$2:R911</formula1>
    </dataValidation>
    <dataValidation type="list" allowBlank="1" showErrorMessage="1" sqref="D15 D20 D64 D76 D86 D96 D104 D112 D120 D128 D136 D144 D152 D160 D168 D176 D184 D192 D200 D208 D216 D224 D232 D240 D248 D256 D264 D270 D276 D282 D288 D294 D300 D306">
      <formula1>"CALCULO"</formula1>
    </dataValidation>
    <dataValidation type="custom" allowBlank="1" showDropDown="1" showErrorMessage="1" sqref="F3:F911">
      <formula1>OR(NOT(ISERROR(DATEVALUE(F3))), AND(ISNUMBER(F3), LEFT(CELL("format", F3))="D"))</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min="1" max="1" width="14.0"/>
    <col customWidth="1" min="2" max="2" width="32.75"/>
    <col customWidth="1" min="3" max="3" width="33.88"/>
    <col customWidth="1" min="4" max="4" width="15.75"/>
    <col customWidth="1" min="5" max="5" width="32.75"/>
    <col customWidth="1" min="6" max="6" width="17.63"/>
    <col customWidth="1" min="7" max="7" width="7.75"/>
    <col customWidth="1" min="8" max="9" width="8.75"/>
  </cols>
  <sheetData>
    <row r="1" ht="27.75" customHeight="1">
      <c r="A1" s="37" t="str">
        <f>IFERROR(__xludf.DUMMYFUNCTION("QUERY({IMPORTRANGE(""1GGHB-7IvEqjPs32eZ4K5cqTwzDZk9toJ9gAmRWrDwos"",""AMBITO_3-PARAMETROS!A:Z"")}, ""SELECT *"")"),"#REF!")</f>
        <v>#REF!</v>
      </c>
      <c r="B1" s="37"/>
      <c r="C1" s="40"/>
      <c r="D1" s="40"/>
      <c r="E1" s="40"/>
      <c r="F1" s="37"/>
      <c r="G1" s="43"/>
      <c r="H1" s="46"/>
      <c r="I1" s="46"/>
      <c r="J1" s="46"/>
      <c r="K1" s="37"/>
      <c r="L1" s="37"/>
      <c r="M1" s="37"/>
      <c r="N1" s="37"/>
      <c r="O1" s="37"/>
      <c r="P1" s="37"/>
      <c r="Q1" s="37"/>
      <c r="R1" s="37"/>
      <c r="S1" s="37"/>
      <c r="T1" s="37"/>
      <c r="U1" s="37"/>
      <c r="V1" s="37"/>
      <c r="W1" s="37"/>
      <c r="X1" s="37"/>
      <c r="Y1" s="37"/>
      <c r="Z1" s="37"/>
    </row>
    <row r="2" ht="15.75" customHeight="1">
      <c r="A2" s="53"/>
      <c r="B2" s="55"/>
      <c r="C2" s="57"/>
      <c r="D2" s="57"/>
      <c r="E2" s="55"/>
      <c r="F2" s="55"/>
      <c r="G2" s="59"/>
      <c r="H2" s="55"/>
      <c r="I2" s="55"/>
      <c r="J2" s="55"/>
      <c r="K2" s="55"/>
      <c r="L2" s="55"/>
      <c r="M2" s="55"/>
      <c r="N2" s="55"/>
      <c r="O2" s="55"/>
      <c r="P2" s="55"/>
      <c r="Q2" s="55"/>
      <c r="R2" s="55"/>
      <c r="S2" s="55"/>
      <c r="T2" s="55"/>
      <c r="U2" s="55"/>
      <c r="V2" s="55"/>
      <c r="W2" s="55"/>
      <c r="X2" s="55"/>
      <c r="Y2" s="55"/>
      <c r="Z2" s="55"/>
    </row>
    <row r="3" ht="15.75" customHeight="1">
      <c r="A3" s="62"/>
      <c r="B3" s="55"/>
      <c r="C3" s="57"/>
      <c r="D3" s="57"/>
      <c r="E3" s="55"/>
      <c r="F3" s="55"/>
      <c r="G3" s="59"/>
      <c r="H3" s="55"/>
      <c r="I3" s="55"/>
      <c r="J3" s="55"/>
      <c r="K3" s="55"/>
      <c r="L3" s="55"/>
      <c r="M3" s="55"/>
      <c r="N3" s="55"/>
      <c r="O3" s="55"/>
      <c r="P3" s="55"/>
      <c r="Q3" s="55"/>
      <c r="R3" s="55"/>
      <c r="S3" s="55"/>
      <c r="T3" s="55"/>
      <c r="U3" s="55"/>
      <c r="V3" s="55"/>
      <c r="W3" s="55"/>
      <c r="X3" s="55"/>
      <c r="Y3" s="55"/>
      <c r="Z3" s="55"/>
    </row>
    <row r="4" ht="15.75" customHeight="1">
      <c r="A4" s="62"/>
      <c r="B4" s="55"/>
      <c r="C4" s="57"/>
      <c r="D4" s="57"/>
      <c r="E4" s="55"/>
      <c r="F4" s="55"/>
      <c r="G4" s="59"/>
      <c r="H4" s="55"/>
      <c r="I4" s="55"/>
      <c r="J4" s="55"/>
      <c r="K4" s="55"/>
      <c r="L4" s="55"/>
      <c r="M4" s="55"/>
      <c r="N4" s="55"/>
      <c r="O4" s="55"/>
      <c r="P4" s="55"/>
      <c r="Q4" s="55"/>
      <c r="R4" s="55"/>
      <c r="S4" s="55"/>
      <c r="T4" s="55"/>
      <c r="U4" s="55"/>
      <c r="V4" s="55"/>
      <c r="W4" s="55"/>
      <c r="X4" s="55"/>
      <c r="Y4" s="55"/>
      <c r="Z4" s="55"/>
    </row>
    <row r="5" ht="15.75" customHeight="1">
      <c r="A5" s="62"/>
      <c r="B5" s="55"/>
      <c r="C5" s="57"/>
      <c r="D5" s="57"/>
      <c r="E5" s="55"/>
      <c r="F5" s="55"/>
      <c r="G5" s="59"/>
      <c r="H5" s="55"/>
      <c r="I5" s="55"/>
      <c r="J5" s="55"/>
      <c r="K5" s="55"/>
      <c r="L5" s="55"/>
      <c r="M5" s="55"/>
      <c r="N5" s="55"/>
      <c r="O5" s="55"/>
      <c r="P5" s="55"/>
      <c r="Q5" s="55"/>
      <c r="R5" s="55"/>
      <c r="S5" s="55"/>
      <c r="T5" s="55"/>
      <c r="U5" s="55"/>
      <c r="V5" s="55"/>
      <c r="W5" s="55"/>
      <c r="X5" s="55"/>
      <c r="Y5" s="55"/>
      <c r="Z5" s="55"/>
    </row>
    <row r="6" ht="15.75" customHeight="1">
      <c r="A6" s="62"/>
      <c r="B6" s="57"/>
      <c r="C6" s="57"/>
      <c r="D6" s="57"/>
      <c r="E6" s="55"/>
      <c r="F6" s="55"/>
      <c r="G6" s="59"/>
      <c r="H6" s="71"/>
      <c r="I6" s="71"/>
      <c r="J6" s="71"/>
      <c r="K6" s="71"/>
      <c r="L6" s="71"/>
      <c r="M6" s="71"/>
      <c r="N6" s="71"/>
      <c r="O6" s="71"/>
      <c r="P6" s="71"/>
      <c r="Q6" s="71"/>
      <c r="R6" s="71"/>
      <c r="S6" s="71"/>
      <c r="T6" s="71"/>
      <c r="U6" s="71"/>
      <c r="V6" s="71"/>
      <c r="W6" s="71"/>
      <c r="X6" s="71"/>
      <c r="Y6" s="71"/>
      <c r="Z6" s="71"/>
    </row>
    <row r="7" ht="15.75" customHeight="1">
      <c r="A7" s="62"/>
      <c r="B7" s="57"/>
      <c r="C7" s="57"/>
      <c r="D7" s="57"/>
      <c r="E7" s="55"/>
      <c r="F7" s="55"/>
      <c r="G7" s="59"/>
      <c r="H7" s="71"/>
      <c r="I7" s="71"/>
      <c r="J7" s="71"/>
      <c r="K7" s="71"/>
      <c r="L7" s="71"/>
      <c r="M7" s="71"/>
      <c r="N7" s="71"/>
      <c r="O7" s="71"/>
      <c r="P7" s="71"/>
      <c r="Q7" s="71"/>
      <c r="R7" s="71"/>
      <c r="S7" s="71"/>
      <c r="T7" s="71"/>
      <c r="U7" s="71"/>
      <c r="V7" s="71"/>
      <c r="W7" s="71"/>
      <c r="X7" s="71"/>
      <c r="Y7" s="71"/>
      <c r="Z7" s="71"/>
    </row>
    <row r="8" ht="15.75" customHeight="1">
      <c r="A8" s="72"/>
      <c r="B8" s="71"/>
      <c r="C8" s="71"/>
      <c r="D8" s="71"/>
      <c r="E8" s="55"/>
      <c r="F8" s="55"/>
      <c r="G8" s="59"/>
      <c r="H8" s="71"/>
      <c r="I8" s="71"/>
      <c r="J8" s="71"/>
      <c r="K8" s="71"/>
      <c r="L8" s="71"/>
      <c r="M8" s="71"/>
      <c r="N8" s="71"/>
      <c r="O8" s="71"/>
      <c r="P8" s="71"/>
      <c r="Q8" s="71"/>
      <c r="R8" s="71"/>
      <c r="S8" s="71"/>
      <c r="T8" s="71"/>
      <c r="U8" s="71"/>
      <c r="V8" s="71"/>
      <c r="W8" s="71"/>
      <c r="X8" s="71"/>
      <c r="Y8" s="71"/>
      <c r="Z8" s="71"/>
    </row>
    <row r="9" ht="15.75" customHeight="1">
      <c r="A9" s="72"/>
      <c r="B9" s="55"/>
      <c r="C9" s="55"/>
      <c r="D9" s="55"/>
      <c r="E9" s="55"/>
      <c r="F9" s="55"/>
      <c r="G9" s="59"/>
      <c r="H9" s="71"/>
      <c r="I9" s="71"/>
      <c r="J9" s="71"/>
      <c r="K9" s="71"/>
      <c r="L9" s="71"/>
      <c r="M9" s="71"/>
      <c r="N9" s="71"/>
      <c r="O9" s="71"/>
      <c r="P9" s="71"/>
      <c r="Q9" s="71"/>
      <c r="R9" s="71"/>
      <c r="S9" s="71"/>
      <c r="T9" s="71"/>
      <c r="U9" s="71"/>
      <c r="V9" s="71"/>
      <c r="W9" s="71"/>
      <c r="X9" s="71"/>
      <c r="Y9" s="71"/>
      <c r="Z9" s="71"/>
    </row>
    <row r="10" ht="15.75" customHeight="1">
      <c r="A10" s="72"/>
      <c r="B10" s="55"/>
      <c r="C10" s="55"/>
      <c r="D10" s="55"/>
      <c r="E10" s="55"/>
      <c r="F10" s="55"/>
      <c r="G10" s="59"/>
      <c r="H10" s="71"/>
      <c r="I10" s="71"/>
      <c r="J10" s="71"/>
      <c r="K10" s="71"/>
      <c r="L10" s="71"/>
      <c r="M10" s="71"/>
      <c r="N10" s="71"/>
      <c r="O10" s="71"/>
      <c r="P10" s="71"/>
      <c r="Q10" s="71"/>
      <c r="R10" s="71"/>
      <c r="S10" s="71"/>
      <c r="T10" s="71"/>
      <c r="U10" s="71"/>
      <c r="V10" s="71"/>
      <c r="W10" s="71"/>
      <c r="X10" s="71"/>
      <c r="Y10" s="71"/>
      <c r="Z10" s="71"/>
    </row>
    <row r="11" ht="15.75" customHeight="1">
      <c r="A11" s="72"/>
      <c r="B11" s="55"/>
      <c r="C11" s="55"/>
      <c r="D11" s="55"/>
      <c r="E11" s="57"/>
      <c r="F11" s="55"/>
      <c r="G11" s="59"/>
      <c r="H11" s="71"/>
      <c r="I11" s="71"/>
      <c r="J11" s="71"/>
      <c r="K11" s="71"/>
      <c r="L11" s="71"/>
      <c r="M11" s="71"/>
      <c r="N11" s="71"/>
      <c r="O11" s="71"/>
      <c r="P11" s="71"/>
      <c r="Q11" s="71"/>
      <c r="R11" s="71"/>
      <c r="S11" s="71"/>
      <c r="T11" s="71"/>
      <c r="U11" s="71"/>
      <c r="V11" s="71"/>
      <c r="W11" s="71"/>
      <c r="X11" s="71"/>
      <c r="Y11" s="71"/>
      <c r="Z11" s="71"/>
    </row>
    <row r="12" ht="15.75" customHeight="1">
      <c r="A12" s="72"/>
      <c r="B12" s="55"/>
      <c r="C12" s="55"/>
      <c r="D12" s="55"/>
      <c r="E12" s="57"/>
      <c r="F12" s="55"/>
      <c r="G12" s="59"/>
      <c r="H12" s="71"/>
      <c r="I12" s="71"/>
      <c r="J12" s="71"/>
      <c r="K12" s="71"/>
      <c r="L12" s="71"/>
      <c r="M12" s="71"/>
      <c r="N12" s="71"/>
      <c r="O12" s="71"/>
      <c r="P12" s="71"/>
      <c r="Q12" s="71"/>
      <c r="R12" s="71"/>
      <c r="S12" s="71"/>
      <c r="T12" s="71"/>
      <c r="U12" s="71"/>
      <c r="V12" s="71"/>
      <c r="W12" s="71"/>
      <c r="X12" s="71"/>
      <c r="Y12" s="71"/>
      <c r="Z12" s="71"/>
    </row>
    <row r="13" ht="15.75" customHeight="1">
      <c r="A13" s="72"/>
      <c r="B13" s="71"/>
      <c r="C13" s="71"/>
      <c r="D13" s="71"/>
      <c r="E13" s="57"/>
      <c r="F13" s="55"/>
      <c r="G13" s="59"/>
      <c r="H13" s="71"/>
      <c r="I13" s="71"/>
      <c r="J13" s="71"/>
      <c r="K13" s="71"/>
      <c r="L13" s="71"/>
      <c r="M13" s="71"/>
      <c r="N13" s="71"/>
      <c r="O13" s="71"/>
      <c r="P13" s="71"/>
      <c r="Q13" s="71"/>
      <c r="R13" s="71"/>
      <c r="S13" s="71"/>
      <c r="T13" s="71"/>
      <c r="U13" s="71"/>
      <c r="V13" s="71"/>
      <c r="W13" s="71"/>
      <c r="X13" s="71"/>
      <c r="Y13" s="71"/>
      <c r="Z13" s="71"/>
    </row>
    <row r="14" ht="15.75" customHeight="1">
      <c r="A14" s="72"/>
      <c r="B14" s="71"/>
      <c r="C14" s="71"/>
      <c r="D14" s="71"/>
      <c r="E14" s="57"/>
      <c r="F14" s="55"/>
      <c r="G14" s="59"/>
      <c r="H14" s="71"/>
      <c r="I14" s="71"/>
      <c r="J14" s="71"/>
      <c r="K14" s="71"/>
      <c r="L14" s="71"/>
      <c r="M14" s="71"/>
      <c r="N14" s="71"/>
      <c r="O14" s="71"/>
      <c r="P14" s="71"/>
      <c r="Q14" s="71"/>
      <c r="R14" s="71"/>
      <c r="S14" s="71"/>
      <c r="T14" s="71"/>
      <c r="U14" s="71"/>
      <c r="V14" s="71"/>
      <c r="W14" s="71"/>
      <c r="X14" s="71"/>
      <c r="Y14" s="71"/>
      <c r="Z14" s="71"/>
    </row>
    <row r="15" ht="15.75" customHeight="1">
      <c r="A15" s="72"/>
      <c r="B15" s="71"/>
      <c r="C15" s="71"/>
      <c r="D15" s="71"/>
      <c r="E15" s="71"/>
      <c r="F15" s="71"/>
      <c r="G15" s="59"/>
      <c r="H15" s="71"/>
      <c r="I15" s="71"/>
      <c r="J15" s="71"/>
      <c r="K15" s="71"/>
      <c r="L15" s="71"/>
      <c r="M15" s="71"/>
      <c r="N15" s="71"/>
      <c r="O15" s="71"/>
      <c r="P15" s="71"/>
      <c r="Q15" s="71"/>
      <c r="R15" s="71"/>
      <c r="S15" s="71"/>
      <c r="T15" s="71"/>
      <c r="U15" s="71"/>
      <c r="V15" s="71"/>
      <c r="W15" s="71"/>
      <c r="X15" s="71"/>
      <c r="Y15" s="71"/>
      <c r="Z15" s="71"/>
    </row>
    <row r="16" ht="15.75" customHeight="1">
      <c r="A16" s="72"/>
      <c r="B16" s="71"/>
      <c r="C16" s="71"/>
      <c r="D16" s="71"/>
      <c r="E16" s="71"/>
      <c r="F16" s="71"/>
      <c r="G16" s="59"/>
      <c r="H16" s="71"/>
      <c r="I16" s="71"/>
      <c r="J16" s="71"/>
      <c r="K16" s="71"/>
      <c r="L16" s="71"/>
      <c r="M16" s="71"/>
      <c r="N16" s="71"/>
      <c r="O16" s="71"/>
      <c r="P16" s="71"/>
      <c r="Q16" s="71"/>
      <c r="R16" s="71"/>
      <c r="S16" s="71"/>
      <c r="T16" s="71"/>
      <c r="U16" s="71"/>
      <c r="V16" s="71"/>
      <c r="W16" s="71"/>
      <c r="X16" s="71"/>
      <c r="Y16" s="71"/>
      <c r="Z16" s="71"/>
    </row>
    <row r="17" ht="15.75" customHeight="1">
      <c r="A17" s="72"/>
      <c r="B17" s="55"/>
      <c r="C17" s="55"/>
      <c r="D17" s="55"/>
      <c r="E17" s="55"/>
      <c r="F17" s="55"/>
      <c r="G17" s="59"/>
      <c r="H17" s="71"/>
      <c r="I17" s="71"/>
      <c r="J17" s="71"/>
      <c r="K17" s="71"/>
      <c r="L17" s="71"/>
      <c r="M17" s="71"/>
      <c r="N17" s="71"/>
      <c r="O17" s="71"/>
      <c r="P17" s="71"/>
      <c r="Q17" s="71"/>
      <c r="R17" s="71"/>
      <c r="S17" s="71"/>
      <c r="T17" s="71"/>
      <c r="U17" s="71"/>
      <c r="V17" s="71"/>
      <c r="W17" s="71"/>
      <c r="X17" s="71"/>
      <c r="Y17" s="71"/>
      <c r="Z17" s="71"/>
    </row>
    <row r="18" ht="15.75" customHeight="1">
      <c r="A18" s="72"/>
      <c r="B18" s="55"/>
      <c r="C18" s="55"/>
      <c r="D18" s="55"/>
      <c r="E18" s="55"/>
      <c r="F18" s="55"/>
      <c r="G18" s="59"/>
      <c r="H18" s="71"/>
      <c r="I18" s="71"/>
      <c r="J18" s="71"/>
      <c r="K18" s="71"/>
      <c r="L18" s="71"/>
      <c r="M18" s="71"/>
      <c r="N18" s="71"/>
      <c r="O18" s="71"/>
      <c r="P18" s="71"/>
      <c r="Q18" s="71"/>
      <c r="R18" s="71"/>
      <c r="S18" s="71"/>
      <c r="T18" s="71"/>
      <c r="U18" s="71"/>
      <c r="V18" s="71"/>
      <c r="W18" s="71"/>
      <c r="X18" s="71"/>
      <c r="Y18" s="71"/>
      <c r="Z18" s="71"/>
    </row>
    <row r="19" ht="15.75" customHeight="1">
      <c r="A19" s="72"/>
      <c r="B19" s="55"/>
      <c r="C19" s="55"/>
      <c r="D19" s="55"/>
      <c r="E19" s="55"/>
      <c r="F19" s="55"/>
      <c r="G19" s="59"/>
      <c r="H19" s="71"/>
      <c r="I19" s="71"/>
      <c r="J19" s="71"/>
      <c r="K19" s="71"/>
      <c r="L19" s="71"/>
      <c r="M19" s="71"/>
      <c r="N19" s="71"/>
      <c r="O19" s="71"/>
      <c r="P19" s="71"/>
      <c r="Q19" s="71"/>
      <c r="R19" s="71"/>
      <c r="S19" s="71"/>
      <c r="T19" s="71"/>
      <c r="U19" s="71"/>
      <c r="V19" s="71"/>
      <c r="W19" s="71"/>
      <c r="X19" s="71"/>
      <c r="Y19" s="71"/>
      <c r="Z19" s="71"/>
    </row>
    <row r="20" ht="15.75" customHeight="1">
      <c r="A20" s="72"/>
      <c r="B20" s="55"/>
      <c r="C20" s="55"/>
      <c r="D20" s="55"/>
      <c r="E20" s="55"/>
      <c r="F20" s="55"/>
      <c r="G20" s="59"/>
      <c r="H20" s="71"/>
      <c r="I20" s="71"/>
      <c r="J20" s="71"/>
      <c r="K20" s="71"/>
      <c r="L20" s="71"/>
      <c r="M20" s="71"/>
      <c r="N20" s="71"/>
      <c r="O20" s="71"/>
      <c r="P20" s="71"/>
      <c r="Q20" s="71"/>
      <c r="R20" s="71"/>
      <c r="S20" s="71"/>
      <c r="T20" s="71"/>
      <c r="U20" s="71"/>
      <c r="V20" s="71"/>
      <c r="W20" s="71"/>
      <c r="X20" s="71"/>
      <c r="Y20" s="71"/>
      <c r="Z20" s="71"/>
    </row>
    <row r="21" ht="15.75" customHeight="1">
      <c r="A21" s="72"/>
      <c r="B21" s="55"/>
      <c r="C21" s="55"/>
      <c r="D21" s="55"/>
      <c r="E21" s="55"/>
      <c r="F21" s="55"/>
      <c r="G21" s="59"/>
      <c r="H21" s="71"/>
      <c r="I21" s="71"/>
      <c r="J21" s="71"/>
      <c r="K21" s="71"/>
      <c r="L21" s="71"/>
      <c r="M21" s="71"/>
      <c r="N21" s="71"/>
      <c r="O21" s="71"/>
      <c r="P21" s="71"/>
      <c r="Q21" s="71"/>
      <c r="R21" s="71"/>
      <c r="S21" s="71"/>
      <c r="T21" s="71"/>
      <c r="U21" s="71"/>
      <c r="V21" s="71"/>
      <c r="W21" s="71"/>
      <c r="X21" s="71"/>
      <c r="Y21" s="71"/>
      <c r="Z21" s="71"/>
    </row>
    <row r="22" ht="15.75" customHeight="1">
      <c r="A22" s="72"/>
      <c r="B22" s="71"/>
      <c r="C22" s="71"/>
      <c r="D22" s="71"/>
      <c r="E22" s="71"/>
      <c r="F22" s="71"/>
      <c r="G22" s="59"/>
      <c r="H22" s="71"/>
      <c r="I22" s="71"/>
      <c r="J22" s="71"/>
      <c r="K22" s="71"/>
      <c r="L22" s="71"/>
      <c r="M22" s="71"/>
      <c r="N22" s="71"/>
      <c r="O22" s="71"/>
      <c r="P22" s="71"/>
      <c r="Q22" s="71"/>
      <c r="R22" s="71"/>
      <c r="S22" s="71"/>
      <c r="T22" s="71"/>
      <c r="U22" s="71"/>
      <c r="V22" s="71"/>
      <c r="W22" s="71"/>
      <c r="X22" s="71"/>
      <c r="Y22" s="71"/>
      <c r="Z22" s="71"/>
    </row>
    <row r="23" ht="15.75" customHeight="1">
      <c r="A23" s="72"/>
      <c r="B23" s="71"/>
      <c r="C23" s="71"/>
      <c r="D23" s="71"/>
      <c r="E23" s="71"/>
      <c r="F23" s="71"/>
      <c r="G23" s="59"/>
      <c r="H23" s="71"/>
      <c r="I23" s="71"/>
      <c r="J23" s="71"/>
      <c r="K23" s="71"/>
      <c r="L23" s="71"/>
      <c r="M23" s="71"/>
      <c r="N23" s="71"/>
      <c r="O23" s="71"/>
      <c r="P23" s="71"/>
      <c r="Q23" s="71"/>
      <c r="R23" s="71"/>
      <c r="S23" s="71"/>
      <c r="T23" s="71"/>
      <c r="U23" s="71"/>
      <c r="V23" s="71"/>
      <c r="W23" s="71"/>
      <c r="X23" s="71"/>
      <c r="Y23" s="71"/>
      <c r="Z23" s="71"/>
    </row>
    <row r="24" ht="15.75" customHeight="1">
      <c r="A24" s="72"/>
      <c r="B24" s="71"/>
      <c r="C24" s="71"/>
      <c r="D24" s="71"/>
      <c r="E24" s="71"/>
      <c r="F24" s="71"/>
      <c r="G24" s="59"/>
      <c r="H24" s="71"/>
      <c r="I24" s="71"/>
      <c r="J24" s="71"/>
      <c r="K24" s="71"/>
      <c r="L24" s="71"/>
      <c r="M24" s="71"/>
      <c r="N24" s="71"/>
      <c r="O24" s="71"/>
      <c r="P24" s="71"/>
      <c r="Q24" s="71"/>
      <c r="R24" s="71"/>
      <c r="S24" s="71"/>
      <c r="T24" s="71"/>
      <c r="U24" s="71"/>
      <c r="V24" s="71"/>
      <c r="W24" s="71"/>
      <c r="X24" s="71"/>
      <c r="Y24" s="71"/>
      <c r="Z24" s="71"/>
    </row>
    <row r="25" ht="15.75" customHeight="1">
      <c r="A25" s="72"/>
      <c r="B25" s="71"/>
      <c r="C25" s="71"/>
      <c r="D25" s="71"/>
      <c r="E25" s="71"/>
      <c r="F25" s="71"/>
      <c r="G25" s="59"/>
      <c r="H25" s="71"/>
      <c r="I25" s="71"/>
      <c r="J25" s="71"/>
      <c r="K25" s="71"/>
      <c r="L25" s="71"/>
      <c r="M25" s="71"/>
      <c r="N25" s="71"/>
      <c r="O25" s="71"/>
      <c r="P25" s="71"/>
      <c r="Q25" s="71"/>
      <c r="R25" s="71"/>
      <c r="S25" s="71"/>
      <c r="T25" s="71"/>
      <c r="U25" s="71"/>
      <c r="V25" s="71"/>
      <c r="W25" s="71"/>
      <c r="X25" s="71"/>
      <c r="Y25" s="71"/>
      <c r="Z25" s="71"/>
    </row>
    <row r="26" ht="15.75" customHeight="1">
      <c r="A26" s="53"/>
      <c r="B26" s="71"/>
      <c r="C26" s="71"/>
      <c r="D26" s="71"/>
      <c r="E26" s="71"/>
      <c r="F26" s="71"/>
      <c r="G26" s="59"/>
      <c r="H26" s="71"/>
      <c r="I26" s="71"/>
      <c r="J26" s="71"/>
      <c r="K26" s="71"/>
      <c r="L26" s="71"/>
      <c r="M26" s="71"/>
      <c r="N26" s="71"/>
      <c r="O26" s="71"/>
      <c r="P26" s="71"/>
      <c r="Q26" s="71"/>
      <c r="R26" s="71"/>
      <c r="S26" s="71"/>
      <c r="T26" s="71"/>
      <c r="U26" s="71"/>
      <c r="V26" s="71"/>
      <c r="W26" s="71"/>
      <c r="X26" s="71"/>
      <c r="Y26" s="71"/>
      <c r="Z26" s="71"/>
    </row>
    <row r="27" ht="15.75" customHeight="1">
      <c r="A27" s="53"/>
      <c r="B27" s="71"/>
      <c r="C27" s="71"/>
      <c r="D27" s="71"/>
      <c r="E27" s="71"/>
      <c r="F27" s="71"/>
      <c r="G27" s="59"/>
      <c r="H27" s="71"/>
      <c r="I27" s="71"/>
      <c r="J27" s="71"/>
      <c r="K27" s="71"/>
      <c r="L27" s="71"/>
      <c r="M27" s="71"/>
      <c r="N27" s="71"/>
      <c r="O27" s="71"/>
      <c r="P27" s="71"/>
      <c r="Q27" s="71"/>
      <c r="R27" s="71"/>
      <c r="S27" s="71"/>
      <c r="T27" s="71"/>
      <c r="U27" s="71"/>
      <c r="V27" s="71"/>
      <c r="W27" s="71"/>
      <c r="X27" s="71"/>
      <c r="Y27" s="71"/>
      <c r="Z27" s="71"/>
    </row>
    <row r="28" ht="15.75" customHeight="1">
      <c r="A28" s="53"/>
      <c r="B28" s="71"/>
      <c r="C28" s="71"/>
      <c r="D28" s="71"/>
      <c r="E28" s="71"/>
      <c r="F28" s="71"/>
      <c r="G28" s="59"/>
      <c r="H28" s="71"/>
      <c r="I28" s="71"/>
      <c r="J28" s="71"/>
      <c r="K28" s="71"/>
      <c r="L28" s="71"/>
      <c r="M28" s="71"/>
      <c r="N28" s="71"/>
      <c r="O28" s="71"/>
      <c r="P28" s="71"/>
      <c r="Q28" s="71"/>
      <c r="R28" s="71"/>
      <c r="S28" s="71"/>
      <c r="T28" s="71"/>
      <c r="U28" s="71"/>
      <c r="V28" s="71"/>
      <c r="W28" s="71"/>
      <c r="X28" s="71"/>
      <c r="Y28" s="71"/>
      <c r="Z28" s="71"/>
    </row>
    <row r="29" ht="15.75" customHeight="1">
      <c r="A29" s="53"/>
      <c r="B29" s="71"/>
      <c r="C29" s="71"/>
      <c r="D29" s="71"/>
      <c r="E29" s="71"/>
      <c r="F29" s="71"/>
      <c r="G29" s="59"/>
      <c r="H29" s="71"/>
      <c r="I29" s="71"/>
      <c r="J29" s="71"/>
      <c r="K29" s="71"/>
      <c r="L29" s="71"/>
      <c r="M29" s="71"/>
      <c r="N29" s="71"/>
      <c r="O29" s="71"/>
      <c r="P29" s="71"/>
      <c r="Q29" s="71"/>
      <c r="R29" s="71"/>
      <c r="S29" s="71"/>
      <c r="T29" s="71"/>
      <c r="U29" s="71"/>
      <c r="V29" s="71"/>
      <c r="W29" s="71"/>
      <c r="X29" s="71"/>
      <c r="Y29" s="71"/>
      <c r="Z29" s="71"/>
    </row>
    <row r="30" ht="15.75" customHeight="1">
      <c r="A30" s="53"/>
      <c r="B30" s="71"/>
      <c r="C30" s="71"/>
      <c r="D30" s="71"/>
      <c r="E30" s="71"/>
      <c r="F30" s="71"/>
      <c r="G30" s="59"/>
      <c r="H30" s="71"/>
      <c r="I30" s="71"/>
      <c r="J30" s="71"/>
      <c r="K30" s="71"/>
      <c r="L30" s="71"/>
      <c r="M30" s="71"/>
      <c r="N30" s="71"/>
      <c r="O30" s="71"/>
      <c r="P30" s="71"/>
      <c r="Q30" s="71"/>
      <c r="R30" s="71"/>
      <c r="S30" s="71"/>
      <c r="T30" s="71"/>
      <c r="U30" s="71"/>
      <c r="V30" s="71"/>
      <c r="W30" s="71"/>
      <c r="X30" s="71"/>
      <c r="Y30" s="71"/>
      <c r="Z30" s="71"/>
    </row>
    <row r="31" ht="15.75" customHeight="1">
      <c r="A31" s="53"/>
      <c r="B31" s="71"/>
      <c r="C31" s="71"/>
      <c r="D31" s="71"/>
      <c r="E31" s="71"/>
      <c r="F31" s="71"/>
      <c r="G31" s="59"/>
      <c r="H31" s="71"/>
      <c r="I31" s="71"/>
      <c r="J31" s="71"/>
      <c r="K31" s="71"/>
      <c r="L31" s="71"/>
      <c r="M31" s="71"/>
      <c r="N31" s="71"/>
      <c r="O31" s="71"/>
      <c r="P31" s="71"/>
      <c r="Q31" s="71"/>
      <c r="R31" s="71"/>
      <c r="S31" s="71"/>
      <c r="T31" s="71"/>
      <c r="U31" s="71"/>
      <c r="V31" s="71"/>
      <c r="W31" s="71"/>
      <c r="X31" s="71"/>
      <c r="Y31" s="71"/>
      <c r="Z31" s="71"/>
    </row>
    <row r="32" ht="15.75" customHeight="1">
      <c r="A32" s="53"/>
      <c r="B32" s="71"/>
      <c r="C32" s="71"/>
      <c r="D32" s="71"/>
      <c r="E32" s="71"/>
      <c r="F32" s="71"/>
      <c r="G32" s="59"/>
      <c r="H32" s="71"/>
      <c r="I32" s="71"/>
      <c r="J32" s="71"/>
      <c r="K32" s="71"/>
      <c r="L32" s="71"/>
      <c r="M32" s="71"/>
      <c r="N32" s="71"/>
      <c r="O32" s="71"/>
      <c r="P32" s="71"/>
      <c r="Q32" s="71"/>
      <c r="R32" s="71"/>
      <c r="S32" s="71"/>
      <c r="T32" s="71"/>
      <c r="U32" s="71"/>
      <c r="V32" s="71"/>
      <c r="W32" s="71"/>
      <c r="X32" s="71"/>
      <c r="Y32" s="71"/>
      <c r="Z32" s="71"/>
    </row>
    <row r="33" ht="15.75" customHeight="1">
      <c r="A33" s="53"/>
      <c r="B33" s="71"/>
      <c r="C33" s="71"/>
      <c r="D33" s="71"/>
      <c r="E33" s="71"/>
      <c r="F33" s="71"/>
      <c r="G33" s="59"/>
      <c r="H33" s="71"/>
      <c r="I33" s="71"/>
      <c r="J33" s="71"/>
      <c r="K33" s="71"/>
      <c r="L33" s="71"/>
      <c r="M33" s="71"/>
      <c r="N33" s="71"/>
      <c r="O33" s="71"/>
      <c r="P33" s="71"/>
      <c r="Q33" s="71"/>
      <c r="R33" s="71"/>
      <c r="S33" s="71"/>
      <c r="T33" s="71"/>
      <c r="U33" s="71"/>
      <c r="V33" s="71"/>
      <c r="W33" s="71"/>
      <c r="X33" s="71"/>
      <c r="Y33" s="71"/>
      <c r="Z33" s="71"/>
    </row>
    <row r="34" ht="15.75" customHeight="1">
      <c r="A34" s="53"/>
      <c r="B34" s="71"/>
      <c r="C34" s="71"/>
      <c r="D34" s="71"/>
      <c r="E34" s="71"/>
      <c r="F34" s="71"/>
      <c r="G34" s="59"/>
      <c r="H34" s="71"/>
      <c r="I34" s="71"/>
      <c r="J34" s="71"/>
      <c r="K34" s="71"/>
      <c r="L34" s="71"/>
      <c r="M34" s="71"/>
      <c r="N34" s="71"/>
      <c r="O34" s="71"/>
      <c r="P34" s="71"/>
      <c r="Q34" s="71"/>
      <c r="R34" s="71"/>
      <c r="S34" s="71"/>
      <c r="T34" s="71"/>
      <c r="U34" s="71"/>
      <c r="V34" s="71"/>
      <c r="W34" s="71"/>
      <c r="X34" s="71"/>
      <c r="Y34" s="71"/>
      <c r="Z34" s="71"/>
    </row>
    <row r="35" ht="15.75" customHeight="1">
      <c r="A35" s="53"/>
      <c r="B35" s="71"/>
      <c r="C35" s="71"/>
      <c r="D35" s="71"/>
      <c r="E35" s="71"/>
      <c r="F35" s="71"/>
      <c r="G35" s="59"/>
      <c r="H35" s="71"/>
      <c r="I35" s="71"/>
      <c r="J35" s="71"/>
      <c r="K35" s="71"/>
      <c r="L35" s="71"/>
      <c r="M35" s="71"/>
      <c r="N35" s="71"/>
      <c r="O35" s="71"/>
      <c r="P35" s="71"/>
      <c r="Q35" s="71"/>
      <c r="R35" s="71"/>
      <c r="S35" s="71"/>
      <c r="T35" s="71"/>
      <c r="U35" s="71"/>
      <c r="V35" s="71"/>
      <c r="W35" s="71"/>
      <c r="X35" s="71"/>
      <c r="Y35" s="71"/>
      <c r="Z35" s="71"/>
    </row>
    <row r="36" ht="15.75" customHeight="1">
      <c r="A36" s="53"/>
      <c r="B36" s="71"/>
      <c r="C36" s="71"/>
      <c r="D36" s="71"/>
      <c r="E36" s="71"/>
      <c r="F36" s="71"/>
      <c r="G36" s="59"/>
      <c r="H36" s="71"/>
      <c r="I36" s="71"/>
      <c r="J36" s="71"/>
      <c r="K36" s="71"/>
      <c r="L36" s="71"/>
      <c r="M36" s="71"/>
      <c r="N36" s="71"/>
      <c r="O36" s="71"/>
      <c r="P36" s="71"/>
      <c r="Q36" s="71"/>
      <c r="R36" s="71"/>
      <c r="S36" s="71"/>
      <c r="T36" s="71"/>
      <c r="U36" s="71"/>
      <c r="V36" s="71"/>
      <c r="W36" s="71"/>
      <c r="X36" s="71"/>
      <c r="Y36" s="71"/>
      <c r="Z36" s="71"/>
    </row>
    <row r="37" ht="15.75" customHeight="1">
      <c r="A37" s="72"/>
      <c r="B37" s="71"/>
      <c r="C37" s="71"/>
      <c r="D37" s="71"/>
      <c r="E37" s="71"/>
      <c r="F37" s="71"/>
      <c r="G37" s="59"/>
      <c r="H37" s="71"/>
      <c r="I37" s="71"/>
      <c r="J37" s="71"/>
      <c r="K37" s="71"/>
      <c r="L37" s="71"/>
      <c r="M37" s="71"/>
      <c r="N37" s="71"/>
      <c r="O37" s="71"/>
      <c r="P37" s="71"/>
      <c r="Q37" s="71"/>
      <c r="R37" s="71"/>
      <c r="S37" s="71"/>
      <c r="T37" s="71"/>
      <c r="U37" s="71"/>
      <c r="V37" s="71"/>
      <c r="W37" s="71"/>
      <c r="X37" s="71"/>
      <c r="Y37" s="71"/>
      <c r="Z37" s="71"/>
    </row>
    <row r="38" ht="15.75" customHeight="1">
      <c r="A38" s="72"/>
      <c r="B38" s="71"/>
      <c r="C38" s="71"/>
      <c r="D38" s="71"/>
      <c r="E38" s="71"/>
      <c r="F38" s="71"/>
      <c r="G38" s="59"/>
      <c r="H38" s="71"/>
      <c r="I38" s="71"/>
      <c r="J38" s="71"/>
      <c r="K38" s="71"/>
      <c r="L38" s="71"/>
      <c r="M38" s="71"/>
      <c r="N38" s="71"/>
      <c r="O38" s="71"/>
      <c r="P38" s="71"/>
      <c r="Q38" s="71"/>
      <c r="R38" s="71"/>
      <c r="S38" s="71"/>
      <c r="T38" s="71"/>
      <c r="U38" s="71"/>
      <c r="V38" s="71"/>
      <c r="W38" s="71"/>
      <c r="X38" s="71"/>
      <c r="Y38" s="71"/>
      <c r="Z38" s="71"/>
    </row>
    <row r="39" ht="15.75" customHeight="1">
      <c r="A39" s="72"/>
      <c r="B39" s="71"/>
      <c r="C39" s="71"/>
      <c r="D39" s="71"/>
      <c r="E39" s="71"/>
      <c r="F39" s="71"/>
      <c r="G39" s="59"/>
      <c r="H39" s="71"/>
      <c r="I39" s="71"/>
      <c r="J39" s="71"/>
      <c r="K39" s="71"/>
      <c r="L39" s="71"/>
      <c r="M39" s="71"/>
      <c r="N39" s="71"/>
      <c r="O39" s="71"/>
      <c r="P39" s="71"/>
      <c r="Q39" s="71"/>
      <c r="R39" s="71"/>
      <c r="S39" s="71"/>
      <c r="T39" s="71"/>
      <c r="U39" s="71"/>
      <c r="V39" s="71"/>
      <c r="W39" s="71"/>
      <c r="X39" s="71"/>
      <c r="Y39" s="71"/>
      <c r="Z39" s="71"/>
    </row>
    <row r="40" ht="15.75" customHeight="1">
      <c r="A40" s="72"/>
      <c r="B40" s="71"/>
      <c r="C40" s="71"/>
      <c r="D40" s="71"/>
      <c r="E40" s="71"/>
      <c r="F40" s="71"/>
      <c r="G40" s="59"/>
      <c r="H40" s="71"/>
      <c r="I40" s="71"/>
      <c r="J40" s="71"/>
      <c r="K40" s="71"/>
      <c r="L40" s="71"/>
      <c r="M40" s="71"/>
      <c r="N40" s="71"/>
      <c r="O40" s="71"/>
      <c r="P40" s="71"/>
      <c r="Q40" s="71"/>
      <c r="R40" s="71"/>
      <c r="S40" s="71"/>
      <c r="T40" s="71"/>
      <c r="U40" s="71"/>
      <c r="V40" s="71"/>
      <c r="W40" s="71"/>
      <c r="X40" s="71"/>
      <c r="Y40" s="71"/>
      <c r="Z40" s="71"/>
    </row>
    <row r="41" ht="15.75" customHeight="1">
      <c r="A41" s="72"/>
      <c r="B41" s="71"/>
      <c r="C41" s="71"/>
      <c r="D41" s="71"/>
      <c r="E41" s="71"/>
      <c r="F41" s="71"/>
      <c r="G41" s="59"/>
      <c r="H41" s="71"/>
      <c r="I41" s="71"/>
      <c r="J41" s="71"/>
      <c r="K41" s="71"/>
      <c r="L41" s="71"/>
      <c r="M41" s="71"/>
      <c r="N41" s="71"/>
      <c r="O41" s="71"/>
      <c r="P41" s="71"/>
      <c r="Q41" s="71"/>
      <c r="R41" s="71"/>
      <c r="S41" s="71"/>
      <c r="T41" s="71"/>
      <c r="U41" s="71"/>
      <c r="V41" s="71"/>
      <c r="W41" s="71"/>
      <c r="X41" s="71"/>
      <c r="Y41" s="71"/>
      <c r="Z41" s="71"/>
    </row>
    <row r="42" ht="15.75" customHeight="1">
      <c r="A42" s="72"/>
      <c r="B42" s="71"/>
      <c r="C42" s="71"/>
      <c r="D42" s="71"/>
      <c r="E42" s="71"/>
      <c r="F42" s="71"/>
      <c r="G42" s="59"/>
      <c r="H42" s="71"/>
      <c r="I42" s="71"/>
      <c r="J42" s="71"/>
      <c r="K42" s="71"/>
      <c r="L42" s="71"/>
      <c r="M42" s="71"/>
      <c r="N42" s="71"/>
      <c r="O42" s="71"/>
      <c r="P42" s="71"/>
      <c r="Q42" s="71"/>
      <c r="R42" s="71"/>
      <c r="S42" s="71"/>
      <c r="T42" s="71"/>
      <c r="U42" s="71"/>
      <c r="V42" s="71"/>
      <c r="W42" s="71"/>
      <c r="X42" s="71"/>
      <c r="Y42" s="71"/>
      <c r="Z42" s="71"/>
    </row>
    <row r="43" ht="15.75" customHeight="1">
      <c r="A43" s="72"/>
      <c r="B43" s="71"/>
      <c r="C43" s="71"/>
      <c r="D43" s="71"/>
      <c r="E43" s="71"/>
      <c r="F43" s="71"/>
      <c r="G43" s="59"/>
      <c r="H43" s="71"/>
      <c r="I43" s="71"/>
      <c r="J43" s="71"/>
      <c r="K43" s="71"/>
      <c r="L43" s="71"/>
      <c r="M43" s="71"/>
      <c r="N43" s="71"/>
      <c r="O43" s="71"/>
      <c r="P43" s="71"/>
      <c r="Q43" s="71"/>
      <c r="R43" s="71"/>
      <c r="S43" s="71"/>
      <c r="T43" s="71"/>
      <c r="U43" s="71"/>
      <c r="V43" s="71"/>
      <c r="W43" s="71"/>
      <c r="X43" s="71"/>
      <c r="Y43" s="71"/>
      <c r="Z43" s="71"/>
    </row>
    <row r="44" ht="15.75" customHeight="1">
      <c r="A44" s="72"/>
      <c r="B44" s="71"/>
      <c r="C44" s="71"/>
      <c r="D44" s="71"/>
      <c r="E44" s="71"/>
      <c r="F44" s="71"/>
      <c r="G44" s="59"/>
      <c r="H44" s="71"/>
      <c r="I44" s="71"/>
      <c r="J44" s="71"/>
      <c r="K44" s="71"/>
      <c r="L44" s="71"/>
      <c r="M44" s="71"/>
      <c r="N44" s="71"/>
      <c r="O44" s="71"/>
      <c r="P44" s="71"/>
      <c r="Q44" s="71"/>
      <c r="R44" s="71"/>
      <c r="S44" s="71"/>
      <c r="T44" s="71"/>
      <c r="U44" s="71"/>
      <c r="V44" s="71"/>
      <c r="W44" s="71"/>
      <c r="X44" s="71"/>
      <c r="Y44" s="71"/>
      <c r="Z44" s="71"/>
    </row>
    <row r="45" ht="15.75" customHeight="1">
      <c r="A45" s="72"/>
      <c r="B45" s="71"/>
      <c r="C45" s="71"/>
      <c r="D45" s="71"/>
      <c r="E45" s="71"/>
      <c r="F45" s="71"/>
      <c r="G45" s="59"/>
      <c r="H45" s="71"/>
      <c r="I45" s="71"/>
      <c r="J45" s="71"/>
      <c r="K45" s="71"/>
      <c r="L45" s="71"/>
      <c r="M45" s="71"/>
      <c r="N45" s="71"/>
      <c r="O45" s="71"/>
      <c r="P45" s="71"/>
      <c r="Q45" s="71"/>
      <c r="R45" s="71"/>
      <c r="S45" s="71"/>
      <c r="T45" s="71"/>
      <c r="U45" s="71"/>
      <c r="V45" s="71"/>
      <c r="W45" s="71"/>
      <c r="X45" s="71"/>
      <c r="Y45" s="71"/>
      <c r="Z45" s="71"/>
    </row>
    <row r="46" ht="15.75" customHeight="1">
      <c r="A46" s="72"/>
      <c r="B46" s="71"/>
      <c r="C46" s="71"/>
      <c r="D46" s="71"/>
      <c r="E46" s="71"/>
      <c r="F46" s="71"/>
      <c r="G46" s="59"/>
      <c r="H46" s="71"/>
      <c r="I46" s="71"/>
      <c r="J46" s="71"/>
      <c r="K46" s="71"/>
      <c r="L46" s="71"/>
      <c r="M46" s="71"/>
      <c r="N46" s="71"/>
      <c r="O46" s="71"/>
      <c r="P46" s="71"/>
      <c r="Q46" s="71"/>
      <c r="R46" s="71"/>
      <c r="S46" s="71"/>
      <c r="T46" s="71"/>
      <c r="U46" s="71"/>
      <c r="V46" s="71"/>
      <c r="W46" s="71"/>
      <c r="X46" s="71"/>
      <c r="Y46" s="71"/>
      <c r="Z46" s="71"/>
    </row>
    <row r="47" ht="15.75" customHeight="1">
      <c r="A47" s="72"/>
      <c r="B47" s="71"/>
      <c r="C47" s="71"/>
      <c r="D47" s="71"/>
      <c r="E47" s="71"/>
      <c r="F47" s="71"/>
      <c r="G47" s="59"/>
      <c r="H47" s="71"/>
      <c r="I47" s="71"/>
      <c r="J47" s="71"/>
      <c r="K47" s="71"/>
      <c r="L47" s="71"/>
      <c r="M47" s="71"/>
      <c r="N47" s="71"/>
      <c r="O47" s="71"/>
      <c r="P47" s="71"/>
      <c r="Q47" s="71"/>
      <c r="R47" s="71"/>
      <c r="S47" s="71"/>
      <c r="T47" s="71"/>
      <c r="U47" s="71"/>
      <c r="V47" s="71"/>
      <c r="W47" s="71"/>
      <c r="X47" s="71"/>
      <c r="Y47" s="71"/>
      <c r="Z47" s="71"/>
    </row>
    <row r="48" ht="15.75" customHeight="1">
      <c r="A48" s="72"/>
      <c r="B48" s="71"/>
      <c r="C48" s="71"/>
      <c r="D48" s="71"/>
      <c r="E48" s="71"/>
      <c r="F48" s="71"/>
      <c r="G48" s="59"/>
      <c r="H48" s="71"/>
      <c r="I48" s="71"/>
      <c r="J48" s="71"/>
      <c r="K48" s="71"/>
      <c r="L48" s="71"/>
      <c r="M48" s="71"/>
      <c r="N48" s="71"/>
      <c r="O48" s="71"/>
      <c r="P48" s="71"/>
      <c r="Q48" s="71"/>
      <c r="R48" s="71"/>
      <c r="S48" s="71"/>
      <c r="T48" s="71"/>
      <c r="U48" s="71"/>
      <c r="V48" s="71"/>
      <c r="W48" s="71"/>
      <c r="X48" s="71"/>
      <c r="Y48" s="71"/>
      <c r="Z48" s="71"/>
    </row>
    <row r="49" ht="15.75" customHeight="1">
      <c r="A49" s="72"/>
      <c r="B49" s="71"/>
      <c r="C49" s="71"/>
      <c r="D49" s="71"/>
      <c r="E49" s="71"/>
      <c r="F49" s="71"/>
      <c r="G49" s="59"/>
      <c r="H49" s="71"/>
      <c r="I49" s="71"/>
      <c r="J49" s="71"/>
      <c r="K49" s="71"/>
      <c r="L49" s="71"/>
      <c r="M49" s="71"/>
      <c r="N49" s="71"/>
      <c r="O49" s="71"/>
      <c r="P49" s="71"/>
      <c r="Q49" s="71"/>
      <c r="R49" s="71"/>
      <c r="S49" s="71"/>
      <c r="T49" s="71"/>
      <c r="U49" s="71"/>
      <c r="V49" s="71"/>
      <c r="W49" s="71"/>
      <c r="X49" s="71"/>
      <c r="Y49" s="71"/>
      <c r="Z49" s="71"/>
    </row>
    <row r="50" ht="15.75" customHeight="1">
      <c r="A50" s="72"/>
      <c r="B50" s="71"/>
      <c r="C50" s="71"/>
      <c r="D50" s="71"/>
      <c r="E50" s="71"/>
      <c r="F50" s="71"/>
      <c r="G50" s="59"/>
      <c r="H50" s="71"/>
      <c r="I50" s="71"/>
      <c r="J50" s="71"/>
      <c r="K50" s="71"/>
      <c r="L50" s="71"/>
      <c r="M50" s="71"/>
      <c r="N50" s="71"/>
      <c r="O50" s="71"/>
      <c r="P50" s="71"/>
      <c r="Q50" s="71"/>
      <c r="R50" s="71"/>
      <c r="S50" s="71"/>
      <c r="T50" s="71"/>
      <c r="U50" s="71"/>
      <c r="V50" s="71"/>
      <c r="W50" s="71"/>
      <c r="X50" s="71"/>
      <c r="Y50" s="71"/>
      <c r="Z50" s="71"/>
    </row>
    <row r="51" ht="15.75" customHeight="1">
      <c r="A51" s="72"/>
      <c r="B51" s="71"/>
      <c r="C51" s="71"/>
      <c r="D51" s="71"/>
      <c r="E51" s="71"/>
      <c r="F51" s="71"/>
      <c r="G51" s="59"/>
      <c r="H51" s="71"/>
      <c r="I51" s="71"/>
      <c r="J51" s="71"/>
      <c r="K51" s="71"/>
      <c r="L51" s="71"/>
      <c r="M51" s="71"/>
      <c r="N51" s="71"/>
      <c r="O51" s="71"/>
      <c r="P51" s="71"/>
      <c r="Q51" s="71"/>
      <c r="R51" s="71"/>
      <c r="S51" s="71"/>
      <c r="T51" s="71"/>
      <c r="U51" s="71"/>
      <c r="V51" s="71"/>
      <c r="W51" s="71"/>
      <c r="X51" s="71"/>
      <c r="Y51" s="71"/>
      <c r="Z51" s="71"/>
    </row>
    <row r="52" ht="15.75" customHeight="1">
      <c r="A52" s="72"/>
      <c r="B52" s="71"/>
      <c r="C52" s="71"/>
      <c r="D52" s="71"/>
      <c r="E52" s="71"/>
      <c r="F52" s="71"/>
      <c r="G52" s="59"/>
      <c r="H52" s="71"/>
      <c r="I52" s="71"/>
      <c r="J52" s="71"/>
      <c r="K52" s="71"/>
      <c r="L52" s="71"/>
      <c r="M52" s="71"/>
      <c r="N52" s="71"/>
      <c r="O52" s="71"/>
      <c r="P52" s="71"/>
      <c r="Q52" s="71"/>
      <c r="R52" s="71"/>
      <c r="S52" s="71"/>
      <c r="T52" s="71"/>
      <c r="U52" s="71"/>
      <c r="V52" s="71"/>
      <c r="W52" s="71"/>
      <c r="X52" s="71"/>
      <c r="Y52" s="71"/>
      <c r="Z52" s="71"/>
    </row>
    <row r="53" ht="15.75" customHeight="1">
      <c r="A53" s="72"/>
      <c r="B53" s="71"/>
      <c r="C53" s="71"/>
      <c r="D53" s="71"/>
      <c r="E53" s="71"/>
      <c r="F53" s="71"/>
      <c r="G53" s="59"/>
      <c r="H53" s="71"/>
      <c r="I53" s="71"/>
      <c r="J53" s="71"/>
      <c r="K53" s="71"/>
      <c r="L53" s="71"/>
      <c r="M53" s="71"/>
      <c r="N53" s="71"/>
      <c r="O53" s="71"/>
      <c r="P53" s="71"/>
      <c r="Q53" s="71"/>
      <c r="R53" s="71"/>
      <c r="S53" s="71"/>
      <c r="T53" s="71"/>
      <c r="U53" s="71"/>
      <c r="V53" s="71"/>
      <c r="W53" s="71"/>
      <c r="X53" s="71"/>
      <c r="Y53" s="71"/>
      <c r="Z53" s="71"/>
    </row>
    <row r="54" ht="15.75" customHeight="1">
      <c r="A54" s="72"/>
      <c r="B54" s="71"/>
      <c r="C54" s="71"/>
      <c r="D54" s="71"/>
      <c r="E54" s="71"/>
      <c r="F54" s="71"/>
      <c r="G54" s="59"/>
      <c r="H54" s="71"/>
      <c r="I54" s="71"/>
      <c r="J54" s="71"/>
      <c r="K54" s="71"/>
      <c r="L54" s="71"/>
      <c r="M54" s="71"/>
      <c r="N54" s="71"/>
      <c r="O54" s="71"/>
      <c r="P54" s="71"/>
      <c r="Q54" s="71"/>
      <c r="R54" s="71"/>
      <c r="S54" s="71"/>
      <c r="T54" s="71"/>
      <c r="U54" s="71"/>
      <c r="V54" s="71"/>
      <c r="W54" s="71"/>
      <c r="X54" s="71"/>
      <c r="Y54" s="71"/>
      <c r="Z54" s="71"/>
    </row>
    <row r="55" ht="15.75" customHeight="1">
      <c r="A55" s="72"/>
      <c r="B55" s="71"/>
      <c r="C55" s="71"/>
      <c r="D55" s="71"/>
      <c r="E55" s="71"/>
      <c r="F55" s="71"/>
      <c r="G55" s="59"/>
      <c r="H55" s="71"/>
      <c r="I55" s="71"/>
      <c r="J55" s="71"/>
      <c r="K55" s="71"/>
      <c r="L55" s="71"/>
      <c r="M55" s="71"/>
      <c r="N55" s="71"/>
      <c r="O55" s="71"/>
      <c r="P55" s="71"/>
      <c r="Q55" s="71"/>
      <c r="R55" s="71"/>
      <c r="S55" s="71"/>
      <c r="T55" s="71"/>
      <c r="U55" s="71"/>
      <c r="V55" s="71"/>
      <c r="W55" s="71"/>
      <c r="X55" s="71"/>
      <c r="Y55" s="71"/>
      <c r="Z55" s="71"/>
    </row>
    <row r="56" ht="15.75" customHeight="1">
      <c r="A56" s="72"/>
      <c r="B56" s="71"/>
      <c r="C56" s="71"/>
      <c r="D56" s="71"/>
      <c r="E56" s="71"/>
      <c r="F56" s="71"/>
      <c r="G56" s="59"/>
      <c r="H56" s="71"/>
      <c r="I56" s="71"/>
      <c r="J56" s="71"/>
      <c r="K56" s="71"/>
      <c r="L56" s="71"/>
      <c r="M56" s="71"/>
      <c r="N56" s="71"/>
      <c r="O56" s="71"/>
      <c r="P56" s="71"/>
      <c r="Q56" s="71"/>
      <c r="R56" s="71"/>
      <c r="S56" s="71"/>
      <c r="T56" s="71"/>
      <c r="U56" s="71"/>
      <c r="V56" s="71"/>
      <c r="W56" s="71"/>
      <c r="X56" s="71"/>
      <c r="Y56" s="71"/>
      <c r="Z56" s="71"/>
    </row>
    <row r="57" ht="15.75" customHeight="1">
      <c r="A57" s="72"/>
      <c r="B57" s="71"/>
      <c r="C57" s="71"/>
      <c r="D57" s="71"/>
      <c r="E57" s="71"/>
      <c r="F57" s="71"/>
      <c r="G57" s="59"/>
      <c r="H57" s="71"/>
      <c r="I57" s="71"/>
      <c r="J57" s="71"/>
      <c r="K57" s="71"/>
      <c r="L57" s="71"/>
      <c r="M57" s="71"/>
      <c r="N57" s="71"/>
      <c r="O57" s="71"/>
      <c r="P57" s="71"/>
      <c r="Q57" s="71"/>
      <c r="R57" s="71"/>
      <c r="S57" s="71"/>
      <c r="T57" s="71"/>
      <c r="U57" s="71"/>
      <c r="V57" s="71"/>
      <c r="W57" s="71"/>
      <c r="X57" s="71"/>
      <c r="Y57" s="71"/>
      <c r="Z57" s="71"/>
    </row>
    <row r="58" ht="15.75" customHeight="1">
      <c r="A58" s="72"/>
      <c r="B58" s="71"/>
      <c r="C58" s="71"/>
      <c r="D58" s="71"/>
      <c r="E58" s="71"/>
      <c r="F58" s="71"/>
      <c r="G58" s="59"/>
      <c r="H58" s="71"/>
      <c r="I58" s="71"/>
      <c r="J58" s="71"/>
      <c r="K58" s="71"/>
      <c r="L58" s="71"/>
      <c r="M58" s="71"/>
      <c r="N58" s="71"/>
      <c r="O58" s="71"/>
      <c r="P58" s="71"/>
      <c r="Q58" s="71"/>
      <c r="R58" s="71"/>
      <c r="S58" s="71"/>
      <c r="T58" s="71"/>
      <c r="U58" s="71"/>
      <c r="V58" s="71"/>
      <c r="W58" s="71"/>
      <c r="X58" s="71"/>
      <c r="Y58" s="71"/>
      <c r="Z58" s="71"/>
    </row>
    <row r="59" ht="15.75" customHeight="1">
      <c r="A59" s="72"/>
      <c r="B59" s="71"/>
      <c r="C59" s="71"/>
      <c r="D59" s="71"/>
      <c r="E59" s="71"/>
      <c r="F59" s="71"/>
      <c r="G59" s="59"/>
      <c r="H59" s="71"/>
      <c r="I59" s="71"/>
      <c r="J59" s="71"/>
      <c r="K59" s="71"/>
      <c r="L59" s="71"/>
      <c r="M59" s="71"/>
      <c r="N59" s="71"/>
      <c r="O59" s="71"/>
      <c r="P59" s="71"/>
      <c r="Q59" s="71"/>
      <c r="R59" s="71"/>
      <c r="S59" s="71"/>
      <c r="T59" s="71"/>
      <c r="U59" s="71"/>
      <c r="V59" s="71"/>
      <c r="W59" s="71"/>
      <c r="X59" s="71"/>
      <c r="Y59" s="71"/>
      <c r="Z59" s="71"/>
    </row>
    <row r="60" ht="15.75" customHeight="1">
      <c r="A60" s="72"/>
      <c r="B60" s="71"/>
      <c r="C60" s="71"/>
      <c r="D60" s="71"/>
      <c r="E60" s="71"/>
      <c r="F60" s="71"/>
      <c r="G60" s="59"/>
      <c r="H60" s="71"/>
      <c r="I60" s="71"/>
      <c r="J60" s="71"/>
      <c r="K60" s="71"/>
      <c r="L60" s="71"/>
      <c r="M60" s="71"/>
      <c r="N60" s="71"/>
      <c r="O60" s="71"/>
      <c r="P60" s="71"/>
      <c r="Q60" s="71"/>
      <c r="R60" s="71"/>
      <c r="S60" s="71"/>
      <c r="T60" s="71"/>
      <c r="U60" s="71"/>
      <c r="V60" s="71"/>
      <c r="W60" s="71"/>
      <c r="X60" s="71"/>
      <c r="Y60" s="71"/>
      <c r="Z60" s="71"/>
    </row>
    <row r="61" ht="15.75" customHeight="1">
      <c r="A61" s="72"/>
      <c r="B61" s="71"/>
      <c r="C61" s="71"/>
      <c r="D61" s="71"/>
      <c r="E61" s="71"/>
      <c r="F61" s="71"/>
      <c r="G61" s="59"/>
      <c r="H61" s="71"/>
      <c r="I61" s="71"/>
      <c r="J61" s="71"/>
      <c r="K61" s="71"/>
      <c r="L61" s="71"/>
      <c r="M61" s="71"/>
      <c r="N61" s="71"/>
      <c r="O61" s="71"/>
      <c r="P61" s="71"/>
      <c r="Q61" s="71"/>
      <c r="R61" s="71"/>
      <c r="S61" s="71"/>
      <c r="T61" s="71"/>
      <c r="U61" s="71"/>
      <c r="V61" s="71"/>
      <c r="W61" s="71"/>
      <c r="X61" s="71"/>
      <c r="Y61" s="71"/>
      <c r="Z61" s="71"/>
    </row>
    <row r="62" ht="15.75" customHeight="1">
      <c r="A62" s="72"/>
      <c r="B62" s="71"/>
      <c r="C62" s="71"/>
      <c r="D62" s="71"/>
      <c r="E62" s="71"/>
      <c r="F62" s="71"/>
      <c r="G62" s="59"/>
      <c r="H62" s="71"/>
      <c r="I62" s="71"/>
      <c r="J62" s="71"/>
      <c r="K62" s="71"/>
      <c r="L62" s="71"/>
      <c r="M62" s="71"/>
      <c r="N62" s="71"/>
      <c r="O62" s="71"/>
      <c r="P62" s="71"/>
      <c r="Q62" s="71"/>
      <c r="R62" s="71"/>
      <c r="S62" s="71"/>
      <c r="T62" s="71"/>
      <c r="U62" s="71"/>
      <c r="V62" s="71"/>
      <c r="W62" s="71"/>
      <c r="X62" s="71"/>
      <c r="Y62" s="71"/>
      <c r="Z62" s="71"/>
    </row>
    <row r="63" ht="15.75" customHeight="1">
      <c r="A63" s="72"/>
      <c r="B63" s="71"/>
      <c r="C63" s="71"/>
      <c r="D63" s="71"/>
      <c r="E63" s="71"/>
      <c r="F63" s="71"/>
      <c r="G63" s="59"/>
      <c r="H63" s="71"/>
      <c r="I63" s="71"/>
      <c r="J63" s="71"/>
      <c r="K63" s="71"/>
      <c r="L63" s="71"/>
      <c r="M63" s="71"/>
      <c r="N63" s="71"/>
      <c r="O63" s="71"/>
      <c r="P63" s="71"/>
      <c r="Q63" s="71"/>
      <c r="R63" s="71"/>
      <c r="S63" s="71"/>
      <c r="T63" s="71"/>
      <c r="U63" s="71"/>
      <c r="V63" s="71"/>
      <c r="W63" s="71"/>
      <c r="X63" s="71"/>
      <c r="Y63" s="71"/>
      <c r="Z63" s="71"/>
    </row>
    <row r="64" ht="15.75" customHeight="1">
      <c r="A64" s="72"/>
      <c r="B64" s="71"/>
      <c r="C64" s="71"/>
      <c r="D64" s="71"/>
      <c r="E64" s="71"/>
      <c r="F64" s="71"/>
      <c r="G64" s="59"/>
      <c r="H64" s="71"/>
      <c r="I64" s="71"/>
      <c r="J64" s="71"/>
      <c r="K64" s="71"/>
      <c r="L64" s="71"/>
      <c r="M64" s="71"/>
      <c r="N64" s="71"/>
      <c r="O64" s="71"/>
      <c r="P64" s="71"/>
      <c r="Q64" s="71"/>
      <c r="R64" s="71"/>
      <c r="S64" s="71"/>
      <c r="T64" s="71"/>
      <c r="U64" s="71"/>
      <c r="V64" s="71"/>
      <c r="W64" s="71"/>
      <c r="X64" s="71"/>
      <c r="Y64" s="71"/>
      <c r="Z64" s="71"/>
    </row>
    <row r="65" ht="15.75" customHeight="1">
      <c r="A65" s="72"/>
      <c r="B65" s="71"/>
      <c r="C65" s="71"/>
      <c r="D65" s="71"/>
      <c r="E65" s="71"/>
      <c r="F65" s="71"/>
      <c r="G65" s="59"/>
      <c r="H65" s="71"/>
      <c r="I65" s="71"/>
      <c r="J65" s="71"/>
      <c r="K65" s="71"/>
      <c r="L65" s="71"/>
      <c r="M65" s="71"/>
      <c r="N65" s="71"/>
      <c r="O65" s="71"/>
      <c r="P65" s="71"/>
      <c r="Q65" s="71"/>
      <c r="R65" s="71"/>
      <c r="S65" s="71"/>
      <c r="T65" s="71"/>
      <c r="U65" s="71"/>
      <c r="V65" s="71"/>
      <c r="W65" s="71"/>
      <c r="X65" s="71"/>
      <c r="Y65" s="71"/>
      <c r="Z65" s="71"/>
    </row>
    <row r="66" ht="15.75" customHeight="1">
      <c r="A66" s="72"/>
      <c r="B66" s="71"/>
      <c r="C66" s="71"/>
      <c r="D66" s="71"/>
      <c r="E66" s="71"/>
      <c r="F66" s="71"/>
      <c r="G66" s="59"/>
      <c r="H66" s="71"/>
      <c r="I66" s="71"/>
      <c r="J66" s="71"/>
      <c r="K66" s="71"/>
      <c r="L66" s="71"/>
      <c r="M66" s="71"/>
      <c r="N66" s="71"/>
      <c r="O66" s="71"/>
      <c r="P66" s="71"/>
      <c r="Q66" s="71"/>
      <c r="R66" s="71"/>
      <c r="S66" s="71"/>
      <c r="T66" s="71"/>
      <c r="U66" s="71"/>
      <c r="V66" s="71"/>
      <c r="W66" s="71"/>
      <c r="X66" s="71"/>
      <c r="Y66" s="71"/>
      <c r="Z66" s="71"/>
    </row>
    <row r="67" ht="15.75" customHeight="1">
      <c r="A67" s="72"/>
      <c r="B67" s="71"/>
      <c r="C67" s="71"/>
      <c r="D67" s="71"/>
      <c r="E67" s="71"/>
      <c r="F67" s="71"/>
      <c r="G67" s="59"/>
      <c r="H67" s="71"/>
      <c r="I67" s="71"/>
      <c r="J67" s="71"/>
      <c r="K67" s="71"/>
      <c r="L67" s="71"/>
      <c r="M67" s="71"/>
      <c r="N67" s="71"/>
      <c r="O67" s="71"/>
      <c r="P67" s="71"/>
      <c r="Q67" s="71"/>
      <c r="R67" s="71"/>
      <c r="S67" s="71"/>
      <c r="T67" s="71"/>
      <c r="U67" s="71"/>
      <c r="V67" s="71"/>
      <c r="W67" s="71"/>
      <c r="X67" s="71"/>
      <c r="Y67" s="71"/>
      <c r="Z67" s="71"/>
    </row>
    <row r="68" ht="15.75" customHeight="1">
      <c r="A68" s="72"/>
      <c r="B68" s="71"/>
      <c r="C68" s="71"/>
      <c r="D68" s="71"/>
      <c r="E68" s="71"/>
      <c r="F68" s="71"/>
      <c r="G68" s="59"/>
      <c r="H68" s="71"/>
      <c r="I68" s="71"/>
      <c r="J68" s="71"/>
      <c r="K68" s="71"/>
      <c r="L68" s="71"/>
      <c r="M68" s="71"/>
      <c r="N68" s="71"/>
      <c r="O68" s="71"/>
      <c r="P68" s="71"/>
      <c r="Q68" s="71"/>
      <c r="R68" s="71"/>
      <c r="S68" s="71"/>
      <c r="T68" s="71"/>
      <c r="U68" s="71"/>
      <c r="V68" s="71"/>
      <c r="W68" s="71"/>
      <c r="X68" s="71"/>
      <c r="Y68" s="71"/>
      <c r="Z68" s="71"/>
    </row>
    <row r="69" ht="15.75" customHeight="1">
      <c r="A69" s="72"/>
      <c r="B69" s="71"/>
      <c r="C69" s="71"/>
      <c r="D69" s="71"/>
      <c r="E69" s="71"/>
      <c r="F69" s="71"/>
      <c r="G69" s="59"/>
      <c r="H69" s="71"/>
      <c r="I69" s="71"/>
      <c r="J69" s="71"/>
      <c r="K69" s="71"/>
      <c r="L69" s="71"/>
      <c r="M69" s="71"/>
      <c r="N69" s="71"/>
      <c r="O69" s="71"/>
      <c r="P69" s="71"/>
      <c r="Q69" s="71"/>
      <c r="R69" s="71"/>
      <c r="S69" s="71"/>
      <c r="T69" s="71"/>
      <c r="U69" s="71"/>
      <c r="V69" s="71"/>
      <c r="W69" s="71"/>
      <c r="X69" s="71"/>
      <c r="Y69" s="71"/>
      <c r="Z69" s="71"/>
    </row>
    <row r="70" ht="15.75" customHeight="1">
      <c r="A70" s="72"/>
      <c r="B70" s="71"/>
      <c r="C70" s="71"/>
      <c r="D70" s="71"/>
      <c r="E70" s="71"/>
      <c r="F70" s="71"/>
      <c r="G70" s="59"/>
      <c r="H70" s="71"/>
      <c r="I70" s="71"/>
      <c r="J70" s="71"/>
      <c r="K70" s="71"/>
      <c r="L70" s="71"/>
      <c r="M70" s="71"/>
      <c r="N70" s="71"/>
      <c r="O70" s="71"/>
      <c r="P70" s="71"/>
      <c r="Q70" s="71"/>
      <c r="R70" s="71"/>
      <c r="S70" s="71"/>
      <c r="T70" s="71"/>
      <c r="U70" s="71"/>
      <c r="V70" s="71"/>
      <c r="W70" s="71"/>
      <c r="X70" s="71"/>
      <c r="Y70" s="71"/>
      <c r="Z70" s="71"/>
    </row>
    <row r="71" ht="15.75" customHeight="1">
      <c r="A71" s="72"/>
      <c r="B71" s="71"/>
      <c r="C71" s="71"/>
      <c r="D71" s="71"/>
      <c r="E71" s="71"/>
      <c r="F71" s="71"/>
      <c r="G71" s="59"/>
      <c r="H71" s="71"/>
      <c r="I71" s="71"/>
      <c r="J71" s="71"/>
      <c r="K71" s="71"/>
      <c r="L71" s="71"/>
      <c r="M71" s="71"/>
      <c r="N71" s="71"/>
      <c r="O71" s="71"/>
      <c r="P71" s="71"/>
      <c r="Q71" s="71"/>
      <c r="R71" s="71"/>
      <c r="S71" s="71"/>
      <c r="T71" s="71"/>
      <c r="U71" s="71"/>
      <c r="V71" s="71"/>
      <c r="W71" s="71"/>
      <c r="X71" s="71"/>
      <c r="Y71" s="71"/>
      <c r="Z71" s="71"/>
    </row>
    <row r="72" ht="15.75" customHeight="1">
      <c r="A72" s="72"/>
      <c r="B72" s="71"/>
      <c r="C72" s="71"/>
      <c r="D72" s="71"/>
      <c r="E72" s="71"/>
      <c r="F72" s="71"/>
      <c r="G72" s="59"/>
      <c r="H72" s="71"/>
      <c r="I72" s="71"/>
      <c r="J72" s="71"/>
      <c r="K72" s="71"/>
      <c r="L72" s="71"/>
      <c r="M72" s="71"/>
      <c r="N72" s="71"/>
      <c r="O72" s="71"/>
      <c r="P72" s="71"/>
      <c r="Q72" s="71"/>
      <c r="R72" s="71"/>
      <c r="S72" s="71"/>
      <c r="T72" s="71"/>
      <c r="U72" s="71"/>
      <c r="V72" s="71"/>
      <c r="W72" s="71"/>
      <c r="X72" s="71"/>
      <c r="Y72" s="71"/>
      <c r="Z72" s="71"/>
    </row>
    <row r="73" ht="15.75" customHeight="1">
      <c r="A73" s="72"/>
      <c r="B73" s="71"/>
      <c r="C73" s="71"/>
      <c r="D73" s="71"/>
      <c r="E73" s="71"/>
      <c r="F73" s="71"/>
      <c r="G73" s="59"/>
      <c r="H73" s="71"/>
      <c r="I73" s="71"/>
      <c r="J73" s="71"/>
      <c r="K73" s="71"/>
      <c r="L73" s="71"/>
      <c r="M73" s="71"/>
      <c r="N73" s="71"/>
      <c r="O73" s="71"/>
      <c r="P73" s="71"/>
      <c r="Q73" s="71"/>
      <c r="R73" s="71"/>
      <c r="S73" s="71"/>
      <c r="T73" s="71"/>
      <c r="U73" s="71"/>
      <c r="V73" s="71"/>
      <c r="W73" s="71"/>
      <c r="X73" s="71"/>
      <c r="Y73" s="71"/>
      <c r="Z73" s="71"/>
    </row>
    <row r="74" ht="15.75" customHeight="1">
      <c r="A74" s="72"/>
      <c r="B74" s="71"/>
      <c r="C74" s="71"/>
      <c r="D74" s="71"/>
      <c r="E74" s="71"/>
      <c r="F74" s="71"/>
      <c r="G74" s="59"/>
      <c r="H74" s="71"/>
      <c r="I74" s="71"/>
      <c r="J74" s="71"/>
      <c r="K74" s="71"/>
      <c r="L74" s="71"/>
      <c r="M74" s="71"/>
      <c r="N74" s="71"/>
      <c r="O74" s="71"/>
      <c r="P74" s="71"/>
      <c r="Q74" s="71"/>
      <c r="R74" s="71"/>
      <c r="S74" s="71"/>
      <c r="T74" s="71"/>
      <c r="U74" s="71"/>
      <c r="V74" s="71"/>
      <c r="W74" s="71"/>
      <c r="X74" s="71"/>
      <c r="Y74" s="71"/>
      <c r="Z74" s="71"/>
    </row>
    <row r="75" ht="15.75" customHeight="1">
      <c r="A75" s="72"/>
      <c r="B75" s="71"/>
      <c r="C75" s="71"/>
      <c r="D75" s="71"/>
      <c r="E75" s="71"/>
      <c r="F75" s="71"/>
      <c r="G75" s="59"/>
      <c r="H75" s="71"/>
      <c r="I75" s="71"/>
      <c r="J75" s="71"/>
      <c r="K75" s="71"/>
      <c r="L75" s="71"/>
      <c r="M75" s="71"/>
      <c r="N75" s="71"/>
      <c r="O75" s="71"/>
      <c r="P75" s="71"/>
      <c r="Q75" s="71"/>
      <c r="R75" s="71"/>
      <c r="S75" s="71"/>
      <c r="T75" s="71"/>
      <c r="U75" s="71"/>
      <c r="V75" s="71"/>
      <c r="W75" s="71"/>
      <c r="X75" s="71"/>
      <c r="Y75" s="71"/>
      <c r="Z75" s="71"/>
    </row>
    <row r="76" ht="15.75" customHeight="1">
      <c r="A76" s="72"/>
      <c r="B76" s="71"/>
      <c r="C76" s="71"/>
      <c r="D76" s="71"/>
      <c r="E76" s="71"/>
      <c r="F76" s="71"/>
      <c r="G76" s="59"/>
      <c r="H76" s="71"/>
      <c r="I76" s="71"/>
      <c r="J76" s="71"/>
      <c r="K76" s="71"/>
      <c r="L76" s="71"/>
      <c r="M76" s="71"/>
      <c r="N76" s="71"/>
      <c r="O76" s="71"/>
      <c r="P76" s="71"/>
      <c r="Q76" s="71"/>
      <c r="R76" s="71"/>
      <c r="S76" s="71"/>
      <c r="T76" s="71"/>
      <c r="U76" s="71"/>
      <c r="V76" s="71"/>
      <c r="W76" s="71"/>
      <c r="X76" s="71"/>
      <c r="Y76" s="71"/>
      <c r="Z76" s="71"/>
    </row>
    <row r="77" ht="15.75" customHeight="1">
      <c r="A77" s="72"/>
      <c r="B77" s="71"/>
      <c r="C77" s="71"/>
      <c r="D77" s="71"/>
      <c r="E77" s="71"/>
      <c r="F77" s="71"/>
      <c r="G77" s="59"/>
      <c r="H77" s="71"/>
      <c r="I77" s="71"/>
      <c r="J77" s="71"/>
      <c r="K77" s="71"/>
      <c r="L77" s="71"/>
      <c r="M77" s="71"/>
      <c r="N77" s="71"/>
      <c r="O77" s="71"/>
      <c r="P77" s="71"/>
      <c r="Q77" s="71"/>
      <c r="R77" s="71"/>
      <c r="S77" s="71"/>
      <c r="T77" s="71"/>
      <c r="U77" s="71"/>
      <c r="V77" s="71"/>
      <c r="W77" s="71"/>
      <c r="X77" s="71"/>
      <c r="Y77" s="71"/>
      <c r="Z77" s="71"/>
    </row>
    <row r="78" ht="15.75" customHeight="1">
      <c r="A78" s="72"/>
      <c r="B78" s="71"/>
      <c r="C78" s="71"/>
      <c r="D78" s="71"/>
      <c r="E78" s="71"/>
      <c r="F78" s="71"/>
      <c r="G78" s="59"/>
      <c r="H78" s="71"/>
      <c r="I78" s="71"/>
      <c r="J78" s="71"/>
      <c r="K78" s="71"/>
      <c r="L78" s="71"/>
      <c r="M78" s="71"/>
      <c r="N78" s="71"/>
      <c r="O78" s="71"/>
      <c r="P78" s="71"/>
      <c r="Q78" s="71"/>
      <c r="R78" s="71"/>
      <c r="S78" s="71"/>
      <c r="T78" s="71"/>
      <c r="U78" s="71"/>
      <c r="V78" s="71"/>
      <c r="W78" s="71"/>
      <c r="X78" s="71"/>
      <c r="Y78" s="71"/>
      <c r="Z78" s="71"/>
    </row>
    <row r="79" ht="15.75" customHeight="1">
      <c r="A79" s="72"/>
      <c r="B79" s="71"/>
      <c r="C79" s="71"/>
      <c r="D79" s="71"/>
      <c r="E79" s="71"/>
      <c r="F79" s="71"/>
      <c r="G79" s="59"/>
      <c r="H79" s="71"/>
      <c r="I79" s="71"/>
      <c r="J79" s="71"/>
      <c r="K79" s="71"/>
      <c r="L79" s="71"/>
      <c r="M79" s="71"/>
      <c r="N79" s="71"/>
      <c r="O79" s="71"/>
      <c r="P79" s="71"/>
      <c r="Q79" s="71"/>
      <c r="R79" s="71"/>
      <c r="S79" s="71"/>
      <c r="T79" s="71"/>
      <c r="U79" s="71"/>
      <c r="V79" s="71"/>
      <c r="W79" s="71"/>
      <c r="X79" s="71"/>
      <c r="Y79" s="71"/>
      <c r="Z79" s="71"/>
    </row>
    <row r="80" ht="15.75" customHeight="1">
      <c r="A80" s="72"/>
      <c r="B80" s="71"/>
      <c r="C80" s="71"/>
      <c r="D80" s="71"/>
      <c r="E80" s="71"/>
      <c r="F80" s="71"/>
      <c r="G80" s="59"/>
      <c r="H80" s="71"/>
      <c r="I80" s="71"/>
      <c r="J80" s="71"/>
      <c r="K80" s="71"/>
      <c r="L80" s="71"/>
      <c r="M80" s="71"/>
      <c r="N80" s="71"/>
      <c r="O80" s="71"/>
      <c r="P80" s="71"/>
      <c r="Q80" s="71"/>
      <c r="R80" s="71"/>
      <c r="S80" s="71"/>
      <c r="T80" s="71"/>
      <c r="U80" s="71"/>
      <c r="V80" s="71"/>
      <c r="W80" s="71"/>
      <c r="X80" s="71"/>
      <c r="Y80" s="71"/>
      <c r="Z80" s="71"/>
    </row>
    <row r="81" ht="15.75" customHeight="1">
      <c r="A81" s="72"/>
      <c r="B81" s="71"/>
      <c r="C81" s="71"/>
      <c r="D81" s="71"/>
      <c r="E81" s="71"/>
      <c r="F81" s="71"/>
      <c r="G81" s="59"/>
      <c r="H81" s="71"/>
      <c r="I81" s="71"/>
      <c r="J81" s="71"/>
      <c r="K81" s="71"/>
      <c r="L81" s="71"/>
      <c r="M81" s="71"/>
      <c r="N81" s="71"/>
      <c r="O81" s="71"/>
      <c r="P81" s="71"/>
      <c r="Q81" s="71"/>
      <c r="R81" s="71"/>
      <c r="S81" s="71"/>
      <c r="T81" s="71"/>
      <c r="U81" s="71"/>
      <c r="V81" s="71"/>
      <c r="W81" s="71"/>
      <c r="X81" s="71"/>
      <c r="Y81" s="71"/>
      <c r="Z81" s="71"/>
    </row>
    <row r="82" ht="15.75" customHeight="1">
      <c r="A82" s="72"/>
      <c r="B82" s="71"/>
      <c r="C82" s="71"/>
      <c r="D82" s="71"/>
      <c r="E82" s="71"/>
      <c r="F82" s="71"/>
      <c r="G82" s="59"/>
      <c r="H82" s="71"/>
      <c r="I82" s="71"/>
      <c r="J82" s="71"/>
      <c r="K82" s="71"/>
      <c r="L82" s="71"/>
      <c r="M82" s="71"/>
      <c r="N82" s="71"/>
      <c r="O82" s="71"/>
      <c r="P82" s="71"/>
      <c r="Q82" s="71"/>
      <c r="R82" s="71"/>
      <c r="S82" s="71"/>
      <c r="T82" s="71"/>
      <c r="U82" s="71"/>
      <c r="V82" s="71"/>
      <c r="W82" s="71"/>
      <c r="X82" s="71"/>
      <c r="Y82" s="71"/>
      <c r="Z82" s="71"/>
    </row>
    <row r="83" ht="15.75" customHeight="1">
      <c r="A83" s="72"/>
      <c r="B83" s="71"/>
      <c r="C83" s="71"/>
      <c r="D83" s="71"/>
      <c r="E83" s="71"/>
      <c r="F83" s="71"/>
      <c r="G83" s="59"/>
      <c r="H83" s="71"/>
      <c r="I83" s="71"/>
      <c r="J83" s="71"/>
      <c r="K83" s="71"/>
      <c r="L83" s="71"/>
      <c r="M83" s="71"/>
      <c r="N83" s="71"/>
      <c r="O83" s="71"/>
      <c r="P83" s="71"/>
      <c r="Q83" s="71"/>
      <c r="R83" s="71"/>
      <c r="S83" s="71"/>
      <c r="T83" s="71"/>
      <c r="U83" s="71"/>
      <c r="V83" s="71"/>
      <c r="W83" s="71"/>
      <c r="X83" s="71"/>
      <c r="Y83" s="71"/>
      <c r="Z83" s="71"/>
    </row>
    <row r="84" ht="15.75" customHeight="1">
      <c r="A84" s="72"/>
      <c r="B84" s="71"/>
      <c r="C84" s="71"/>
      <c r="D84" s="71"/>
      <c r="E84" s="71"/>
      <c r="F84" s="71"/>
      <c r="G84" s="59"/>
      <c r="H84" s="71"/>
      <c r="I84" s="71"/>
      <c r="J84" s="71"/>
      <c r="K84" s="71"/>
      <c r="L84" s="71"/>
      <c r="M84" s="71"/>
      <c r="N84" s="71"/>
      <c r="O84" s="71"/>
      <c r="P84" s="71"/>
      <c r="Q84" s="71"/>
      <c r="R84" s="71"/>
      <c r="S84" s="71"/>
      <c r="T84" s="71"/>
      <c r="U84" s="71"/>
      <c r="V84" s="71"/>
      <c r="W84" s="71"/>
      <c r="X84" s="71"/>
      <c r="Y84" s="71"/>
      <c r="Z84" s="71"/>
    </row>
    <row r="85" ht="15.75" customHeight="1">
      <c r="A85" s="72"/>
      <c r="B85" s="71"/>
      <c r="C85" s="71"/>
      <c r="D85" s="71"/>
      <c r="E85" s="71"/>
      <c r="F85" s="71"/>
      <c r="G85" s="59"/>
      <c r="H85" s="71"/>
      <c r="I85" s="71"/>
      <c r="J85" s="71"/>
      <c r="K85" s="71"/>
      <c r="L85" s="71"/>
      <c r="M85" s="71"/>
      <c r="N85" s="71"/>
      <c r="O85" s="71"/>
      <c r="P85" s="71"/>
      <c r="Q85" s="71"/>
      <c r="R85" s="71"/>
      <c r="S85" s="71"/>
      <c r="T85" s="71"/>
      <c r="U85" s="71"/>
      <c r="V85" s="71"/>
      <c r="W85" s="71"/>
      <c r="X85" s="71"/>
      <c r="Y85" s="71"/>
      <c r="Z85" s="71"/>
    </row>
    <row r="86" ht="15.75" customHeight="1">
      <c r="A86" s="72"/>
      <c r="B86" s="71"/>
      <c r="C86" s="71"/>
      <c r="D86" s="71"/>
      <c r="E86" s="71"/>
      <c r="F86" s="71"/>
      <c r="G86" s="59"/>
      <c r="H86" s="71"/>
      <c r="I86" s="71"/>
      <c r="J86" s="71"/>
      <c r="K86" s="71"/>
      <c r="L86" s="71"/>
      <c r="M86" s="71"/>
      <c r="N86" s="71"/>
      <c r="O86" s="71"/>
      <c r="P86" s="71"/>
      <c r="Q86" s="71"/>
      <c r="R86" s="71"/>
      <c r="S86" s="71"/>
      <c r="T86" s="71"/>
      <c r="U86" s="71"/>
      <c r="V86" s="71"/>
      <c r="W86" s="71"/>
      <c r="X86" s="71"/>
      <c r="Y86" s="71"/>
      <c r="Z86" s="71"/>
    </row>
    <row r="87" ht="15.75" customHeight="1">
      <c r="A87" s="72"/>
      <c r="B87" s="71"/>
      <c r="C87" s="71"/>
      <c r="D87" s="71"/>
      <c r="E87" s="71"/>
      <c r="F87" s="71"/>
      <c r="G87" s="59"/>
      <c r="H87" s="71"/>
      <c r="I87" s="71"/>
      <c r="J87" s="71"/>
      <c r="K87" s="71"/>
      <c r="L87" s="71"/>
      <c r="M87" s="71"/>
      <c r="N87" s="71"/>
      <c r="O87" s="71"/>
      <c r="P87" s="71"/>
      <c r="Q87" s="71"/>
      <c r="R87" s="71"/>
      <c r="S87" s="71"/>
      <c r="T87" s="71"/>
      <c r="U87" s="71"/>
      <c r="V87" s="71"/>
      <c r="W87" s="71"/>
      <c r="X87" s="71"/>
      <c r="Y87" s="71"/>
      <c r="Z87" s="71"/>
    </row>
    <row r="88" ht="15.75" customHeight="1">
      <c r="A88" s="72"/>
      <c r="B88" s="71"/>
      <c r="C88" s="71"/>
      <c r="D88" s="71"/>
      <c r="E88" s="71"/>
      <c r="F88" s="71"/>
      <c r="G88" s="59"/>
      <c r="H88" s="71"/>
      <c r="I88" s="71"/>
      <c r="J88" s="71"/>
      <c r="K88" s="71"/>
      <c r="L88" s="71"/>
      <c r="M88" s="71"/>
      <c r="N88" s="71"/>
      <c r="O88" s="71"/>
      <c r="P88" s="71"/>
      <c r="Q88" s="71"/>
      <c r="R88" s="71"/>
      <c r="S88" s="71"/>
      <c r="T88" s="71"/>
      <c r="U88" s="71"/>
      <c r="V88" s="71"/>
      <c r="W88" s="71"/>
      <c r="X88" s="71"/>
      <c r="Y88" s="71"/>
      <c r="Z88" s="71"/>
    </row>
    <row r="89" ht="15.75" customHeight="1">
      <c r="A89" s="72"/>
      <c r="B89" s="71"/>
      <c r="C89" s="71"/>
      <c r="D89" s="71"/>
      <c r="E89" s="71"/>
      <c r="F89" s="71"/>
      <c r="G89" s="59"/>
      <c r="H89" s="71"/>
      <c r="I89" s="71"/>
      <c r="J89" s="71"/>
      <c r="K89" s="71"/>
      <c r="L89" s="71"/>
      <c r="M89" s="71"/>
      <c r="N89" s="71"/>
      <c r="O89" s="71"/>
      <c r="P89" s="71"/>
      <c r="Q89" s="71"/>
      <c r="R89" s="71"/>
      <c r="S89" s="71"/>
      <c r="T89" s="71"/>
      <c r="U89" s="71"/>
      <c r="V89" s="71"/>
      <c r="W89" s="71"/>
      <c r="X89" s="71"/>
      <c r="Y89" s="71"/>
      <c r="Z89" s="71"/>
    </row>
    <row r="90" ht="15.75" customHeight="1">
      <c r="A90" s="72"/>
      <c r="B90" s="71"/>
      <c r="C90" s="71"/>
      <c r="D90" s="71"/>
      <c r="E90" s="71"/>
      <c r="F90" s="71"/>
      <c r="G90" s="59"/>
      <c r="H90" s="71"/>
      <c r="I90" s="71"/>
      <c r="J90" s="71"/>
      <c r="K90" s="71"/>
      <c r="L90" s="71"/>
      <c r="M90" s="71"/>
      <c r="N90" s="71"/>
      <c r="O90" s="71"/>
      <c r="P90" s="71"/>
      <c r="Q90" s="71"/>
      <c r="R90" s="71"/>
      <c r="S90" s="71"/>
      <c r="T90" s="71"/>
      <c r="U90" s="71"/>
      <c r="V90" s="71"/>
      <c r="W90" s="71"/>
      <c r="X90" s="71"/>
      <c r="Y90" s="71"/>
      <c r="Z90" s="71"/>
    </row>
    <row r="91" ht="15.75" customHeight="1">
      <c r="A91" s="72"/>
      <c r="B91" s="71"/>
      <c r="C91" s="71"/>
      <c r="D91" s="71"/>
      <c r="E91" s="71"/>
      <c r="F91" s="71"/>
      <c r="G91" s="59"/>
      <c r="H91" s="71"/>
      <c r="I91" s="71"/>
      <c r="J91" s="71"/>
      <c r="K91" s="71"/>
      <c r="L91" s="71"/>
      <c r="M91" s="71"/>
      <c r="N91" s="71"/>
      <c r="O91" s="71"/>
      <c r="P91" s="71"/>
      <c r="Q91" s="71"/>
      <c r="R91" s="71"/>
      <c r="S91" s="71"/>
      <c r="T91" s="71"/>
      <c r="U91" s="71"/>
      <c r="V91" s="71"/>
      <c r="W91" s="71"/>
      <c r="X91" s="71"/>
      <c r="Y91" s="71"/>
      <c r="Z91" s="71"/>
    </row>
    <row r="92" ht="15.75" customHeight="1">
      <c r="A92" s="72"/>
      <c r="B92" s="71"/>
      <c r="C92" s="71"/>
      <c r="D92" s="71"/>
      <c r="E92" s="71"/>
      <c r="F92" s="71"/>
      <c r="G92" s="59"/>
      <c r="H92" s="71"/>
      <c r="I92" s="71"/>
      <c r="J92" s="71"/>
      <c r="K92" s="71"/>
      <c r="L92" s="71"/>
      <c r="M92" s="71"/>
      <c r="N92" s="71"/>
      <c r="O92" s="71"/>
      <c r="P92" s="71"/>
      <c r="Q92" s="71"/>
      <c r="R92" s="71"/>
      <c r="S92" s="71"/>
      <c r="T92" s="71"/>
      <c r="U92" s="71"/>
      <c r="V92" s="71"/>
      <c r="W92" s="71"/>
      <c r="X92" s="71"/>
      <c r="Y92" s="71"/>
      <c r="Z92" s="71"/>
    </row>
    <row r="93" ht="15.75" customHeight="1">
      <c r="A93" s="72"/>
      <c r="B93" s="71"/>
      <c r="C93" s="71"/>
      <c r="D93" s="71"/>
      <c r="E93" s="71"/>
      <c r="F93" s="71"/>
      <c r="G93" s="59"/>
      <c r="H93" s="71"/>
      <c r="I93" s="71"/>
      <c r="J93" s="71"/>
      <c r="K93" s="71"/>
      <c r="L93" s="71"/>
      <c r="M93" s="71"/>
      <c r="N93" s="71"/>
      <c r="O93" s="71"/>
      <c r="P93" s="71"/>
      <c r="Q93" s="71"/>
      <c r="R93" s="71"/>
      <c r="S93" s="71"/>
      <c r="T93" s="71"/>
      <c r="U93" s="71"/>
      <c r="V93" s="71"/>
      <c r="W93" s="71"/>
      <c r="X93" s="71"/>
      <c r="Y93" s="71"/>
      <c r="Z93" s="71"/>
    </row>
    <row r="94" ht="15.75" customHeight="1">
      <c r="A94" s="72"/>
      <c r="B94" s="71"/>
      <c r="C94" s="71"/>
      <c r="D94" s="71"/>
      <c r="E94" s="71"/>
      <c r="F94" s="71"/>
      <c r="G94" s="59"/>
      <c r="H94" s="71"/>
      <c r="I94" s="71"/>
      <c r="J94" s="71"/>
      <c r="K94" s="71"/>
      <c r="L94" s="71"/>
      <c r="M94" s="71"/>
      <c r="N94" s="71"/>
      <c r="O94" s="71"/>
      <c r="P94" s="71"/>
      <c r="Q94" s="71"/>
      <c r="R94" s="71"/>
      <c r="S94" s="71"/>
      <c r="T94" s="71"/>
      <c r="U94" s="71"/>
      <c r="V94" s="71"/>
      <c r="W94" s="71"/>
      <c r="X94" s="71"/>
      <c r="Y94" s="71"/>
      <c r="Z94" s="71"/>
    </row>
    <row r="95" ht="15.75" customHeight="1">
      <c r="A95" s="72"/>
      <c r="B95" s="71"/>
      <c r="C95" s="71"/>
      <c r="D95" s="71"/>
      <c r="E95" s="71"/>
      <c r="F95" s="71"/>
      <c r="G95" s="59"/>
      <c r="H95" s="71"/>
      <c r="I95" s="71"/>
      <c r="J95" s="71"/>
      <c r="K95" s="71"/>
      <c r="L95" s="71"/>
      <c r="M95" s="71"/>
      <c r="N95" s="71"/>
      <c r="O95" s="71"/>
      <c r="P95" s="71"/>
      <c r="Q95" s="71"/>
      <c r="R95" s="71"/>
      <c r="S95" s="71"/>
      <c r="T95" s="71"/>
      <c r="U95" s="71"/>
      <c r="V95" s="71"/>
      <c r="W95" s="71"/>
      <c r="X95" s="71"/>
      <c r="Y95" s="71"/>
      <c r="Z95" s="71"/>
    </row>
    <row r="96" ht="15.75" customHeight="1">
      <c r="A96" s="72"/>
      <c r="B96" s="71"/>
      <c r="C96" s="71"/>
      <c r="D96" s="71"/>
      <c r="E96" s="71"/>
      <c r="F96" s="71"/>
      <c r="G96" s="59"/>
      <c r="H96" s="71"/>
      <c r="I96" s="71"/>
      <c r="J96" s="71"/>
      <c r="K96" s="71"/>
      <c r="L96" s="71"/>
      <c r="M96" s="71"/>
      <c r="N96" s="71"/>
      <c r="O96" s="71"/>
      <c r="P96" s="71"/>
      <c r="Q96" s="71"/>
      <c r="R96" s="71"/>
      <c r="S96" s="71"/>
      <c r="T96" s="71"/>
      <c r="U96" s="71"/>
      <c r="V96" s="71"/>
      <c r="W96" s="71"/>
      <c r="X96" s="71"/>
      <c r="Y96" s="71"/>
      <c r="Z96" s="71"/>
    </row>
    <row r="97" ht="15.75" customHeight="1">
      <c r="A97" s="72"/>
      <c r="B97" s="71"/>
      <c r="C97" s="71"/>
      <c r="D97" s="71"/>
      <c r="E97" s="71"/>
      <c r="F97" s="71"/>
      <c r="G97" s="59"/>
      <c r="H97" s="71"/>
      <c r="I97" s="71"/>
      <c r="J97" s="71"/>
      <c r="K97" s="71"/>
      <c r="L97" s="71"/>
      <c r="M97" s="71"/>
      <c r="N97" s="71"/>
      <c r="O97" s="71"/>
      <c r="P97" s="71"/>
      <c r="Q97" s="71"/>
      <c r="R97" s="71"/>
      <c r="S97" s="71"/>
      <c r="T97" s="71"/>
      <c r="U97" s="71"/>
      <c r="V97" s="71"/>
      <c r="W97" s="71"/>
      <c r="X97" s="71"/>
      <c r="Y97" s="71"/>
      <c r="Z97" s="71"/>
    </row>
    <row r="98" ht="15.75" customHeight="1">
      <c r="A98" s="72"/>
      <c r="B98" s="71"/>
      <c r="C98" s="71"/>
      <c r="D98" s="71"/>
      <c r="E98" s="71"/>
      <c r="F98" s="71"/>
      <c r="G98" s="59"/>
      <c r="H98" s="71"/>
      <c r="I98" s="71"/>
      <c r="J98" s="71"/>
      <c r="K98" s="71"/>
      <c r="L98" s="71"/>
      <c r="M98" s="71"/>
      <c r="N98" s="71"/>
      <c r="O98" s="71"/>
      <c r="P98" s="71"/>
      <c r="Q98" s="71"/>
      <c r="R98" s="71"/>
      <c r="S98" s="71"/>
      <c r="T98" s="71"/>
      <c r="U98" s="71"/>
      <c r="V98" s="71"/>
      <c r="W98" s="71"/>
      <c r="X98" s="71"/>
      <c r="Y98" s="71"/>
      <c r="Z98" s="71"/>
    </row>
    <row r="99" ht="15.75" customHeight="1">
      <c r="A99" s="72"/>
      <c r="B99" s="71"/>
      <c r="C99" s="71"/>
      <c r="D99" s="71"/>
      <c r="E99" s="71"/>
      <c r="F99" s="71"/>
      <c r="G99" s="59"/>
      <c r="H99" s="71"/>
      <c r="I99" s="71"/>
      <c r="J99" s="71"/>
      <c r="K99" s="71"/>
      <c r="L99" s="71"/>
      <c r="M99" s="71"/>
      <c r="N99" s="71"/>
      <c r="O99" s="71"/>
      <c r="P99" s="71"/>
      <c r="Q99" s="71"/>
      <c r="R99" s="71"/>
      <c r="S99" s="71"/>
      <c r="T99" s="71"/>
      <c r="U99" s="71"/>
      <c r="V99" s="71"/>
      <c r="W99" s="71"/>
      <c r="X99" s="71"/>
      <c r="Y99" s="71"/>
      <c r="Z99" s="71"/>
    </row>
    <row r="100" ht="15.75" customHeight="1">
      <c r="A100" s="72"/>
      <c r="B100" s="71"/>
      <c r="C100" s="71"/>
      <c r="D100" s="71"/>
      <c r="E100" s="71"/>
      <c r="F100" s="71"/>
      <c r="G100" s="59"/>
      <c r="H100" s="71"/>
      <c r="I100" s="71"/>
      <c r="J100" s="71"/>
      <c r="K100" s="71"/>
      <c r="L100" s="71"/>
      <c r="M100" s="71"/>
      <c r="N100" s="71"/>
      <c r="O100" s="71"/>
      <c r="P100" s="71"/>
      <c r="Q100" s="71"/>
      <c r="R100" s="71"/>
      <c r="S100" s="71"/>
      <c r="T100" s="71"/>
      <c r="U100" s="71"/>
      <c r="V100" s="71"/>
      <c r="W100" s="71"/>
      <c r="X100" s="71"/>
      <c r="Y100" s="71"/>
      <c r="Z100" s="71"/>
    </row>
    <row r="101" ht="15.75" customHeight="1">
      <c r="A101" s="72"/>
      <c r="B101" s="71"/>
      <c r="C101" s="71"/>
      <c r="D101" s="71"/>
      <c r="E101" s="71"/>
      <c r="F101" s="71"/>
      <c r="G101" s="59"/>
      <c r="H101" s="71"/>
      <c r="I101" s="71"/>
      <c r="J101" s="71"/>
      <c r="K101" s="71"/>
      <c r="L101" s="71"/>
      <c r="M101" s="71"/>
      <c r="N101" s="71"/>
      <c r="O101" s="71"/>
      <c r="P101" s="71"/>
      <c r="Q101" s="71"/>
      <c r="R101" s="71"/>
      <c r="S101" s="71"/>
      <c r="T101" s="71"/>
      <c r="U101" s="71"/>
      <c r="V101" s="71"/>
      <c r="W101" s="71"/>
      <c r="X101" s="71"/>
      <c r="Y101" s="71"/>
      <c r="Z101" s="71"/>
    </row>
    <row r="102" ht="15.75" customHeight="1">
      <c r="A102" s="72"/>
      <c r="B102" s="71"/>
      <c r="C102" s="71"/>
      <c r="D102" s="71"/>
      <c r="E102" s="71"/>
      <c r="F102" s="71"/>
      <c r="G102" s="59"/>
      <c r="H102" s="71"/>
      <c r="I102" s="71"/>
      <c r="J102" s="71"/>
      <c r="K102" s="71"/>
      <c r="L102" s="71"/>
      <c r="M102" s="71"/>
      <c r="N102" s="71"/>
      <c r="O102" s="71"/>
      <c r="P102" s="71"/>
      <c r="Q102" s="71"/>
      <c r="R102" s="71"/>
      <c r="S102" s="71"/>
      <c r="T102" s="71"/>
      <c r="U102" s="71"/>
      <c r="V102" s="71"/>
      <c r="W102" s="71"/>
      <c r="X102" s="71"/>
      <c r="Y102" s="71"/>
      <c r="Z102" s="71"/>
    </row>
    <row r="103" ht="15.75" customHeight="1">
      <c r="A103" s="72"/>
      <c r="B103" s="71"/>
      <c r="C103" s="71"/>
      <c r="D103" s="71"/>
      <c r="E103" s="71"/>
      <c r="F103" s="71"/>
      <c r="G103" s="59"/>
      <c r="H103" s="71"/>
      <c r="I103" s="71"/>
      <c r="J103" s="71"/>
      <c r="K103" s="71"/>
      <c r="L103" s="71"/>
      <c r="M103" s="71"/>
      <c r="N103" s="71"/>
      <c r="O103" s="71"/>
      <c r="P103" s="71"/>
      <c r="Q103" s="71"/>
      <c r="R103" s="71"/>
      <c r="S103" s="71"/>
      <c r="T103" s="71"/>
      <c r="U103" s="71"/>
      <c r="V103" s="71"/>
      <c r="W103" s="71"/>
      <c r="X103" s="71"/>
      <c r="Y103" s="71"/>
      <c r="Z103" s="71"/>
    </row>
    <row r="104" ht="15.75" customHeight="1">
      <c r="A104" s="72"/>
      <c r="B104" s="71"/>
      <c r="C104" s="71"/>
      <c r="D104" s="71"/>
      <c r="E104" s="71"/>
      <c r="F104" s="71"/>
      <c r="G104" s="59"/>
      <c r="H104" s="71"/>
      <c r="I104" s="71"/>
      <c r="J104" s="71"/>
      <c r="K104" s="71"/>
      <c r="L104" s="71"/>
      <c r="M104" s="71"/>
      <c r="N104" s="71"/>
      <c r="O104" s="71"/>
      <c r="P104" s="71"/>
      <c r="Q104" s="71"/>
      <c r="R104" s="71"/>
      <c r="S104" s="71"/>
      <c r="T104" s="71"/>
      <c r="U104" s="71"/>
      <c r="V104" s="71"/>
      <c r="W104" s="71"/>
      <c r="X104" s="71"/>
      <c r="Y104" s="71"/>
      <c r="Z104" s="71"/>
    </row>
    <row r="105" ht="15.75" customHeight="1">
      <c r="A105" s="72"/>
      <c r="B105" s="71"/>
      <c r="C105" s="71"/>
      <c r="D105" s="71"/>
      <c r="E105" s="71"/>
      <c r="F105" s="71"/>
      <c r="G105" s="59"/>
      <c r="H105" s="71"/>
      <c r="I105" s="71"/>
      <c r="J105" s="71"/>
      <c r="K105" s="71"/>
      <c r="L105" s="71"/>
      <c r="M105" s="71"/>
      <c r="N105" s="71"/>
      <c r="O105" s="71"/>
      <c r="P105" s="71"/>
      <c r="Q105" s="71"/>
      <c r="R105" s="71"/>
      <c r="S105" s="71"/>
      <c r="T105" s="71"/>
      <c r="U105" s="71"/>
      <c r="V105" s="71"/>
      <c r="W105" s="71"/>
      <c r="X105" s="71"/>
      <c r="Y105" s="71"/>
      <c r="Z105" s="71"/>
    </row>
    <row r="106" ht="15.75" customHeight="1">
      <c r="A106" s="72"/>
      <c r="B106" s="71"/>
      <c r="C106" s="71"/>
      <c r="D106" s="71"/>
      <c r="E106" s="71"/>
      <c r="F106" s="71"/>
      <c r="G106" s="59"/>
      <c r="H106" s="71"/>
      <c r="I106" s="71"/>
      <c r="J106" s="71"/>
      <c r="K106" s="71"/>
      <c r="L106" s="71"/>
      <c r="M106" s="71"/>
      <c r="N106" s="71"/>
      <c r="O106" s="71"/>
      <c r="P106" s="71"/>
      <c r="Q106" s="71"/>
      <c r="R106" s="71"/>
      <c r="S106" s="71"/>
      <c r="T106" s="71"/>
      <c r="U106" s="71"/>
      <c r="V106" s="71"/>
      <c r="W106" s="71"/>
      <c r="X106" s="71"/>
      <c r="Y106" s="71"/>
      <c r="Z106" s="71"/>
    </row>
    <row r="107" ht="15.75" customHeight="1">
      <c r="A107" s="72"/>
      <c r="B107" s="71"/>
      <c r="C107" s="71"/>
      <c r="D107" s="71"/>
      <c r="E107" s="71"/>
      <c r="F107" s="71"/>
      <c r="G107" s="59"/>
      <c r="H107" s="71"/>
      <c r="I107" s="71"/>
      <c r="J107" s="71"/>
      <c r="K107" s="71"/>
      <c r="L107" s="71"/>
      <c r="M107" s="71"/>
      <c r="N107" s="71"/>
      <c r="O107" s="71"/>
      <c r="P107" s="71"/>
      <c r="Q107" s="71"/>
      <c r="R107" s="71"/>
      <c r="S107" s="71"/>
      <c r="T107" s="71"/>
      <c r="U107" s="71"/>
      <c r="V107" s="71"/>
      <c r="W107" s="71"/>
      <c r="X107" s="71"/>
      <c r="Y107" s="71"/>
      <c r="Z107" s="71"/>
    </row>
    <row r="108" ht="15.75" customHeight="1">
      <c r="A108" s="72"/>
      <c r="B108" s="71"/>
      <c r="C108" s="71"/>
      <c r="D108" s="71"/>
      <c r="E108" s="71"/>
      <c r="F108" s="71"/>
      <c r="G108" s="59"/>
      <c r="H108" s="71"/>
      <c r="I108" s="71"/>
      <c r="J108" s="71"/>
      <c r="K108" s="71"/>
      <c r="L108" s="71"/>
      <c r="M108" s="71"/>
      <c r="N108" s="71"/>
      <c r="O108" s="71"/>
      <c r="P108" s="71"/>
      <c r="Q108" s="71"/>
      <c r="R108" s="71"/>
      <c r="S108" s="71"/>
      <c r="T108" s="71"/>
      <c r="U108" s="71"/>
      <c r="V108" s="71"/>
      <c r="W108" s="71"/>
      <c r="X108" s="71"/>
      <c r="Y108" s="71"/>
      <c r="Z108" s="71"/>
    </row>
    <row r="109" ht="15.75" customHeight="1">
      <c r="A109" s="72"/>
      <c r="B109" s="71"/>
      <c r="C109" s="71"/>
      <c r="D109" s="71"/>
      <c r="E109" s="71"/>
      <c r="F109" s="71"/>
      <c r="G109" s="59"/>
      <c r="H109" s="71"/>
      <c r="I109" s="71"/>
      <c r="J109" s="71"/>
      <c r="K109" s="71"/>
      <c r="L109" s="71"/>
      <c r="M109" s="71"/>
      <c r="N109" s="71"/>
      <c r="O109" s="71"/>
      <c r="P109" s="71"/>
      <c r="Q109" s="71"/>
      <c r="R109" s="71"/>
      <c r="S109" s="71"/>
      <c r="T109" s="71"/>
      <c r="U109" s="71"/>
      <c r="V109" s="71"/>
      <c r="W109" s="71"/>
      <c r="X109" s="71"/>
      <c r="Y109" s="71"/>
      <c r="Z109" s="71"/>
    </row>
    <row r="110" ht="15.75" customHeight="1">
      <c r="A110" s="72"/>
      <c r="B110" s="71"/>
      <c r="C110" s="71"/>
      <c r="D110" s="71"/>
      <c r="E110" s="71"/>
      <c r="F110" s="71"/>
      <c r="G110" s="59"/>
      <c r="H110" s="71"/>
      <c r="I110" s="71"/>
      <c r="J110" s="71"/>
      <c r="K110" s="71"/>
      <c r="L110" s="71"/>
      <c r="M110" s="71"/>
      <c r="N110" s="71"/>
      <c r="O110" s="71"/>
      <c r="P110" s="71"/>
      <c r="Q110" s="71"/>
      <c r="R110" s="71"/>
      <c r="S110" s="71"/>
      <c r="T110" s="71"/>
      <c r="U110" s="71"/>
      <c r="V110" s="71"/>
      <c r="W110" s="71"/>
      <c r="X110" s="71"/>
      <c r="Y110" s="71"/>
      <c r="Z110" s="71"/>
    </row>
    <row r="111" ht="15.75" customHeight="1">
      <c r="A111" s="72"/>
      <c r="B111" s="71"/>
      <c r="C111" s="71"/>
      <c r="D111" s="71"/>
      <c r="E111" s="71"/>
      <c r="F111" s="71"/>
      <c r="G111" s="59"/>
      <c r="H111" s="71"/>
      <c r="I111" s="71"/>
      <c r="J111" s="71"/>
      <c r="K111" s="71"/>
      <c r="L111" s="71"/>
      <c r="M111" s="71"/>
      <c r="N111" s="71"/>
      <c r="O111" s="71"/>
      <c r="P111" s="71"/>
      <c r="Q111" s="71"/>
      <c r="R111" s="71"/>
      <c r="S111" s="71"/>
      <c r="T111" s="71"/>
      <c r="U111" s="71"/>
      <c r="V111" s="71"/>
      <c r="W111" s="71"/>
      <c r="X111" s="71"/>
      <c r="Y111" s="71"/>
      <c r="Z111" s="71"/>
    </row>
    <row r="112" ht="15.75" customHeight="1">
      <c r="A112" s="72"/>
      <c r="B112" s="71"/>
      <c r="C112" s="71"/>
      <c r="D112" s="71"/>
      <c r="E112" s="71"/>
      <c r="F112" s="71"/>
      <c r="G112" s="59"/>
      <c r="H112" s="71"/>
      <c r="I112" s="71"/>
      <c r="J112" s="71"/>
      <c r="K112" s="71"/>
      <c r="L112" s="71"/>
      <c r="M112" s="71"/>
      <c r="N112" s="71"/>
      <c r="O112" s="71"/>
      <c r="P112" s="71"/>
      <c r="Q112" s="71"/>
      <c r="R112" s="71"/>
      <c r="S112" s="71"/>
      <c r="T112" s="71"/>
      <c r="U112" s="71"/>
      <c r="V112" s="71"/>
      <c r="W112" s="71"/>
      <c r="X112" s="71"/>
      <c r="Y112" s="71"/>
      <c r="Z112" s="71"/>
    </row>
    <row r="113" ht="15.75" customHeight="1">
      <c r="A113" s="72"/>
      <c r="B113" s="71"/>
      <c r="C113" s="71"/>
      <c r="D113" s="71"/>
      <c r="E113" s="71"/>
      <c r="F113" s="71"/>
      <c r="G113" s="59"/>
      <c r="H113" s="71"/>
      <c r="I113" s="71"/>
      <c r="J113" s="71"/>
      <c r="K113" s="71"/>
      <c r="L113" s="71"/>
      <c r="M113" s="71"/>
      <c r="N113" s="71"/>
      <c r="O113" s="71"/>
      <c r="P113" s="71"/>
      <c r="Q113" s="71"/>
      <c r="R113" s="71"/>
      <c r="S113" s="71"/>
      <c r="T113" s="71"/>
      <c r="U113" s="71"/>
      <c r="V113" s="71"/>
      <c r="W113" s="71"/>
      <c r="X113" s="71"/>
      <c r="Y113" s="71"/>
      <c r="Z113" s="71"/>
    </row>
    <row r="114" ht="15.75" customHeight="1">
      <c r="A114" s="72"/>
      <c r="B114" s="71"/>
      <c r="C114" s="71"/>
      <c r="D114" s="71"/>
      <c r="E114" s="71"/>
      <c r="F114" s="71"/>
      <c r="G114" s="59"/>
      <c r="H114" s="71"/>
      <c r="I114" s="71"/>
      <c r="J114" s="71"/>
      <c r="K114" s="71"/>
      <c r="L114" s="71"/>
      <c r="M114" s="71"/>
      <c r="N114" s="71"/>
      <c r="O114" s="71"/>
      <c r="P114" s="71"/>
      <c r="Q114" s="71"/>
      <c r="R114" s="71"/>
      <c r="S114" s="71"/>
      <c r="T114" s="71"/>
      <c r="U114" s="71"/>
      <c r="V114" s="71"/>
      <c r="W114" s="71"/>
      <c r="X114" s="71"/>
      <c r="Y114" s="71"/>
      <c r="Z114" s="71"/>
    </row>
    <row r="115" ht="15.75" customHeight="1">
      <c r="A115" s="72"/>
      <c r="B115" s="71"/>
      <c r="C115" s="71"/>
      <c r="D115" s="71"/>
      <c r="E115" s="71"/>
      <c r="F115" s="71"/>
      <c r="G115" s="59"/>
      <c r="H115" s="71"/>
      <c r="I115" s="71"/>
      <c r="J115" s="71"/>
      <c r="K115" s="71"/>
      <c r="L115" s="71"/>
      <c r="M115" s="71"/>
      <c r="N115" s="71"/>
      <c r="O115" s="71"/>
      <c r="P115" s="71"/>
      <c r="Q115" s="71"/>
      <c r="R115" s="71"/>
      <c r="S115" s="71"/>
      <c r="T115" s="71"/>
      <c r="U115" s="71"/>
      <c r="V115" s="71"/>
      <c r="W115" s="71"/>
      <c r="X115" s="71"/>
      <c r="Y115" s="71"/>
      <c r="Z115" s="71"/>
    </row>
    <row r="116" ht="15.75" customHeight="1">
      <c r="A116" s="72"/>
      <c r="B116" s="71"/>
      <c r="C116" s="71"/>
      <c r="D116" s="71"/>
      <c r="E116" s="71"/>
      <c r="F116" s="71"/>
      <c r="G116" s="59"/>
      <c r="H116" s="71"/>
      <c r="I116" s="71"/>
      <c r="J116" s="71"/>
      <c r="K116" s="71"/>
      <c r="L116" s="71"/>
      <c r="M116" s="71"/>
      <c r="N116" s="71"/>
      <c r="O116" s="71"/>
      <c r="P116" s="71"/>
      <c r="Q116" s="71"/>
      <c r="R116" s="71"/>
      <c r="S116" s="71"/>
      <c r="T116" s="71"/>
      <c r="U116" s="71"/>
      <c r="V116" s="71"/>
      <c r="W116" s="71"/>
      <c r="X116" s="71"/>
      <c r="Y116" s="71"/>
      <c r="Z116" s="71"/>
    </row>
    <row r="117" ht="15.75" customHeight="1">
      <c r="A117" s="72"/>
      <c r="B117" s="71"/>
      <c r="C117" s="71"/>
      <c r="D117" s="71"/>
      <c r="E117" s="71"/>
      <c r="F117" s="71"/>
      <c r="G117" s="59"/>
      <c r="H117" s="71"/>
      <c r="I117" s="71"/>
      <c r="J117" s="71"/>
      <c r="K117" s="71"/>
      <c r="L117" s="71"/>
      <c r="M117" s="71"/>
      <c r="N117" s="71"/>
      <c r="O117" s="71"/>
      <c r="P117" s="71"/>
      <c r="Q117" s="71"/>
      <c r="R117" s="71"/>
      <c r="S117" s="71"/>
      <c r="T117" s="71"/>
      <c r="U117" s="71"/>
      <c r="V117" s="71"/>
      <c r="W117" s="71"/>
      <c r="X117" s="71"/>
      <c r="Y117" s="71"/>
      <c r="Z117" s="71"/>
    </row>
    <row r="118" ht="15.75" customHeight="1">
      <c r="A118" s="72"/>
      <c r="B118" s="71"/>
      <c r="C118" s="71"/>
      <c r="D118" s="71"/>
      <c r="E118" s="71"/>
      <c r="F118" s="71"/>
      <c r="G118" s="59"/>
      <c r="H118" s="71"/>
      <c r="I118" s="71"/>
      <c r="J118" s="71"/>
      <c r="K118" s="71"/>
      <c r="L118" s="71"/>
      <c r="M118" s="71"/>
      <c r="N118" s="71"/>
      <c r="O118" s="71"/>
      <c r="P118" s="71"/>
      <c r="Q118" s="71"/>
      <c r="R118" s="71"/>
      <c r="S118" s="71"/>
      <c r="T118" s="71"/>
      <c r="U118" s="71"/>
      <c r="V118" s="71"/>
      <c r="W118" s="71"/>
      <c r="X118" s="71"/>
      <c r="Y118" s="71"/>
      <c r="Z118" s="71"/>
    </row>
    <row r="119" ht="15.75" customHeight="1">
      <c r="A119" s="72"/>
      <c r="B119" s="71"/>
      <c r="C119" s="71"/>
      <c r="D119" s="71"/>
      <c r="E119" s="71"/>
      <c r="F119" s="71"/>
      <c r="G119" s="59"/>
      <c r="H119" s="71"/>
      <c r="I119" s="71"/>
      <c r="J119" s="71"/>
      <c r="K119" s="71"/>
      <c r="L119" s="71"/>
      <c r="M119" s="71"/>
      <c r="N119" s="71"/>
      <c r="O119" s="71"/>
      <c r="P119" s="71"/>
      <c r="Q119" s="71"/>
      <c r="R119" s="71"/>
      <c r="S119" s="71"/>
      <c r="T119" s="71"/>
      <c r="U119" s="71"/>
      <c r="V119" s="71"/>
      <c r="W119" s="71"/>
      <c r="X119" s="71"/>
      <c r="Y119" s="71"/>
      <c r="Z119" s="71"/>
    </row>
    <row r="120" ht="15.75" customHeight="1">
      <c r="A120" s="72"/>
      <c r="B120" s="71"/>
      <c r="C120" s="71"/>
      <c r="D120" s="71"/>
      <c r="E120" s="71"/>
      <c r="F120" s="71"/>
      <c r="G120" s="59"/>
      <c r="H120" s="71"/>
      <c r="I120" s="71"/>
      <c r="J120" s="71"/>
      <c r="K120" s="71"/>
      <c r="L120" s="71"/>
      <c r="M120" s="71"/>
      <c r="N120" s="71"/>
      <c r="O120" s="71"/>
      <c r="P120" s="71"/>
      <c r="Q120" s="71"/>
      <c r="R120" s="71"/>
      <c r="S120" s="71"/>
      <c r="T120" s="71"/>
      <c r="U120" s="71"/>
      <c r="V120" s="71"/>
      <c r="W120" s="71"/>
      <c r="X120" s="71"/>
      <c r="Y120" s="71"/>
      <c r="Z120" s="71"/>
    </row>
    <row r="121" ht="15.75" customHeight="1">
      <c r="A121" s="72"/>
      <c r="B121" s="71"/>
      <c r="C121" s="71"/>
      <c r="D121" s="71"/>
      <c r="E121" s="71"/>
      <c r="F121" s="71"/>
      <c r="G121" s="59"/>
      <c r="H121" s="71"/>
      <c r="I121" s="71"/>
      <c r="J121" s="71"/>
      <c r="K121" s="71"/>
      <c r="L121" s="71"/>
      <c r="M121" s="71"/>
      <c r="N121" s="71"/>
      <c r="O121" s="71"/>
      <c r="P121" s="71"/>
      <c r="Q121" s="71"/>
      <c r="R121" s="71"/>
      <c r="S121" s="71"/>
      <c r="T121" s="71"/>
      <c r="U121" s="71"/>
      <c r="V121" s="71"/>
      <c r="W121" s="71"/>
      <c r="X121" s="71"/>
      <c r="Y121" s="71"/>
      <c r="Z121" s="71"/>
    </row>
    <row r="122" ht="15.75" customHeight="1">
      <c r="A122" s="72"/>
      <c r="B122" s="71"/>
      <c r="C122" s="71"/>
      <c r="D122" s="71"/>
      <c r="E122" s="71"/>
      <c r="F122" s="71"/>
      <c r="G122" s="59"/>
      <c r="H122" s="71"/>
      <c r="I122" s="71"/>
      <c r="J122" s="71"/>
      <c r="K122" s="71"/>
      <c r="L122" s="71"/>
      <c r="M122" s="71"/>
      <c r="N122" s="71"/>
      <c r="O122" s="71"/>
      <c r="P122" s="71"/>
      <c r="Q122" s="71"/>
      <c r="R122" s="71"/>
      <c r="S122" s="71"/>
      <c r="T122" s="71"/>
      <c r="U122" s="71"/>
      <c r="V122" s="71"/>
      <c r="W122" s="71"/>
      <c r="X122" s="71"/>
      <c r="Y122" s="71"/>
      <c r="Z122" s="71"/>
    </row>
    <row r="123" ht="15.75" customHeight="1">
      <c r="A123" s="72"/>
      <c r="B123" s="71"/>
      <c r="C123" s="71"/>
      <c r="D123" s="71"/>
      <c r="E123" s="71"/>
      <c r="F123" s="71"/>
      <c r="G123" s="59"/>
      <c r="H123" s="71"/>
      <c r="I123" s="71"/>
      <c r="J123" s="71"/>
      <c r="K123" s="71"/>
      <c r="L123" s="71"/>
      <c r="M123" s="71"/>
      <c r="N123" s="71"/>
      <c r="O123" s="71"/>
      <c r="P123" s="71"/>
      <c r="Q123" s="71"/>
      <c r="R123" s="71"/>
      <c r="S123" s="71"/>
      <c r="T123" s="71"/>
      <c r="U123" s="71"/>
      <c r="V123" s="71"/>
      <c r="W123" s="71"/>
      <c r="X123" s="71"/>
      <c r="Y123" s="71"/>
      <c r="Z123" s="71"/>
    </row>
    <row r="124" ht="15.75" customHeight="1">
      <c r="A124" s="72"/>
      <c r="B124" s="71"/>
      <c r="C124" s="71"/>
      <c r="D124" s="71"/>
      <c r="E124" s="71"/>
      <c r="F124" s="71"/>
      <c r="G124" s="59"/>
      <c r="H124" s="71"/>
      <c r="I124" s="71"/>
      <c r="J124" s="71"/>
      <c r="K124" s="71"/>
      <c r="L124" s="71"/>
      <c r="M124" s="71"/>
      <c r="N124" s="71"/>
      <c r="O124" s="71"/>
      <c r="P124" s="71"/>
      <c r="Q124" s="71"/>
      <c r="R124" s="71"/>
      <c r="S124" s="71"/>
      <c r="T124" s="71"/>
      <c r="U124" s="71"/>
      <c r="V124" s="71"/>
      <c r="W124" s="71"/>
      <c r="X124" s="71"/>
      <c r="Y124" s="71"/>
      <c r="Z124" s="71"/>
    </row>
    <row r="125" ht="15.75" customHeight="1">
      <c r="A125" s="72"/>
      <c r="B125" s="71"/>
      <c r="C125" s="71"/>
      <c r="D125" s="71"/>
      <c r="E125" s="71"/>
      <c r="F125" s="71"/>
      <c r="G125" s="59"/>
      <c r="H125" s="71"/>
      <c r="I125" s="71"/>
      <c r="J125" s="71"/>
      <c r="K125" s="71"/>
      <c r="L125" s="71"/>
      <c r="M125" s="71"/>
      <c r="N125" s="71"/>
      <c r="O125" s="71"/>
      <c r="P125" s="71"/>
      <c r="Q125" s="71"/>
      <c r="R125" s="71"/>
      <c r="S125" s="71"/>
      <c r="T125" s="71"/>
      <c r="U125" s="71"/>
      <c r="V125" s="71"/>
      <c r="W125" s="71"/>
      <c r="X125" s="71"/>
      <c r="Y125" s="71"/>
      <c r="Z125" s="71"/>
    </row>
    <row r="126" ht="15.75" customHeight="1">
      <c r="A126" s="72"/>
      <c r="B126" s="71"/>
      <c r="C126" s="71"/>
      <c r="D126" s="71"/>
      <c r="E126" s="71"/>
      <c r="F126" s="71"/>
      <c r="G126" s="59"/>
      <c r="H126" s="71"/>
      <c r="I126" s="71"/>
      <c r="J126" s="71"/>
      <c r="K126" s="71"/>
      <c r="L126" s="71"/>
      <c r="M126" s="71"/>
      <c r="N126" s="71"/>
      <c r="O126" s="71"/>
      <c r="P126" s="71"/>
      <c r="Q126" s="71"/>
      <c r="R126" s="71"/>
      <c r="S126" s="71"/>
      <c r="T126" s="71"/>
      <c r="U126" s="71"/>
      <c r="V126" s="71"/>
      <c r="W126" s="71"/>
      <c r="X126" s="71"/>
      <c r="Y126" s="71"/>
      <c r="Z126" s="71"/>
    </row>
    <row r="127" ht="15.75" customHeight="1">
      <c r="A127" s="72"/>
      <c r="B127" s="71"/>
      <c r="C127" s="71"/>
      <c r="D127" s="71"/>
      <c r="E127" s="71"/>
      <c r="F127" s="71"/>
      <c r="G127" s="59"/>
      <c r="H127" s="71"/>
      <c r="I127" s="71"/>
      <c r="J127" s="71"/>
      <c r="K127" s="71"/>
      <c r="L127" s="71"/>
      <c r="M127" s="71"/>
      <c r="N127" s="71"/>
      <c r="O127" s="71"/>
      <c r="P127" s="71"/>
      <c r="Q127" s="71"/>
      <c r="R127" s="71"/>
      <c r="S127" s="71"/>
      <c r="T127" s="71"/>
      <c r="U127" s="71"/>
      <c r="V127" s="71"/>
      <c r="W127" s="71"/>
      <c r="X127" s="71"/>
      <c r="Y127" s="71"/>
      <c r="Z127" s="71"/>
    </row>
    <row r="128" ht="15.75" customHeight="1">
      <c r="A128" s="72"/>
      <c r="B128" s="71"/>
      <c r="C128" s="71"/>
      <c r="D128" s="71"/>
      <c r="E128" s="71"/>
      <c r="F128" s="71"/>
      <c r="G128" s="59"/>
      <c r="H128" s="71"/>
      <c r="I128" s="71"/>
      <c r="J128" s="71"/>
      <c r="K128" s="71"/>
      <c r="L128" s="71"/>
      <c r="M128" s="71"/>
      <c r="N128" s="71"/>
      <c r="O128" s="71"/>
      <c r="P128" s="71"/>
      <c r="Q128" s="71"/>
      <c r="R128" s="71"/>
      <c r="S128" s="71"/>
      <c r="T128" s="71"/>
      <c r="U128" s="71"/>
      <c r="V128" s="71"/>
      <c r="W128" s="71"/>
      <c r="X128" s="71"/>
      <c r="Y128" s="71"/>
      <c r="Z128" s="71"/>
    </row>
    <row r="129" ht="15.75" customHeight="1">
      <c r="A129" s="72"/>
      <c r="B129" s="71"/>
      <c r="C129" s="71"/>
      <c r="D129" s="71"/>
      <c r="E129" s="71"/>
      <c r="F129" s="71"/>
      <c r="G129" s="59"/>
      <c r="H129" s="71"/>
      <c r="I129" s="71"/>
      <c r="J129" s="71"/>
      <c r="K129" s="71"/>
      <c r="L129" s="71"/>
      <c r="M129" s="71"/>
      <c r="N129" s="71"/>
      <c r="O129" s="71"/>
      <c r="P129" s="71"/>
      <c r="Q129" s="71"/>
      <c r="R129" s="71"/>
      <c r="S129" s="71"/>
      <c r="T129" s="71"/>
      <c r="U129" s="71"/>
      <c r="V129" s="71"/>
      <c r="W129" s="71"/>
      <c r="X129" s="71"/>
      <c r="Y129" s="71"/>
      <c r="Z129" s="71"/>
    </row>
    <row r="130" ht="15.75" customHeight="1">
      <c r="A130" s="72"/>
      <c r="B130" s="71"/>
      <c r="C130" s="71"/>
      <c r="D130" s="71"/>
      <c r="E130" s="71"/>
      <c r="F130" s="71"/>
      <c r="G130" s="59"/>
      <c r="H130" s="71"/>
      <c r="I130" s="71"/>
      <c r="J130" s="71"/>
      <c r="K130" s="71"/>
      <c r="L130" s="71"/>
      <c r="M130" s="71"/>
      <c r="N130" s="71"/>
      <c r="O130" s="71"/>
      <c r="P130" s="71"/>
      <c r="Q130" s="71"/>
      <c r="R130" s="71"/>
      <c r="S130" s="71"/>
      <c r="T130" s="71"/>
      <c r="U130" s="71"/>
      <c r="V130" s="71"/>
      <c r="W130" s="71"/>
      <c r="X130" s="71"/>
      <c r="Y130" s="71"/>
      <c r="Z130" s="71"/>
    </row>
    <row r="131" ht="15.75" customHeight="1">
      <c r="A131" s="72"/>
      <c r="B131" s="71"/>
      <c r="C131" s="71"/>
      <c r="D131" s="71"/>
      <c r="E131" s="71"/>
      <c r="F131" s="71"/>
      <c r="G131" s="59"/>
      <c r="H131" s="71"/>
      <c r="I131" s="71"/>
      <c r="J131" s="71"/>
      <c r="K131" s="71"/>
      <c r="L131" s="71"/>
      <c r="M131" s="71"/>
      <c r="N131" s="71"/>
      <c r="O131" s="71"/>
      <c r="P131" s="71"/>
      <c r="Q131" s="71"/>
      <c r="R131" s="71"/>
      <c r="S131" s="71"/>
      <c r="T131" s="71"/>
      <c r="U131" s="71"/>
      <c r="V131" s="71"/>
      <c r="W131" s="71"/>
      <c r="X131" s="71"/>
      <c r="Y131" s="71"/>
      <c r="Z131" s="71"/>
    </row>
    <row r="132" ht="15.75" customHeight="1">
      <c r="A132" s="72"/>
      <c r="B132" s="71"/>
      <c r="C132" s="71"/>
      <c r="D132" s="71"/>
      <c r="E132" s="71"/>
      <c r="F132" s="71"/>
      <c r="G132" s="59"/>
      <c r="H132" s="71"/>
      <c r="I132" s="71"/>
      <c r="J132" s="71"/>
      <c r="K132" s="71"/>
      <c r="L132" s="71"/>
      <c r="M132" s="71"/>
      <c r="N132" s="71"/>
      <c r="O132" s="71"/>
      <c r="P132" s="71"/>
      <c r="Q132" s="71"/>
      <c r="R132" s="71"/>
      <c r="S132" s="71"/>
      <c r="T132" s="71"/>
      <c r="U132" s="71"/>
      <c r="V132" s="71"/>
      <c r="W132" s="71"/>
      <c r="X132" s="71"/>
      <c r="Y132" s="71"/>
      <c r="Z132" s="71"/>
    </row>
    <row r="133" ht="15.75" customHeight="1">
      <c r="A133" s="72"/>
      <c r="B133" s="71"/>
      <c r="C133" s="71"/>
      <c r="D133" s="71"/>
      <c r="E133" s="71"/>
      <c r="F133" s="71"/>
      <c r="G133" s="59"/>
      <c r="H133" s="71"/>
      <c r="I133" s="71"/>
      <c r="J133" s="71"/>
      <c r="K133" s="71"/>
      <c r="L133" s="71"/>
      <c r="M133" s="71"/>
      <c r="N133" s="71"/>
      <c r="O133" s="71"/>
      <c r="P133" s="71"/>
      <c r="Q133" s="71"/>
      <c r="R133" s="71"/>
      <c r="S133" s="71"/>
      <c r="T133" s="71"/>
      <c r="U133" s="71"/>
      <c r="V133" s="71"/>
      <c r="W133" s="71"/>
      <c r="X133" s="71"/>
      <c r="Y133" s="71"/>
      <c r="Z133" s="71"/>
    </row>
    <row r="134" ht="15.75" customHeight="1">
      <c r="A134" s="72"/>
      <c r="B134" s="71"/>
      <c r="C134" s="71"/>
      <c r="D134" s="71"/>
      <c r="E134" s="71"/>
      <c r="F134" s="71"/>
      <c r="G134" s="59"/>
      <c r="H134" s="71"/>
      <c r="I134" s="71"/>
      <c r="J134" s="71"/>
      <c r="K134" s="71"/>
      <c r="L134" s="71"/>
      <c r="M134" s="71"/>
      <c r="N134" s="71"/>
      <c r="O134" s="71"/>
      <c r="P134" s="71"/>
      <c r="Q134" s="71"/>
      <c r="R134" s="71"/>
      <c r="S134" s="71"/>
      <c r="T134" s="71"/>
      <c r="U134" s="71"/>
      <c r="V134" s="71"/>
      <c r="W134" s="71"/>
      <c r="X134" s="71"/>
      <c r="Y134" s="71"/>
      <c r="Z134" s="71"/>
    </row>
    <row r="135" ht="15.75" customHeight="1">
      <c r="A135" s="72"/>
      <c r="B135" s="71"/>
      <c r="C135" s="71"/>
      <c r="D135" s="71"/>
      <c r="E135" s="71"/>
      <c r="F135" s="71"/>
      <c r="G135" s="59"/>
      <c r="H135" s="71"/>
      <c r="I135" s="71"/>
      <c r="J135" s="71"/>
      <c r="K135" s="71"/>
      <c r="L135" s="71"/>
      <c r="M135" s="71"/>
      <c r="N135" s="71"/>
      <c r="O135" s="71"/>
      <c r="P135" s="71"/>
      <c r="Q135" s="71"/>
      <c r="R135" s="71"/>
      <c r="S135" s="71"/>
      <c r="T135" s="71"/>
      <c r="U135" s="71"/>
      <c r="V135" s="71"/>
      <c r="W135" s="71"/>
      <c r="X135" s="71"/>
      <c r="Y135" s="71"/>
      <c r="Z135" s="71"/>
    </row>
    <row r="136" ht="15.75" customHeight="1">
      <c r="A136" s="72"/>
      <c r="B136" s="71"/>
      <c r="C136" s="71"/>
      <c r="D136" s="71"/>
      <c r="E136" s="71"/>
      <c r="F136" s="71"/>
      <c r="G136" s="59"/>
      <c r="H136" s="71"/>
      <c r="I136" s="71"/>
      <c r="J136" s="71"/>
      <c r="K136" s="71"/>
      <c r="L136" s="71"/>
      <c r="M136" s="71"/>
      <c r="N136" s="71"/>
      <c r="O136" s="71"/>
      <c r="P136" s="71"/>
      <c r="Q136" s="71"/>
      <c r="R136" s="71"/>
      <c r="S136" s="71"/>
      <c r="T136" s="71"/>
      <c r="U136" s="71"/>
      <c r="V136" s="71"/>
      <c r="W136" s="71"/>
      <c r="X136" s="71"/>
      <c r="Y136" s="71"/>
      <c r="Z136" s="71"/>
    </row>
    <row r="137" ht="15.75" customHeight="1">
      <c r="A137" s="72"/>
      <c r="B137" s="71"/>
      <c r="C137" s="71"/>
      <c r="D137" s="71"/>
      <c r="E137" s="71"/>
      <c r="F137" s="71"/>
      <c r="G137" s="59"/>
      <c r="H137" s="71"/>
      <c r="I137" s="71"/>
      <c r="J137" s="71"/>
      <c r="K137" s="71"/>
      <c r="L137" s="71"/>
      <c r="M137" s="71"/>
      <c r="N137" s="71"/>
      <c r="O137" s="71"/>
      <c r="P137" s="71"/>
      <c r="Q137" s="71"/>
      <c r="R137" s="71"/>
      <c r="S137" s="71"/>
      <c r="T137" s="71"/>
      <c r="U137" s="71"/>
      <c r="V137" s="71"/>
      <c r="W137" s="71"/>
      <c r="X137" s="71"/>
      <c r="Y137" s="71"/>
      <c r="Z137" s="71"/>
    </row>
    <row r="138" ht="15.75" customHeight="1">
      <c r="A138" s="72"/>
      <c r="B138" s="71"/>
      <c r="C138" s="71"/>
      <c r="D138" s="71"/>
      <c r="E138" s="71"/>
      <c r="F138" s="71"/>
      <c r="G138" s="59"/>
      <c r="H138" s="71"/>
      <c r="I138" s="71"/>
      <c r="J138" s="71"/>
      <c r="K138" s="71"/>
      <c r="L138" s="71"/>
      <c r="M138" s="71"/>
      <c r="N138" s="71"/>
      <c r="O138" s="71"/>
      <c r="P138" s="71"/>
      <c r="Q138" s="71"/>
      <c r="R138" s="71"/>
      <c r="S138" s="71"/>
      <c r="T138" s="71"/>
      <c r="U138" s="71"/>
      <c r="V138" s="71"/>
      <c r="W138" s="71"/>
      <c r="X138" s="71"/>
      <c r="Y138" s="71"/>
      <c r="Z138" s="71"/>
    </row>
    <row r="139" ht="15.75" customHeight="1">
      <c r="A139" s="72"/>
      <c r="B139" s="71"/>
      <c r="C139" s="71"/>
      <c r="D139" s="71"/>
      <c r="E139" s="71"/>
      <c r="F139" s="71"/>
      <c r="G139" s="59"/>
      <c r="H139" s="71"/>
      <c r="I139" s="71"/>
      <c r="J139" s="71"/>
      <c r="K139" s="71"/>
      <c r="L139" s="71"/>
      <c r="M139" s="71"/>
      <c r="N139" s="71"/>
      <c r="O139" s="71"/>
      <c r="P139" s="71"/>
      <c r="Q139" s="71"/>
      <c r="R139" s="71"/>
      <c r="S139" s="71"/>
      <c r="T139" s="71"/>
      <c r="U139" s="71"/>
      <c r="V139" s="71"/>
      <c r="W139" s="71"/>
      <c r="X139" s="71"/>
      <c r="Y139" s="71"/>
      <c r="Z139" s="71"/>
    </row>
    <row r="140" ht="15.75" customHeight="1">
      <c r="A140" s="72"/>
      <c r="B140" s="71"/>
      <c r="C140" s="71"/>
      <c r="D140" s="71"/>
      <c r="E140" s="71"/>
      <c r="F140" s="71"/>
      <c r="G140" s="59"/>
      <c r="H140" s="71"/>
      <c r="I140" s="71"/>
      <c r="J140" s="71"/>
      <c r="K140" s="71"/>
      <c r="L140" s="71"/>
      <c r="M140" s="71"/>
      <c r="N140" s="71"/>
      <c r="O140" s="71"/>
      <c r="P140" s="71"/>
      <c r="Q140" s="71"/>
      <c r="R140" s="71"/>
      <c r="S140" s="71"/>
      <c r="T140" s="71"/>
      <c r="U140" s="71"/>
      <c r="V140" s="71"/>
      <c r="W140" s="71"/>
      <c r="X140" s="71"/>
      <c r="Y140" s="71"/>
      <c r="Z140" s="71"/>
    </row>
    <row r="141" ht="15.75" customHeight="1">
      <c r="A141" s="72"/>
      <c r="B141" s="71"/>
      <c r="C141" s="71"/>
      <c r="D141" s="71"/>
      <c r="E141" s="71"/>
      <c r="F141" s="71"/>
      <c r="G141" s="59"/>
      <c r="H141" s="71"/>
      <c r="I141" s="71"/>
      <c r="J141" s="71"/>
      <c r="K141" s="71"/>
      <c r="L141" s="71"/>
      <c r="M141" s="71"/>
      <c r="N141" s="71"/>
      <c r="O141" s="71"/>
      <c r="P141" s="71"/>
      <c r="Q141" s="71"/>
      <c r="R141" s="71"/>
      <c r="S141" s="71"/>
      <c r="T141" s="71"/>
      <c r="U141" s="71"/>
      <c r="V141" s="71"/>
      <c r="W141" s="71"/>
      <c r="X141" s="71"/>
      <c r="Y141" s="71"/>
      <c r="Z141" s="71"/>
    </row>
    <row r="142" ht="15.75" customHeight="1">
      <c r="A142" s="72"/>
      <c r="B142" s="71"/>
      <c r="C142" s="71"/>
      <c r="D142" s="71"/>
      <c r="E142" s="71"/>
      <c r="F142" s="71"/>
      <c r="G142" s="59"/>
      <c r="H142" s="71"/>
      <c r="I142" s="71"/>
      <c r="J142" s="71"/>
      <c r="K142" s="71"/>
      <c r="L142" s="71"/>
      <c r="M142" s="71"/>
      <c r="N142" s="71"/>
      <c r="O142" s="71"/>
      <c r="P142" s="71"/>
      <c r="Q142" s="71"/>
      <c r="R142" s="71"/>
      <c r="S142" s="71"/>
      <c r="T142" s="71"/>
      <c r="U142" s="71"/>
      <c r="V142" s="71"/>
      <c r="W142" s="71"/>
      <c r="X142" s="71"/>
      <c r="Y142" s="71"/>
      <c r="Z142" s="71"/>
    </row>
    <row r="143" ht="15.75" customHeight="1">
      <c r="A143" s="72"/>
      <c r="B143" s="71"/>
      <c r="C143" s="71"/>
      <c r="D143" s="71"/>
      <c r="E143" s="71"/>
      <c r="F143" s="71"/>
      <c r="G143" s="59"/>
      <c r="H143" s="71"/>
      <c r="I143" s="71"/>
      <c r="J143" s="71"/>
      <c r="K143" s="71"/>
      <c r="L143" s="71"/>
      <c r="M143" s="71"/>
      <c r="N143" s="71"/>
      <c r="O143" s="71"/>
      <c r="P143" s="71"/>
      <c r="Q143" s="71"/>
      <c r="R143" s="71"/>
      <c r="S143" s="71"/>
      <c r="T143" s="71"/>
      <c r="U143" s="71"/>
      <c r="V143" s="71"/>
      <c r="W143" s="71"/>
      <c r="X143" s="71"/>
      <c r="Y143" s="71"/>
      <c r="Z143" s="71"/>
    </row>
    <row r="144" ht="15.75" customHeight="1">
      <c r="A144" s="72"/>
      <c r="B144" s="71"/>
      <c r="C144" s="71"/>
      <c r="D144" s="71"/>
      <c r="E144" s="71"/>
      <c r="F144" s="71"/>
      <c r="G144" s="59"/>
      <c r="H144" s="71"/>
      <c r="I144" s="71"/>
      <c r="J144" s="71"/>
      <c r="K144" s="71"/>
      <c r="L144" s="71"/>
      <c r="M144" s="71"/>
      <c r="N144" s="71"/>
      <c r="O144" s="71"/>
      <c r="P144" s="71"/>
      <c r="Q144" s="71"/>
      <c r="R144" s="71"/>
      <c r="S144" s="71"/>
      <c r="T144" s="71"/>
      <c r="U144" s="71"/>
      <c r="V144" s="71"/>
      <c r="W144" s="71"/>
      <c r="X144" s="71"/>
      <c r="Y144" s="71"/>
      <c r="Z144" s="71"/>
    </row>
    <row r="145" ht="15.75" customHeight="1">
      <c r="A145" s="72"/>
      <c r="B145" s="71"/>
      <c r="C145" s="71"/>
      <c r="D145" s="71"/>
      <c r="E145" s="71"/>
      <c r="F145" s="71"/>
      <c r="G145" s="59"/>
      <c r="H145" s="71"/>
      <c r="I145" s="71"/>
      <c r="J145" s="71"/>
      <c r="K145" s="71"/>
      <c r="L145" s="71"/>
      <c r="M145" s="71"/>
      <c r="N145" s="71"/>
      <c r="O145" s="71"/>
      <c r="P145" s="71"/>
      <c r="Q145" s="71"/>
      <c r="R145" s="71"/>
      <c r="S145" s="71"/>
      <c r="T145" s="71"/>
      <c r="U145" s="71"/>
      <c r="V145" s="71"/>
      <c r="W145" s="71"/>
      <c r="X145" s="71"/>
      <c r="Y145" s="71"/>
      <c r="Z145" s="71"/>
    </row>
    <row r="146" ht="15.75" customHeight="1">
      <c r="A146" s="72"/>
      <c r="B146" s="71"/>
      <c r="C146" s="71"/>
      <c r="D146" s="71"/>
      <c r="E146" s="71"/>
      <c r="F146" s="71"/>
      <c r="G146" s="59"/>
      <c r="H146" s="71"/>
      <c r="I146" s="71"/>
      <c r="J146" s="71"/>
      <c r="K146" s="71"/>
      <c r="L146" s="71"/>
      <c r="M146" s="71"/>
      <c r="N146" s="71"/>
      <c r="O146" s="71"/>
      <c r="P146" s="71"/>
      <c r="Q146" s="71"/>
      <c r="R146" s="71"/>
      <c r="S146" s="71"/>
      <c r="T146" s="71"/>
      <c r="U146" s="71"/>
      <c r="V146" s="71"/>
      <c r="W146" s="71"/>
      <c r="X146" s="71"/>
      <c r="Y146" s="71"/>
      <c r="Z146" s="71"/>
    </row>
    <row r="147" ht="15.75" customHeight="1">
      <c r="A147" s="72"/>
      <c r="B147" s="71"/>
      <c r="C147" s="71"/>
      <c r="D147" s="71"/>
      <c r="E147" s="71"/>
      <c r="F147" s="71"/>
      <c r="G147" s="59"/>
      <c r="H147" s="71"/>
      <c r="I147" s="71"/>
      <c r="J147" s="71"/>
      <c r="K147" s="71"/>
      <c r="L147" s="71"/>
      <c r="M147" s="71"/>
      <c r="N147" s="71"/>
      <c r="O147" s="71"/>
      <c r="P147" s="71"/>
      <c r="Q147" s="71"/>
      <c r="R147" s="71"/>
      <c r="S147" s="71"/>
      <c r="T147" s="71"/>
      <c r="U147" s="71"/>
      <c r="V147" s="71"/>
      <c r="W147" s="71"/>
      <c r="X147" s="71"/>
      <c r="Y147" s="71"/>
      <c r="Z147" s="71"/>
    </row>
    <row r="148" ht="15.75" customHeight="1">
      <c r="A148" s="72"/>
      <c r="B148" s="71"/>
      <c r="C148" s="71"/>
      <c r="D148" s="71"/>
      <c r="E148" s="71"/>
      <c r="F148" s="71"/>
      <c r="G148" s="59"/>
      <c r="H148" s="71"/>
      <c r="I148" s="71"/>
      <c r="J148" s="71"/>
      <c r="K148" s="71"/>
      <c r="L148" s="71"/>
      <c r="M148" s="71"/>
      <c r="N148" s="71"/>
      <c r="O148" s="71"/>
      <c r="P148" s="71"/>
      <c r="Q148" s="71"/>
      <c r="R148" s="71"/>
      <c r="S148" s="71"/>
      <c r="T148" s="71"/>
      <c r="U148" s="71"/>
      <c r="V148" s="71"/>
      <c r="W148" s="71"/>
      <c r="X148" s="71"/>
      <c r="Y148" s="71"/>
      <c r="Z148" s="71"/>
    </row>
    <row r="149" ht="15.75" customHeight="1">
      <c r="A149" s="72"/>
      <c r="B149" s="71"/>
      <c r="C149" s="71"/>
      <c r="D149" s="71"/>
      <c r="E149" s="71"/>
      <c r="F149" s="71"/>
      <c r="G149" s="59"/>
      <c r="H149" s="71"/>
      <c r="I149" s="71"/>
      <c r="J149" s="71"/>
      <c r="K149" s="71"/>
      <c r="L149" s="71"/>
      <c r="M149" s="71"/>
      <c r="N149" s="71"/>
      <c r="O149" s="71"/>
      <c r="P149" s="71"/>
      <c r="Q149" s="71"/>
      <c r="R149" s="71"/>
      <c r="S149" s="71"/>
      <c r="T149" s="71"/>
      <c r="U149" s="71"/>
      <c r="V149" s="71"/>
      <c r="W149" s="71"/>
      <c r="X149" s="71"/>
      <c r="Y149" s="71"/>
      <c r="Z149" s="71"/>
    </row>
    <row r="150" ht="15.75" customHeight="1">
      <c r="A150" s="72"/>
      <c r="B150" s="71"/>
      <c r="C150" s="71"/>
      <c r="D150" s="71"/>
      <c r="E150" s="71"/>
      <c r="F150" s="71"/>
      <c r="G150" s="59"/>
      <c r="H150" s="71"/>
      <c r="I150" s="71"/>
      <c r="J150" s="71"/>
      <c r="K150" s="71"/>
      <c r="L150" s="71"/>
      <c r="M150" s="71"/>
      <c r="N150" s="71"/>
      <c r="O150" s="71"/>
      <c r="P150" s="71"/>
      <c r="Q150" s="71"/>
      <c r="R150" s="71"/>
      <c r="S150" s="71"/>
      <c r="T150" s="71"/>
      <c r="U150" s="71"/>
      <c r="V150" s="71"/>
      <c r="W150" s="71"/>
      <c r="X150" s="71"/>
      <c r="Y150" s="71"/>
      <c r="Z150" s="71"/>
    </row>
    <row r="151" ht="15.75" customHeight="1">
      <c r="A151" s="72"/>
      <c r="B151" s="71"/>
      <c r="C151" s="71"/>
      <c r="D151" s="71"/>
      <c r="E151" s="71"/>
      <c r="F151" s="71"/>
      <c r="G151" s="59"/>
      <c r="H151" s="71"/>
      <c r="I151" s="71"/>
      <c r="J151" s="71"/>
      <c r="K151" s="71"/>
      <c r="L151" s="71"/>
      <c r="M151" s="71"/>
      <c r="N151" s="71"/>
      <c r="O151" s="71"/>
      <c r="P151" s="71"/>
      <c r="Q151" s="71"/>
      <c r="R151" s="71"/>
      <c r="S151" s="71"/>
      <c r="T151" s="71"/>
      <c r="U151" s="71"/>
      <c r="V151" s="71"/>
      <c r="W151" s="71"/>
      <c r="X151" s="71"/>
      <c r="Y151" s="71"/>
      <c r="Z151" s="71"/>
    </row>
    <row r="152" ht="15.75" customHeight="1">
      <c r="A152" s="72"/>
      <c r="B152" s="71"/>
      <c r="C152" s="71"/>
      <c r="D152" s="71"/>
      <c r="E152" s="71"/>
      <c r="F152" s="71"/>
      <c r="G152" s="59"/>
      <c r="H152" s="71"/>
      <c r="I152" s="71"/>
      <c r="J152" s="71"/>
      <c r="K152" s="71"/>
      <c r="L152" s="71"/>
      <c r="M152" s="71"/>
      <c r="N152" s="71"/>
      <c r="O152" s="71"/>
      <c r="P152" s="71"/>
      <c r="Q152" s="71"/>
      <c r="R152" s="71"/>
      <c r="S152" s="71"/>
      <c r="T152" s="71"/>
      <c r="U152" s="71"/>
      <c r="V152" s="71"/>
      <c r="W152" s="71"/>
      <c r="X152" s="71"/>
      <c r="Y152" s="71"/>
      <c r="Z152" s="71"/>
    </row>
    <row r="153" ht="15.75" customHeight="1">
      <c r="A153" s="72"/>
      <c r="B153" s="71"/>
      <c r="C153" s="71"/>
      <c r="D153" s="71"/>
      <c r="E153" s="71"/>
      <c r="F153" s="71"/>
      <c r="G153" s="59"/>
      <c r="H153" s="71"/>
      <c r="I153" s="71"/>
      <c r="J153" s="71"/>
      <c r="K153" s="71"/>
      <c r="L153" s="71"/>
      <c r="M153" s="71"/>
      <c r="N153" s="71"/>
      <c r="O153" s="71"/>
      <c r="P153" s="71"/>
      <c r="Q153" s="71"/>
      <c r="R153" s="71"/>
      <c r="S153" s="71"/>
      <c r="T153" s="71"/>
      <c r="U153" s="71"/>
      <c r="V153" s="71"/>
      <c r="W153" s="71"/>
      <c r="X153" s="71"/>
      <c r="Y153" s="71"/>
      <c r="Z153" s="71"/>
    </row>
    <row r="154" ht="15.75" customHeight="1">
      <c r="A154" s="72"/>
      <c r="B154" s="71"/>
      <c r="C154" s="71"/>
      <c r="D154" s="71"/>
      <c r="E154" s="71"/>
      <c r="F154" s="71"/>
      <c r="G154" s="59"/>
      <c r="H154" s="71"/>
      <c r="I154" s="71"/>
      <c r="J154" s="71"/>
      <c r="K154" s="71"/>
      <c r="L154" s="71"/>
      <c r="M154" s="71"/>
      <c r="N154" s="71"/>
      <c r="O154" s="71"/>
      <c r="P154" s="71"/>
      <c r="Q154" s="71"/>
      <c r="R154" s="71"/>
      <c r="S154" s="71"/>
      <c r="T154" s="71"/>
      <c r="U154" s="71"/>
      <c r="V154" s="71"/>
      <c r="W154" s="71"/>
      <c r="X154" s="71"/>
      <c r="Y154" s="71"/>
      <c r="Z154" s="71"/>
    </row>
    <row r="155" ht="15.75" customHeight="1">
      <c r="A155" s="72"/>
      <c r="B155" s="71"/>
      <c r="C155" s="71"/>
      <c r="D155" s="71"/>
      <c r="E155" s="71"/>
      <c r="F155" s="71"/>
      <c r="G155" s="59"/>
      <c r="H155" s="71"/>
      <c r="I155" s="71"/>
      <c r="J155" s="71"/>
      <c r="K155" s="71"/>
      <c r="L155" s="71"/>
      <c r="M155" s="71"/>
      <c r="N155" s="71"/>
      <c r="O155" s="71"/>
      <c r="P155" s="71"/>
      <c r="Q155" s="71"/>
      <c r="R155" s="71"/>
      <c r="S155" s="71"/>
      <c r="T155" s="71"/>
      <c r="U155" s="71"/>
      <c r="V155" s="71"/>
      <c r="W155" s="71"/>
      <c r="X155" s="71"/>
      <c r="Y155" s="71"/>
      <c r="Z155" s="71"/>
    </row>
    <row r="156" ht="15.75" customHeight="1">
      <c r="A156" s="72"/>
      <c r="B156" s="71"/>
      <c r="C156" s="71"/>
      <c r="D156" s="71"/>
      <c r="E156" s="71"/>
      <c r="F156" s="71"/>
      <c r="G156" s="59"/>
      <c r="H156" s="71"/>
      <c r="I156" s="71"/>
      <c r="J156" s="71"/>
      <c r="K156" s="71"/>
      <c r="L156" s="71"/>
      <c r="M156" s="71"/>
      <c r="N156" s="71"/>
      <c r="O156" s="71"/>
      <c r="P156" s="71"/>
      <c r="Q156" s="71"/>
      <c r="R156" s="71"/>
      <c r="S156" s="71"/>
      <c r="T156" s="71"/>
      <c r="U156" s="71"/>
      <c r="V156" s="71"/>
      <c r="W156" s="71"/>
      <c r="X156" s="71"/>
      <c r="Y156" s="71"/>
      <c r="Z156" s="71"/>
    </row>
    <row r="157" ht="15.75" customHeight="1">
      <c r="A157" s="72"/>
      <c r="B157" s="71"/>
      <c r="C157" s="71"/>
      <c r="D157" s="71"/>
      <c r="E157" s="71"/>
      <c r="F157" s="71"/>
      <c r="G157" s="59"/>
      <c r="H157" s="71"/>
      <c r="I157" s="71"/>
      <c r="J157" s="71"/>
      <c r="K157" s="71"/>
      <c r="L157" s="71"/>
      <c r="M157" s="71"/>
      <c r="N157" s="71"/>
      <c r="O157" s="71"/>
      <c r="P157" s="71"/>
      <c r="Q157" s="71"/>
      <c r="R157" s="71"/>
      <c r="S157" s="71"/>
      <c r="T157" s="71"/>
      <c r="U157" s="71"/>
      <c r="V157" s="71"/>
      <c r="W157" s="71"/>
      <c r="X157" s="71"/>
      <c r="Y157" s="71"/>
      <c r="Z157" s="71"/>
    </row>
    <row r="158" ht="15.75" customHeight="1">
      <c r="A158" s="72"/>
      <c r="B158" s="71"/>
      <c r="C158" s="71"/>
      <c r="D158" s="71"/>
      <c r="E158" s="71"/>
      <c r="F158" s="71"/>
      <c r="G158" s="59"/>
      <c r="H158" s="71"/>
      <c r="I158" s="71"/>
      <c r="J158" s="71"/>
      <c r="K158" s="71"/>
      <c r="L158" s="71"/>
      <c r="M158" s="71"/>
      <c r="N158" s="71"/>
      <c r="O158" s="71"/>
      <c r="P158" s="71"/>
      <c r="Q158" s="71"/>
      <c r="R158" s="71"/>
      <c r="S158" s="71"/>
      <c r="T158" s="71"/>
      <c r="U158" s="71"/>
      <c r="V158" s="71"/>
      <c r="W158" s="71"/>
      <c r="X158" s="71"/>
      <c r="Y158" s="71"/>
      <c r="Z158" s="71"/>
    </row>
    <row r="159" ht="15.75" customHeight="1">
      <c r="A159" s="72"/>
      <c r="B159" s="71"/>
      <c r="C159" s="71"/>
      <c r="D159" s="71"/>
      <c r="E159" s="71"/>
      <c r="F159" s="71"/>
      <c r="G159" s="59"/>
      <c r="H159" s="71"/>
      <c r="I159" s="71"/>
      <c r="J159" s="71"/>
      <c r="K159" s="71"/>
      <c r="L159" s="71"/>
      <c r="M159" s="71"/>
      <c r="N159" s="71"/>
      <c r="O159" s="71"/>
      <c r="P159" s="71"/>
      <c r="Q159" s="71"/>
      <c r="R159" s="71"/>
      <c r="S159" s="71"/>
      <c r="T159" s="71"/>
      <c r="U159" s="71"/>
      <c r="V159" s="71"/>
      <c r="W159" s="71"/>
      <c r="X159" s="71"/>
      <c r="Y159" s="71"/>
      <c r="Z159" s="71"/>
    </row>
    <row r="160" ht="15.75" customHeight="1">
      <c r="A160" s="72"/>
      <c r="B160" s="71"/>
      <c r="C160" s="71"/>
      <c r="D160" s="71"/>
      <c r="E160" s="71"/>
      <c r="F160" s="71"/>
      <c r="G160" s="59"/>
      <c r="H160" s="71"/>
      <c r="I160" s="71"/>
      <c r="J160" s="71"/>
      <c r="K160" s="71"/>
      <c r="L160" s="71"/>
      <c r="M160" s="71"/>
      <c r="N160" s="71"/>
      <c r="O160" s="71"/>
      <c r="P160" s="71"/>
      <c r="Q160" s="71"/>
      <c r="R160" s="71"/>
      <c r="S160" s="71"/>
      <c r="T160" s="71"/>
      <c r="U160" s="71"/>
      <c r="V160" s="71"/>
      <c r="W160" s="71"/>
      <c r="X160" s="71"/>
      <c r="Y160" s="71"/>
      <c r="Z160" s="71"/>
    </row>
    <row r="161" ht="15.75" customHeight="1">
      <c r="A161" s="72"/>
      <c r="B161" s="71"/>
      <c r="C161" s="71"/>
      <c r="D161" s="71"/>
      <c r="E161" s="71"/>
      <c r="F161" s="71"/>
      <c r="G161" s="59"/>
      <c r="H161" s="71"/>
      <c r="I161" s="71"/>
      <c r="J161" s="71"/>
      <c r="K161" s="71"/>
      <c r="L161" s="71"/>
      <c r="M161" s="71"/>
      <c r="N161" s="71"/>
      <c r="O161" s="71"/>
      <c r="P161" s="71"/>
      <c r="Q161" s="71"/>
      <c r="R161" s="71"/>
      <c r="S161" s="71"/>
      <c r="T161" s="71"/>
      <c r="U161" s="71"/>
      <c r="V161" s="71"/>
      <c r="W161" s="71"/>
      <c r="X161" s="71"/>
      <c r="Y161" s="71"/>
      <c r="Z161" s="71"/>
    </row>
    <row r="162" ht="15.75" customHeight="1">
      <c r="A162" s="72"/>
      <c r="B162" s="71"/>
      <c r="C162" s="71"/>
      <c r="D162" s="71"/>
      <c r="E162" s="71"/>
      <c r="F162" s="71"/>
      <c r="G162" s="59"/>
      <c r="H162" s="71"/>
      <c r="I162" s="71"/>
      <c r="J162" s="71"/>
      <c r="K162" s="71"/>
      <c r="L162" s="71"/>
      <c r="M162" s="71"/>
      <c r="N162" s="71"/>
      <c r="O162" s="71"/>
      <c r="P162" s="71"/>
      <c r="Q162" s="71"/>
      <c r="R162" s="71"/>
      <c r="S162" s="71"/>
      <c r="T162" s="71"/>
      <c r="U162" s="71"/>
      <c r="V162" s="71"/>
      <c r="W162" s="71"/>
      <c r="X162" s="71"/>
      <c r="Y162" s="71"/>
      <c r="Z162" s="71"/>
    </row>
    <row r="163" ht="15.75" customHeight="1">
      <c r="A163" s="72"/>
      <c r="B163" s="71"/>
      <c r="C163" s="71"/>
      <c r="D163" s="71"/>
      <c r="E163" s="71"/>
      <c r="F163" s="71"/>
      <c r="G163" s="59"/>
      <c r="H163" s="71"/>
      <c r="I163" s="71"/>
      <c r="J163" s="71"/>
      <c r="K163" s="71"/>
      <c r="L163" s="71"/>
      <c r="M163" s="71"/>
      <c r="N163" s="71"/>
      <c r="O163" s="71"/>
      <c r="P163" s="71"/>
      <c r="Q163" s="71"/>
      <c r="R163" s="71"/>
      <c r="S163" s="71"/>
      <c r="T163" s="71"/>
      <c r="U163" s="71"/>
      <c r="V163" s="71"/>
      <c r="W163" s="71"/>
      <c r="X163" s="71"/>
      <c r="Y163" s="71"/>
      <c r="Z163" s="71"/>
    </row>
    <row r="164" ht="15.75" customHeight="1">
      <c r="A164" s="72"/>
      <c r="B164" s="71"/>
      <c r="C164" s="71"/>
      <c r="D164" s="71"/>
      <c r="E164" s="71"/>
      <c r="F164" s="71"/>
      <c r="G164" s="59"/>
      <c r="H164" s="71"/>
      <c r="I164" s="71"/>
      <c r="J164" s="71"/>
      <c r="K164" s="71"/>
      <c r="L164" s="71"/>
      <c r="M164" s="71"/>
      <c r="N164" s="71"/>
      <c r="O164" s="71"/>
      <c r="P164" s="71"/>
      <c r="Q164" s="71"/>
      <c r="R164" s="71"/>
      <c r="S164" s="71"/>
      <c r="T164" s="71"/>
      <c r="U164" s="71"/>
      <c r="V164" s="71"/>
      <c r="W164" s="71"/>
      <c r="X164" s="71"/>
      <c r="Y164" s="71"/>
      <c r="Z164" s="71"/>
    </row>
    <row r="165" ht="15.75" customHeight="1">
      <c r="A165" s="72"/>
      <c r="B165" s="71"/>
      <c r="C165" s="71"/>
      <c r="D165" s="71"/>
      <c r="E165" s="71"/>
      <c r="F165" s="71"/>
      <c r="G165" s="59"/>
      <c r="H165" s="71"/>
      <c r="I165" s="71"/>
      <c r="J165" s="71"/>
      <c r="K165" s="71"/>
      <c r="L165" s="71"/>
      <c r="M165" s="71"/>
      <c r="N165" s="71"/>
      <c r="O165" s="71"/>
      <c r="P165" s="71"/>
      <c r="Q165" s="71"/>
      <c r="R165" s="71"/>
      <c r="S165" s="71"/>
      <c r="T165" s="71"/>
      <c r="U165" s="71"/>
      <c r="V165" s="71"/>
      <c r="W165" s="71"/>
      <c r="X165" s="71"/>
      <c r="Y165" s="71"/>
      <c r="Z165" s="71"/>
    </row>
    <row r="166" ht="15.75" customHeight="1">
      <c r="A166" s="72"/>
      <c r="B166" s="71"/>
      <c r="C166" s="71"/>
      <c r="D166" s="71"/>
      <c r="E166" s="71"/>
      <c r="F166" s="71"/>
      <c r="G166" s="59"/>
      <c r="H166" s="71"/>
      <c r="I166" s="71"/>
      <c r="J166" s="71"/>
      <c r="K166" s="71"/>
      <c r="L166" s="71"/>
      <c r="M166" s="71"/>
      <c r="N166" s="71"/>
      <c r="O166" s="71"/>
      <c r="P166" s="71"/>
      <c r="Q166" s="71"/>
      <c r="R166" s="71"/>
      <c r="S166" s="71"/>
      <c r="T166" s="71"/>
      <c r="U166" s="71"/>
      <c r="V166" s="71"/>
      <c r="W166" s="71"/>
      <c r="X166" s="71"/>
      <c r="Y166" s="71"/>
      <c r="Z166" s="71"/>
    </row>
    <row r="167" ht="15.75" customHeight="1">
      <c r="A167" s="72"/>
      <c r="B167" s="71"/>
      <c r="C167" s="71"/>
      <c r="D167" s="71"/>
      <c r="E167" s="71"/>
      <c r="F167" s="71"/>
      <c r="G167" s="59"/>
      <c r="H167" s="71"/>
      <c r="I167" s="71"/>
      <c r="J167" s="71"/>
      <c r="K167" s="71"/>
      <c r="L167" s="71"/>
      <c r="M167" s="71"/>
      <c r="N167" s="71"/>
      <c r="O167" s="71"/>
      <c r="P167" s="71"/>
      <c r="Q167" s="71"/>
      <c r="R167" s="71"/>
      <c r="S167" s="71"/>
      <c r="T167" s="71"/>
      <c r="U167" s="71"/>
      <c r="V167" s="71"/>
      <c r="W167" s="71"/>
      <c r="X167" s="71"/>
      <c r="Y167" s="71"/>
      <c r="Z167" s="71"/>
    </row>
    <row r="168" ht="15.75" customHeight="1">
      <c r="A168" s="72"/>
      <c r="B168" s="71"/>
      <c r="C168" s="71"/>
      <c r="D168" s="71"/>
      <c r="E168" s="71"/>
      <c r="F168" s="71"/>
      <c r="G168" s="59"/>
      <c r="H168" s="71"/>
      <c r="I168" s="71"/>
      <c r="J168" s="71"/>
      <c r="K168" s="71"/>
      <c r="L168" s="71"/>
      <c r="M168" s="71"/>
      <c r="N168" s="71"/>
      <c r="O168" s="71"/>
      <c r="P168" s="71"/>
      <c r="Q168" s="71"/>
      <c r="R168" s="71"/>
      <c r="S168" s="71"/>
      <c r="T168" s="71"/>
      <c r="U168" s="71"/>
      <c r="V168" s="71"/>
      <c r="W168" s="71"/>
      <c r="X168" s="71"/>
      <c r="Y168" s="71"/>
      <c r="Z168" s="71"/>
    </row>
    <row r="169" ht="15.75" customHeight="1">
      <c r="A169" s="72"/>
      <c r="B169" s="71"/>
      <c r="C169" s="71"/>
      <c r="D169" s="71"/>
      <c r="E169" s="71"/>
      <c r="F169" s="71"/>
      <c r="G169" s="59"/>
      <c r="H169" s="71"/>
      <c r="I169" s="71"/>
      <c r="J169" s="71"/>
      <c r="K169" s="71"/>
      <c r="L169" s="71"/>
      <c r="M169" s="71"/>
      <c r="N169" s="71"/>
      <c r="O169" s="71"/>
      <c r="P169" s="71"/>
      <c r="Q169" s="71"/>
      <c r="R169" s="71"/>
      <c r="S169" s="71"/>
      <c r="T169" s="71"/>
      <c r="U169" s="71"/>
      <c r="V169" s="71"/>
      <c r="W169" s="71"/>
      <c r="X169" s="71"/>
      <c r="Y169" s="71"/>
      <c r="Z169" s="71"/>
    </row>
    <row r="170" ht="15.75" customHeight="1">
      <c r="A170" s="72"/>
      <c r="B170" s="71"/>
      <c r="C170" s="71"/>
      <c r="D170" s="71"/>
      <c r="E170" s="71"/>
      <c r="F170" s="71"/>
      <c r="G170" s="59"/>
      <c r="H170" s="71"/>
      <c r="I170" s="71"/>
      <c r="J170" s="71"/>
      <c r="K170" s="71"/>
      <c r="L170" s="71"/>
      <c r="M170" s="71"/>
      <c r="N170" s="71"/>
      <c r="O170" s="71"/>
      <c r="P170" s="71"/>
      <c r="Q170" s="71"/>
      <c r="R170" s="71"/>
      <c r="S170" s="71"/>
      <c r="T170" s="71"/>
      <c r="U170" s="71"/>
      <c r="V170" s="71"/>
      <c r="W170" s="71"/>
      <c r="X170" s="71"/>
      <c r="Y170" s="71"/>
      <c r="Z170" s="71"/>
    </row>
    <row r="171" ht="15.75" customHeight="1">
      <c r="A171" s="72"/>
      <c r="B171" s="71"/>
      <c r="C171" s="71"/>
      <c r="D171" s="71"/>
      <c r="E171" s="71"/>
      <c r="F171" s="71"/>
      <c r="G171" s="59"/>
      <c r="H171" s="71"/>
      <c r="I171" s="71"/>
      <c r="J171" s="71"/>
      <c r="K171" s="71"/>
      <c r="L171" s="71"/>
      <c r="M171" s="71"/>
      <c r="N171" s="71"/>
      <c r="O171" s="71"/>
      <c r="P171" s="71"/>
      <c r="Q171" s="71"/>
      <c r="R171" s="71"/>
      <c r="S171" s="71"/>
      <c r="T171" s="71"/>
      <c r="U171" s="71"/>
      <c r="V171" s="71"/>
      <c r="W171" s="71"/>
      <c r="X171" s="71"/>
      <c r="Y171" s="71"/>
      <c r="Z171" s="71"/>
    </row>
    <row r="172" ht="15.75" customHeight="1">
      <c r="A172" s="72"/>
      <c r="B172" s="71"/>
      <c r="C172" s="71"/>
      <c r="D172" s="71"/>
      <c r="E172" s="71"/>
      <c r="F172" s="71"/>
      <c r="G172" s="59"/>
      <c r="H172" s="71"/>
      <c r="I172" s="71"/>
      <c r="J172" s="71"/>
      <c r="K172" s="71"/>
      <c r="L172" s="71"/>
      <c r="M172" s="71"/>
      <c r="N172" s="71"/>
      <c r="O172" s="71"/>
      <c r="P172" s="71"/>
      <c r="Q172" s="71"/>
      <c r="R172" s="71"/>
      <c r="S172" s="71"/>
      <c r="T172" s="71"/>
      <c r="U172" s="71"/>
      <c r="V172" s="71"/>
      <c r="W172" s="71"/>
      <c r="X172" s="71"/>
      <c r="Y172" s="71"/>
      <c r="Z172" s="71"/>
    </row>
    <row r="173" ht="15.75" customHeight="1">
      <c r="A173" s="72"/>
      <c r="B173" s="71"/>
      <c r="C173" s="71"/>
      <c r="D173" s="71"/>
      <c r="E173" s="71"/>
      <c r="F173" s="71"/>
      <c r="G173" s="59"/>
      <c r="H173" s="71"/>
      <c r="I173" s="71"/>
      <c r="J173" s="71"/>
      <c r="K173" s="71"/>
      <c r="L173" s="71"/>
      <c r="M173" s="71"/>
      <c r="N173" s="71"/>
      <c r="O173" s="71"/>
      <c r="P173" s="71"/>
      <c r="Q173" s="71"/>
      <c r="R173" s="71"/>
      <c r="S173" s="71"/>
      <c r="T173" s="71"/>
      <c r="U173" s="71"/>
      <c r="V173" s="71"/>
      <c r="W173" s="71"/>
      <c r="X173" s="71"/>
      <c r="Y173" s="71"/>
      <c r="Z173" s="71"/>
    </row>
    <row r="174" ht="15.75" customHeight="1">
      <c r="A174" s="72"/>
      <c r="B174" s="71"/>
      <c r="C174" s="71"/>
      <c r="D174" s="71"/>
      <c r="E174" s="71"/>
      <c r="F174" s="71"/>
      <c r="G174" s="59"/>
      <c r="H174" s="71"/>
      <c r="I174" s="71"/>
      <c r="J174" s="71"/>
      <c r="K174" s="71"/>
      <c r="L174" s="71"/>
      <c r="M174" s="71"/>
      <c r="N174" s="71"/>
      <c r="O174" s="71"/>
      <c r="P174" s="71"/>
      <c r="Q174" s="71"/>
      <c r="R174" s="71"/>
      <c r="S174" s="71"/>
      <c r="T174" s="71"/>
      <c r="U174" s="71"/>
      <c r="V174" s="71"/>
      <c r="W174" s="71"/>
      <c r="X174" s="71"/>
      <c r="Y174" s="71"/>
      <c r="Z174" s="71"/>
    </row>
    <row r="175" ht="15.75" customHeight="1">
      <c r="A175" s="72"/>
      <c r="B175" s="71"/>
      <c r="C175" s="71"/>
      <c r="D175" s="71"/>
      <c r="E175" s="71"/>
      <c r="F175" s="71"/>
      <c r="G175" s="59"/>
      <c r="H175" s="71"/>
      <c r="I175" s="71"/>
      <c r="J175" s="71"/>
      <c r="K175" s="71"/>
      <c r="L175" s="71"/>
      <c r="M175" s="71"/>
      <c r="N175" s="71"/>
      <c r="O175" s="71"/>
      <c r="P175" s="71"/>
      <c r="Q175" s="71"/>
      <c r="R175" s="71"/>
      <c r="S175" s="71"/>
      <c r="T175" s="71"/>
      <c r="U175" s="71"/>
      <c r="V175" s="71"/>
      <c r="W175" s="71"/>
      <c r="X175" s="71"/>
      <c r="Y175" s="71"/>
      <c r="Z175" s="71"/>
    </row>
    <row r="176" ht="15.75" customHeight="1">
      <c r="A176" s="72"/>
      <c r="B176" s="71"/>
      <c r="C176" s="71"/>
      <c r="D176" s="71"/>
      <c r="E176" s="71"/>
      <c r="F176" s="71"/>
      <c r="G176" s="59"/>
      <c r="H176" s="71"/>
      <c r="I176" s="71"/>
      <c r="J176" s="71"/>
      <c r="K176" s="71"/>
      <c r="L176" s="71"/>
      <c r="M176" s="71"/>
      <c r="N176" s="71"/>
      <c r="O176" s="71"/>
      <c r="P176" s="71"/>
      <c r="Q176" s="71"/>
      <c r="R176" s="71"/>
      <c r="S176" s="71"/>
      <c r="T176" s="71"/>
      <c r="U176" s="71"/>
      <c r="V176" s="71"/>
      <c r="W176" s="71"/>
      <c r="X176" s="71"/>
      <c r="Y176" s="71"/>
      <c r="Z176" s="71"/>
    </row>
    <row r="177" ht="15.75" customHeight="1">
      <c r="A177" s="72"/>
      <c r="B177" s="71"/>
      <c r="C177" s="71"/>
      <c r="D177" s="71"/>
      <c r="E177" s="71"/>
      <c r="F177" s="71"/>
      <c r="G177" s="59"/>
      <c r="H177" s="71"/>
      <c r="I177" s="71"/>
      <c r="J177" s="71"/>
      <c r="K177" s="71"/>
      <c r="L177" s="71"/>
      <c r="M177" s="71"/>
      <c r="N177" s="71"/>
      <c r="O177" s="71"/>
      <c r="P177" s="71"/>
      <c r="Q177" s="71"/>
      <c r="R177" s="71"/>
      <c r="S177" s="71"/>
      <c r="T177" s="71"/>
      <c r="U177" s="71"/>
      <c r="V177" s="71"/>
      <c r="W177" s="71"/>
      <c r="X177" s="71"/>
      <c r="Y177" s="71"/>
      <c r="Z177" s="71"/>
    </row>
    <row r="178" ht="15.75" customHeight="1">
      <c r="A178" s="72"/>
      <c r="B178" s="71"/>
      <c r="C178" s="71"/>
      <c r="D178" s="71"/>
      <c r="E178" s="71"/>
      <c r="F178" s="71"/>
      <c r="G178" s="59"/>
      <c r="H178" s="71"/>
      <c r="I178" s="71"/>
      <c r="J178" s="71"/>
      <c r="K178" s="71"/>
      <c r="L178" s="71"/>
      <c r="M178" s="71"/>
      <c r="N178" s="71"/>
      <c r="O178" s="71"/>
      <c r="P178" s="71"/>
      <c r="Q178" s="71"/>
      <c r="R178" s="71"/>
      <c r="S178" s="71"/>
      <c r="T178" s="71"/>
      <c r="U178" s="71"/>
      <c r="V178" s="71"/>
      <c r="W178" s="71"/>
      <c r="X178" s="71"/>
      <c r="Y178" s="71"/>
      <c r="Z178" s="71"/>
    </row>
    <row r="179" ht="15.75" customHeight="1">
      <c r="A179" s="72"/>
      <c r="B179" s="71"/>
      <c r="C179" s="71"/>
      <c r="D179" s="71"/>
      <c r="E179" s="71"/>
      <c r="F179" s="71"/>
      <c r="G179" s="59"/>
      <c r="H179" s="71"/>
      <c r="I179" s="71"/>
      <c r="J179" s="71"/>
      <c r="K179" s="71"/>
      <c r="L179" s="71"/>
      <c r="M179" s="71"/>
      <c r="N179" s="71"/>
      <c r="O179" s="71"/>
      <c r="P179" s="71"/>
      <c r="Q179" s="71"/>
      <c r="R179" s="71"/>
      <c r="S179" s="71"/>
      <c r="T179" s="71"/>
      <c r="U179" s="71"/>
      <c r="V179" s="71"/>
      <c r="W179" s="71"/>
      <c r="X179" s="71"/>
      <c r="Y179" s="71"/>
      <c r="Z179" s="71"/>
    </row>
    <row r="180" ht="15.75" customHeight="1">
      <c r="A180" s="72"/>
      <c r="B180" s="71"/>
      <c r="C180" s="71"/>
      <c r="D180" s="71"/>
      <c r="E180" s="71"/>
      <c r="F180" s="71"/>
      <c r="G180" s="59"/>
      <c r="H180" s="71"/>
      <c r="I180" s="71"/>
      <c r="J180" s="71"/>
      <c r="K180" s="71"/>
      <c r="L180" s="71"/>
      <c r="M180" s="71"/>
      <c r="N180" s="71"/>
      <c r="O180" s="71"/>
      <c r="P180" s="71"/>
      <c r="Q180" s="71"/>
      <c r="R180" s="71"/>
      <c r="S180" s="71"/>
      <c r="T180" s="71"/>
      <c r="U180" s="71"/>
      <c r="V180" s="71"/>
      <c r="W180" s="71"/>
      <c r="X180" s="71"/>
      <c r="Y180" s="71"/>
      <c r="Z180" s="71"/>
    </row>
    <row r="181" ht="15.75" customHeight="1">
      <c r="A181" s="72"/>
      <c r="B181" s="71"/>
      <c r="C181" s="71"/>
      <c r="D181" s="71"/>
      <c r="E181" s="71"/>
      <c r="F181" s="71"/>
      <c r="G181" s="59"/>
      <c r="H181" s="71"/>
      <c r="I181" s="71"/>
      <c r="J181" s="71"/>
      <c r="K181" s="71"/>
      <c r="L181" s="71"/>
      <c r="M181" s="71"/>
      <c r="N181" s="71"/>
      <c r="O181" s="71"/>
      <c r="P181" s="71"/>
      <c r="Q181" s="71"/>
      <c r="R181" s="71"/>
      <c r="S181" s="71"/>
      <c r="T181" s="71"/>
      <c r="U181" s="71"/>
      <c r="V181" s="71"/>
      <c r="W181" s="71"/>
      <c r="X181" s="71"/>
      <c r="Y181" s="71"/>
      <c r="Z181" s="71"/>
    </row>
    <row r="182" ht="15.75" customHeight="1">
      <c r="A182" s="72"/>
      <c r="B182" s="71"/>
      <c r="C182" s="71"/>
      <c r="D182" s="71"/>
      <c r="E182" s="71"/>
      <c r="F182" s="71"/>
      <c r="G182" s="59"/>
      <c r="H182" s="71"/>
      <c r="I182" s="71"/>
      <c r="J182" s="71"/>
      <c r="K182" s="71"/>
      <c r="L182" s="71"/>
      <c r="M182" s="71"/>
      <c r="N182" s="71"/>
      <c r="O182" s="71"/>
      <c r="P182" s="71"/>
      <c r="Q182" s="71"/>
      <c r="R182" s="71"/>
      <c r="S182" s="71"/>
      <c r="T182" s="71"/>
      <c r="U182" s="71"/>
      <c r="V182" s="71"/>
      <c r="W182" s="71"/>
      <c r="X182" s="71"/>
      <c r="Y182" s="71"/>
      <c r="Z182" s="71"/>
    </row>
    <row r="183" ht="15.75" customHeight="1">
      <c r="A183" s="72"/>
      <c r="B183" s="71"/>
      <c r="C183" s="71"/>
      <c r="D183" s="71"/>
      <c r="E183" s="71"/>
      <c r="F183" s="71"/>
      <c r="G183" s="59"/>
      <c r="H183" s="71"/>
      <c r="I183" s="71"/>
      <c r="J183" s="71"/>
      <c r="K183" s="71"/>
      <c r="L183" s="71"/>
      <c r="M183" s="71"/>
      <c r="N183" s="71"/>
      <c r="O183" s="71"/>
      <c r="P183" s="71"/>
      <c r="Q183" s="71"/>
      <c r="R183" s="71"/>
      <c r="S183" s="71"/>
      <c r="T183" s="71"/>
      <c r="U183" s="71"/>
      <c r="V183" s="71"/>
      <c r="W183" s="71"/>
      <c r="X183" s="71"/>
      <c r="Y183" s="71"/>
      <c r="Z183" s="71"/>
    </row>
    <row r="184" ht="15.75" customHeight="1">
      <c r="A184" s="72"/>
      <c r="B184" s="71"/>
      <c r="C184" s="71"/>
      <c r="D184" s="71"/>
      <c r="E184" s="71"/>
      <c r="F184" s="71"/>
      <c r="G184" s="59"/>
      <c r="H184" s="71"/>
      <c r="I184" s="71"/>
      <c r="J184" s="71"/>
      <c r="K184" s="71"/>
      <c r="L184" s="71"/>
      <c r="M184" s="71"/>
      <c r="N184" s="71"/>
      <c r="O184" s="71"/>
      <c r="P184" s="71"/>
      <c r="Q184" s="71"/>
      <c r="R184" s="71"/>
      <c r="S184" s="71"/>
      <c r="T184" s="71"/>
      <c r="U184" s="71"/>
      <c r="V184" s="71"/>
      <c r="W184" s="71"/>
      <c r="X184" s="71"/>
      <c r="Y184" s="71"/>
      <c r="Z184" s="71"/>
    </row>
    <row r="185" ht="15.75" customHeight="1">
      <c r="A185" s="72"/>
      <c r="B185" s="71"/>
      <c r="C185" s="71"/>
      <c r="D185" s="71"/>
      <c r="E185" s="71"/>
      <c r="F185" s="71"/>
      <c r="G185" s="59"/>
      <c r="H185" s="71"/>
      <c r="I185" s="71"/>
      <c r="J185" s="71"/>
      <c r="K185" s="71"/>
      <c r="L185" s="71"/>
      <c r="M185" s="71"/>
      <c r="N185" s="71"/>
      <c r="O185" s="71"/>
      <c r="P185" s="71"/>
      <c r="Q185" s="71"/>
      <c r="R185" s="71"/>
      <c r="S185" s="71"/>
      <c r="T185" s="71"/>
      <c r="U185" s="71"/>
      <c r="V185" s="71"/>
      <c r="W185" s="71"/>
      <c r="X185" s="71"/>
      <c r="Y185" s="71"/>
      <c r="Z185" s="71"/>
    </row>
    <row r="186" ht="15.75" customHeight="1">
      <c r="A186" s="72"/>
      <c r="B186" s="71"/>
      <c r="C186" s="71"/>
      <c r="D186" s="71"/>
      <c r="E186" s="71"/>
      <c r="F186" s="71"/>
      <c r="G186" s="59"/>
      <c r="H186" s="71"/>
      <c r="I186" s="71"/>
      <c r="J186" s="71"/>
      <c r="K186" s="71"/>
      <c r="L186" s="71"/>
      <c r="M186" s="71"/>
      <c r="N186" s="71"/>
      <c r="O186" s="71"/>
      <c r="P186" s="71"/>
      <c r="Q186" s="71"/>
      <c r="R186" s="71"/>
      <c r="S186" s="71"/>
      <c r="T186" s="71"/>
      <c r="U186" s="71"/>
      <c r="V186" s="71"/>
      <c r="W186" s="71"/>
      <c r="X186" s="71"/>
      <c r="Y186" s="71"/>
      <c r="Z186" s="71"/>
    </row>
    <row r="187" ht="15.75" customHeight="1">
      <c r="A187" s="72"/>
      <c r="B187" s="71"/>
      <c r="C187" s="71"/>
      <c r="D187" s="71"/>
      <c r="E187" s="71"/>
      <c r="F187" s="71"/>
      <c r="G187" s="59"/>
      <c r="H187" s="71"/>
      <c r="I187" s="71"/>
      <c r="J187" s="71"/>
      <c r="K187" s="71"/>
      <c r="L187" s="71"/>
      <c r="M187" s="71"/>
      <c r="N187" s="71"/>
      <c r="O187" s="71"/>
      <c r="P187" s="71"/>
      <c r="Q187" s="71"/>
      <c r="R187" s="71"/>
      <c r="S187" s="71"/>
      <c r="T187" s="71"/>
      <c r="U187" s="71"/>
      <c r="V187" s="71"/>
      <c r="W187" s="71"/>
      <c r="X187" s="71"/>
      <c r="Y187" s="71"/>
      <c r="Z187" s="71"/>
    </row>
    <row r="188" ht="15.75" customHeight="1">
      <c r="A188" s="72"/>
      <c r="B188" s="71"/>
      <c r="C188" s="71"/>
      <c r="D188" s="71"/>
      <c r="E188" s="71"/>
      <c r="F188" s="71"/>
      <c r="G188" s="59"/>
      <c r="H188" s="71"/>
      <c r="I188" s="71"/>
      <c r="J188" s="71"/>
      <c r="K188" s="71"/>
      <c r="L188" s="71"/>
      <c r="M188" s="71"/>
      <c r="N188" s="71"/>
      <c r="O188" s="71"/>
      <c r="P188" s="71"/>
      <c r="Q188" s="71"/>
      <c r="R188" s="71"/>
      <c r="S188" s="71"/>
      <c r="T188" s="71"/>
      <c r="U188" s="71"/>
      <c r="V188" s="71"/>
      <c r="W188" s="71"/>
      <c r="X188" s="71"/>
      <c r="Y188" s="71"/>
      <c r="Z188" s="71"/>
    </row>
    <row r="189" ht="15.75" customHeight="1">
      <c r="A189" s="72"/>
      <c r="B189" s="71"/>
      <c r="C189" s="71"/>
      <c r="D189" s="71"/>
      <c r="E189" s="71"/>
      <c r="F189" s="71"/>
      <c r="G189" s="59"/>
      <c r="H189" s="71"/>
      <c r="I189" s="71"/>
      <c r="J189" s="71"/>
      <c r="K189" s="71"/>
      <c r="L189" s="71"/>
      <c r="M189" s="71"/>
      <c r="N189" s="71"/>
      <c r="O189" s="71"/>
      <c r="P189" s="71"/>
      <c r="Q189" s="71"/>
      <c r="R189" s="71"/>
      <c r="S189" s="71"/>
      <c r="T189" s="71"/>
      <c r="U189" s="71"/>
      <c r="V189" s="71"/>
      <c r="W189" s="71"/>
      <c r="X189" s="71"/>
      <c r="Y189" s="71"/>
      <c r="Z189" s="71"/>
    </row>
    <row r="190" ht="15.75" customHeight="1">
      <c r="A190" s="72"/>
      <c r="B190" s="71"/>
      <c r="C190" s="71"/>
      <c r="D190" s="71"/>
      <c r="E190" s="71"/>
      <c r="F190" s="71"/>
      <c r="G190" s="59"/>
      <c r="H190" s="71"/>
      <c r="I190" s="71"/>
      <c r="J190" s="71"/>
      <c r="K190" s="71"/>
      <c r="L190" s="71"/>
      <c r="M190" s="71"/>
      <c r="N190" s="71"/>
      <c r="O190" s="71"/>
      <c r="P190" s="71"/>
      <c r="Q190" s="71"/>
      <c r="R190" s="71"/>
      <c r="S190" s="71"/>
      <c r="T190" s="71"/>
      <c r="U190" s="71"/>
      <c r="V190" s="71"/>
      <c r="W190" s="71"/>
      <c r="X190" s="71"/>
      <c r="Y190" s="71"/>
      <c r="Z190" s="71"/>
    </row>
    <row r="191" ht="15.75" customHeight="1">
      <c r="A191" s="72"/>
      <c r="B191" s="71"/>
      <c r="C191" s="71"/>
      <c r="D191" s="71"/>
      <c r="E191" s="71"/>
      <c r="F191" s="71"/>
      <c r="G191" s="59"/>
      <c r="H191" s="71"/>
      <c r="I191" s="71"/>
      <c r="J191" s="71"/>
      <c r="K191" s="71"/>
      <c r="L191" s="71"/>
      <c r="M191" s="71"/>
      <c r="N191" s="71"/>
      <c r="O191" s="71"/>
      <c r="P191" s="71"/>
      <c r="Q191" s="71"/>
      <c r="R191" s="71"/>
      <c r="S191" s="71"/>
      <c r="T191" s="71"/>
      <c r="U191" s="71"/>
      <c r="V191" s="71"/>
      <c r="W191" s="71"/>
      <c r="X191" s="71"/>
      <c r="Y191" s="71"/>
      <c r="Z191" s="71"/>
    </row>
    <row r="192" ht="15.75" customHeight="1">
      <c r="A192" s="72"/>
      <c r="B192" s="71"/>
      <c r="C192" s="71"/>
      <c r="D192" s="71"/>
      <c r="E192" s="71"/>
      <c r="F192" s="71"/>
      <c r="G192" s="59"/>
      <c r="H192" s="71"/>
      <c r="I192" s="71"/>
      <c r="J192" s="71"/>
      <c r="K192" s="71"/>
      <c r="L192" s="71"/>
      <c r="M192" s="71"/>
      <c r="N192" s="71"/>
      <c r="O192" s="71"/>
      <c r="P192" s="71"/>
      <c r="Q192" s="71"/>
      <c r="R192" s="71"/>
      <c r="S192" s="71"/>
      <c r="T192" s="71"/>
      <c r="U192" s="71"/>
      <c r="V192" s="71"/>
      <c r="W192" s="71"/>
      <c r="X192" s="71"/>
      <c r="Y192" s="71"/>
      <c r="Z192" s="71"/>
    </row>
    <row r="193" ht="15.75" customHeight="1">
      <c r="A193" s="72"/>
      <c r="B193" s="71"/>
      <c r="C193" s="71"/>
      <c r="D193" s="71"/>
      <c r="E193" s="71"/>
      <c r="F193" s="71"/>
      <c r="G193" s="59"/>
      <c r="H193" s="71"/>
      <c r="I193" s="71"/>
      <c r="J193" s="71"/>
      <c r="K193" s="71"/>
      <c r="L193" s="71"/>
      <c r="M193" s="71"/>
      <c r="N193" s="71"/>
      <c r="O193" s="71"/>
      <c r="P193" s="71"/>
      <c r="Q193" s="71"/>
      <c r="R193" s="71"/>
      <c r="S193" s="71"/>
      <c r="T193" s="71"/>
      <c r="U193" s="71"/>
      <c r="V193" s="71"/>
      <c r="W193" s="71"/>
      <c r="X193" s="71"/>
      <c r="Y193" s="71"/>
      <c r="Z193" s="71"/>
    </row>
    <row r="194" ht="15.75" customHeight="1">
      <c r="A194" s="72"/>
      <c r="B194" s="71"/>
      <c r="C194" s="71"/>
      <c r="D194" s="71"/>
      <c r="E194" s="71"/>
      <c r="F194" s="71"/>
      <c r="G194" s="59"/>
      <c r="H194" s="71"/>
      <c r="I194" s="71"/>
      <c r="J194" s="71"/>
      <c r="K194" s="71"/>
      <c r="L194" s="71"/>
      <c r="M194" s="71"/>
      <c r="N194" s="71"/>
      <c r="O194" s="71"/>
      <c r="P194" s="71"/>
      <c r="Q194" s="71"/>
      <c r="R194" s="71"/>
      <c r="S194" s="71"/>
      <c r="T194" s="71"/>
      <c r="U194" s="71"/>
      <c r="V194" s="71"/>
      <c r="W194" s="71"/>
      <c r="X194" s="71"/>
      <c r="Y194" s="71"/>
      <c r="Z194" s="71"/>
    </row>
    <row r="195" ht="15.75" customHeight="1">
      <c r="A195" s="72"/>
      <c r="B195" s="71"/>
      <c r="C195" s="71"/>
      <c r="D195" s="71"/>
      <c r="E195" s="71"/>
      <c r="F195" s="71"/>
      <c r="G195" s="59"/>
      <c r="H195" s="71"/>
      <c r="I195" s="71"/>
      <c r="J195" s="71"/>
      <c r="K195" s="71"/>
      <c r="L195" s="71"/>
      <c r="M195" s="71"/>
      <c r="N195" s="71"/>
      <c r="O195" s="71"/>
      <c r="P195" s="71"/>
      <c r="Q195" s="71"/>
      <c r="R195" s="71"/>
      <c r="S195" s="71"/>
      <c r="T195" s="71"/>
      <c r="U195" s="71"/>
      <c r="V195" s="71"/>
      <c r="W195" s="71"/>
      <c r="X195" s="71"/>
      <c r="Y195" s="71"/>
      <c r="Z195" s="71"/>
    </row>
    <row r="196" ht="15.75" customHeight="1">
      <c r="A196" s="72"/>
      <c r="B196" s="71"/>
      <c r="C196" s="71"/>
      <c r="D196" s="71"/>
      <c r="E196" s="71"/>
      <c r="F196" s="71"/>
      <c r="G196" s="59"/>
      <c r="H196" s="71"/>
      <c r="I196" s="71"/>
      <c r="J196" s="71"/>
      <c r="K196" s="71"/>
      <c r="L196" s="71"/>
      <c r="M196" s="71"/>
      <c r="N196" s="71"/>
      <c r="O196" s="71"/>
      <c r="P196" s="71"/>
      <c r="Q196" s="71"/>
      <c r="R196" s="71"/>
      <c r="S196" s="71"/>
      <c r="T196" s="71"/>
      <c r="U196" s="71"/>
      <c r="V196" s="71"/>
      <c r="W196" s="71"/>
      <c r="X196" s="71"/>
      <c r="Y196" s="71"/>
      <c r="Z196" s="71"/>
    </row>
    <row r="197" ht="15.75" customHeight="1">
      <c r="A197" s="72"/>
      <c r="B197" s="71"/>
      <c r="C197" s="71"/>
      <c r="D197" s="71"/>
      <c r="E197" s="71"/>
      <c r="F197" s="71"/>
      <c r="G197" s="59"/>
      <c r="H197" s="71"/>
      <c r="I197" s="71"/>
      <c r="J197" s="71"/>
      <c r="K197" s="71"/>
      <c r="L197" s="71"/>
      <c r="M197" s="71"/>
      <c r="N197" s="71"/>
      <c r="O197" s="71"/>
      <c r="P197" s="71"/>
      <c r="Q197" s="71"/>
      <c r="R197" s="71"/>
      <c r="S197" s="71"/>
      <c r="T197" s="71"/>
      <c r="U197" s="71"/>
      <c r="V197" s="71"/>
      <c r="W197" s="71"/>
      <c r="X197" s="71"/>
      <c r="Y197" s="71"/>
      <c r="Z197" s="71"/>
    </row>
    <row r="198" ht="15.75" customHeight="1">
      <c r="A198" s="72"/>
      <c r="B198" s="71"/>
      <c r="C198" s="71"/>
      <c r="D198" s="71"/>
      <c r="E198" s="71"/>
      <c r="F198" s="71"/>
      <c r="G198" s="59"/>
      <c r="H198" s="71"/>
      <c r="I198" s="71"/>
      <c r="J198" s="71"/>
      <c r="K198" s="71"/>
      <c r="L198" s="71"/>
      <c r="M198" s="71"/>
      <c r="N198" s="71"/>
      <c r="O198" s="71"/>
      <c r="P198" s="71"/>
      <c r="Q198" s="71"/>
      <c r="R198" s="71"/>
      <c r="S198" s="71"/>
      <c r="T198" s="71"/>
      <c r="U198" s="71"/>
      <c r="V198" s="71"/>
      <c r="W198" s="71"/>
      <c r="X198" s="71"/>
      <c r="Y198" s="71"/>
      <c r="Z198" s="71"/>
    </row>
    <row r="199" ht="15.75" customHeight="1">
      <c r="A199" s="72"/>
      <c r="B199" s="71"/>
      <c r="C199" s="71"/>
      <c r="D199" s="71"/>
      <c r="E199" s="71"/>
      <c r="F199" s="71"/>
      <c r="G199" s="59"/>
      <c r="H199" s="71"/>
      <c r="I199" s="71"/>
      <c r="J199" s="71"/>
      <c r="K199" s="71"/>
      <c r="L199" s="71"/>
      <c r="M199" s="71"/>
      <c r="N199" s="71"/>
      <c r="O199" s="71"/>
      <c r="P199" s="71"/>
      <c r="Q199" s="71"/>
      <c r="R199" s="71"/>
      <c r="S199" s="71"/>
      <c r="T199" s="71"/>
      <c r="U199" s="71"/>
      <c r="V199" s="71"/>
      <c r="W199" s="71"/>
      <c r="X199" s="71"/>
      <c r="Y199" s="71"/>
      <c r="Z199" s="71"/>
    </row>
    <row r="200" ht="15.75" customHeight="1">
      <c r="A200" s="72"/>
      <c r="B200" s="71"/>
      <c r="C200" s="71"/>
      <c r="D200" s="71"/>
      <c r="E200" s="71"/>
      <c r="F200" s="71"/>
      <c r="G200" s="59"/>
      <c r="H200" s="71"/>
      <c r="I200" s="71"/>
      <c r="J200" s="71"/>
      <c r="K200" s="71"/>
      <c r="L200" s="71"/>
      <c r="M200" s="71"/>
      <c r="N200" s="71"/>
      <c r="O200" s="71"/>
      <c r="P200" s="71"/>
      <c r="Q200" s="71"/>
      <c r="R200" s="71"/>
      <c r="S200" s="71"/>
      <c r="T200" s="71"/>
      <c r="U200" s="71"/>
      <c r="V200" s="71"/>
      <c r="W200" s="71"/>
      <c r="X200" s="71"/>
      <c r="Y200" s="71"/>
      <c r="Z200" s="71"/>
    </row>
    <row r="201" ht="15.75" customHeight="1">
      <c r="A201" s="72"/>
      <c r="B201" s="71"/>
      <c r="C201" s="71"/>
      <c r="D201" s="71"/>
      <c r="E201" s="71"/>
      <c r="F201" s="71"/>
      <c r="G201" s="59"/>
      <c r="H201" s="71"/>
      <c r="I201" s="71"/>
      <c r="J201" s="71"/>
      <c r="K201" s="71"/>
      <c r="L201" s="71"/>
      <c r="M201" s="71"/>
      <c r="N201" s="71"/>
      <c r="O201" s="71"/>
      <c r="P201" s="71"/>
      <c r="Q201" s="71"/>
      <c r="R201" s="71"/>
      <c r="S201" s="71"/>
      <c r="T201" s="71"/>
      <c r="U201" s="71"/>
      <c r="V201" s="71"/>
      <c r="W201" s="71"/>
      <c r="X201" s="71"/>
      <c r="Y201" s="71"/>
      <c r="Z201" s="71"/>
    </row>
    <row r="202" ht="15.75" customHeight="1">
      <c r="A202" s="72"/>
      <c r="B202" s="71"/>
      <c r="C202" s="71"/>
      <c r="D202" s="71"/>
      <c r="E202" s="71"/>
      <c r="F202" s="71"/>
      <c r="G202" s="59"/>
      <c r="H202" s="71"/>
      <c r="I202" s="71"/>
      <c r="J202" s="71"/>
      <c r="K202" s="71"/>
      <c r="L202" s="71"/>
      <c r="M202" s="71"/>
      <c r="N202" s="71"/>
      <c r="O202" s="71"/>
      <c r="P202" s="71"/>
      <c r="Q202" s="71"/>
      <c r="R202" s="71"/>
      <c r="S202" s="71"/>
      <c r="T202" s="71"/>
      <c r="U202" s="71"/>
      <c r="V202" s="71"/>
      <c r="W202" s="71"/>
      <c r="X202" s="71"/>
      <c r="Y202" s="71"/>
      <c r="Z202" s="71"/>
    </row>
    <row r="203" ht="15.75" customHeight="1">
      <c r="A203" s="72"/>
      <c r="B203" s="71"/>
      <c r="C203" s="71"/>
      <c r="D203" s="71"/>
      <c r="E203" s="71"/>
      <c r="F203" s="71"/>
      <c r="G203" s="59"/>
      <c r="H203" s="71"/>
      <c r="I203" s="71"/>
      <c r="J203" s="71"/>
      <c r="K203" s="71"/>
      <c r="L203" s="71"/>
      <c r="M203" s="71"/>
      <c r="N203" s="71"/>
      <c r="O203" s="71"/>
      <c r="P203" s="71"/>
      <c r="Q203" s="71"/>
      <c r="R203" s="71"/>
      <c r="S203" s="71"/>
      <c r="T203" s="71"/>
      <c r="U203" s="71"/>
      <c r="V203" s="71"/>
      <c r="W203" s="71"/>
      <c r="X203" s="71"/>
      <c r="Y203" s="71"/>
      <c r="Z203" s="71"/>
    </row>
    <row r="204" ht="15.75" customHeight="1">
      <c r="A204" s="72"/>
      <c r="B204" s="71"/>
      <c r="C204" s="71"/>
      <c r="D204" s="71"/>
      <c r="E204" s="71"/>
      <c r="F204" s="71"/>
      <c r="G204" s="59"/>
      <c r="H204" s="71"/>
      <c r="I204" s="71"/>
      <c r="J204" s="71"/>
      <c r="K204" s="71"/>
      <c r="L204" s="71"/>
      <c r="M204" s="71"/>
      <c r="N204" s="71"/>
      <c r="O204" s="71"/>
      <c r="P204" s="71"/>
      <c r="Q204" s="71"/>
      <c r="R204" s="71"/>
      <c r="S204" s="71"/>
      <c r="T204" s="71"/>
      <c r="U204" s="71"/>
      <c r="V204" s="71"/>
      <c r="W204" s="71"/>
      <c r="X204" s="71"/>
      <c r="Y204" s="71"/>
      <c r="Z204" s="71"/>
    </row>
    <row r="205" ht="15.75" customHeight="1">
      <c r="A205" s="72"/>
      <c r="B205" s="71"/>
      <c r="C205" s="71"/>
      <c r="D205" s="71"/>
      <c r="E205" s="71"/>
      <c r="F205" s="71"/>
      <c r="G205" s="59"/>
      <c r="H205" s="71"/>
      <c r="I205" s="71"/>
      <c r="J205" s="71"/>
      <c r="K205" s="71"/>
      <c r="L205" s="71"/>
      <c r="M205" s="71"/>
      <c r="N205" s="71"/>
      <c r="O205" s="71"/>
      <c r="P205" s="71"/>
      <c r="Q205" s="71"/>
      <c r="R205" s="71"/>
      <c r="S205" s="71"/>
      <c r="T205" s="71"/>
      <c r="U205" s="71"/>
      <c r="V205" s="71"/>
      <c r="W205" s="71"/>
      <c r="X205" s="71"/>
      <c r="Y205" s="71"/>
      <c r="Z205" s="71"/>
    </row>
    <row r="206" ht="15.75" customHeight="1">
      <c r="A206" s="72"/>
      <c r="B206" s="71"/>
      <c r="C206" s="71"/>
      <c r="D206" s="71"/>
      <c r="E206" s="71"/>
      <c r="F206" s="71"/>
      <c r="G206" s="59"/>
      <c r="H206" s="71"/>
      <c r="I206" s="71"/>
      <c r="J206" s="71"/>
      <c r="K206" s="71"/>
      <c r="L206" s="71"/>
      <c r="M206" s="71"/>
      <c r="N206" s="71"/>
      <c r="O206" s="71"/>
      <c r="P206" s="71"/>
      <c r="Q206" s="71"/>
      <c r="R206" s="71"/>
      <c r="S206" s="71"/>
      <c r="T206" s="71"/>
      <c r="U206" s="71"/>
      <c r="V206" s="71"/>
      <c r="W206" s="71"/>
      <c r="X206" s="71"/>
      <c r="Y206" s="71"/>
      <c r="Z206" s="71"/>
    </row>
    <row r="207" ht="15.75" customHeight="1">
      <c r="A207" s="72"/>
      <c r="B207" s="71"/>
      <c r="C207" s="71"/>
      <c r="D207" s="71"/>
      <c r="E207" s="71"/>
      <c r="F207" s="71"/>
      <c r="G207" s="59"/>
      <c r="H207" s="71"/>
      <c r="I207" s="71"/>
      <c r="J207" s="71"/>
      <c r="K207" s="71"/>
      <c r="L207" s="71"/>
      <c r="M207" s="71"/>
      <c r="N207" s="71"/>
      <c r="O207" s="71"/>
      <c r="P207" s="71"/>
      <c r="Q207" s="71"/>
      <c r="R207" s="71"/>
      <c r="S207" s="71"/>
      <c r="T207" s="71"/>
      <c r="U207" s="71"/>
      <c r="V207" s="71"/>
      <c r="W207" s="71"/>
      <c r="X207" s="71"/>
      <c r="Y207" s="71"/>
      <c r="Z207" s="71"/>
    </row>
    <row r="208" ht="15.75" customHeight="1">
      <c r="A208" s="72"/>
      <c r="B208" s="71"/>
      <c r="C208" s="71"/>
      <c r="D208" s="71"/>
      <c r="E208" s="71"/>
      <c r="F208" s="71"/>
      <c r="G208" s="59"/>
      <c r="H208" s="71"/>
      <c r="I208" s="71"/>
      <c r="J208" s="71"/>
      <c r="K208" s="71"/>
      <c r="L208" s="71"/>
      <c r="M208" s="71"/>
      <c r="N208" s="71"/>
      <c r="O208" s="71"/>
      <c r="P208" s="71"/>
      <c r="Q208" s="71"/>
      <c r="R208" s="71"/>
      <c r="S208" s="71"/>
      <c r="T208" s="71"/>
      <c r="U208" s="71"/>
      <c r="V208" s="71"/>
      <c r="W208" s="71"/>
      <c r="X208" s="71"/>
      <c r="Y208" s="71"/>
      <c r="Z208" s="71"/>
    </row>
    <row r="209" ht="15.75" customHeight="1">
      <c r="A209" s="72"/>
      <c r="B209" s="71"/>
      <c r="C209" s="71"/>
      <c r="D209" s="71"/>
      <c r="E209" s="71"/>
      <c r="F209" s="71"/>
      <c r="G209" s="59"/>
      <c r="H209" s="71"/>
      <c r="I209" s="71"/>
      <c r="J209" s="71"/>
      <c r="K209" s="71"/>
      <c r="L209" s="71"/>
      <c r="M209" s="71"/>
      <c r="N209" s="71"/>
      <c r="O209" s="71"/>
      <c r="P209" s="71"/>
      <c r="Q209" s="71"/>
      <c r="R209" s="71"/>
      <c r="S209" s="71"/>
      <c r="T209" s="71"/>
      <c r="U209" s="71"/>
      <c r="V209" s="71"/>
      <c r="W209" s="71"/>
      <c r="X209" s="71"/>
      <c r="Y209" s="71"/>
      <c r="Z209" s="71"/>
    </row>
    <row r="210" ht="15.75" customHeight="1">
      <c r="A210" s="72"/>
      <c r="B210" s="71"/>
      <c r="C210" s="71"/>
      <c r="D210" s="71"/>
      <c r="E210" s="71"/>
      <c r="F210" s="71"/>
      <c r="G210" s="59"/>
      <c r="H210" s="71"/>
      <c r="I210" s="71"/>
      <c r="J210" s="71"/>
      <c r="K210" s="71"/>
      <c r="L210" s="71"/>
      <c r="M210" s="71"/>
      <c r="N210" s="71"/>
      <c r="O210" s="71"/>
      <c r="P210" s="71"/>
      <c r="Q210" s="71"/>
      <c r="R210" s="71"/>
      <c r="S210" s="71"/>
      <c r="T210" s="71"/>
      <c r="U210" s="71"/>
      <c r="V210" s="71"/>
      <c r="W210" s="71"/>
      <c r="X210" s="71"/>
      <c r="Y210" s="71"/>
      <c r="Z210" s="71"/>
    </row>
    <row r="211" ht="15.75" customHeight="1">
      <c r="A211" s="72"/>
      <c r="B211" s="71"/>
      <c r="C211" s="71"/>
      <c r="D211" s="71"/>
      <c r="E211" s="71"/>
      <c r="F211" s="71"/>
      <c r="G211" s="59"/>
      <c r="H211" s="71"/>
      <c r="I211" s="71"/>
      <c r="J211" s="71"/>
      <c r="K211" s="71"/>
      <c r="L211" s="71"/>
      <c r="M211" s="71"/>
      <c r="N211" s="71"/>
      <c r="O211" s="71"/>
      <c r="P211" s="71"/>
      <c r="Q211" s="71"/>
      <c r="R211" s="71"/>
      <c r="S211" s="71"/>
      <c r="T211" s="71"/>
      <c r="U211" s="71"/>
      <c r="V211" s="71"/>
      <c r="W211" s="71"/>
      <c r="X211" s="71"/>
      <c r="Y211" s="71"/>
      <c r="Z211" s="71"/>
    </row>
    <row r="212" ht="15.75" customHeight="1">
      <c r="A212" s="72"/>
      <c r="B212" s="71"/>
      <c r="C212" s="71"/>
      <c r="D212" s="71"/>
      <c r="E212" s="71"/>
      <c r="F212" s="71"/>
      <c r="G212" s="59"/>
      <c r="H212" s="71"/>
      <c r="I212" s="71"/>
      <c r="J212" s="71"/>
      <c r="K212" s="71"/>
      <c r="L212" s="71"/>
      <c r="M212" s="71"/>
      <c r="N212" s="71"/>
      <c r="O212" s="71"/>
      <c r="P212" s="71"/>
      <c r="Q212" s="71"/>
      <c r="R212" s="71"/>
      <c r="S212" s="71"/>
      <c r="T212" s="71"/>
      <c r="U212" s="71"/>
      <c r="V212" s="71"/>
      <c r="W212" s="71"/>
      <c r="X212" s="71"/>
      <c r="Y212" s="71"/>
      <c r="Z212" s="71"/>
    </row>
    <row r="213" ht="15.75" customHeight="1">
      <c r="A213" s="72"/>
      <c r="B213" s="71"/>
      <c r="C213" s="71"/>
      <c r="D213" s="71"/>
      <c r="E213" s="71"/>
      <c r="F213" s="71"/>
      <c r="G213" s="59"/>
      <c r="H213" s="71"/>
      <c r="I213" s="71"/>
      <c r="J213" s="71"/>
      <c r="K213" s="71"/>
      <c r="L213" s="71"/>
      <c r="M213" s="71"/>
      <c r="N213" s="71"/>
      <c r="O213" s="71"/>
      <c r="P213" s="71"/>
      <c r="Q213" s="71"/>
      <c r="R213" s="71"/>
      <c r="S213" s="71"/>
      <c r="T213" s="71"/>
      <c r="U213" s="71"/>
      <c r="V213" s="71"/>
      <c r="W213" s="71"/>
      <c r="X213" s="71"/>
      <c r="Y213" s="71"/>
      <c r="Z213" s="71"/>
    </row>
    <row r="214" ht="15.75" customHeight="1">
      <c r="A214" s="72"/>
      <c r="B214" s="71"/>
      <c r="C214" s="71"/>
      <c r="D214" s="71"/>
      <c r="E214" s="71"/>
      <c r="F214" s="71"/>
      <c r="G214" s="59"/>
      <c r="H214" s="71"/>
      <c r="I214" s="71"/>
      <c r="J214" s="71"/>
      <c r="K214" s="71"/>
      <c r="L214" s="71"/>
      <c r="M214" s="71"/>
      <c r="N214" s="71"/>
      <c r="O214" s="71"/>
      <c r="P214" s="71"/>
      <c r="Q214" s="71"/>
      <c r="R214" s="71"/>
      <c r="S214" s="71"/>
      <c r="T214" s="71"/>
      <c r="U214" s="71"/>
      <c r="V214" s="71"/>
      <c r="W214" s="71"/>
      <c r="X214" s="71"/>
      <c r="Y214" s="71"/>
      <c r="Z214" s="71"/>
    </row>
    <row r="215" ht="15.75" customHeight="1">
      <c r="A215" s="72"/>
      <c r="B215" s="71"/>
      <c r="C215" s="71"/>
      <c r="D215" s="71"/>
      <c r="E215" s="71"/>
      <c r="F215" s="71"/>
      <c r="G215" s="59"/>
      <c r="H215" s="71"/>
      <c r="I215" s="71"/>
      <c r="J215" s="71"/>
      <c r="K215" s="71"/>
      <c r="L215" s="71"/>
      <c r="M215" s="71"/>
      <c r="N215" s="71"/>
      <c r="O215" s="71"/>
      <c r="P215" s="71"/>
      <c r="Q215" s="71"/>
      <c r="R215" s="71"/>
      <c r="S215" s="71"/>
      <c r="T215" s="71"/>
      <c r="U215" s="71"/>
      <c r="V215" s="71"/>
      <c r="W215" s="71"/>
      <c r="X215" s="71"/>
      <c r="Y215" s="71"/>
      <c r="Z215" s="71"/>
    </row>
    <row r="216" ht="15.75" customHeight="1">
      <c r="A216" s="72"/>
      <c r="B216" s="71"/>
      <c r="C216" s="71"/>
      <c r="D216" s="71"/>
      <c r="E216" s="71"/>
      <c r="F216" s="71"/>
      <c r="G216" s="59"/>
      <c r="H216" s="71"/>
      <c r="I216" s="71"/>
      <c r="J216" s="71"/>
      <c r="K216" s="71"/>
      <c r="L216" s="71"/>
      <c r="M216" s="71"/>
      <c r="N216" s="71"/>
      <c r="O216" s="71"/>
      <c r="P216" s="71"/>
      <c r="Q216" s="71"/>
      <c r="R216" s="71"/>
      <c r="S216" s="71"/>
      <c r="T216" s="71"/>
      <c r="U216" s="71"/>
      <c r="V216" s="71"/>
      <c r="W216" s="71"/>
      <c r="X216" s="71"/>
      <c r="Y216" s="71"/>
      <c r="Z216" s="71"/>
    </row>
    <row r="217" ht="15.75" customHeight="1">
      <c r="A217" s="72"/>
      <c r="B217" s="71"/>
      <c r="C217" s="71"/>
      <c r="D217" s="71"/>
      <c r="E217" s="71"/>
      <c r="F217" s="71"/>
      <c r="G217" s="59"/>
      <c r="H217" s="71"/>
      <c r="I217" s="71"/>
      <c r="J217" s="71"/>
      <c r="K217" s="71"/>
      <c r="L217" s="71"/>
      <c r="M217" s="71"/>
      <c r="N217" s="71"/>
      <c r="O217" s="71"/>
      <c r="P217" s="71"/>
      <c r="Q217" s="71"/>
      <c r="R217" s="71"/>
      <c r="S217" s="71"/>
      <c r="T217" s="71"/>
      <c r="U217" s="71"/>
      <c r="V217" s="71"/>
      <c r="W217" s="71"/>
      <c r="X217" s="71"/>
      <c r="Y217" s="71"/>
      <c r="Z217" s="71"/>
    </row>
    <row r="218" ht="15.75" customHeight="1">
      <c r="A218" s="72"/>
      <c r="B218" s="71"/>
      <c r="C218" s="71"/>
      <c r="D218" s="71"/>
      <c r="E218" s="71"/>
      <c r="F218" s="71"/>
      <c r="G218" s="59"/>
      <c r="H218" s="71"/>
      <c r="I218" s="71"/>
      <c r="J218" s="71"/>
      <c r="K218" s="71"/>
      <c r="L218" s="71"/>
      <c r="M218" s="71"/>
      <c r="N218" s="71"/>
      <c r="O218" s="71"/>
      <c r="P218" s="71"/>
      <c r="Q218" s="71"/>
      <c r="R218" s="71"/>
      <c r="S218" s="71"/>
      <c r="T218" s="71"/>
      <c r="U218" s="71"/>
      <c r="V218" s="71"/>
      <c r="W218" s="71"/>
      <c r="X218" s="71"/>
      <c r="Y218" s="71"/>
      <c r="Z218" s="71"/>
    </row>
    <row r="219" ht="15.75" customHeight="1">
      <c r="A219" s="72"/>
      <c r="B219" s="71"/>
      <c r="C219" s="71"/>
      <c r="D219" s="71"/>
      <c r="E219" s="71"/>
      <c r="F219" s="71"/>
      <c r="G219" s="59"/>
      <c r="H219" s="71"/>
      <c r="I219" s="71"/>
      <c r="J219" s="71"/>
      <c r="K219" s="71"/>
      <c r="L219" s="71"/>
      <c r="M219" s="71"/>
      <c r="N219" s="71"/>
      <c r="O219" s="71"/>
      <c r="P219" s="71"/>
      <c r="Q219" s="71"/>
      <c r="R219" s="71"/>
      <c r="S219" s="71"/>
      <c r="T219" s="71"/>
      <c r="U219" s="71"/>
      <c r="V219" s="71"/>
      <c r="W219" s="71"/>
      <c r="X219" s="71"/>
      <c r="Y219" s="71"/>
      <c r="Z219" s="71"/>
    </row>
    <row r="220" ht="15.75" customHeight="1">
      <c r="A220" s="72"/>
      <c r="B220" s="71"/>
      <c r="C220" s="71"/>
      <c r="D220" s="71"/>
      <c r="E220" s="71"/>
      <c r="F220" s="71"/>
      <c r="G220" s="59"/>
      <c r="H220" s="71"/>
      <c r="I220" s="71"/>
      <c r="J220" s="71"/>
      <c r="K220" s="71"/>
      <c r="L220" s="71"/>
      <c r="M220" s="71"/>
      <c r="N220" s="71"/>
      <c r="O220" s="71"/>
      <c r="P220" s="71"/>
      <c r="Q220" s="71"/>
      <c r="R220" s="71"/>
      <c r="S220" s="71"/>
      <c r="T220" s="71"/>
      <c r="U220" s="71"/>
      <c r="V220" s="71"/>
      <c r="W220" s="71"/>
      <c r="X220" s="71"/>
      <c r="Y220" s="71"/>
      <c r="Z220" s="71"/>
    </row>
    <row r="221" ht="15.75" customHeight="1">
      <c r="A221" s="72"/>
      <c r="B221" s="71"/>
      <c r="C221" s="71"/>
      <c r="D221" s="71"/>
      <c r="E221" s="71"/>
      <c r="F221" s="71"/>
      <c r="G221" s="59"/>
      <c r="H221" s="71"/>
      <c r="I221" s="71"/>
      <c r="J221" s="71"/>
      <c r="K221" s="71"/>
      <c r="L221" s="71"/>
      <c r="M221" s="71"/>
      <c r="N221" s="71"/>
      <c r="O221" s="71"/>
      <c r="P221" s="71"/>
      <c r="Q221" s="71"/>
      <c r="R221" s="71"/>
      <c r="S221" s="71"/>
      <c r="T221" s="71"/>
      <c r="U221" s="71"/>
      <c r="V221" s="71"/>
      <c r="W221" s="71"/>
      <c r="X221" s="71"/>
      <c r="Y221" s="71"/>
      <c r="Z221" s="71"/>
    </row>
    <row r="222" ht="15.75" customHeight="1">
      <c r="A222" s="72"/>
      <c r="B222" s="71"/>
      <c r="C222" s="71"/>
      <c r="D222" s="71"/>
      <c r="E222" s="71"/>
      <c r="F222" s="71"/>
      <c r="G222" s="59"/>
      <c r="H222" s="71"/>
      <c r="I222" s="71"/>
      <c r="J222" s="71"/>
      <c r="K222" s="71"/>
      <c r="L222" s="71"/>
      <c r="M222" s="71"/>
      <c r="N222" s="71"/>
      <c r="O222" s="71"/>
      <c r="P222" s="71"/>
      <c r="Q222" s="71"/>
      <c r="R222" s="71"/>
      <c r="S222" s="71"/>
      <c r="T222" s="71"/>
      <c r="U222" s="71"/>
      <c r="V222" s="71"/>
      <c r="W222" s="71"/>
      <c r="X222" s="71"/>
      <c r="Y222" s="71"/>
      <c r="Z222" s="71"/>
    </row>
    <row r="223" ht="15.75" customHeight="1">
      <c r="A223" s="72"/>
      <c r="B223" s="71"/>
      <c r="C223" s="71"/>
      <c r="D223" s="71"/>
      <c r="E223" s="71"/>
      <c r="F223" s="71"/>
      <c r="G223" s="59"/>
      <c r="H223" s="71"/>
      <c r="I223" s="71"/>
      <c r="J223" s="71"/>
      <c r="K223" s="71"/>
      <c r="L223" s="71"/>
      <c r="M223" s="71"/>
      <c r="N223" s="71"/>
      <c r="O223" s="71"/>
      <c r="P223" s="71"/>
      <c r="Q223" s="71"/>
      <c r="R223" s="71"/>
      <c r="S223" s="71"/>
      <c r="T223" s="71"/>
      <c r="U223" s="71"/>
      <c r="V223" s="71"/>
      <c r="W223" s="71"/>
      <c r="X223" s="71"/>
      <c r="Y223" s="71"/>
      <c r="Z223" s="71"/>
    </row>
    <row r="224" ht="15.75" customHeight="1">
      <c r="A224" s="72"/>
      <c r="B224" s="71"/>
      <c r="C224" s="71"/>
      <c r="D224" s="71"/>
      <c r="E224" s="71"/>
      <c r="F224" s="71"/>
      <c r="G224" s="59"/>
      <c r="H224" s="71"/>
      <c r="I224" s="71"/>
      <c r="J224" s="71"/>
      <c r="K224" s="71"/>
      <c r="L224" s="71"/>
      <c r="M224" s="71"/>
      <c r="N224" s="71"/>
      <c r="O224" s="71"/>
      <c r="P224" s="71"/>
      <c r="Q224" s="71"/>
      <c r="R224" s="71"/>
      <c r="S224" s="71"/>
      <c r="T224" s="71"/>
      <c r="U224" s="71"/>
      <c r="V224" s="71"/>
      <c r="W224" s="71"/>
      <c r="X224" s="71"/>
      <c r="Y224" s="71"/>
      <c r="Z224" s="71"/>
    </row>
    <row r="225" ht="15.75" customHeight="1">
      <c r="A225" s="72"/>
      <c r="B225" s="71"/>
      <c r="C225" s="71"/>
      <c r="D225" s="71"/>
      <c r="E225" s="71"/>
      <c r="F225" s="71"/>
      <c r="G225" s="59"/>
      <c r="H225" s="71"/>
      <c r="I225" s="71"/>
      <c r="J225" s="71"/>
      <c r="K225" s="71"/>
      <c r="L225" s="71"/>
      <c r="M225" s="71"/>
      <c r="N225" s="71"/>
      <c r="O225" s="71"/>
      <c r="P225" s="71"/>
      <c r="Q225" s="71"/>
      <c r="R225" s="71"/>
      <c r="S225" s="71"/>
      <c r="T225" s="71"/>
      <c r="U225" s="71"/>
      <c r="V225" s="71"/>
      <c r="W225" s="71"/>
      <c r="X225" s="71"/>
      <c r="Y225" s="71"/>
      <c r="Z225" s="71"/>
    </row>
    <row r="226" ht="15.75" customHeight="1">
      <c r="A226" s="72"/>
      <c r="B226" s="71"/>
      <c r="C226" s="71"/>
      <c r="D226" s="71"/>
      <c r="E226" s="71"/>
      <c r="F226" s="71"/>
      <c r="G226" s="59"/>
      <c r="H226" s="71"/>
      <c r="I226" s="71"/>
      <c r="J226" s="71"/>
      <c r="K226" s="71"/>
      <c r="L226" s="71"/>
      <c r="M226" s="71"/>
      <c r="N226" s="71"/>
      <c r="O226" s="71"/>
      <c r="P226" s="71"/>
      <c r="Q226" s="71"/>
      <c r="R226" s="71"/>
      <c r="S226" s="71"/>
      <c r="T226" s="71"/>
      <c r="U226" s="71"/>
      <c r="V226" s="71"/>
      <c r="W226" s="71"/>
      <c r="X226" s="71"/>
      <c r="Y226" s="71"/>
      <c r="Z226" s="71"/>
    </row>
    <row r="227" ht="15.75" customHeight="1">
      <c r="A227" s="72"/>
      <c r="B227" s="71"/>
      <c r="C227" s="71"/>
      <c r="D227" s="71"/>
      <c r="E227" s="71"/>
      <c r="F227" s="71"/>
      <c r="G227" s="59"/>
      <c r="H227" s="71"/>
      <c r="I227" s="71"/>
      <c r="J227" s="71"/>
      <c r="K227" s="71"/>
      <c r="L227" s="71"/>
      <c r="M227" s="71"/>
      <c r="N227" s="71"/>
      <c r="O227" s="71"/>
      <c r="P227" s="71"/>
      <c r="Q227" s="71"/>
      <c r="R227" s="71"/>
      <c r="S227" s="71"/>
      <c r="T227" s="71"/>
      <c r="U227" s="71"/>
      <c r="V227" s="71"/>
      <c r="W227" s="71"/>
      <c r="X227" s="71"/>
      <c r="Y227" s="71"/>
      <c r="Z227" s="71"/>
    </row>
    <row r="228" ht="15.75" customHeight="1">
      <c r="A228" s="72"/>
      <c r="B228" s="71"/>
      <c r="C228" s="71"/>
      <c r="D228" s="71"/>
      <c r="E228" s="71"/>
      <c r="F228" s="71"/>
      <c r="G228" s="59"/>
      <c r="H228" s="71"/>
      <c r="I228" s="71"/>
      <c r="J228" s="71"/>
      <c r="K228" s="71"/>
      <c r="L228" s="71"/>
      <c r="M228" s="71"/>
      <c r="N228" s="71"/>
      <c r="O228" s="71"/>
      <c r="P228" s="71"/>
      <c r="Q228" s="71"/>
      <c r="R228" s="71"/>
      <c r="S228" s="71"/>
      <c r="T228" s="71"/>
      <c r="U228" s="71"/>
      <c r="V228" s="71"/>
      <c r="W228" s="71"/>
      <c r="X228" s="71"/>
      <c r="Y228" s="71"/>
      <c r="Z228" s="71"/>
    </row>
    <row r="229" ht="15.75" customHeight="1">
      <c r="A229" s="72"/>
      <c r="B229" s="71"/>
      <c r="C229" s="71"/>
      <c r="D229" s="71"/>
      <c r="E229" s="71"/>
      <c r="F229" s="71"/>
      <c r="G229" s="59"/>
      <c r="H229" s="71"/>
      <c r="I229" s="71"/>
      <c r="J229" s="71"/>
      <c r="K229" s="71"/>
      <c r="L229" s="71"/>
      <c r="M229" s="71"/>
      <c r="N229" s="71"/>
      <c r="O229" s="71"/>
      <c r="P229" s="71"/>
      <c r="Q229" s="71"/>
      <c r="R229" s="71"/>
      <c r="S229" s="71"/>
      <c r="T229" s="71"/>
      <c r="U229" s="71"/>
      <c r="V229" s="71"/>
      <c r="W229" s="71"/>
      <c r="X229" s="71"/>
      <c r="Y229" s="71"/>
      <c r="Z229" s="71"/>
    </row>
    <row r="230" ht="15.75" customHeight="1">
      <c r="A230" s="72"/>
      <c r="B230" s="71"/>
      <c r="C230" s="71"/>
      <c r="D230" s="71"/>
      <c r="E230" s="71"/>
      <c r="F230" s="71"/>
      <c r="G230" s="59"/>
      <c r="H230" s="71"/>
      <c r="I230" s="71"/>
      <c r="J230" s="71"/>
      <c r="K230" s="71"/>
      <c r="L230" s="71"/>
      <c r="M230" s="71"/>
      <c r="N230" s="71"/>
      <c r="O230" s="71"/>
      <c r="P230" s="71"/>
      <c r="Q230" s="71"/>
      <c r="R230" s="71"/>
      <c r="S230" s="71"/>
      <c r="T230" s="71"/>
      <c r="U230" s="71"/>
      <c r="V230" s="71"/>
      <c r="W230" s="71"/>
      <c r="X230" s="71"/>
      <c r="Y230" s="71"/>
      <c r="Z230" s="71"/>
    </row>
    <row r="231" ht="15.75" customHeight="1">
      <c r="A231" s="72"/>
      <c r="B231" s="71"/>
      <c r="C231" s="71"/>
      <c r="D231" s="71"/>
      <c r="E231" s="71"/>
      <c r="F231" s="71"/>
      <c r="G231" s="59"/>
      <c r="H231" s="71"/>
      <c r="I231" s="71"/>
      <c r="J231" s="71"/>
      <c r="K231" s="71"/>
      <c r="L231" s="71"/>
      <c r="M231" s="71"/>
      <c r="N231" s="71"/>
      <c r="O231" s="71"/>
      <c r="P231" s="71"/>
      <c r="Q231" s="71"/>
      <c r="R231" s="71"/>
      <c r="S231" s="71"/>
      <c r="T231" s="71"/>
      <c r="U231" s="71"/>
      <c r="V231" s="71"/>
      <c r="W231" s="71"/>
      <c r="X231" s="71"/>
      <c r="Y231" s="71"/>
      <c r="Z231" s="71"/>
    </row>
    <row r="232" ht="15.75" customHeight="1">
      <c r="A232" s="72"/>
      <c r="B232" s="71"/>
      <c r="C232" s="71"/>
      <c r="D232" s="71"/>
      <c r="E232" s="71"/>
      <c r="F232" s="71"/>
      <c r="G232" s="59"/>
      <c r="H232" s="71"/>
      <c r="I232" s="71"/>
      <c r="J232" s="71"/>
      <c r="K232" s="71"/>
      <c r="L232" s="71"/>
      <c r="M232" s="71"/>
      <c r="N232" s="71"/>
      <c r="O232" s="71"/>
      <c r="P232" s="71"/>
      <c r="Q232" s="71"/>
      <c r="R232" s="71"/>
      <c r="S232" s="71"/>
      <c r="T232" s="71"/>
      <c r="U232" s="71"/>
      <c r="V232" s="71"/>
      <c r="W232" s="71"/>
      <c r="X232" s="71"/>
      <c r="Y232" s="71"/>
      <c r="Z232" s="71"/>
    </row>
    <row r="233" ht="15.75" customHeight="1">
      <c r="A233" s="72"/>
      <c r="B233" s="71"/>
      <c r="C233" s="71"/>
      <c r="D233" s="71"/>
      <c r="E233" s="71"/>
      <c r="F233" s="71"/>
      <c r="G233" s="59"/>
      <c r="H233" s="71"/>
      <c r="I233" s="71"/>
      <c r="J233" s="71"/>
      <c r="K233" s="71"/>
      <c r="L233" s="71"/>
      <c r="M233" s="71"/>
      <c r="N233" s="71"/>
      <c r="O233" s="71"/>
      <c r="P233" s="71"/>
      <c r="Q233" s="71"/>
      <c r="R233" s="71"/>
      <c r="S233" s="71"/>
      <c r="T233" s="71"/>
      <c r="U233" s="71"/>
      <c r="V233" s="71"/>
      <c r="W233" s="71"/>
      <c r="X233" s="71"/>
      <c r="Y233" s="71"/>
      <c r="Z233" s="71"/>
    </row>
    <row r="234" ht="15.75" customHeight="1">
      <c r="A234" s="72"/>
      <c r="B234" s="71"/>
      <c r="C234" s="71"/>
      <c r="D234" s="71"/>
      <c r="E234" s="71"/>
      <c r="F234" s="71"/>
      <c r="G234" s="59"/>
      <c r="H234" s="71"/>
      <c r="I234" s="71"/>
      <c r="J234" s="71"/>
      <c r="K234" s="71"/>
      <c r="L234" s="71"/>
      <c r="M234" s="71"/>
      <c r="N234" s="71"/>
      <c r="O234" s="71"/>
      <c r="P234" s="71"/>
      <c r="Q234" s="71"/>
      <c r="R234" s="71"/>
      <c r="S234" s="71"/>
      <c r="T234" s="71"/>
      <c r="U234" s="71"/>
      <c r="V234" s="71"/>
      <c r="W234" s="71"/>
      <c r="X234" s="71"/>
      <c r="Y234" s="71"/>
      <c r="Z234" s="71"/>
    </row>
    <row r="235" ht="15.75" customHeight="1">
      <c r="A235" s="72"/>
      <c r="B235" s="71"/>
      <c r="C235" s="71"/>
      <c r="D235" s="71"/>
      <c r="E235" s="71"/>
      <c r="F235" s="71"/>
      <c r="G235" s="59"/>
      <c r="H235" s="71"/>
      <c r="I235" s="71"/>
      <c r="J235" s="71"/>
      <c r="K235" s="71"/>
      <c r="L235" s="71"/>
      <c r="M235" s="71"/>
      <c r="N235" s="71"/>
      <c r="O235" s="71"/>
      <c r="P235" s="71"/>
      <c r="Q235" s="71"/>
      <c r="R235" s="71"/>
      <c r="S235" s="71"/>
      <c r="T235" s="71"/>
      <c r="U235" s="71"/>
      <c r="V235" s="71"/>
      <c r="W235" s="71"/>
      <c r="X235" s="71"/>
      <c r="Y235" s="71"/>
      <c r="Z235" s="71"/>
    </row>
    <row r="236" ht="15.75" customHeight="1">
      <c r="A236" s="72"/>
      <c r="B236" s="71"/>
      <c r="C236" s="71"/>
      <c r="D236" s="71"/>
      <c r="E236" s="71"/>
      <c r="F236" s="71"/>
      <c r="G236" s="59"/>
      <c r="H236" s="71"/>
      <c r="I236" s="71"/>
      <c r="J236" s="71"/>
      <c r="K236" s="71"/>
      <c r="L236" s="71"/>
      <c r="M236" s="71"/>
      <c r="N236" s="71"/>
      <c r="O236" s="71"/>
      <c r="P236" s="71"/>
      <c r="Q236" s="71"/>
      <c r="R236" s="71"/>
      <c r="S236" s="71"/>
      <c r="T236" s="71"/>
      <c r="U236" s="71"/>
      <c r="V236" s="71"/>
      <c r="W236" s="71"/>
      <c r="X236" s="71"/>
      <c r="Y236" s="71"/>
      <c r="Z236" s="71"/>
    </row>
    <row r="237" ht="15.75" customHeight="1">
      <c r="A237" s="72"/>
      <c r="B237" s="71"/>
      <c r="C237" s="71"/>
      <c r="D237" s="71"/>
      <c r="E237" s="71"/>
      <c r="F237" s="71"/>
      <c r="G237" s="59"/>
      <c r="H237" s="71"/>
      <c r="I237" s="71"/>
      <c r="J237" s="71"/>
      <c r="K237" s="71"/>
      <c r="L237" s="71"/>
      <c r="M237" s="71"/>
      <c r="N237" s="71"/>
      <c r="O237" s="71"/>
      <c r="P237" s="71"/>
      <c r="Q237" s="71"/>
      <c r="R237" s="71"/>
      <c r="S237" s="71"/>
      <c r="T237" s="71"/>
      <c r="U237" s="71"/>
      <c r="V237" s="71"/>
      <c r="W237" s="71"/>
      <c r="X237" s="71"/>
      <c r="Y237" s="71"/>
      <c r="Z237" s="71"/>
    </row>
    <row r="238" ht="15.75" customHeight="1">
      <c r="A238" s="72"/>
      <c r="B238" s="71"/>
      <c r="C238" s="71"/>
      <c r="D238" s="71"/>
      <c r="E238" s="71"/>
      <c r="F238" s="71"/>
      <c r="G238" s="59"/>
      <c r="H238" s="71"/>
      <c r="I238" s="71"/>
      <c r="J238" s="71"/>
      <c r="K238" s="71"/>
      <c r="L238" s="71"/>
      <c r="M238" s="71"/>
      <c r="N238" s="71"/>
      <c r="O238" s="71"/>
      <c r="P238" s="71"/>
      <c r="Q238" s="71"/>
      <c r="R238" s="71"/>
      <c r="S238" s="71"/>
      <c r="T238" s="71"/>
      <c r="U238" s="71"/>
      <c r="V238" s="71"/>
      <c r="W238" s="71"/>
      <c r="X238" s="71"/>
      <c r="Y238" s="71"/>
      <c r="Z238" s="71"/>
    </row>
    <row r="239" ht="15.75" customHeight="1">
      <c r="A239" s="72"/>
      <c r="B239" s="71"/>
      <c r="C239" s="71"/>
      <c r="D239" s="71"/>
      <c r="E239" s="71"/>
      <c r="F239" s="71"/>
      <c r="G239" s="59"/>
      <c r="H239" s="71"/>
      <c r="I239" s="71"/>
      <c r="J239" s="71"/>
      <c r="K239" s="71"/>
      <c r="L239" s="71"/>
      <c r="M239" s="71"/>
      <c r="N239" s="71"/>
      <c r="O239" s="71"/>
      <c r="P239" s="71"/>
      <c r="Q239" s="71"/>
      <c r="R239" s="71"/>
      <c r="S239" s="71"/>
      <c r="T239" s="71"/>
      <c r="U239" s="71"/>
      <c r="V239" s="71"/>
      <c r="W239" s="71"/>
      <c r="X239" s="71"/>
      <c r="Y239" s="71"/>
      <c r="Z239" s="71"/>
    </row>
    <row r="240" ht="15.75" customHeight="1">
      <c r="A240" s="72"/>
      <c r="B240" s="71"/>
      <c r="C240" s="71"/>
      <c r="D240" s="71"/>
      <c r="E240" s="71"/>
      <c r="F240" s="71"/>
      <c r="G240" s="59"/>
      <c r="H240" s="71"/>
      <c r="I240" s="71"/>
      <c r="J240" s="71"/>
      <c r="K240" s="71"/>
      <c r="L240" s="71"/>
      <c r="M240" s="71"/>
      <c r="N240" s="71"/>
      <c r="O240" s="71"/>
      <c r="P240" s="71"/>
      <c r="Q240" s="71"/>
      <c r="R240" s="71"/>
      <c r="S240" s="71"/>
      <c r="T240" s="71"/>
      <c r="U240" s="71"/>
      <c r="V240" s="71"/>
      <c r="W240" s="71"/>
      <c r="X240" s="71"/>
      <c r="Y240" s="71"/>
      <c r="Z240" s="71"/>
    </row>
    <row r="241" ht="15.75" customHeight="1">
      <c r="A241" s="72"/>
      <c r="B241" s="71"/>
      <c r="C241" s="71"/>
      <c r="D241" s="71"/>
      <c r="E241" s="71"/>
      <c r="F241" s="71"/>
      <c r="G241" s="59"/>
      <c r="H241" s="71"/>
      <c r="I241" s="71"/>
      <c r="J241" s="71"/>
      <c r="K241" s="71"/>
      <c r="L241" s="71"/>
      <c r="M241" s="71"/>
      <c r="N241" s="71"/>
      <c r="O241" s="71"/>
      <c r="P241" s="71"/>
      <c r="Q241" s="71"/>
      <c r="R241" s="71"/>
      <c r="S241" s="71"/>
      <c r="T241" s="71"/>
      <c r="U241" s="71"/>
      <c r="V241" s="71"/>
      <c r="W241" s="71"/>
      <c r="X241" s="71"/>
      <c r="Y241" s="71"/>
      <c r="Z241" s="71"/>
    </row>
    <row r="242" ht="15.75" customHeight="1">
      <c r="A242" s="72"/>
      <c r="B242" s="71"/>
      <c r="C242" s="71"/>
      <c r="D242" s="71"/>
      <c r="E242" s="71"/>
      <c r="F242" s="71"/>
      <c r="G242" s="59"/>
      <c r="H242" s="71"/>
      <c r="I242" s="71"/>
      <c r="J242" s="71"/>
      <c r="K242" s="71"/>
      <c r="L242" s="71"/>
      <c r="M242" s="71"/>
      <c r="N242" s="71"/>
      <c r="O242" s="71"/>
      <c r="P242" s="71"/>
      <c r="Q242" s="71"/>
      <c r="R242" s="71"/>
      <c r="S242" s="71"/>
      <c r="T242" s="71"/>
      <c r="U242" s="71"/>
      <c r="V242" s="71"/>
      <c r="W242" s="71"/>
      <c r="X242" s="71"/>
      <c r="Y242" s="71"/>
      <c r="Z242" s="71"/>
    </row>
    <row r="243" ht="15.75" customHeight="1">
      <c r="A243" s="72"/>
      <c r="B243" s="71"/>
      <c r="C243" s="71"/>
      <c r="D243" s="71"/>
      <c r="E243" s="71"/>
      <c r="F243" s="71"/>
      <c r="G243" s="59"/>
      <c r="H243" s="71"/>
      <c r="I243" s="71"/>
      <c r="J243" s="71"/>
      <c r="K243" s="71"/>
      <c r="L243" s="71"/>
      <c r="M243" s="71"/>
      <c r="N243" s="71"/>
      <c r="O243" s="71"/>
      <c r="P243" s="71"/>
      <c r="Q243" s="71"/>
      <c r="R243" s="71"/>
      <c r="S243" s="71"/>
      <c r="T243" s="71"/>
      <c r="U243" s="71"/>
      <c r="V243" s="71"/>
      <c r="W243" s="71"/>
      <c r="X243" s="71"/>
      <c r="Y243" s="71"/>
      <c r="Z243" s="71"/>
    </row>
    <row r="244" ht="15.75" customHeight="1">
      <c r="A244" s="72"/>
      <c r="B244" s="71"/>
      <c r="C244" s="71"/>
      <c r="D244" s="71"/>
      <c r="E244" s="71"/>
      <c r="F244" s="71"/>
      <c r="G244" s="59"/>
      <c r="H244" s="71"/>
      <c r="I244" s="71"/>
      <c r="J244" s="71"/>
      <c r="K244" s="71"/>
      <c r="L244" s="71"/>
      <c r="M244" s="71"/>
      <c r="N244" s="71"/>
      <c r="O244" s="71"/>
      <c r="P244" s="71"/>
      <c r="Q244" s="71"/>
      <c r="R244" s="71"/>
      <c r="S244" s="71"/>
      <c r="T244" s="71"/>
      <c r="U244" s="71"/>
      <c r="V244" s="71"/>
      <c r="W244" s="71"/>
      <c r="X244" s="71"/>
      <c r="Y244" s="71"/>
      <c r="Z244" s="71"/>
    </row>
    <row r="245" ht="15.75" customHeight="1">
      <c r="A245" s="72"/>
      <c r="B245" s="71"/>
      <c r="C245" s="71"/>
      <c r="D245" s="71"/>
      <c r="E245" s="71"/>
      <c r="F245" s="71"/>
      <c r="G245" s="59"/>
      <c r="H245" s="71"/>
      <c r="I245" s="71"/>
      <c r="J245" s="71"/>
      <c r="K245" s="71"/>
      <c r="L245" s="71"/>
      <c r="M245" s="71"/>
      <c r="N245" s="71"/>
      <c r="O245" s="71"/>
      <c r="P245" s="71"/>
      <c r="Q245" s="71"/>
      <c r="R245" s="71"/>
      <c r="S245" s="71"/>
      <c r="T245" s="71"/>
      <c r="U245" s="71"/>
      <c r="V245" s="71"/>
      <c r="W245" s="71"/>
      <c r="X245" s="71"/>
      <c r="Y245" s="71"/>
      <c r="Z245" s="71"/>
    </row>
    <row r="246" ht="15.75" customHeight="1">
      <c r="A246" s="72"/>
      <c r="B246" s="71"/>
      <c r="C246" s="71"/>
      <c r="D246" s="71"/>
      <c r="E246" s="71"/>
      <c r="F246" s="71"/>
      <c r="G246" s="59"/>
      <c r="H246" s="71"/>
      <c r="I246" s="71"/>
      <c r="J246" s="71"/>
      <c r="K246" s="71"/>
      <c r="L246" s="71"/>
      <c r="M246" s="71"/>
      <c r="N246" s="71"/>
      <c r="O246" s="71"/>
      <c r="P246" s="71"/>
      <c r="Q246" s="71"/>
      <c r="R246" s="71"/>
      <c r="S246" s="71"/>
      <c r="T246" s="71"/>
      <c r="U246" s="71"/>
      <c r="V246" s="71"/>
      <c r="W246" s="71"/>
      <c r="X246" s="71"/>
      <c r="Y246" s="71"/>
      <c r="Z246" s="71"/>
    </row>
    <row r="247" ht="15.75" customHeight="1">
      <c r="A247" s="72"/>
      <c r="B247" s="71"/>
      <c r="C247" s="71"/>
      <c r="D247" s="71"/>
      <c r="E247" s="71"/>
      <c r="F247" s="71"/>
      <c r="G247" s="59"/>
      <c r="H247" s="71"/>
      <c r="I247" s="71"/>
      <c r="J247" s="71"/>
      <c r="K247" s="71"/>
      <c r="L247" s="71"/>
      <c r="M247" s="71"/>
      <c r="N247" s="71"/>
      <c r="O247" s="71"/>
      <c r="P247" s="71"/>
      <c r="Q247" s="71"/>
      <c r="R247" s="71"/>
      <c r="S247" s="71"/>
      <c r="T247" s="71"/>
      <c r="U247" s="71"/>
      <c r="V247" s="71"/>
      <c r="W247" s="71"/>
      <c r="X247" s="71"/>
      <c r="Y247" s="71"/>
      <c r="Z247" s="71"/>
    </row>
    <row r="248" ht="15.75" customHeight="1">
      <c r="A248" s="72"/>
      <c r="B248" s="71"/>
      <c r="C248" s="71"/>
      <c r="D248" s="71"/>
      <c r="E248" s="71"/>
      <c r="F248" s="71"/>
      <c r="G248" s="59"/>
      <c r="H248" s="71"/>
      <c r="I248" s="71"/>
      <c r="J248" s="71"/>
      <c r="K248" s="71"/>
      <c r="L248" s="71"/>
      <c r="M248" s="71"/>
      <c r="N248" s="71"/>
      <c r="O248" s="71"/>
      <c r="P248" s="71"/>
      <c r="Q248" s="71"/>
      <c r="R248" s="71"/>
      <c r="S248" s="71"/>
      <c r="T248" s="71"/>
      <c r="U248" s="71"/>
      <c r="V248" s="71"/>
      <c r="W248" s="71"/>
      <c r="X248" s="71"/>
      <c r="Y248" s="71"/>
      <c r="Z248" s="71"/>
    </row>
    <row r="249" ht="15.75" customHeight="1">
      <c r="A249" s="72"/>
      <c r="B249" s="71"/>
      <c r="C249" s="71"/>
      <c r="D249" s="71"/>
      <c r="E249" s="71"/>
      <c r="F249" s="71"/>
      <c r="G249" s="59"/>
      <c r="H249" s="71"/>
      <c r="I249" s="71"/>
      <c r="J249" s="71"/>
      <c r="K249" s="71"/>
      <c r="L249" s="71"/>
      <c r="M249" s="71"/>
      <c r="N249" s="71"/>
      <c r="O249" s="71"/>
      <c r="P249" s="71"/>
      <c r="Q249" s="71"/>
      <c r="R249" s="71"/>
      <c r="S249" s="71"/>
      <c r="T249" s="71"/>
      <c r="U249" s="71"/>
      <c r="V249" s="71"/>
      <c r="W249" s="71"/>
      <c r="X249" s="71"/>
      <c r="Y249" s="71"/>
      <c r="Z249" s="71"/>
    </row>
    <row r="250" ht="15.75" customHeight="1">
      <c r="A250" s="72"/>
      <c r="B250" s="71"/>
      <c r="C250" s="71"/>
      <c r="D250" s="71"/>
      <c r="E250" s="71"/>
      <c r="F250" s="71"/>
      <c r="G250" s="59"/>
      <c r="H250" s="71"/>
      <c r="I250" s="71"/>
      <c r="J250" s="71"/>
      <c r="K250" s="71"/>
      <c r="L250" s="71"/>
      <c r="M250" s="71"/>
      <c r="N250" s="71"/>
      <c r="O250" s="71"/>
      <c r="P250" s="71"/>
      <c r="Q250" s="71"/>
      <c r="R250" s="71"/>
      <c r="S250" s="71"/>
      <c r="T250" s="71"/>
      <c r="U250" s="71"/>
      <c r="V250" s="71"/>
      <c r="W250" s="71"/>
      <c r="X250" s="71"/>
      <c r="Y250" s="71"/>
      <c r="Z250" s="71"/>
    </row>
    <row r="251" ht="15.75" customHeight="1">
      <c r="A251" s="72"/>
      <c r="B251" s="71"/>
      <c r="C251" s="71"/>
      <c r="D251" s="71"/>
      <c r="E251" s="71"/>
      <c r="F251" s="71"/>
      <c r="G251" s="59"/>
      <c r="H251" s="71"/>
      <c r="I251" s="71"/>
      <c r="J251" s="71"/>
      <c r="K251" s="71"/>
      <c r="L251" s="71"/>
      <c r="M251" s="71"/>
      <c r="N251" s="71"/>
      <c r="O251" s="71"/>
      <c r="P251" s="71"/>
      <c r="Q251" s="71"/>
      <c r="R251" s="71"/>
      <c r="S251" s="71"/>
      <c r="T251" s="71"/>
      <c r="U251" s="71"/>
      <c r="V251" s="71"/>
      <c r="W251" s="71"/>
      <c r="X251" s="71"/>
      <c r="Y251" s="71"/>
      <c r="Z251" s="71"/>
    </row>
    <row r="252" ht="15.75" customHeight="1">
      <c r="A252" s="72"/>
      <c r="B252" s="71"/>
      <c r="C252" s="71"/>
      <c r="D252" s="71"/>
      <c r="E252" s="71"/>
      <c r="F252" s="71"/>
      <c r="G252" s="59"/>
      <c r="H252" s="71"/>
      <c r="I252" s="71"/>
      <c r="J252" s="71"/>
      <c r="K252" s="71"/>
      <c r="L252" s="71"/>
      <c r="M252" s="71"/>
      <c r="N252" s="71"/>
      <c r="O252" s="71"/>
      <c r="P252" s="71"/>
      <c r="Q252" s="71"/>
      <c r="R252" s="71"/>
      <c r="S252" s="71"/>
      <c r="T252" s="71"/>
      <c r="U252" s="71"/>
      <c r="V252" s="71"/>
      <c r="W252" s="71"/>
      <c r="X252" s="71"/>
      <c r="Y252" s="71"/>
      <c r="Z252" s="71"/>
    </row>
    <row r="253" ht="15.75" customHeight="1">
      <c r="A253" s="72"/>
      <c r="B253" s="71"/>
      <c r="C253" s="71"/>
      <c r="D253" s="71"/>
      <c r="E253" s="71"/>
      <c r="F253" s="71"/>
      <c r="G253" s="59"/>
      <c r="H253" s="71"/>
      <c r="I253" s="71"/>
      <c r="J253" s="71"/>
      <c r="K253" s="71"/>
      <c r="L253" s="71"/>
      <c r="M253" s="71"/>
      <c r="N253" s="71"/>
      <c r="O253" s="71"/>
      <c r="P253" s="71"/>
      <c r="Q253" s="71"/>
      <c r="R253" s="71"/>
      <c r="S253" s="71"/>
      <c r="T253" s="71"/>
      <c r="U253" s="71"/>
      <c r="V253" s="71"/>
      <c r="W253" s="71"/>
      <c r="X253" s="71"/>
      <c r="Y253" s="71"/>
      <c r="Z253" s="71"/>
    </row>
    <row r="254" ht="15.75" customHeight="1">
      <c r="A254" s="72"/>
      <c r="B254" s="71"/>
      <c r="C254" s="71"/>
      <c r="D254" s="71"/>
      <c r="E254" s="71"/>
      <c r="F254" s="71"/>
      <c r="G254" s="59"/>
      <c r="H254" s="71"/>
      <c r="I254" s="71"/>
      <c r="J254" s="71"/>
      <c r="K254" s="71"/>
      <c r="L254" s="71"/>
      <c r="M254" s="71"/>
      <c r="N254" s="71"/>
      <c r="O254" s="71"/>
      <c r="P254" s="71"/>
      <c r="Q254" s="71"/>
      <c r="R254" s="71"/>
      <c r="S254" s="71"/>
      <c r="T254" s="71"/>
      <c r="U254" s="71"/>
      <c r="V254" s="71"/>
      <c r="W254" s="71"/>
      <c r="X254" s="71"/>
      <c r="Y254" s="71"/>
      <c r="Z254" s="71"/>
    </row>
    <row r="255" ht="15.75" customHeight="1">
      <c r="A255" s="72"/>
      <c r="B255" s="71"/>
      <c r="C255" s="71"/>
      <c r="D255" s="71"/>
      <c r="E255" s="71"/>
      <c r="F255" s="71"/>
      <c r="G255" s="59"/>
      <c r="H255" s="71"/>
      <c r="I255" s="71"/>
      <c r="J255" s="71"/>
      <c r="K255" s="71"/>
      <c r="L255" s="71"/>
      <c r="M255" s="71"/>
      <c r="N255" s="71"/>
      <c r="O255" s="71"/>
      <c r="P255" s="71"/>
      <c r="Q255" s="71"/>
      <c r="R255" s="71"/>
      <c r="S255" s="71"/>
      <c r="T255" s="71"/>
      <c r="U255" s="71"/>
      <c r="V255" s="71"/>
      <c r="W255" s="71"/>
      <c r="X255" s="71"/>
      <c r="Y255" s="71"/>
      <c r="Z255" s="71"/>
    </row>
    <row r="256" ht="15.75" customHeight="1">
      <c r="A256" s="72"/>
      <c r="B256" s="71"/>
      <c r="C256" s="71"/>
      <c r="D256" s="71"/>
      <c r="E256" s="71"/>
      <c r="F256" s="71"/>
      <c r="G256" s="59"/>
      <c r="H256" s="71"/>
      <c r="I256" s="71"/>
      <c r="J256" s="71"/>
      <c r="K256" s="71"/>
      <c r="L256" s="71"/>
      <c r="M256" s="71"/>
      <c r="N256" s="71"/>
      <c r="O256" s="71"/>
      <c r="P256" s="71"/>
      <c r="Q256" s="71"/>
      <c r="R256" s="71"/>
      <c r="S256" s="71"/>
      <c r="T256" s="71"/>
      <c r="U256" s="71"/>
      <c r="V256" s="71"/>
      <c r="W256" s="71"/>
      <c r="X256" s="71"/>
      <c r="Y256" s="71"/>
      <c r="Z256" s="71"/>
    </row>
    <row r="257" ht="15.75" customHeight="1">
      <c r="A257" s="72"/>
      <c r="B257" s="71"/>
      <c r="C257" s="71"/>
      <c r="D257" s="71"/>
      <c r="E257" s="71"/>
      <c r="F257" s="71"/>
      <c r="G257" s="59"/>
      <c r="H257" s="71"/>
      <c r="I257" s="71"/>
      <c r="J257" s="71"/>
      <c r="K257" s="71"/>
      <c r="L257" s="71"/>
      <c r="M257" s="71"/>
      <c r="N257" s="71"/>
      <c r="O257" s="71"/>
      <c r="P257" s="71"/>
      <c r="Q257" s="71"/>
      <c r="R257" s="71"/>
      <c r="S257" s="71"/>
      <c r="T257" s="71"/>
      <c r="U257" s="71"/>
      <c r="V257" s="71"/>
      <c r="W257" s="71"/>
      <c r="X257" s="71"/>
      <c r="Y257" s="71"/>
      <c r="Z257" s="71"/>
    </row>
    <row r="258" ht="15.75" customHeight="1">
      <c r="A258" s="72"/>
      <c r="B258" s="71"/>
      <c r="C258" s="71"/>
      <c r="D258" s="71"/>
      <c r="E258" s="71"/>
      <c r="F258" s="71"/>
      <c r="G258" s="59"/>
      <c r="H258" s="71"/>
      <c r="I258" s="71"/>
      <c r="J258" s="71"/>
      <c r="K258" s="71"/>
      <c r="L258" s="71"/>
      <c r="M258" s="71"/>
      <c r="N258" s="71"/>
      <c r="O258" s="71"/>
      <c r="P258" s="71"/>
      <c r="Q258" s="71"/>
      <c r="R258" s="71"/>
      <c r="S258" s="71"/>
      <c r="T258" s="71"/>
      <c r="U258" s="71"/>
      <c r="V258" s="71"/>
      <c r="W258" s="71"/>
      <c r="X258" s="71"/>
      <c r="Y258" s="71"/>
      <c r="Z258" s="71"/>
    </row>
    <row r="259" ht="15.75" customHeight="1">
      <c r="A259" s="72"/>
      <c r="B259" s="71"/>
      <c r="C259" s="71"/>
      <c r="D259" s="71"/>
      <c r="E259" s="71"/>
      <c r="F259" s="71"/>
      <c r="G259" s="59"/>
      <c r="H259" s="71"/>
      <c r="I259" s="71"/>
      <c r="J259" s="71"/>
      <c r="K259" s="71"/>
      <c r="L259" s="71"/>
      <c r="M259" s="71"/>
      <c r="N259" s="71"/>
      <c r="O259" s="71"/>
      <c r="P259" s="71"/>
      <c r="Q259" s="71"/>
      <c r="R259" s="71"/>
      <c r="S259" s="71"/>
      <c r="T259" s="71"/>
      <c r="U259" s="71"/>
      <c r="V259" s="71"/>
      <c r="W259" s="71"/>
      <c r="X259" s="71"/>
      <c r="Y259" s="71"/>
      <c r="Z259" s="71"/>
    </row>
    <row r="260" ht="15.75" customHeight="1">
      <c r="A260" s="72"/>
      <c r="B260" s="71"/>
      <c r="C260" s="71"/>
      <c r="D260" s="71"/>
      <c r="E260" s="71"/>
      <c r="F260" s="71"/>
      <c r="G260" s="59"/>
      <c r="H260" s="71"/>
      <c r="I260" s="71"/>
      <c r="J260" s="71"/>
      <c r="K260" s="71"/>
      <c r="L260" s="71"/>
      <c r="M260" s="71"/>
      <c r="N260" s="71"/>
      <c r="O260" s="71"/>
      <c r="P260" s="71"/>
      <c r="Q260" s="71"/>
      <c r="R260" s="71"/>
      <c r="S260" s="71"/>
      <c r="T260" s="71"/>
      <c r="U260" s="71"/>
      <c r="V260" s="71"/>
      <c r="W260" s="71"/>
      <c r="X260" s="71"/>
      <c r="Y260" s="71"/>
      <c r="Z260" s="71"/>
    </row>
    <row r="261" ht="15.75" customHeight="1">
      <c r="A261" s="72"/>
      <c r="B261" s="71"/>
      <c r="C261" s="71"/>
      <c r="D261" s="71"/>
      <c r="E261" s="71"/>
      <c r="F261" s="71"/>
      <c r="G261" s="59"/>
      <c r="H261" s="71"/>
      <c r="I261" s="71"/>
      <c r="J261" s="71"/>
      <c r="K261" s="71"/>
      <c r="L261" s="71"/>
      <c r="M261" s="71"/>
      <c r="N261" s="71"/>
      <c r="O261" s="71"/>
      <c r="P261" s="71"/>
      <c r="Q261" s="71"/>
      <c r="R261" s="71"/>
      <c r="S261" s="71"/>
      <c r="T261" s="71"/>
      <c r="U261" s="71"/>
      <c r="V261" s="71"/>
      <c r="W261" s="71"/>
      <c r="X261" s="71"/>
      <c r="Y261" s="71"/>
      <c r="Z261" s="71"/>
    </row>
    <row r="262" ht="15.75" customHeight="1">
      <c r="A262" s="72"/>
      <c r="B262" s="71"/>
      <c r="C262" s="71"/>
      <c r="D262" s="71"/>
      <c r="E262" s="71"/>
      <c r="F262" s="71"/>
      <c r="G262" s="59"/>
      <c r="H262" s="71"/>
      <c r="I262" s="71"/>
      <c r="J262" s="71"/>
      <c r="K262" s="71"/>
      <c r="L262" s="71"/>
      <c r="M262" s="71"/>
      <c r="N262" s="71"/>
      <c r="O262" s="71"/>
      <c r="P262" s="71"/>
      <c r="Q262" s="71"/>
      <c r="R262" s="71"/>
      <c r="S262" s="71"/>
      <c r="T262" s="71"/>
      <c r="U262" s="71"/>
      <c r="V262" s="71"/>
      <c r="W262" s="71"/>
      <c r="X262" s="71"/>
      <c r="Y262" s="71"/>
      <c r="Z262" s="71"/>
    </row>
    <row r="263" ht="15.75" customHeight="1">
      <c r="A263" s="72"/>
      <c r="B263" s="71"/>
      <c r="C263" s="71"/>
      <c r="D263" s="71"/>
      <c r="E263" s="71"/>
      <c r="F263" s="71"/>
      <c r="G263" s="59"/>
      <c r="H263" s="71"/>
      <c r="I263" s="71"/>
      <c r="J263" s="71"/>
      <c r="K263" s="71"/>
      <c r="L263" s="71"/>
      <c r="M263" s="71"/>
      <c r="N263" s="71"/>
      <c r="O263" s="71"/>
      <c r="P263" s="71"/>
      <c r="Q263" s="71"/>
      <c r="R263" s="71"/>
      <c r="S263" s="71"/>
      <c r="T263" s="71"/>
      <c r="U263" s="71"/>
      <c r="V263" s="71"/>
      <c r="W263" s="71"/>
      <c r="X263" s="71"/>
      <c r="Y263" s="71"/>
      <c r="Z263" s="71"/>
    </row>
    <row r="264" ht="15.75" customHeight="1">
      <c r="A264" s="72"/>
      <c r="B264" s="71"/>
      <c r="C264" s="71"/>
      <c r="D264" s="71"/>
      <c r="E264" s="71"/>
      <c r="F264" s="71"/>
      <c r="G264" s="59"/>
      <c r="H264" s="71"/>
      <c r="I264" s="71"/>
      <c r="J264" s="71"/>
      <c r="K264" s="71"/>
      <c r="L264" s="71"/>
      <c r="M264" s="71"/>
      <c r="N264" s="71"/>
      <c r="O264" s="71"/>
      <c r="P264" s="71"/>
      <c r="Q264" s="71"/>
      <c r="R264" s="71"/>
      <c r="S264" s="71"/>
      <c r="T264" s="71"/>
      <c r="U264" s="71"/>
      <c r="V264" s="71"/>
      <c r="W264" s="71"/>
      <c r="X264" s="71"/>
      <c r="Y264" s="71"/>
      <c r="Z264" s="71"/>
    </row>
    <row r="265" ht="15.75" customHeight="1">
      <c r="A265" s="72"/>
      <c r="B265" s="71"/>
      <c r="C265" s="71"/>
      <c r="D265" s="71"/>
      <c r="E265" s="71"/>
      <c r="F265" s="71"/>
      <c r="G265" s="59"/>
      <c r="H265" s="71"/>
      <c r="I265" s="71"/>
      <c r="J265" s="71"/>
      <c r="K265" s="71"/>
      <c r="L265" s="71"/>
      <c r="M265" s="71"/>
      <c r="N265" s="71"/>
      <c r="O265" s="71"/>
      <c r="P265" s="71"/>
      <c r="Q265" s="71"/>
      <c r="R265" s="71"/>
      <c r="S265" s="71"/>
      <c r="T265" s="71"/>
      <c r="U265" s="71"/>
      <c r="V265" s="71"/>
      <c r="W265" s="71"/>
      <c r="X265" s="71"/>
      <c r="Y265" s="71"/>
      <c r="Z265" s="71"/>
    </row>
    <row r="266" ht="15.75" customHeight="1">
      <c r="A266" s="72"/>
      <c r="B266" s="71"/>
      <c r="C266" s="71"/>
      <c r="D266" s="71"/>
      <c r="E266" s="71"/>
      <c r="F266" s="71"/>
      <c r="G266" s="59"/>
      <c r="H266" s="71"/>
      <c r="I266" s="71"/>
      <c r="J266" s="71"/>
      <c r="K266" s="71"/>
      <c r="L266" s="71"/>
      <c r="M266" s="71"/>
      <c r="N266" s="71"/>
      <c r="O266" s="71"/>
      <c r="P266" s="71"/>
      <c r="Q266" s="71"/>
      <c r="R266" s="71"/>
      <c r="S266" s="71"/>
      <c r="T266" s="71"/>
      <c r="U266" s="71"/>
      <c r="V266" s="71"/>
      <c r="W266" s="71"/>
      <c r="X266" s="71"/>
      <c r="Y266" s="71"/>
      <c r="Z266" s="71"/>
    </row>
    <row r="267" ht="15.75" customHeight="1">
      <c r="A267" s="72"/>
      <c r="B267" s="71"/>
      <c r="C267" s="71"/>
      <c r="D267" s="71"/>
      <c r="E267" s="71"/>
      <c r="F267" s="71"/>
      <c r="G267" s="59"/>
      <c r="H267" s="71"/>
      <c r="I267" s="71"/>
      <c r="J267" s="71"/>
      <c r="K267" s="71"/>
      <c r="L267" s="71"/>
      <c r="M267" s="71"/>
      <c r="N267" s="71"/>
      <c r="O267" s="71"/>
      <c r="P267" s="71"/>
      <c r="Q267" s="71"/>
      <c r="R267" s="71"/>
      <c r="S267" s="71"/>
      <c r="T267" s="71"/>
      <c r="U267" s="71"/>
      <c r="V267" s="71"/>
      <c r="W267" s="71"/>
      <c r="X267" s="71"/>
      <c r="Y267" s="71"/>
      <c r="Z267" s="71"/>
    </row>
    <row r="268" ht="15.75" customHeight="1">
      <c r="A268" s="72"/>
      <c r="B268" s="71"/>
      <c r="C268" s="71"/>
      <c r="D268" s="71"/>
      <c r="E268" s="71"/>
      <c r="F268" s="71"/>
      <c r="G268" s="59"/>
      <c r="H268" s="71"/>
      <c r="I268" s="71"/>
      <c r="J268" s="71"/>
      <c r="K268" s="71"/>
      <c r="L268" s="71"/>
      <c r="M268" s="71"/>
      <c r="N268" s="71"/>
      <c r="O268" s="71"/>
      <c r="P268" s="71"/>
      <c r="Q268" s="71"/>
      <c r="R268" s="71"/>
      <c r="S268" s="71"/>
      <c r="T268" s="71"/>
      <c r="U268" s="71"/>
      <c r="V268" s="71"/>
      <c r="W268" s="71"/>
      <c r="X268" s="71"/>
      <c r="Y268" s="71"/>
      <c r="Z268" s="71"/>
    </row>
    <row r="269" ht="15.75" customHeight="1">
      <c r="A269" s="72"/>
      <c r="B269" s="71"/>
      <c r="C269" s="71"/>
      <c r="D269" s="71"/>
      <c r="E269" s="71"/>
      <c r="F269" s="71"/>
      <c r="G269" s="59"/>
      <c r="H269" s="71"/>
      <c r="I269" s="71"/>
      <c r="J269" s="71"/>
      <c r="K269" s="71"/>
      <c r="L269" s="71"/>
      <c r="M269" s="71"/>
      <c r="N269" s="71"/>
      <c r="O269" s="71"/>
      <c r="P269" s="71"/>
      <c r="Q269" s="71"/>
      <c r="R269" s="71"/>
      <c r="S269" s="71"/>
      <c r="T269" s="71"/>
      <c r="U269" s="71"/>
      <c r="V269" s="71"/>
      <c r="W269" s="71"/>
      <c r="X269" s="71"/>
      <c r="Y269" s="71"/>
      <c r="Z269" s="71"/>
    </row>
    <row r="270" ht="15.75" customHeight="1">
      <c r="A270" s="72"/>
      <c r="B270" s="71"/>
      <c r="C270" s="71"/>
      <c r="D270" s="71"/>
      <c r="E270" s="71"/>
      <c r="F270" s="71"/>
      <c r="G270" s="59"/>
      <c r="H270" s="71"/>
      <c r="I270" s="71"/>
      <c r="J270" s="71"/>
      <c r="K270" s="71"/>
      <c r="L270" s="71"/>
      <c r="M270" s="71"/>
      <c r="N270" s="71"/>
      <c r="O270" s="71"/>
      <c r="P270" s="71"/>
      <c r="Q270" s="71"/>
      <c r="R270" s="71"/>
      <c r="S270" s="71"/>
      <c r="T270" s="71"/>
      <c r="U270" s="71"/>
      <c r="V270" s="71"/>
      <c r="W270" s="71"/>
      <c r="X270" s="71"/>
      <c r="Y270" s="71"/>
      <c r="Z270" s="71"/>
    </row>
    <row r="271" ht="15.75" customHeight="1">
      <c r="A271" s="72"/>
      <c r="B271" s="71"/>
      <c r="C271" s="71"/>
      <c r="D271" s="71"/>
      <c r="E271" s="71"/>
      <c r="F271" s="71"/>
      <c r="G271" s="59"/>
      <c r="H271" s="71"/>
      <c r="I271" s="71"/>
      <c r="J271" s="71"/>
      <c r="K271" s="71"/>
      <c r="L271" s="71"/>
      <c r="M271" s="71"/>
      <c r="N271" s="71"/>
      <c r="O271" s="71"/>
      <c r="P271" s="71"/>
      <c r="Q271" s="71"/>
      <c r="R271" s="71"/>
      <c r="S271" s="71"/>
      <c r="T271" s="71"/>
      <c r="U271" s="71"/>
      <c r="V271" s="71"/>
      <c r="W271" s="71"/>
      <c r="X271" s="71"/>
      <c r="Y271" s="71"/>
      <c r="Z271" s="71"/>
    </row>
    <row r="272" ht="15.75" customHeight="1">
      <c r="A272" s="72"/>
      <c r="B272" s="71"/>
      <c r="C272" s="71"/>
      <c r="D272" s="71"/>
      <c r="E272" s="71"/>
      <c r="F272" s="71"/>
      <c r="G272" s="59"/>
      <c r="H272" s="71"/>
      <c r="I272" s="71"/>
      <c r="J272" s="71"/>
      <c r="K272" s="71"/>
      <c r="L272" s="71"/>
      <c r="M272" s="71"/>
      <c r="N272" s="71"/>
      <c r="O272" s="71"/>
      <c r="P272" s="71"/>
      <c r="Q272" s="71"/>
      <c r="R272" s="71"/>
      <c r="S272" s="71"/>
      <c r="T272" s="71"/>
      <c r="U272" s="71"/>
      <c r="V272" s="71"/>
      <c r="W272" s="71"/>
      <c r="X272" s="71"/>
      <c r="Y272" s="71"/>
      <c r="Z272" s="71"/>
    </row>
    <row r="273" ht="15.75" customHeight="1">
      <c r="A273" s="72"/>
      <c r="B273" s="71"/>
      <c r="C273" s="71"/>
      <c r="D273" s="71"/>
      <c r="E273" s="71"/>
      <c r="F273" s="71"/>
      <c r="G273" s="59"/>
      <c r="H273" s="71"/>
      <c r="I273" s="71"/>
      <c r="J273" s="71"/>
      <c r="K273" s="71"/>
      <c r="L273" s="71"/>
      <c r="M273" s="71"/>
      <c r="N273" s="71"/>
      <c r="O273" s="71"/>
      <c r="P273" s="71"/>
      <c r="Q273" s="71"/>
      <c r="R273" s="71"/>
      <c r="S273" s="71"/>
      <c r="T273" s="71"/>
      <c r="U273" s="71"/>
      <c r="V273" s="71"/>
      <c r="W273" s="71"/>
      <c r="X273" s="71"/>
      <c r="Y273" s="71"/>
      <c r="Z273" s="71"/>
    </row>
    <row r="274" ht="15.75" customHeight="1">
      <c r="A274" s="72"/>
      <c r="B274" s="71"/>
      <c r="C274" s="71"/>
      <c r="D274" s="71"/>
      <c r="E274" s="71"/>
      <c r="F274" s="71"/>
      <c r="G274" s="59"/>
      <c r="H274" s="71"/>
      <c r="I274" s="71"/>
      <c r="J274" s="71"/>
      <c r="K274" s="71"/>
      <c r="L274" s="71"/>
      <c r="M274" s="71"/>
      <c r="N274" s="71"/>
      <c r="O274" s="71"/>
      <c r="P274" s="71"/>
      <c r="Q274" s="71"/>
      <c r="R274" s="71"/>
      <c r="S274" s="71"/>
      <c r="T274" s="71"/>
      <c r="U274" s="71"/>
      <c r="V274" s="71"/>
      <c r="W274" s="71"/>
      <c r="X274" s="71"/>
      <c r="Y274" s="71"/>
      <c r="Z274" s="71"/>
    </row>
    <row r="275" ht="15.75" customHeight="1">
      <c r="A275" s="72"/>
      <c r="B275" s="71"/>
      <c r="C275" s="71"/>
      <c r="D275" s="71"/>
      <c r="E275" s="71"/>
      <c r="F275" s="71"/>
      <c r="G275" s="59"/>
      <c r="H275" s="71"/>
      <c r="I275" s="71"/>
      <c r="J275" s="71"/>
      <c r="K275" s="71"/>
      <c r="L275" s="71"/>
      <c r="M275" s="71"/>
      <c r="N275" s="71"/>
      <c r="O275" s="71"/>
      <c r="P275" s="71"/>
      <c r="Q275" s="71"/>
      <c r="R275" s="71"/>
      <c r="S275" s="71"/>
      <c r="T275" s="71"/>
      <c r="U275" s="71"/>
      <c r="V275" s="71"/>
      <c r="W275" s="71"/>
      <c r="X275" s="71"/>
      <c r="Y275" s="71"/>
      <c r="Z275" s="71"/>
    </row>
    <row r="276" ht="15.75" customHeight="1">
      <c r="A276" s="72"/>
      <c r="B276" s="71"/>
      <c r="C276" s="71"/>
      <c r="D276" s="71"/>
      <c r="E276" s="71"/>
      <c r="F276" s="71"/>
      <c r="G276" s="59"/>
      <c r="H276" s="71"/>
      <c r="I276" s="71"/>
      <c r="J276" s="71"/>
      <c r="K276" s="71"/>
      <c r="L276" s="71"/>
      <c r="M276" s="71"/>
      <c r="N276" s="71"/>
      <c r="O276" s="71"/>
      <c r="P276" s="71"/>
      <c r="Q276" s="71"/>
      <c r="R276" s="71"/>
      <c r="S276" s="71"/>
      <c r="T276" s="71"/>
      <c r="U276" s="71"/>
      <c r="V276" s="71"/>
      <c r="W276" s="71"/>
      <c r="X276" s="71"/>
      <c r="Y276" s="71"/>
      <c r="Z276" s="71"/>
    </row>
    <row r="277" ht="15.75" customHeight="1">
      <c r="A277" s="72"/>
      <c r="B277" s="71"/>
      <c r="C277" s="71"/>
      <c r="D277" s="71"/>
      <c r="E277" s="71"/>
      <c r="F277" s="71"/>
      <c r="G277" s="59"/>
      <c r="H277" s="71"/>
      <c r="I277" s="71"/>
      <c r="J277" s="71"/>
      <c r="K277" s="71"/>
      <c r="L277" s="71"/>
      <c r="M277" s="71"/>
      <c r="N277" s="71"/>
      <c r="O277" s="71"/>
      <c r="P277" s="71"/>
      <c r="Q277" s="71"/>
      <c r="R277" s="71"/>
      <c r="S277" s="71"/>
      <c r="T277" s="71"/>
      <c r="U277" s="71"/>
      <c r="V277" s="71"/>
      <c r="W277" s="71"/>
      <c r="X277" s="71"/>
      <c r="Y277" s="71"/>
      <c r="Z277" s="71"/>
    </row>
    <row r="278" ht="15.75" customHeight="1">
      <c r="A278" s="72"/>
      <c r="B278" s="71"/>
      <c r="C278" s="71"/>
      <c r="D278" s="71"/>
      <c r="E278" s="71"/>
      <c r="F278" s="71"/>
      <c r="G278" s="59"/>
      <c r="H278" s="71"/>
      <c r="I278" s="71"/>
      <c r="J278" s="71"/>
      <c r="K278" s="71"/>
      <c r="L278" s="71"/>
      <c r="M278" s="71"/>
      <c r="N278" s="71"/>
      <c r="O278" s="71"/>
      <c r="P278" s="71"/>
      <c r="Q278" s="71"/>
      <c r="R278" s="71"/>
      <c r="S278" s="71"/>
      <c r="T278" s="71"/>
      <c r="U278" s="71"/>
      <c r="V278" s="71"/>
      <c r="W278" s="71"/>
      <c r="X278" s="71"/>
      <c r="Y278" s="71"/>
      <c r="Z278" s="71"/>
    </row>
    <row r="279" ht="15.75" customHeight="1">
      <c r="A279" s="72"/>
      <c r="B279" s="71"/>
      <c r="C279" s="71"/>
      <c r="D279" s="71"/>
      <c r="E279" s="71"/>
      <c r="F279" s="71"/>
      <c r="G279" s="59"/>
      <c r="H279" s="71"/>
      <c r="I279" s="71"/>
      <c r="J279" s="71"/>
      <c r="K279" s="71"/>
      <c r="L279" s="71"/>
      <c r="M279" s="71"/>
      <c r="N279" s="71"/>
      <c r="O279" s="71"/>
      <c r="P279" s="71"/>
      <c r="Q279" s="71"/>
      <c r="R279" s="71"/>
      <c r="S279" s="71"/>
      <c r="T279" s="71"/>
      <c r="U279" s="71"/>
      <c r="V279" s="71"/>
      <c r="W279" s="71"/>
      <c r="X279" s="71"/>
      <c r="Y279" s="71"/>
      <c r="Z279" s="71"/>
    </row>
    <row r="280" ht="15.75" customHeight="1">
      <c r="A280" s="72"/>
      <c r="B280" s="71"/>
      <c r="C280" s="71"/>
      <c r="D280" s="71"/>
      <c r="E280" s="71"/>
      <c r="F280" s="71"/>
      <c r="G280" s="59"/>
      <c r="H280" s="71"/>
      <c r="I280" s="71"/>
      <c r="J280" s="71"/>
      <c r="K280" s="71"/>
      <c r="L280" s="71"/>
      <c r="M280" s="71"/>
      <c r="N280" s="71"/>
      <c r="O280" s="71"/>
      <c r="P280" s="71"/>
      <c r="Q280" s="71"/>
      <c r="R280" s="71"/>
      <c r="S280" s="71"/>
      <c r="T280" s="71"/>
      <c r="U280" s="71"/>
      <c r="V280" s="71"/>
      <c r="W280" s="71"/>
      <c r="X280" s="71"/>
      <c r="Y280" s="71"/>
      <c r="Z280" s="71"/>
    </row>
    <row r="281" ht="15.75" customHeight="1">
      <c r="A281" s="72"/>
      <c r="B281" s="71"/>
      <c r="C281" s="71"/>
      <c r="D281" s="71"/>
      <c r="E281" s="71"/>
      <c r="F281" s="71"/>
      <c r="G281" s="59"/>
      <c r="H281" s="71"/>
      <c r="I281" s="71"/>
      <c r="J281" s="71"/>
      <c r="K281" s="71"/>
      <c r="L281" s="71"/>
      <c r="M281" s="71"/>
      <c r="N281" s="71"/>
      <c r="O281" s="71"/>
      <c r="P281" s="71"/>
      <c r="Q281" s="71"/>
      <c r="R281" s="71"/>
      <c r="S281" s="71"/>
      <c r="T281" s="71"/>
      <c r="U281" s="71"/>
      <c r="V281" s="71"/>
      <c r="W281" s="71"/>
      <c r="X281" s="71"/>
      <c r="Y281" s="71"/>
      <c r="Z281" s="71"/>
    </row>
    <row r="282" ht="15.75" customHeight="1">
      <c r="A282" s="72"/>
      <c r="B282" s="71"/>
      <c r="C282" s="71"/>
      <c r="D282" s="71"/>
      <c r="E282" s="71"/>
      <c r="F282" s="71"/>
      <c r="G282" s="59"/>
      <c r="H282" s="71"/>
      <c r="I282" s="71"/>
      <c r="J282" s="71"/>
      <c r="K282" s="71"/>
      <c r="L282" s="71"/>
      <c r="M282" s="71"/>
      <c r="N282" s="71"/>
      <c r="O282" s="71"/>
      <c r="P282" s="71"/>
      <c r="Q282" s="71"/>
      <c r="R282" s="71"/>
      <c r="S282" s="71"/>
      <c r="T282" s="71"/>
      <c r="U282" s="71"/>
      <c r="V282" s="71"/>
      <c r="W282" s="71"/>
      <c r="X282" s="71"/>
      <c r="Y282" s="71"/>
      <c r="Z282" s="71"/>
    </row>
    <row r="283" ht="15.75" customHeight="1">
      <c r="A283" s="72"/>
      <c r="B283" s="71"/>
      <c r="C283" s="71"/>
      <c r="D283" s="71"/>
      <c r="E283" s="71"/>
      <c r="F283" s="71"/>
      <c r="G283" s="59"/>
      <c r="H283" s="71"/>
      <c r="I283" s="71"/>
      <c r="J283" s="71"/>
      <c r="K283" s="71"/>
      <c r="L283" s="71"/>
      <c r="M283" s="71"/>
      <c r="N283" s="71"/>
      <c r="O283" s="71"/>
      <c r="P283" s="71"/>
      <c r="Q283" s="71"/>
      <c r="R283" s="71"/>
      <c r="S283" s="71"/>
      <c r="T283" s="71"/>
      <c r="U283" s="71"/>
      <c r="V283" s="71"/>
      <c r="W283" s="71"/>
      <c r="X283" s="71"/>
      <c r="Y283" s="71"/>
      <c r="Z283" s="71"/>
    </row>
    <row r="284" ht="15.75" customHeight="1">
      <c r="A284" s="72"/>
      <c r="B284" s="71"/>
      <c r="C284" s="71"/>
      <c r="D284" s="71"/>
      <c r="E284" s="71"/>
      <c r="F284" s="71"/>
      <c r="G284" s="59"/>
      <c r="H284" s="71"/>
      <c r="I284" s="71"/>
      <c r="J284" s="71"/>
      <c r="K284" s="71"/>
      <c r="L284" s="71"/>
      <c r="M284" s="71"/>
      <c r="N284" s="71"/>
      <c r="O284" s="71"/>
      <c r="P284" s="71"/>
      <c r="Q284" s="71"/>
      <c r="R284" s="71"/>
      <c r="S284" s="71"/>
      <c r="T284" s="71"/>
      <c r="U284" s="71"/>
      <c r="V284" s="71"/>
      <c r="W284" s="71"/>
      <c r="X284" s="71"/>
      <c r="Y284" s="71"/>
      <c r="Z284" s="71"/>
    </row>
    <row r="285" ht="15.75" customHeight="1">
      <c r="A285" s="72"/>
      <c r="B285" s="71"/>
      <c r="C285" s="71"/>
      <c r="D285" s="71"/>
      <c r="E285" s="71"/>
      <c r="F285" s="71"/>
      <c r="G285" s="59"/>
      <c r="H285" s="71"/>
      <c r="I285" s="71"/>
      <c r="J285" s="71"/>
      <c r="K285" s="71"/>
      <c r="L285" s="71"/>
      <c r="M285" s="71"/>
      <c r="N285" s="71"/>
      <c r="O285" s="71"/>
      <c r="P285" s="71"/>
      <c r="Q285" s="71"/>
      <c r="R285" s="71"/>
      <c r="S285" s="71"/>
      <c r="T285" s="71"/>
      <c r="U285" s="71"/>
      <c r="V285" s="71"/>
      <c r="W285" s="71"/>
      <c r="X285" s="71"/>
      <c r="Y285" s="71"/>
      <c r="Z285" s="71"/>
    </row>
    <row r="286" ht="15.75" customHeight="1">
      <c r="A286" s="72"/>
      <c r="B286" s="71"/>
      <c r="C286" s="71"/>
      <c r="D286" s="71"/>
      <c r="E286" s="71"/>
      <c r="F286" s="71"/>
      <c r="G286" s="59"/>
      <c r="H286" s="71"/>
      <c r="I286" s="71"/>
      <c r="J286" s="71"/>
      <c r="K286" s="71"/>
      <c r="L286" s="71"/>
      <c r="M286" s="71"/>
      <c r="N286" s="71"/>
      <c r="O286" s="71"/>
      <c r="P286" s="71"/>
      <c r="Q286" s="71"/>
      <c r="R286" s="71"/>
      <c r="S286" s="71"/>
      <c r="T286" s="71"/>
      <c r="U286" s="71"/>
      <c r="V286" s="71"/>
      <c r="W286" s="71"/>
      <c r="X286" s="71"/>
      <c r="Y286" s="71"/>
      <c r="Z286" s="71"/>
    </row>
    <row r="287" ht="15.75" customHeight="1">
      <c r="A287" s="72"/>
      <c r="B287" s="71"/>
      <c r="C287" s="71"/>
      <c r="D287" s="71"/>
      <c r="E287" s="71"/>
      <c r="F287" s="71"/>
      <c r="G287" s="59"/>
      <c r="H287" s="71"/>
      <c r="I287" s="71"/>
      <c r="J287" s="71"/>
      <c r="K287" s="71"/>
      <c r="L287" s="71"/>
      <c r="M287" s="71"/>
      <c r="N287" s="71"/>
      <c r="O287" s="71"/>
      <c r="P287" s="71"/>
      <c r="Q287" s="71"/>
      <c r="R287" s="71"/>
      <c r="S287" s="71"/>
      <c r="T287" s="71"/>
      <c r="U287" s="71"/>
      <c r="V287" s="71"/>
      <c r="W287" s="71"/>
      <c r="X287" s="71"/>
      <c r="Y287" s="71"/>
      <c r="Z287" s="71"/>
    </row>
    <row r="288" ht="15.75" customHeight="1">
      <c r="A288" s="72"/>
      <c r="B288" s="71"/>
      <c r="C288" s="71"/>
      <c r="D288" s="71"/>
      <c r="E288" s="71"/>
      <c r="F288" s="71"/>
      <c r="G288" s="59"/>
      <c r="H288" s="71"/>
      <c r="I288" s="71"/>
      <c r="J288" s="71"/>
      <c r="K288" s="71"/>
      <c r="L288" s="71"/>
      <c r="M288" s="71"/>
      <c r="N288" s="71"/>
      <c r="O288" s="71"/>
      <c r="P288" s="71"/>
      <c r="Q288" s="71"/>
      <c r="R288" s="71"/>
      <c r="S288" s="71"/>
      <c r="T288" s="71"/>
      <c r="U288" s="71"/>
      <c r="V288" s="71"/>
      <c r="W288" s="71"/>
      <c r="X288" s="71"/>
      <c r="Y288" s="71"/>
      <c r="Z288" s="71"/>
    </row>
    <row r="289" ht="15.75" customHeight="1">
      <c r="A289" s="72"/>
      <c r="B289" s="71"/>
      <c r="C289" s="71"/>
      <c r="D289" s="71"/>
      <c r="E289" s="71"/>
      <c r="F289" s="71"/>
      <c r="G289" s="59"/>
      <c r="H289" s="71"/>
      <c r="I289" s="71"/>
      <c r="J289" s="71"/>
      <c r="K289" s="71"/>
      <c r="L289" s="71"/>
      <c r="M289" s="71"/>
      <c r="N289" s="71"/>
      <c r="O289" s="71"/>
      <c r="P289" s="71"/>
      <c r="Q289" s="71"/>
      <c r="R289" s="71"/>
      <c r="S289" s="71"/>
      <c r="T289" s="71"/>
      <c r="U289" s="71"/>
      <c r="V289" s="71"/>
      <c r="W289" s="71"/>
      <c r="X289" s="71"/>
      <c r="Y289" s="71"/>
      <c r="Z289" s="71"/>
    </row>
    <row r="290" ht="15.75" customHeight="1">
      <c r="A290" s="72"/>
      <c r="B290" s="71"/>
      <c r="C290" s="71"/>
      <c r="D290" s="71"/>
      <c r="E290" s="71"/>
      <c r="F290" s="71"/>
      <c r="G290" s="59"/>
      <c r="H290" s="71"/>
      <c r="I290" s="71"/>
      <c r="J290" s="71"/>
      <c r="K290" s="71"/>
      <c r="L290" s="71"/>
      <c r="M290" s="71"/>
      <c r="N290" s="71"/>
      <c r="O290" s="71"/>
      <c r="P290" s="71"/>
      <c r="Q290" s="71"/>
      <c r="R290" s="71"/>
      <c r="S290" s="71"/>
      <c r="T290" s="71"/>
      <c r="U290" s="71"/>
      <c r="V290" s="71"/>
      <c r="W290" s="71"/>
      <c r="X290" s="71"/>
      <c r="Y290" s="71"/>
      <c r="Z290" s="71"/>
    </row>
    <row r="291" ht="15.75" customHeight="1">
      <c r="A291" s="72"/>
      <c r="B291" s="71"/>
      <c r="C291" s="71"/>
      <c r="D291" s="71"/>
      <c r="E291" s="71"/>
      <c r="F291" s="71"/>
      <c r="G291" s="59"/>
      <c r="H291" s="71"/>
      <c r="I291" s="71"/>
      <c r="J291" s="71"/>
      <c r="K291" s="71"/>
      <c r="L291" s="71"/>
      <c r="M291" s="71"/>
      <c r="N291" s="71"/>
      <c r="O291" s="71"/>
      <c r="P291" s="71"/>
      <c r="Q291" s="71"/>
      <c r="R291" s="71"/>
      <c r="S291" s="71"/>
      <c r="T291" s="71"/>
      <c r="U291" s="71"/>
      <c r="V291" s="71"/>
      <c r="W291" s="71"/>
      <c r="X291" s="71"/>
      <c r="Y291" s="71"/>
      <c r="Z291" s="71"/>
    </row>
    <row r="292" ht="15.75" customHeight="1">
      <c r="A292" s="72"/>
      <c r="B292" s="71"/>
      <c r="C292" s="71"/>
      <c r="D292" s="71"/>
      <c r="E292" s="71"/>
      <c r="F292" s="71"/>
      <c r="G292" s="59"/>
      <c r="H292" s="71"/>
      <c r="I292" s="71"/>
      <c r="J292" s="71"/>
      <c r="K292" s="71"/>
      <c r="L292" s="71"/>
      <c r="M292" s="71"/>
      <c r="N292" s="71"/>
      <c r="O292" s="71"/>
      <c r="P292" s="71"/>
      <c r="Q292" s="71"/>
      <c r="R292" s="71"/>
      <c r="S292" s="71"/>
      <c r="T292" s="71"/>
      <c r="U292" s="71"/>
      <c r="V292" s="71"/>
      <c r="W292" s="71"/>
      <c r="X292" s="71"/>
      <c r="Y292" s="71"/>
      <c r="Z292" s="71"/>
    </row>
    <row r="293" ht="15.75" customHeight="1">
      <c r="A293" s="72"/>
      <c r="B293" s="71"/>
      <c r="C293" s="71"/>
      <c r="D293" s="71"/>
      <c r="E293" s="71"/>
      <c r="F293" s="71"/>
      <c r="G293" s="59"/>
      <c r="H293" s="71"/>
      <c r="I293" s="71"/>
      <c r="J293" s="71"/>
      <c r="K293" s="71"/>
      <c r="L293" s="71"/>
      <c r="M293" s="71"/>
      <c r="N293" s="71"/>
      <c r="O293" s="71"/>
      <c r="P293" s="71"/>
      <c r="Q293" s="71"/>
      <c r="R293" s="71"/>
      <c r="S293" s="71"/>
      <c r="T293" s="71"/>
      <c r="U293" s="71"/>
      <c r="V293" s="71"/>
      <c r="W293" s="71"/>
      <c r="X293" s="71"/>
      <c r="Y293" s="71"/>
      <c r="Z293" s="71"/>
    </row>
    <row r="294" ht="15.75" customHeight="1">
      <c r="A294" s="72"/>
      <c r="B294" s="71"/>
      <c r="C294" s="71"/>
      <c r="D294" s="71"/>
      <c r="E294" s="71"/>
      <c r="F294" s="71"/>
      <c r="G294" s="59"/>
      <c r="H294" s="71"/>
      <c r="I294" s="71"/>
      <c r="J294" s="71"/>
      <c r="K294" s="71"/>
      <c r="L294" s="71"/>
      <c r="M294" s="71"/>
      <c r="N294" s="71"/>
      <c r="O294" s="71"/>
      <c r="P294" s="71"/>
      <c r="Q294" s="71"/>
      <c r="R294" s="71"/>
      <c r="S294" s="71"/>
      <c r="T294" s="71"/>
      <c r="U294" s="71"/>
      <c r="V294" s="71"/>
      <c r="W294" s="71"/>
      <c r="X294" s="71"/>
      <c r="Y294" s="71"/>
      <c r="Z294" s="71"/>
    </row>
    <row r="295" ht="15.75" customHeight="1">
      <c r="A295" s="72"/>
      <c r="B295" s="71"/>
      <c r="C295" s="71"/>
      <c r="D295" s="71"/>
      <c r="E295" s="71"/>
      <c r="F295" s="71"/>
      <c r="G295" s="59"/>
      <c r="H295" s="71"/>
      <c r="I295" s="71"/>
      <c r="J295" s="71"/>
      <c r="K295" s="71"/>
      <c r="L295" s="71"/>
      <c r="M295" s="71"/>
      <c r="N295" s="71"/>
      <c r="O295" s="71"/>
      <c r="P295" s="71"/>
      <c r="Q295" s="71"/>
      <c r="R295" s="71"/>
      <c r="S295" s="71"/>
      <c r="T295" s="71"/>
      <c r="U295" s="71"/>
      <c r="V295" s="71"/>
      <c r="W295" s="71"/>
      <c r="X295" s="71"/>
      <c r="Y295" s="71"/>
      <c r="Z295" s="71"/>
    </row>
    <row r="296" ht="15.75" customHeight="1">
      <c r="A296" s="72"/>
      <c r="B296" s="71"/>
      <c r="C296" s="71"/>
      <c r="D296" s="71"/>
      <c r="E296" s="71"/>
      <c r="F296" s="71"/>
      <c r="G296" s="59"/>
      <c r="H296" s="71"/>
      <c r="I296" s="71"/>
      <c r="J296" s="71"/>
      <c r="K296" s="71"/>
      <c r="L296" s="71"/>
      <c r="M296" s="71"/>
      <c r="N296" s="71"/>
      <c r="O296" s="71"/>
      <c r="P296" s="71"/>
      <c r="Q296" s="71"/>
      <c r="R296" s="71"/>
      <c r="S296" s="71"/>
      <c r="T296" s="71"/>
      <c r="U296" s="71"/>
      <c r="V296" s="71"/>
      <c r="W296" s="71"/>
      <c r="X296" s="71"/>
      <c r="Y296" s="71"/>
      <c r="Z296" s="71"/>
    </row>
    <row r="297" ht="15.75" customHeight="1">
      <c r="A297" s="72"/>
      <c r="B297" s="71"/>
      <c r="C297" s="71"/>
      <c r="D297" s="71"/>
      <c r="E297" s="71"/>
      <c r="F297" s="71"/>
      <c r="G297" s="59"/>
      <c r="H297" s="71"/>
      <c r="I297" s="71"/>
      <c r="J297" s="71"/>
      <c r="K297" s="71"/>
      <c r="L297" s="71"/>
      <c r="M297" s="71"/>
      <c r="N297" s="71"/>
      <c r="O297" s="71"/>
      <c r="P297" s="71"/>
      <c r="Q297" s="71"/>
      <c r="R297" s="71"/>
      <c r="S297" s="71"/>
      <c r="T297" s="71"/>
      <c r="U297" s="71"/>
      <c r="V297" s="71"/>
      <c r="W297" s="71"/>
      <c r="X297" s="71"/>
      <c r="Y297" s="71"/>
      <c r="Z297" s="71"/>
    </row>
    <row r="298" ht="15.75" customHeight="1">
      <c r="A298" s="72"/>
      <c r="B298" s="71"/>
      <c r="C298" s="71"/>
      <c r="D298" s="71"/>
      <c r="E298" s="71"/>
      <c r="F298" s="71"/>
      <c r="G298" s="59"/>
      <c r="H298" s="71"/>
      <c r="I298" s="71"/>
      <c r="J298" s="71"/>
      <c r="K298" s="71"/>
      <c r="L298" s="71"/>
      <c r="M298" s="71"/>
      <c r="N298" s="71"/>
      <c r="O298" s="71"/>
      <c r="P298" s="71"/>
      <c r="Q298" s="71"/>
      <c r="R298" s="71"/>
      <c r="S298" s="71"/>
      <c r="T298" s="71"/>
      <c r="U298" s="71"/>
      <c r="V298" s="71"/>
      <c r="W298" s="71"/>
      <c r="X298" s="71"/>
      <c r="Y298" s="71"/>
      <c r="Z298" s="71"/>
    </row>
    <row r="299" ht="15.75" customHeight="1">
      <c r="A299" s="72"/>
      <c r="B299" s="71"/>
      <c r="C299" s="71"/>
      <c r="D299" s="71"/>
      <c r="E299" s="71"/>
      <c r="F299" s="71"/>
      <c r="G299" s="59"/>
      <c r="H299" s="71"/>
      <c r="I299" s="71"/>
      <c r="J299" s="71"/>
      <c r="K299" s="71"/>
      <c r="L299" s="71"/>
      <c r="M299" s="71"/>
      <c r="N299" s="71"/>
      <c r="O299" s="71"/>
      <c r="P299" s="71"/>
      <c r="Q299" s="71"/>
      <c r="R299" s="71"/>
      <c r="S299" s="71"/>
      <c r="T299" s="71"/>
      <c r="U299" s="71"/>
      <c r="V299" s="71"/>
      <c r="W299" s="71"/>
      <c r="X299" s="71"/>
      <c r="Y299" s="71"/>
      <c r="Z299" s="71"/>
    </row>
    <row r="300" ht="15.75" customHeight="1">
      <c r="A300" s="72"/>
      <c r="B300" s="71"/>
      <c r="C300" s="71"/>
      <c r="D300" s="71"/>
      <c r="E300" s="71"/>
      <c r="F300" s="71"/>
      <c r="G300" s="59"/>
      <c r="H300" s="71"/>
      <c r="I300" s="71"/>
      <c r="J300" s="71"/>
      <c r="K300" s="71"/>
      <c r="L300" s="71"/>
      <c r="M300" s="71"/>
      <c r="N300" s="71"/>
      <c r="O300" s="71"/>
      <c r="P300" s="71"/>
      <c r="Q300" s="71"/>
      <c r="R300" s="71"/>
      <c r="S300" s="71"/>
      <c r="T300" s="71"/>
      <c r="U300" s="71"/>
      <c r="V300" s="71"/>
      <c r="W300" s="71"/>
      <c r="X300" s="71"/>
      <c r="Y300" s="71"/>
      <c r="Z300" s="71"/>
    </row>
    <row r="301" ht="15.75" customHeight="1">
      <c r="A301" s="72"/>
      <c r="B301" s="71"/>
      <c r="C301" s="71"/>
      <c r="D301" s="71"/>
      <c r="E301" s="71"/>
      <c r="F301" s="71"/>
      <c r="G301" s="59"/>
      <c r="H301" s="71"/>
      <c r="I301" s="71"/>
      <c r="J301" s="71"/>
      <c r="K301" s="71"/>
      <c r="L301" s="71"/>
      <c r="M301" s="71"/>
      <c r="N301" s="71"/>
      <c r="O301" s="71"/>
      <c r="P301" s="71"/>
      <c r="Q301" s="71"/>
      <c r="R301" s="71"/>
      <c r="S301" s="71"/>
      <c r="T301" s="71"/>
      <c r="U301" s="71"/>
      <c r="V301" s="71"/>
      <c r="W301" s="71"/>
      <c r="X301" s="71"/>
      <c r="Y301" s="71"/>
      <c r="Z301" s="71"/>
    </row>
    <row r="302" ht="15.75" customHeight="1">
      <c r="A302" s="72"/>
      <c r="B302" s="71"/>
      <c r="C302" s="71"/>
      <c r="D302" s="71"/>
      <c r="E302" s="71"/>
      <c r="F302" s="71"/>
      <c r="G302" s="59"/>
      <c r="H302" s="71"/>
      <c r="I302" s="71"/>
      <c r="J302" s="71"/>
      <c r="K302" s="71"/>
      <c r="L302" s="71"/>
      <c r="M302" s="71"/>
      <c r="N302" s="71"/>
      <c r="O302" s="71"/>
      <c r="P302" s="71"/>
      <c r="Q302" s="71"/>
      <c r="R302" s="71"/>
      <c r="S302" s="71"/>
      <c r="T302" s="71"/>
      <c r="U302" s="71"/>
      <c r="V302" s="71"/>
      <c r="W302" s="71"/>
      <c r="X302" s="71"/>
      <c r="Y302" s="71"/>
      <c r="Z302" s="71"/>
    </row>
    <row r="303" ht="15.75" customHeight="1">
      <c r="A303" s="72"/>
      <c r="B303" s="71"/>
      <c r="C303" s="71"/>
      <c r="D303" s="71"/>
      <c r="E303" s="71"/>
      <c r="F303" s="71"/>
      <c r="G303" s="59"/>
      <c r="H303" s="71"/>
      <c r="I303" s="71"/>
      <c r="J303" s="71"/>
      <c r="K303" s="71"/>
      <c r="L303" s="71"/>
      <c r="M303" s="71"/>
      <c r="N303" s="71"/>
      <c r="O303" s="71"/>
      <c r="P303" s="71"/>
      <c r="Q303" s="71"/>
      <c r="R303" s="71"/>
      <c r="S303" s="71"/>
      <c r="T303" s="71"/>
      <c r="U303" s="71"/>
      <c r="V303" s="71"/>
      <c r="W303" s="71"/>
      <c r="X303" s="71"/>
      <c r="Y303" s="71"/>
      <c r="Z303" s="71"/>
    </row>
    <row r="304" ht="15.75" customHeight="1">
      <c r="A304" s="72"/>
      <c r="B304" s="71"/>
      <c r="C304" s="71"/>
      <c r="D304" s="71"/>
      <c r="E304" s="71"/>
      <c r="F304" s="71"/>
      <c r="G304" s="59"/>
      <c r="H304" s="71"/>
      <c r="I304" s="71"/>
      <c r="J304" s="71"/>
      <c r="K304" s="71"/>
      <c r="L304" s="71"/>
      <c r="M304" s="71"/>
      <c r="N304" s="71"/>
      <c r="O304" s="71"/>
      <c r="P304" s="71"/>
      <c r="Q304" s="71"/>
      <c r="R304" s="71"/>
      <c r="S304" s="71"/>
      <c r="T304" s="71"/>
      <c r="U304" s="71"/>
      <c r="V304" s="71"/>
      <c r="W304" s="71"/>
      <c r="X304" s="71"/>
      <c r="Y304" s="71"/>
      <c r="Z304" s="71"/>
    </row>
    <row r="305" ht="15.75" customHeight="1">
      <c r="A305" s="72"/>
      <c r="B305" s="71"/>
      <c r="C305" s="71"/>
      <c r="D305" s="71"/>
      <c r="E305" s="71"/>
      <c r="F305" s="71"/>
      <c r="G305" s="59"/>
      <c r="H305" s="71"/>
      <c r="I305" s="71"/>
      <c r="J305" s="71"/>
      <c r="K305" s="71"/>
      <c r="L305" s="71"/>
      <c r="M305" s="71"/>
      <c r="N305" s="71"/>
      <c r="O305" s="71"/>
      <c r="P305" s="71"/>
      <c r="Q305" s="71"/>
      <c r="R305" s="71"/>
      <c r="S305" s="71"/>
      <c r="T305" s="71"/>
      <c r="U305" s="71"/>
      <c r="V305" s="71"/>
      <c r="W305" s="71"/>
      <c r="X305" s="71"/>
      <c r="Y305" s="71"/>
      <c r="Z305" s="71"/>
    </row>
    <row r="306" ht="15.75" customHeight="1">
      <c r="A306" s="72"/>
      <c r="B306" s="71"/>
      <c r="C306" s="71"/>
      <c r="D306" s="71"/>
      <c r="E306" s="71"/>
      <c r="F306" s="71"/>
      <c r="G306" s="59"/>
      <c r="H306" s="71"/>
      <c r="I306" s="71"/>
      <c r="J306" s="71"/>
      <c r="K306" s="71"/>
      <c r="L306" s="71"/>
      <c r="M306" s="71"/>
      <c r="N306" s="71"/>
      <c r="O306" s="71"/>
      <c r="P306" s="71"/>
      <c r="Q306" s="71"/>
      <c r="R306" s="71"/>
      <c r="S306" s="71"/>
      <c r="T306" s="71"/>
      <c r="U306" s="71"/>
      <c r="V306" s="71"/>
      <c r="W306" s="71"/>
      <c r="X306" s="71"/>
      <c r="Y306" s="71"/>
      <c r="Z306" s="71"/>
    </row>
    <row r="307" ht="15.75" customHeight="1">
      <c r="A307" s="72"/>
      <c r="B307" s="71"/>
      <c r="C307" s="71"/>
      <c r="D307" s="71"/>
      <c r="E307" s="71"/>
      <c r="F307" s="71"/>
      <c r="G307" s="59"/>
      <c r="H307" s="71"/>
      <c r="I307" s="71"/>
      <c r="J307" s="71"/>
      <c r="K307" s="71"/>
      <c r="L307" s="71"/>
      <c r="M307" s="71"/>
      <c r="N307" s="71"/>
      <c r="O307" s="71"/>
      <c r="P307" s="71"/>
      <c r="Q307" s="71"/>
      <c r="R307" s="71"/>
      <c r="S307" s="71"/>
      <c r="T307" s="71"/>
      <c r="U307" s="71"/>
      <c r="V307" s="71"/>
      <c r="W307" s="71"/>
      <c r="X307" s="71"/>
      <c r="Y307" s="71"/>
      <c r="Z307" s="71"/>
    </row>
    <row r="308" ht="15.75" customHeight="1">
      <c r="A308" s="72"/>
      <c r="B308" s="71"/>
      <c r="C308" s="71"/>
      <c r="D308" s="71"/>
      <c r="E308" s="71"/>
      <c r="F308" s="71"/>
      <c r="G308" s="59"/>
      <c r="H308" s="71"/>
      <c r="I308" s="71"/>
      <c r="J308" s="71"/>
      <c r="K308" s="71"/>
      <c r="L308" s="71"/>
      <c r="M308" s="71"/>
      <c r="N308" s="71"/>
      <c r="O308" s="71"/>
      <c r="P308" s="71"/>
      <c r="Q308" s="71"/>
      <c r="R308" s="71"/>
      <c r="S308" s="71"/>
      <c r="T308" s="71"/>
      <c r="U308" s="71"/>
      <c r="V308" s="71"/>
      <c r="W308" s="71"/>
      <c r="X308" s="71"/>
      <c r="Y308" s="71"/>
      <c r="Z308" s="71"/>
    </row>
    <row r="309" ht="15.75" customHeight="1">
      <c r="A309" s="72"/>
      <c r="B309" s="71"/>
      <c r="C309" s="71"/>
      <c r="D309" s="71"/>
      <c r="E309" s="71"/>
      <c r="F309" s="71"/>
      <c r="G309" s="59"/>
      <c r="H309" s="71"/>
      <c r="I309" s="71"/>
      <c r="J309" s="71"/>
      <c r="K309" s="71"/>
      <c r="L309" s="71"/>
      <c r="M309" s="71"/>
      <c r="N309" s="71"/>
      <c r="O309" s="71"/>
      <c r="P309" s="71"/>
      <c r="Q309" s="71"/>
      <c r="R309" s="71"/>
      <c r="S309" s="71"/>
      <c r="T309" s="71"/>
      <c r="U309" s="71"/>
      <c r="V309" s="71"/>
      <c r="W309" s="71"/>
      <c r="X309" s="71"/>
      <c r="Y309" s="71"/>
      <c r="Z309" s="71"/>
    </row>
    <row r="310" ht="15.75" customHeight="1">
      <c r="A310" s="72"/>
      <c r="B310" s="71"/>
      <c r="C310" s="71"/>
      <c r="D310" s="71"/>
      <c r="E310" s="71"/>
      <c r="F310" s="71"/>
      <c r="G310" s="59"/>
      <c r="H310" s="71"/>
      <c r="I310" s="71"/>
      <c r="J310" s="71"/>
      <c r="K310" s="71"/>
      <c r="L310" s="71"/>
      <c r="M310" s="71"/>
      <c r="N310" s="71"/>
      <c r="O310" s="71"/>
      <c r="P310" s="71"/>
      <c r="Q310" s="71"/>
      <c r="R310" s="71"/>
      <c r="S310" s="71"/>
      <c r="T310" s="71"/>
      <c r="U310" s="71"/>
      <c r="V310" s="71"/>
      <c r="W310" s="71"/>
      <c r="X310" s="71"/>
      <c r="Y310" s="71"/>
      <c r="Z310" s="71"/>
    </row>
    <row r="311" ht="15.75" customHeight="1">
      <c r="A311" s="72"/>
      <c r="B311" s="71"/>
      <c r="C311" s="71"/>
      <c r="D311" s="71"/>
      <c r="E311" s="71"/>
      <c r="F311" s="71"/>
      <c r="G311" s="59"/>
      <c r="H311" s="71"/>
      <c r="I311" s="71"/>
      <c r="J311" s="71"/>
      <c r="K311" s="71"/>
      <c r="L311" s="71"/>
      <c r="M311" s="71"/>
      <c r="N311" s="71"/>
      <c r="O311" s="71"/>
      <c r="P311" s="71"/>
      <c r="Q311" s="71"/>
      <c r="R311" s="71"/>
      <c r="S311" s="71"/>
      <c r="T311" s="71"/>
      <c r="U311" s="71"/>
      <c r="V311" s="71"/>
      <c r="W311" s="71"/>
      <c r="X311" s="71"/>
      <c r="Y311" s="71"/>
      <c r="Z311" s="71"/>
    </row>
    <row r="312" ht="15.75" customHeight="1">
      <c r="A312" s="72"/>
      <c r="B312" s="71"/>
      <c r="C312" s="71"/>
      <c r="D312" s="71"/>
      <c r="E312" s="71"/>
      <c r="F312" s="71"/>
      <c r="G312" s="59"/>
      <c r="H312" s="71"/>
      <c r="I312" s="71"/>
      <c r="J312" s="71"/>
      <c r="K312" s="71"/>
      <c r="L312" s="71"/>
      <c r="M312" s="71"/>
      <c r="N312" s="71"/>
      <c r="O312" s="71"/>
      <c r="P312" s="71"/>
      <c r="Q312" s="71"/>
      <c r="R312" s="71"/>
      <c r="S312" s="71"/>
      <c r="T312" s="71"/>
      <c r="U312" s="71"/>
      <c r="V312" s="71"/>
      <c r="W312" s="71"/>
      <c r="X312" s="71"/>
      <c r="Y312" s="71"/>
      <c r="Z312" s="71"/>
    </row>
    <row r="313" ht="15.75" customHeight="1">
      <c r="A313" s="72"/>
      <c r="B313" s="71"/>
      <c r="C313" s="71"/>
      <c r="D313" s="71"/>
      <c r="E313" s="71"/>
      <c r="F313" s="71"/>
      <c r="G313" s="59"/>
      <c r="H313" s="71"/>
      <c r="I313" s="71"/>
      <c r="J313" s="71"/>
      <c r="K313" s="71"/>
      <c r="L313" s="71"/>
      <c r="M313" s="71"/>
      <c r="N313" s="71"/>
      <c r="O313" s="71"/>
      <c r="P313" s="71"/>
      <c r="Q313" s="71"/>
      <c r="R313" s="71"/>
      <c r="S313" s="71"/>
      <c r="T313" s="71"/>
      <c r="U313" s="71"/>
      <c r="V313" s="71"/>
      <c r="W313" s="71"/>
      <c r="X313" s="71"/>
      <c r="Y313" s="71"/>
      <c r="Z313" s="71"/>
    </row>
    <row r="314" ht="15.75" customHeight="1">
      <c r="A314" s="72"/>
      <c r="B314" s="71"/>
      <c r="C314" s="71"/>
      <c r="D314" s="71"/>
      <c r="E314" s="71"/>
      <c r="F314" s="71"/>
      <c r="G314" s="59"/>
      <c r="H314" s="71"/>
      <c r="I314" s="71"/>
      <c r="J314" s="71"/>
      <c r="K314" s="71"/>
      <c r="L314" s="71"/>
      <c r="M314" s="71"/>
      <c r="N314" s="71"/>
      <c r="O314" s="71"/>
      <c r="P314" s="71"/>
      <c r="Q314" s="71"/>
      <c r="R314" s="71"/>
      <c r="S314" s="71"/>
      <c r="T314" s="71"/>
      <c r="U314" s="71"/>
      <c r="V314" s="71"/>
      <c r="W314" s="71"/>
      <c r="X314" s="71"/>
      <c r="Y314" s="71"/>
      <c r="Z314" s="71"/>
    </row>
    <row r="315" ht="15.75" customHeight="1">
      <c r="A315" s="72"/>
      <c r="B315" s="71"/>
      <c r="C315" s="71"/>
      <c r="D315" s="71"/>
      <c r="E315" s="71"/>
      <c r="F315" s="71"/>
      <c r="G315" s="59"/>
      <c r="H315" s="71"/>
      <c r="I315" s="71"/>
      <c r="J315" s="71"/>
      <c r="K315" s="71"/>
      <c r="L315" s="71"/>
      <c r="M315" s="71"/>
      <c r="N315" s="71"/>
      <c r="O315" s="71"/>
      <c r="P315" s="71"/>
      <c r="Q315" s="71"/>
      <c r="R315" s="71"/>
      <c r="S315" s="71"/>
      <c r="T315" s="71"/>
      <c r="U315" s="71"/>
      <c r="V315" s="71"/>
      <c r="W315" s="71"/>
      <c r="X315" s="71"/>
      <c r="Y315" s="71"/>
      <c r="Z315" s="71"/>
    </row>
    <row r="316" ht="15.75" customHeight="1">
      <c r="A316" s="72"/>
      <c r="B316" s="71"/>
      <c r="C316" s="71"/>
      <c r="D316" s="71"/>
      <c r="E316" s="71"/>
      <c r="F316" s="71"/>
      <c r="G316" s="59"/>
      <c r="H316" s="71"/>
      <c r="I316" s="71"/>
      <c r="J316" s="71"/>
      <c r="K316" s="71"/>
      <c r="L316" s="71"/>
      <c r="M316" s="71"/>
      <c r="N316" s="71"/>
      <c r="O316" s="71"/>
      <c r="P316" s="71"/>
      <c r="Q316" s="71"/>
      <c r="R316" s="71"/>
      <c r="S316" s="71"/>
      <c r="T316" s="71"/>
      <c r="U316" s="71"/>
      <c r="V316" s="71"/>
      <c r="W316" s="71"/>
      <c r="X316" s="71"/>
      <c r="Y316" s="71"/>
      <c r="Z316" s="71"/>
    </row>
    <row r="317" ht="15.75" customHeight="1">
      <c r="A317" s="72"/>
      <c r="B317" s="71"/>
      <c r="C317" s="71"/>
      <c r="D317" s="71"/>
      <c r="E317" s="71"/>
      <c r="F317" s="71"/>
      <c r="G317" s="59"/>
      <c r="H317" s="71"/>
      <c r="I317" s="71"/>
      <c r="J317" s="71"/>
      <c r="K317" s="71"/>
      <c r="L317" s="71"/>
      <c r="M317" s="71"/>
      <c r="N317" s="71"/>
      <c r="O317" s="71"/>
      <c r="P317" s="71"/>
      <c r="Q317" s="71"/>
      <c r="R317" s="71"/>
      <c r="S317" s="71"/>
      <c r="T317" s="71"/>
      <c r="U317" s="71"/>
      <c r="V317" s="71"/>
      <c r="W317" s="71"/>
      <c r="X317" s="71"/>
      <c r="Y317" s="71"/>
      <c r="Z317" s="71"/>
    </row>
    <row r="318" ht="15.75" customHeight="1">
      <c r="A318" s="72"/>
      <c r="B318" s="71"/>
      <c r="C318" s="71"/>
      <c r="D318" s="71"/>
      <c r="E318" s="71"/>
      <c r="F318" s="71"/>
      <c r="G318" s="59"/>
      <c r="H318" s="71"/>
      <c r="I318" s="71"/>
      <c r="J318" s="71"/>
      <c r="K318" s="71"/>
      <c r="L318" s="71"/>
      <c r="M318" s="71"/>
      <c r="N318" s="71"/>
      <c r="O318" s="71"/>
      <c r="P318" s="71"/>
      <c r="Q318" s="71"/>
      <c r="R318" s="71"/>
      <c r="S318" s="71"/>
      <c r="T318" s="71"/>
      <c r="U318" s="71"/>
      <c r="V318" s="71"/>
      <c r="W318" s="71"/>
      <c r="X318" s="71"/>
      <c r="Y318" s="71"/>
      <c r="Z318" s="71"/>
    </row>
    <row r="319" ht="15.75" customHeight="1">
      <c r="A319" s="72"/>
      <c r="B319" s="71"/>
      <c r="C319" s="71"/>
      <c r="D319" s="71"/>
      <c r="E319" s="71"/>
      <c r="F319" s="71"/>
      <c r="G319" s="59"/>
      <c r="H319" s="71"/>
      <c r="I319" s="71"/>
      <c r="J319" s="71"/>
      <c r="K319" s="71"/>
      <c r="L319" s="71"/>
      <c r="M319" s="71"/>
      <c r="N319" s="71"/>
      <c r="O319" s="71"/>
      <c r="P319" s="71"/>
      <c r="Q319" s="71"/>
      <c r="R319" s="71"/>
      <c r="S319" s="71"/>
      <c r="T319" s="71"/>
      <c r="U319" s="71"/>
      <c r="V319" s="71"/>
      <c r="W319" s="71"/>
      <c r="X319" s="71"/>
      <c r="Y319" s="71"/>
      <c r="Z319" s="71"/>
    </row>
    <row r="320" ht="15.75" customHeight="1">
      <c r="A320" s="72"/>
      <c r="B320" s="71"/>
      <c r="C320" s="71"/>
      <c r="D320" s="71"/>
      <c r="E320" s="71"/>
      <c r="F320" s="71"/>
      <c r="G320" s="59"/>
      <c r="H320" s="71"/>
      <c r="I320" s="71"/>
      <c r="J320" s="71"/>
      <c r="K320" s="71"/>
      <c r="L320" s="71"/>
      <c r="M320" s="71"/>
      <c r="N320" s="71"/>
      <c r="O320" s="71"/>
      <c r="P320" s="71"/>
      <c r="Q320" s="71"/>
      <c r="R320" s="71"/>
      <c r="S320" s="71"/>
      <c r="T320" s="71"/>
      <c r="U320" s="71"/>
      <c r="V320" s="71"/>
      <c r="W320" s="71"/>
      <c r="X320" s="71"/>
      <c r="Y320" s="71"/>
      <c r="Z320" s="71"/>
    </row>
    <row r="321" ht="15.75" customHeight="1">
      <c r="A321" s="72"/>
      <c r="B321" s="71"/>
      <c r="C321" s="71"/>
      <c r="D321" s="71"/>
      <c r="E321" s="71"/>
      <c r="F321" s="71"/>
      <c r="G321" s="59"/>
      <c r="H321" s="71"/>
      <c r="I321" s="71"/>
      <c r="J321" s="71"/>
      <c r="K321" s="71"/>
      <c r="L321" s="71"/>
      <c r="M321" s="71"/>
      <c r="N321" s="71"/>
      <c r="O321" s="71"/>
      <c r="P321" s="71"/>
      <c r="Q321" s="71"/>
      <c r="R321" s="71"/>
      <c r="S321" s="71"/>
      <c r="T321" s="71"/>
      <c r="U321" s="71"/>
      <c r="V321" s="71"/>
      <c r="W321" s="71"/>
      <c r="X321" s="71"/>
      <c r="Y321" s="71"/>
      <c r="Z321" s="71"/>
    </row>
    <row r="322" ht="15.75" customHeight="1">
      <c r="A322" s="72"/>
      <c r="B322" s="71"/>
      <c r="C322" s="71"/>
      <c r="D322" s="71"/>
      <c r="E322" s="71"/>
      <c r="F322" s="71"/>
      <c r="G322" s="59"/>
      <c r="H322" s="71"/>
      <c r="I322" s="71"/>
      <c r="J322" s="71"/>
      <c r="K322" s="71"/>
      <c r="L322" s="71"/>
      <c r="M322" s="71"/>
      <c r="N322" s="71"/>
      <c r="O322" s="71"/>
      <c r="P322" s="71"/>
      <c r="Q322" s="71"/>
      <c r="R322" s="71"/>
      <c r="S322" s="71"/>
      <c r="T322" s="71"/>
      <c r="U322" s="71"/>
      <c r="V322" s="71"/>
      <c r="W322" s="71"/>
      <c r="X322" s="71"/>
      <c r="Y322" s="71"/>
      <c r="Z322" s="71"/>
    </row>
    <row r="323" ht="15.75" customHeight="1">
      <c r="A323" s="72"/>
      <c r="B323" s="71"/>
      <c r="C323" s="71"/>
      <c r="D323" s="71"/>
      <c r="E323" s="71"/>
      <c r="F323" s="71"/>
      <c r="G323" s="59"/>
      <c r="H323" s="71"/>
      <c r="I323" s="71"/>
      <c r="J323" s="71"/>
      <c r="K323" s="71"/>
      <c r="L323" s="71"/>
      <c r="M323" s="71"/>
      <c r="N323" s="71"/>
      <c r="O323" s="71"/>
      <c r="P323" s="71"/>
      <c r="Q323" s="71"/>
      <c r="R323" s="71"/>
      <c r="S323" s="71"/>
      <c r="T323" s="71"/>
      <c r="U323" s="71"/>
      <c r="V323" s="71"/>
      <c r="W323" s="71"/>
      <c r="X323" s="71"/>
      <c r="Y323" s="71"/>
      <c r="Z323" s="71"/>
    </row>
    <row r="324" ht="15.75" customHeight="1">
      <c r="A324" s="72"/>
      <c r="B324" s="71"/>
      <c r="C324" s="71"/>
      <c r="D324" s="71"/>
      <c r="E324" s="71"/>
      <c r="F324" s="71"/>
      <c r="G324" s="59"/>
      <c r="H324" s="71"/>
      <c r="I324" s="71"/>
      <c r="J324" s="71"/>
      <c r="K324" s="71"/>
      <c r="L324" s="71"/>
      <c r="M324" s="71"/>
      <c r="N324" s="71"/>
      <c r="O324" s="71"/>
      <c r="P324" s="71"/>
      <c r="Q324" s="71"/>
      <c r="R324" s="71"/>
      <c r="S324" s="71"/>
      <c r="T324" s="71"/>
      <c r="U324" s="71"/>
      <c r="V324" s="71"/>
      <c r="W324" s="71"/>
      <c r="X324" s="71"/>
      <c r="Y324" s="71"/>
      <c r="Z324" s="71"/>
    </row>
    <row r="325" ht="15.75" customHeight="1">
      <c r="A325" s="72"/>
      <c r="B325" s="71"/>
      <c r="C325" s="71"/>
      <c r="D325" s="71"/>
      <c r="E325" s="71"/>
      <c r="F325" s="71"/>
      <c r="G325" s="59"/>
      <c r="H325" s="71"/>
      <c r="I325" s="71"/>
      <c r="J325" s="71"/>
      <c r="K325" s="71"/>
      <c r="L325" s="71"/>
      <c r="M325" s="71"/>
      <c r="N325" s="71"/>
      <c r="O325" s="71"/>
      <c r="P325" s="71"/>
      <c r="Q325" s="71"/>
      <c r="R325" s="71"/>
      <c r="S325" s="71"/>
      <c r="T325" s="71"/>
      <c r="U325" s="71"/>
      <c r="V325" s="71"/>
      <c r="W325" s="71"/>
      <c r="X325" s="71"/>
      <c r="Y325" s="71"/>
      <c r="Z325" s="71"/>
    </row>
    <row r="326" ht="15.75" customHeight="1">
      <c r="A326" s="72"/>
      <c r="B326" s="71"/>
      <c r="C326" s="71"/>
      <c r="D326" s="71"/>
      <c r="E326" s="71"/>
      <c r="F326" s="71"/>
      <c r="G326" s="59"/>
      <c r="H326" s="71"/>
      <c r="I326" s="71"/>
      <c r="J326" s="71"/>
      <c r="K326" s="71"/>
      <c r="L326" s="71"/>
      <c r="M326" s="71"/>
      <c r="N326" s="71"/>
      <c r="O326" s="71"/>
      <c r="P326" s="71"/>
      <c r="Q326" s="71"/>
      <c r="R326" s="71"/>
      <c r="S326" s="71"/>
      <c r="T326" s="71"/>
      <c r="U326" s="71"/>
      <c r="V326" s="71"/>
      <c r="W326" s="71"/>
      <c r="X326" s="71"/>
      <c r="Y326" s="71"/>
      <c r="Z326" s="71"/>
    </row>
    <row r="327" ht="15.75" customHeight="1">
      <c r="A327" s="72"/>
      <c r="B327" s="71"/>
      <c r="C327" s="71"/>
      <c r="D327" s="71"/>
      <c r="E327" s="71"/>
      <c r="F327" s="71"/>
      <c r="G327" s="59"/>
      <c r="H327" s="71"/>
      <c r="I327" s="71"/>
      <c r="J327" s="71"/>
      <c r="K327" s="71"/>
      <c r="L327" s="71"/>
      <c r="M327" s="71"/>
      <c r="N327" s="71"/>
      <c r="O327" s="71"/>
      <c r="P327" s="71"/>
      <c r="Q327" s="71"/>
      <c r="R327" s="71"/>
      <c r="S327" s="71"/>
      <c r="T327" s="71"/>
      <c r="U327" s="71"/>
      <c r="V327" s="71"/>
      <c r="W327" s="71"/>
      <c r="X327" s="71"/>
      <c r="Y327" s="71"/>
      <c r="Z327" s="71"/>
    </row>
    <row r="328" ht="15.75" customHeight="1">
      <c r="A328" s="72"/>
      <c r="B328" s="71"/>
      <c r="C328" s="71"/>
      <c r="D328" s="71"/>
      <c r="E328" s="71"/>
      <c r="F328" s="71"/>
      <c r="G328" s="59"/>
      <c r="H328" s="71"/>
      <c r="I328" s="71"/>
      <c r="J328" s="71"/>
      <c r="K328" s="71"/>
      <c r="L328" s="71"/>
      <c r="M328" s="71"/>
      <c r="N328" s="71"/>
      <c r="O328" s="71"/>
      <c r="P328" s="71"/>
      <c r="Q328" s="71"/>
      <c r="R328" s="71"/>
      <c r="S328" s="71"/>
      <c r="T328" s="71"/>
      <c r="U328" s="71"/>
      <c r="V328" s="71"/>
      <c r="W328" s="71"/>
      <c r="X328" s="71"/>
      <c r="Y328" s="71"/>
      <c r="Z328" s="71"/>
    </row>
    <row r="329" ht="15.75" customHeight="1">
      <c r="A329" s="72"/>
      <c r="B329" s="71"/>
      <c r="C329" s="71"/>
      <c r="D329" s="71"/>
      <c r="E329" s="71"/>
      <c r="F329" s="71"/>
      <c r="G329" s="59"/>
      <c r="H329" s="71"/>
      <c r="I329" s="71"/>
      <c r="J329" s="71"/>
      <c r="K329" s="71"/>
      <c r="L329" s="71"/>
      <c r="M329" s="71"/>
      <c r="N329" s="71"/>
      <c r="O329" s="71"/>
      <c r="P329" s="71"/>
      <c r="Q329" s="71"/>
      <c r="R329" s="71"/>
      <c r="S329" s="71"/>
      <c r="T329" s="71"/>
      <c r="U329" s="71"/>
      <c r="V329" s="71"/>
      <c r="W329" s="71"/>
      <c r="X329" s="71"/>
      <c r="Y329" s="71"/>
      <c r="Z329" s="71"/>
    </row>
    <row r="330" ht="15.75" customHeight="1">
      <c r="A330" s="72"/>
      <c r="B330" s="71"/>
      <c r="C330" s="71"/>
      <c r="D330" s="71"/>
      <c r="E330" s="71"/>
      <c r="F330" s="71"/>
      <c r="G330" s="59"/>
      <c r="H330" s="71"/>
      <c r="I330" s="71"/>
      <c r="J330" s="71"/>
      <c r="K330" s="71"/>
      <c r="L330" s="71"/>
      <c r="M330" s="71"/>
      <c r="N330" s="71"/>
      <c r="O330" s="71"/>
      <c r="P330" s="71"/>
      <c r="Q330" s="71"/>
      <c r="R330" s="71"/>
      <c r="S330" s="71"/>
      <c r="T330" s="71"/>
      <c r="U330" s="71"/>
      <c r="V330" s="71"/>
      <c r="W330" s="71"/>
      <c r="X330" s="71"/>
      <c r="Y330" s="71"/>
      <c r="Z330" s="71"/>
    </row>
    <row r="331" ht="15.75" customHeight="1">
      <c r="A331" s="72"/>
      <c r="B331" s="71"/>
      <c r="C331" s="71"/>
      <c r="D331" s="71"/>
      <c r="E331" s="71"/>
      <c r="F331" s="71"/>
      <c r="G331" s="59"/>
      <c r="H331" s="71"/>
      <c r="I331" s="71"/>
      <c r="J331" s="71"/>
      <c r="K331" s="71"/>
      <c r="L331" s="71"/>
      <c r="M331" s="71"/>
      <c r="N331" s="71"/>
      <c r="O331" s="71"/>
      <c r="P331" s="71"/>
      <c r="Q331" s="71"/>
      <c r="R331" s="71"/>
      <c r="S331" s="71"/>
      <c r="T331" s="71"/>
      <c r="U331" s="71"/>
      <c r="V331" s="71"/>
      <c r="W331" s="71"/>
      <c r="X331" s="71"/>
      <c r="Y331" s="71"/>
      <c r="Z331" s="71"/>
    </row>
    <row r="332" ht="15.75" customHeight="1">
      <c r="A332" s="72"/>
      <c r="B332" s="71"/>
      <c r="C332" s="71"/>
      <c r="D332" s="71"/>
      <c r="E332" s="71"/>
      <c r="F332" s="71"/>
      <c r="G332" s="59"/>
      <c r="H332" s="71"/>
      <c r="I332" s="71"/>
      <c r="J332" s="71"/>
      <c r="K332" s="71"/>
      <c r="L332" s="71"/>
      <c r="M332" s="71"/>
      <c r="N332" s="71"/>
      <c r="O332" s="71"/>
      <c r="P332" s="71"/>
      <c r="Q332" s="71"/>
      <c r="R332" s="71"/>
      <c r="S332" s="71"/>
      <c r="T332" s="71"/>
      <c r="U332" s="71"/>
      <c r="V332" s="71"/>
      <c r="W332" s="71"/>
      <c r="X332" s="71"/>
      <c r="Y332" s="71"/>
      <c r="Z332" s="71"/>
    </row>
    <row r="333" ht="15.75" customHeight="1">
      <c r="A333" s="72"/>
      <c r="B333" s="71"/>
      <c r="C333" s="71"/>
      <c r="D333" s="71"/>
      <c r="E333" s="71"/>
      <c r="F333" s="71"/>
      <c r="G333" s="59"/>
      <c r="H333" s="71"/>
      <c r="I333" s="71"/>
      <c r="J333" s="71"/>
      <c r="K333" s="71"/>
      <c r="L333" s="71"/>
      <c r="M333" s="71"/>
      <c r="N333" s="71"/>
      <c r="O333" s="71"/>
      <c r="P333" s="71"/>
      <c r="Q333" s="71"/>
      <c r="R333" s="71"/>
      <c r="S333" s="71"/>
      <c r="T333" s="71"/>
      <c r="U333" s="71"/>
      <c r="V333" s="71"/>
      <c r="W333" s="71"/>
      <c r="X333" s="71"/>
      <c r="Y333" s="71"/>
      <c r="Z333" s="71"/>
    </row>
    <row r="334" ht="15.75" customHeight="1">
      <c r="A334" s="72"/>
      <c r="B334" s="71"/>
      <c r="C334" s="71"/>
      <c r="D334" s="71"/>
      <c r="E334" s="71"/>
      <c r="F334" s="71"/>
      <c r="G334" s="59"/>
      <c r="H334" s="71"/>
      <c r="I334" s="71"/>
      <c r="J334" s="71"/>
      <c r="K334" s="71"/>
      <c r="L334" s="71"/>
      <c r="M334" s="71"/>
      <c r="N334" s="71"/>
      <c r="O334" s="71"/>
      <c r="P334" s="71"/>
      <c r="Q334" s="71"/>
      <c r="R334" s="71"/>
      <c r="S334" s="71"/>
      <c r="T334" s="71"/>
      <c r="U334" s="71"/>
      <c r="V334" s="71"/>
      <c r="W334" s="71"/>
      <c r="X334" s="71"/>
      <c r="Y334" s="71"/>
      <c r="Z334" s="71"/>
    </row>
    <row r="335" ht="15.75" customHeight="1">
      <c r="A335" s="72"/>
      <c r="B335" s="71"/>
      <c r="C335" s="71"/>
      <c r="D335" s="71"/>
      <c r="E335" s="71"/>
      <c r="F335" s="71"/>
      <c r="G335" s="59"/>
      <c r="H335" s="71"/>
      <c r="I335" s="71"/>
      <c r="J335" s="71"/>
      <c r="K335" s="71"/>
      <c r="L335" s="71"/>
      <c r="M335" s="71"/>
      <c r="N335" s="71"/>
      <c r="O335" s="71"/>
      <c r="P335" s="71"/>
      <c r="Q335" s="71"/>
      <c r="R335" s="71"/>
      <c r="S335" s="71"/>
      <c r="T335" s="71"/>
      <c r="U335" s="71"/>
      <c r="V335" s="71"/>
      <c r="W335" s="71"/>
      <c r="X335" s="71"/>
      <c r="Y335" s="71"/>
      <c r="Z335" s="71"/>
    </row>
    <row r="336" ht="15.75" customHeight="1">
      <c r="A336" s="72"/>
      <c r="B336" s="71"/>
      <c r="C336" s="71"/>
      <c r="D336" s="71"/>
      <c r="E336" s="71"/>
      <c r="F336" s="71"/>
      <c r="G336" s="59"/>
      <c r="H336" s="71"/>
      <c r="I336" s="71"/>
      <c r="J336" s="71"/>
      <c r="K336" s="71"/>
      <c r="L336" s="71"/>
      <c r="M336" s="71"/>
      <c r="N336" s="71"/>
      <c r="O336" s="71"/>
      <c r="P336" s="71"/>
      <c r="Q336" s="71"/>
      <c r="R336" s="71"/>
      <c r="S336" s="71"/>
      <c r="T336" s="71"/>
      <c r="U336" s="71"/>
      <c r="V336" s="71"/>
      <c r="W336" s="71"/>
      <c r="X336" s="71"/>
      <c r="Y336" s="71"/>
      <c r="Z336" s="71"/>
    </row>
    <row r="337" ht="15.75" customHeight="1">
      <c r="A337" s="72"/>
      <c r="B337" s="71"/>
      <c r="C337" s="71"/>
      <c r="D337" s="71"/>
      <c r="E337" s="71"/>
      <c r="F337" s="71"/>
      <c r="G337" s="59"/>
      <c r="H337" s="71"/>
      <c r="I337" s="71"/>
      <c r="J337" s="71"/>
      <c r="K337" s="71"/>
      <c r="L337" s="71"/>
      <c r="M337" s="71"/>
      <c r="N337" s="71"/>
      <c r="O337" s="71"/>
      <c r="P337" s="71"/>
      <c r="Q337" s="71"/>
      <c r="R337" s="71"/>
      <c r="S337" s="71"/>
      <c r="T337" s="71"/>
      <c r="U337" s="71"/>
      <c r="V337" s="71"/>
      <c r="W337" s="71"/>
      <c r="X337" s="71"/>
      <c r="Y337" s="71"/>
      <c r="Z337" s="71"/>
    </row>
    <row r="338" ht="15.75" customHeight="1">
      <c r="A338" s="72"/>
      <c r="B338" s="71"/>
      <c r="C338" s="71"/>
      <c r="D338" s="71"/>
      <c r="E338" s="71"/>
      <c r="F338" s="71"/>
      <c r="G338" s="59"/>
      <c r="H338" s="71"/>
      <c r="I338" s="71"/>
      <c r="J338" s="71"/>
      <c r="K338" s="71"/>
      <c r="L338" s="71"/>
      <c r="M338" s="71"/>
      <c r="N338" s="71"/>
      <c r="O338" s="71"/>
      <c r="P338" s="71"/>
      <c r="Q338" s="71"/>
      <c r="R338" s="71"/>
      <c r="S338" s="71"/>
      <c r="T338" s="71"/>
      <c r="U338" s="71"/>
      <c r="V338" s="71"/>
      <c r="W338" s="71"/>
      <c r="X338" s="71"/>
      <c r="Y338" s="71"/>
      <c r="Z338" s="71"/>
    </row>
    <row r="339" ht="15.75" customHeight="1">
      <c r="A339" s="72"/>
      <c r="B339" s="71"/>
      <c r="C339" s="71"/>
      <c r="D339" s="71"/>
      <c r="E339" s="71"/>
      <c r="F339" s="71"/>
      <c r="G339" s="59"/>
      <c r="H339" s="71"/>
      <c r="I339" s="71"/>
      <c r="J339" s="71"/>
      <c r="K339" s="71"/>
      <c r="L339" s="71"/>
      <c r="M339" s="71"/>
      <c r="N339" s="71"/>
      <c r="O339" s="71"/>
      <c r="P339" s="71"/>
      <c r="Q339" s="71"/>
      <c r="R339" s="71"/>
      <c r="S339" s="71"/>
      <c r="T339" s="71"/>
      <c r="U339" s="71"/>
      <c r="V339" s="71"/>
      <c r="W339" s="71"/>
      <c r="X339" s="71"/>
      <c r="Y339" s="71"/>
      <c r="Z339" s="71"/>
    </row>
    <row r="340" ht="15.75" customHeight="1">
      <c r="A340" s="72"/>
      <c r="B340" s="71"/>
      <c r="C340" s="71"/>
      <c r="D340" s="71"/>
      <c r="E340" s="71"/>
      <c r="F340" s="71"/>
      <c r="G340" s="59"/>
      <c r="H340" s="71"/>
      <c r="I340" s="71"/>
      <c r="J340" s="71"/>
      <c r="K340" s="71"/>
      <c r="L340" s="71"/>
      <c r="M340" s="71"/>
      <c r="N340" s="71"/>
      <c r="O340" s="71"/>
      <c r="P340" s="71"/>
      <c r="Q340" s="71"/>
      <c r="R340" s="71"/>
      <c r="S340" s="71"/>
      <c r="T340" s="71"/>
      <c r="U340" s="71"/>
      <c r="V340" s="71"/>
      <c r="W340" s="71"/>
      <c r="X340" s="71"/>
      <c r="Y340" s="71"/>
      <c r="Z340" s="71"/>
    </row>
    <row r="341" ht="15.75" customHeight="1">
      <c r="A341" s="72"/>
      <c r="B341" s="71"/>
      <c r="C341" s="71"/>
      <c r="D341" s="71"/>
      <c r="E341" s="71"/>
      <c r="F341" s="71"/>
      <c r="G341" s="59"/>
      <c r="H341" s="71"/>
      <c r="I341" s="71"/>
      <c r="J341" s="71"/>
      <c r="K341" s="71"/>
      <c r="L341" s="71"/>
      <c r="M341" s="71"/>
      <c r="N341" s="71"/>
      <c r="O341" s="71"/>
      <c r="P341" s="71"/>
      <c r="Q341" s="71"/>
      <c r="R341" s="71"/>
      <c r="S341" s="71"/>
      <c r="T341" s="71"/>
      <c r="U341" s="71"/>
      <c r="V341" s="71"/>
      <c r="W341" s="71"/>
      <c r="X341" s="71"/>
      <c r="Y341" s="71"/>
      <c r="Z341" s="71"/>
    </row>
    <row r="342" ht="15.75" customHeight="1">
      <c r="A342" s="72"/>
      <c r="B342" s="71"/>
      <c r="C342" s="71"/>
      <c r="D342" s="71"/>
      <c r="E342" s="71"/>
      <c r="F342" s="71"/>
      <c r="G342" s="59"/>
      <c r="H342" s="71"/>
      <c r="I342" s="71"/>
      <c r="J342" s="71"/>
      <c r="K342" s="71"/>
      <c r="L342" s="71"/>
      <c r="M342" s="71"/>
      <c r="N342" s="71"/>
      <c r="O342" s="71"/>
      <c r="P342" s="71"/>
      <c r="Q342" s="71"/>
      <c r="R342" s="71"/>
      <c r="S342" s="71"/>
      <c r="T342" s="71"/>
      <c r="U342" s="71"/>
      <c r="V342" s="71"/>
      <c r="W342" s="71"/>
      <c r="X342" s="71"/>
      <c r="Y342" s="71"/>
      <c r="Z342" s="71"/>
    </row>
    <row r="343" ht="15.75" customHeight="1">
      <c r="A343" s="72"/>
      <c r="B343" s="71"/>
      <c r="C343" s="71"/>
      <c r="D343" s="71"/>
      <c r="E343" s="71"/>
      <c r="F343" s="71"/>
      <c r="G343" s="59"/>
      <c r="H343" s="71"/>
      <c r="I343" s="71"/>
      <c r="J343" s="71"/>
      <c r="K343" s="71"/>
      <c r="L343" s="71"/>
      <c r="M343" s="71"/>
      <c r="N343" s="71"/>
      <c r="O343" s="71"/>
      <c r="P343" s="71"/>
      <c r="Q343" s="71"/>
      <c r="R343" s="71"/>
      <c r="S343" s="71"/>
      <c r="T343" s="71"/>
      <c r="U343" s="71"/>
      <c r="V343" s="71"/>
      <c r="W343" s="71"/>
      <c r="X343" s="71"/>
      <c r="Y343" s="71"/>
      <c r="Z343" s="71"/>
    </row>
    <row r="344" ht="15.75" customHeight="1">
      <c r="A344" s="72"/>
      <c r="B344" s="71"/>
      <c r="C344" s="71"/>
      <c r="D344" s="71"/>
      <c r="E344" s="71"/>
      <c r="F344" s="71"/>
      <c r="G344" s="59"/>
      <c r="H344" s="71"/>
      <c r="I344" s="71"/>
      <c r="J344" s="71"/>
      <c r="K344" s="71"/>
      <c r="L344" s="71"/>
      <c r="M344" s="71"/>
      <c r="N344" s="71"/>
      <c r="O344" s="71"/>
      <c r="P344" s="71"/>
      <c r="Q344" s="71"/>
      <c r="R344" s="71"/>
      <c r="S344" s="71"/>
      <c r="T344" s="71"/>
      <c r="U344" s="71"/>
      <c r="V344" s="71"/>
      <c r="W344" s="71"/>
      <c r="X344" s="71"/>
      <c r="Y344" s="71"/>
      <c r="Z344" s="71"/>
    </row>
    <row r="345" ht="15.75" customHeight="1">
      <c r="A345" s="72"/>
      <c r="B345" s="71"/>
      <c r="C345" s="71"/>
      <c r="D345" s="71"/>
      <c r="E345" s="71"/>
      <c r="F345" s="71"/>
      <c r="G345" s="59"/>
      <c r="H345" s="71"/>
      <c r="I345" s="71"/>
      <c r="J345" s="71"/>
      <c r="K345" s="71"/>
      <c r="L345" s="71"/>
      <c r="M345" s="71"/>
      <c r="N345" s="71"/>
      <c r="O345" s="71"/>
      <c r="P345" s="71"/>
      <c r="Q345" s="71"/>
      <c r="R345" s="71"/>
      <c r="S345" s="71"/>
      <c r="T345" s="71"/>
      <c r="U345" s="71"/>
      <c r="V345" s="71"/>
      <c r="W345" s="71"/>
      <c r="X345" s="71"/>
      <c r="Y345" s="71"/>
      <c r="Z345" s="71"/>
    </row>
    <row r="346" ht="15.75" customHeight="1">
      <c r="A346" s="72"/>
      <c r="B346" s="71"/>
      <c r="C346" s="71"/>
      <c r="D346" s="71"/>
      <c r="E346" s="71"/>
      <c r="F346" s="71"/>
      <c r="G346" s="59"/>
      <c r="H346" s="71"/>
      <c r="I346" s="71"/>
      <c r="J346" s="71"/>
      <c r="K346" s="71"/>
      <c r="L346" s="71"/>
      <c r="M346" s="71"/>
      <c r="N346" s="71"/>
      <c r="O346" s="71"/>
      <c r="P346" s="71"/>
      <c r="Q346" s="71"/>
      <c r="R346" s="71"/>
      <c r="S346" s="71"/>
      <c r="T346" s="71"/>
      <c r="U346" s="71"/>
      <c r="V346" s="71"/>
      <c r="W346" s="71"/>
      <c r="X346" s="71"/>
      <c r="Y346" s="71"/>
      <c r="Z346" s="71"/>
    </row>
    <row r="347" ht="15.75" customHeight="1">
      <c r="A347" s="72"/>
      <c r="B347" s="71"/>
      <c r="C347" s="71"/>
      <c r="D347" s="71"/>
      <c r="E347" s="71"/>
      <c r="F347" s="71"/>
      <c r="G347" s="59"/>
      <c r="H347" s="71"/>
      <c r="I347" s="71"/>
      <c r="J347" s="71"/>
      <c r="K347" s="71"/>
      <c r="L347" s="71"/>
      <c r="M347" s="71"/>
      <c r="N347" s="71"/>
      <c r="O347" s="71"/>
      <c r="P347" s="71"/>
      <c r="Q347" s="71"/>
      <c r="R347" s="71"/>
      <c r="S347" s="71"/>
      <c r="T347" s="71"/>
      <c r="U347" s="71"/>
      <c r="V347" s="71"/>
      <c r="W347" s="71"/>
      <c r="X347" s="71"/>
      <c r="Y347" s="71"/>
      <c r="Z347" s="71"/>
    </row>
    <row r="348" ht="15.75" customHeight="1">
      <c r="A348" s="72"/>
      <c r="B348" s="71"/>
      <c r="C348" s="71"/>
      <c r="D348" s="71"/>
      <c r="E348" s="71"/>
      <c r="F348" s="71"/>
      <c r="G348" s="59"/>
      <c r="H348" s="71"/>
      <c r="I348" s="71"/>
      <c r="J348" s="71"/>
      <c r="K348" s="71"/>
      <c r="L348" s="71"/>
      <c r="M348" s="71"/>
      <c r="N348" s="71"/>
      <c r="O348" s="71"/>
      <c r="P348" s="71"/>
      <c r="Q348" s="71"/>
      <c r="R348" s="71"/>
      <c r="S348" s="71"/>
      <c r="T348" s="71"/>
      <c r="U348" s="71"/>
      <c r="V348" s="71"/>
      <c r="W348" s="71"/>
      <c r="X348" s="71"/>
      <c r="Y348" s="71"/>
      <c r="Z348" s="71"/>
    </row>
    <row r="349" ht="15.75" customHeight="1">
      <c r="A349" s="72"/>
      <c r="B349" s="71"/>
      <c r="C349" s="71"/>
      <c r="D349" s="71"/>
      <c r="E349" s="71"/>
      <c r="F349" s="71"/>
      <c r="G349" s="59"/>
      <c r="H349" s="71"/>
      <c r="I349" s="71"/>
      <c r="J349" s="71"/>
      <c r="K349" s="71"/>
      <c r="L349" s="71"/>
      <c r="M349" s="71"/>
      <c r="N349" s="71"/>
      <c r="O349" s="71"/>
      <c r="P349" s="71"/>
      <c r="Q349" s="71"/>
      <c r="R349" s="71"/>
      <c r="S349" s="71"/>
      <c r="T349" s="71"/>
      <c r="U349" s="71"/>
      <c r="V349" s="71"/>
      <c r="W349" s="71"/>
      <c r="X349" s="71"/>
      <c r="Y349" s="71"/>
      <c r="Z349" s="71"/>
    </row>
    <row r="350" ht="15.75" customHeight="1">
      <c r="A350" s="72"/>
      <c r="B350" s="71"/>
      <c r="C350" s="71"/>
      <c r="D350" s="71"/>
      <c r="E350" s="71"/>
      <c r="F350" s="71"/>
      <c r="G350" s="59"/>
      <c r="H350" s="71"/>
      <c r="I350" s="71"/>
      <c r="J350" s="71"/>
      <c r="K350" s="71"/>
      <c r="L350" s="71"/>
      <c r="M350" s="71"/>
      <c r="N350" s="71"/>
      <c r="O350" s="71"/>
      <c r="P350" s="71"/>
      <c r="Q350" s="71"/>
      <c r="R350" s="71"/>
      <c r="S350" s="71"/>
      <c r="T350" s="71"/>
      <c r="U350" s="71"/>
      <c r="V350" s="71"/>
      <c r="W350" s="71"/>
      <c r="X350" s="71"/>
      <c r="Y350" s="71"/>
      <c r="Z350" s="71"/>
    </row>
    <row r="351" ht="15.75" customHeight="1">
      <c r="A351" s="72"/>
      <c r="B351" s="71"/>
      <c r="C351" s="71"/>
      <c r="D351" s="71"/>
      <c r="E351" s="71"/>
      <c r="F351" s="71"/>
      <c r="G351" s="59"/>
      <c r="H351" s="71"/>
      <c r="I351" s="71"/>
      <c r="J351" s="71"/>
      <c r="K351" s="71"/>
      <c r="L351" s="71"/>
      <c r="M351" s="71"/>
      <c r="N351" s="71"/>
      <c r="O351" s="71"/>
      <c r="P351" s="71"/>
      <c r="Q351" s="71"/>
      <c r="R351" s="71"/>
      <c r="S351" s="71"/>
      <c r="T351" s="71"/>
      <c r="U351" s="71"/>
      <c r="V351" s="71"/>
      <c r="W351" s="71"/>
      <c r="X351" s="71"/>
      <c r="Y351" s="71"/>
      <c r="Z351" s="71"/>
    </row>
    <row r="352" ht="15.75" customHeight="1">
      <c r="A352" s="72"/>
      <c r="B352" s="71"/>
      <c r="C352" s="71"/>
      <c r="D352" s="71"/>
      <c r="E352" s="71"/>
      <c r="F352" s="71"/>
      <c r="G352" s="59"/>
      <c r="H352" s="71"/>
      <c r="I352" s="71"/>
      <c r="J352" s="71"/>
      <c r="K352" s="71"/>
      <c r="L352" s="71"/>
      <c r="M352" s="71"/>
      <c r="N352" s="71"/>
      <c r="O352" s="71"/>
      <c r="P352" s="71"/>
      <c r="Q352" s="71"/>
      <c r="R352" s="71"/>
      <c r="S352" s="71"/>
      <c r="T352" s="71"/>
      <c r="U352" s="71"/>
      <c r="V352" s="71"/>
      <c r="W352" s="71"/>
      <c r="X352" s="71"/>
      <c r="Y352" s="71"/>
      <c r="Z352" s="71"/>
    </row>
    <row r="353" ht="15.75" customHeight="1">
      <c r="A353" s="72"/>
      <c r="B353" s="71"/>
      <c r="C353" s="71"/>
      <c r="D353" s="71"/>
      <c r="E353" s="71"/>
      <c r="F353" s="71"/>
      <c r="G353" s="59"/>
      <c r="H353" s="71"/>
      <c r="I353" s="71"/>
      <c r="J353" s="71"/>
      <c r="K353" s="71"/>
      <c r="L353" s="71"/>
      <c r="M353" s="71"/>
      <c r="N353" s="71"/>
      <c r="O353" s="71"/>
      <c r="P353" s="71"/>
      <c r="Q353" s="71"/>
      <c r="R353" s="71"/>
      <c r="S353" s="71"/>
      <c r="T353" s="71"/>
      <c r="U353" s="71"/>
      <c r="V353" s="71"/>
      <c r="W353" s="71"/>
      <c r="X353" s="71"/>
      <c r="Y353" s="71"/>
      <c r="Z353" s="71"/>
    </row>
    <row r="354" ht="15.75" customHeight="1">
      <c r="A354" s="72"/>
      <c r="B354" s="71"/>
      <c r="C354" s="71"/>
      <c r="D354" s="71"/>
      <c r="E354" s="71"/>
      <c r="F354" s="71"/>
      <c r="G354" s="59"/>
      <c r="H354" s="71"/>
      <c r="I354" s="71"/>
      <c r="J354" s="71"/>
      <c r="K354" s="71"/>
      <c r="L354" s="71"/>
      <c r="M354" s="71"/>
      <c r="N354" s="71"/>
      <c r="O354" s="71"/>
      <c r="P354" s="71"/>
      <c r="Q354" s="71"/>
      <c r="R354" s="71"/>
      <c r="S354" s="71"/>
      <c r="T354" s="71"/>
      <c r="U354" s="71"/>
      <c r="V354" s="71"/>
      <c r="W354" s="71"/>
      <c r="X354" s="71"/>
      <c r="Y354" s="71"/>
      <c r="Z354" s="71"/>
    </row>
    <row r="355" ht="15.75" customHeight="1">
      <c r="A355" s="72"/>
      <c r="B355" s="71"/>
      <c r="C355" s="71"/>
      <c r="D355" s="71"/>
      <c r="E355" s="71"/>
      <c r="F355" s="71"/>
      <c r="G355" s="59"/>
      <c r="H355" s="71"/>
      <c r="I355" s="71"/>
      <c r="J355" s="71"/>
      <c r="K355" s="71"/>
      <c r="L355" s="71"/>
      <c r="M355" s="71"/>
      <c r="N355" s="71"/>
      <c r="O355" s="71"/>
      <c r="P355" s="71"/>
      <c r="Q355" s="71"/>
      <c r="R355" s="71"/>
      <c r="S355" s="71"/>
      <c r="T355" s="71"/>
      <c r="U355" s="71"/>
      <c r="V355" s="71"/>
      <c r="W355" s="71"/>
      <c r="X355" s="71"/>
      <c r="Y355" s="71"/>
      <c r="Z355" s="71"/>
    </row>
    <row r="356" ht="15.75" customHeight="1">
      <c r="A356" s="72"/>
      <c r="B356" s="71"/>
      <c r="C356" s="71"/>
      <c r="D356" s="71"/>
      <c r="E356" s="71"/>
      <c r="F356" s="71"/>
      <c r="G356" s="59"/>
      <c r="H356" s="71"/>
      <c r="I356" s="71"/>
      <c r="J356" s="71"/>
      <c r="K356" s="71"/>
      <c r="L356" s="71"/>
      <c r="M356" s="71"/>
      <c r="N356" s="71"/>
      <c r="O356" s="71"/>
      <c r="P356" s="71"/>
      <c r="Q356" s="71"/>
      <c r="R356" s="71"/>
      <c r="S356" s="71"/>
      <c r="T356" s="71"/>
      <c r="U356" s="71"/>
      <c r="V356" s="71"/>
      <c r="W356" s="71"/>
      <c r="X356" s="71"/>
      <c r="Y356" s="71"/>
      <c r="Z356" s="71"/>
    </row>
    <row r="357" ht="15.75" customHeight="1">
      <c r="A357" s="72"/>
      <c r="B357" s="71"/>
      <c r="C357" s="71"/>
      <c r="D357" s="71"/>
      <c r="E357" s="71"/>
      <c r="F357" s="71"/>
      <c r="G357" s="59"/>
      <c r="H357" s="71"/>
      <c r="I357" s="71"/>
      <c r="J357" s="71"/>
      <c r="K357" s="71"/>
      <c r="L357" s="71"/>
      <c r="M357" s="71"/>
      <c r="N357" s="71"/>
      <c r="O357" s="71"/>
      <c r="P357" s="71"/>
      <c r="Q357" s="71"/>
      <c r="R357" s="71"/>
      <c r="S357" s="71"/>
      <c r="T357" s="71"/>
      <c r="U357" s="71"/>
      <c r="V357" s="71"/>
      <c r="W357" s="71"/>
      <c r="X357" s="71"/>
      <c r="Y357" s="71"/>
      <c r="Z357" s="71"/>
    </row>
    <row r="358" ht="15.75" customHeight="1">
      <c r="A358" s="72"/>
      <c r="B358" s="71"/>
      <c r="C358" s="71"/>
      <c r="D358" s="71"/>
      <c r="E358" s="71"/>
      <c r="F358" s="71"/>
      <c r="G358" s="59"/>
      <c r="H358" s="71"/>
      <c r="I358" s="71"/>
      <c r="J358" s="71"/>
      <c r="K358" s="71"/>
      <c r="L358" s="71"/>
      <c r="M358" s="71"/>
      <c r="N358" s="71"/>
      <c r="O358" s="71"/>
      <c r="P358" s="71"/>
      <c r="Q358" s="71"/>
      <c r="R358" s="71"/>
      <c r="S358" s="71"/>
      <c r="T358" s="71"/>
      <c r="U358" s="71"/>
      <c r="V358" s="71"/>
      <c r="W358" s="71"/>
      <c r="X358" s="71"/>
      <c r="Y358" s="71"/>
      <c r="Z358" s="71"/>
    </row>
    <row r="359" ht="15.75" customHeight="1">
      <c r="A359" s="72"/>
      <c r="B359" s="71"/>
      <c r="C359" s="71"/>
      <c r="D359" s="71"/>
      <c r="E359" s="71"/>
      <c r="F359" s="71"/>
      <c r="G359" s="59"/>
      <c r="H359" s="71"/>
      <c r="I359" s="71"/>
      <c r="J359" s="71"/>
      <c r="K359" s="71"/>
      <c r="L359" s="71"/>
      <c r="M359" s="71"/>
      <c r="N359" s="71"/>
      <c r="O359" s="71"/>
      <c r="P359" s="71"/>
      <c r="Q359" s="71"/>
      <c r="R359" s="71"/>
      <c r="S359" s="71"/>
      <c r="T359" s="71"/>
      <c r="U359" s="71"/>
      <c r="V359" s="71"/>
      <c r="W359" s="71"/>
      <c r="X359" s="71"/>
      <c r="Y359" s="71"/>
      <c r="Z359" s="71"/>
    </row>
    <row r="360" ht="15.75" customHeight="1">
      <c r="A360" s="72"/>
      <c r="B360" s="71"/>
      <c r="C360" s="71"/>
      <c r="D360" s="71"/>
      <c r="E360" s="71"/>
      <c r="F360" s="71"/>
      <c r="G360" s="59"/>
      <c r="H360" s="71"/>
      <c r="I360" s="71"/>
      <c r="J360" s="71"/>
      <c r="K360" s="71"/>
      <c r="L360" s="71"/>
      <c r="M360" s="71"/>
      <c r="N360" s="71"/>
      <c r="O360" s="71"/>
      <c r="P360" s="71"/>
      <c r="Q360" s="71"/>
      <c r="R360" s="71"/>
      <c r="S360" s="71"/>
      <c r="T360" s="71"/>
      <c r="U360" s="71"/>
      <c r="V360" s="71"/>
      <c r="W360" s="71"/>
      <c r="X360" s="71"/>
      <c r="Y360" s="71"/>
      <c r="Z360" s="71"/>
    </row>
    <row r="361" ht="15.75" customHeight="1">
      <c r="A361" s="72"/>
      <c r="B361" s="71"/>
      <c r="C361" s="71"/>
      <c r="D361" s="71"/>
      <c r="E361" s="71"/>
      <c r="F361" s="71"/>
      <c r="G361" s="59"/>
      <c r="H361" s="71"/>
      <c r="I361" s="71"/>
      <c r="J361" s="71"/>
      <c r="K361" s="71"/>
      <c r="L361" s="71"/>
      <c r="M361" s="71"/>
      <c r="N361" s="71"/>
      <c r="O361" s="71"/>
      <c r="P361" s="71"/>
      <c r="Q361" s="71"/>
      <c r="R361" s="71"/>
      <c r="S361" s="71"/>
      <c r="T361" s="71"/>
      <c r="U361" s="71"/>
      <c r="V361" s="71"/>
      <c r="W361" s="71"/>
      <c r="X361" s="71"/>
      <c r="Y361" s="71"/>
      <c r="Z361" s="71"/>
    </row>
    <row r="362" ht="15.75" customHeight="1">
      <c r="A362" s="72"/>
      <c r="B362" s="71"/>
      <c r="C362" s="71"/>
      <c r="D362" s="71"/>
      <c r="E362" s="71"/>
      <c r="F362" s="71"/>
      <c r="G362" s="59"/>
      <c r="H362" s="71"/>
      <c r="I362" s="71"/>
      <c r="J362" s="71"/>
      <c r="K362" s="71"/>
      <c r="L362" s="71"/>
      <c r="M362" s="71"/>
      <c r="N362" s="71"/>
      <c r="O362" s="71"/>
      <c r="P362" s="71"/>
      <c r="Q362" s="71"/>
      <c r="R362" s="71"/>
      <c r="S362" s="71"/>
      <c r="T362" s="71"/>
      <c r="U362" s="71"/>
      <c r="V362" s="71"/>
      <c r="W362" s="71"/>
      <c r="X362" s="71"/>
      <c r="Y362" s="71"/>
      <c r="Z362" s="71"/>
    </row>
    <row r="363" ht="15.75" customHeight="1">
      <c r="A363" s="72"/>
      <c r="B363" s="71"/>
      <c r="C363" s="71"/>
      <c r="D363" s="71"/>
      <c r="E363" s="71"/>
      <c r="F363" s="71"/>
      <c r="G363" s="59"/>
      <c r="H363" s="71"/>
      <c r="I363" s="71"/>
      <c r="J363" s="71"/>
      <c r="K363" s="71"/>
      <c r="L363" s="71"/>
      <c r="M363" s="71"/>
      <c r="N363" s="71"/>
      <c r="O363" s="71"/>
      <c r="P363" s="71"/>
      <c r="Q363" s="71"/>
      <c r="R363" s="71"/>
      <c r="S363" s="71"/>
      <c r="T363" s="71"/>
      <c r="U363" s="71"/>
      <c r="V363" s="71"/>
      <c r="W363" s="71"/>
      <c r="X363" s="71"/>
      <c r="Y363" s="71"/>
      <c r="Z363" s="71"/>
    </row>
    <row r="364" ht="15.75" customHeight="1">
      <c r="A364" s="72"/>
      <c r="B364" s="71"/>
      <c r="C364" s="71"/>
      <c r="D364" s="71"/>
      <c r="E364" s="71"/>
      <c r="F364" s="71"/>
      <c r="G364" s="59"/>
      <c r="H364" s="71"/>
      <c r="I364" s="71"/>
      <c r="J364" s="71"/>
      <c r="K364" s="71"/>
      <c r="L364" s="71"/>
      <c r="M364" s="71"/>
      <c r="N364" s="71"/>
      <c r="O364" s="71"/>
      <c r="P364" s="71"/>
      <c r="Q364" s="71"/>
      <c r="R364" s="71"/>
      <c r="S364" s="71"/>
      <c r="T364" s="71"/>
      <c r="U364" s="71"/>
      <c r="V364" s="71"/>
      <c r="W364" s="71"/>
      <c r="X364" s="71"/>
      <c r="Y364" s="71"/>
      <c r="Z364" s="71"/>
    </row>
    <row r="365" ht="15.75" customHeight="1">
      <c r="A365" s="72"/>
      <c r="B365" s="71"/>
      <c r="C365" s="71"/>
      <c r="D365" s="71"/>
      <c r="E365" s="71"/>
      <c r="F365" s="71"/>
      <c r="G365" s="59"/>
      <c r="H365" s="71"/>
      <c r="I365" s="71"/>
      <c r="J365" s="71"/>
      <c r="K365" s="71"/>
      <c r="L365" s="71"/>
      <c r="M365" s="71"/>
      <c r="N365" s="71"/>
      <c r="O365" s="71"/>
      <c r="P365" s="71"/>
      <c r="Q365" s="71"/>
      <c r="R365" s="71"/>
      <c r="S365" s="71"/>
      <c r="T365" s="71"/>
      <c r="U365" s="71"/>
      <c r="V365" s="71"/>
      <c r="W365" s="71"/>
      <c r="X365" s="71"/>
      <c r="Y365" s="71"/>
      <c r="Z365" s="71"/>
    </row>
    <row r="366" ht="15.75" customHeight="1">
      <c r="A366" s="72"/>
      <c r="B366" s="71"/>
      <c r="C366" s="71"/>
      <c r="D366" s="71"/>
      <c r="E366" s="71"/>
      <c r="F366" s="71"/>
      <c r="G366" s="59"/>
      <c r="H366" s="71"/>
      <c r="I366" s="71"/>
      <c r="J366" s="71"/>
      <c r="K366" s="71"/>
      <c r="L366" s="71"/>
      <c r="M366" s="71"/>
      <c r="N366" s="71"/>
      <c r="O366" s="71"/>
      <c r="P366" s="71"/>
      <c r="Q366" s="71"/>
      <c r="R366" s="71"/>
      <c r="S366" s="71"/>
      <c r="T366" s="71"/>
      <c r="U366" s="71"/>
      <c r="V366" s="71"/>
      <c r="W366" s="71"/>
      <c r="X366" s="71"/>
      <c r="Y366" s="71"/>
      <c r="Z366" s="71"/>
    </row>
    <row r="367" ht="15.75" customHeight="1">
      <c r="A367" s="72"/>
      <c r="B367" s="71"/>
      <c r="C367" s="71"/>
      <c r="D367" s="71"/>
      <c r="E367" s="71"/>
      <c r="F367" s="71"/>
      <c r="G367" s="59"/>
      <c r="H367" s="71"/>
      <c r="I367" s="71"/>
      <c r="J367" s="71"/>
      <c r="K367" s="71"/>
      <c r="L367" s="71"/>
      <c r="M367" s="71"/>
      <c r="N367" s="71"/>
      <c r="O367" s="71"/>
      <c r="P367" s="71"/>
      <c r="Q367" s="71"/>
      <c r="R367" s="71"/>
      <c r="S367" s="71"/>
      <c r="T367" s="71"/>
      <c r="U367" s="71"/>
      <c r="V367" s="71"/>
      <c r="W367" s="71"/>
      <c r="X367" s="71"/>
      <c r="Y367" s="71"/>
      <c r="Z367" s="71"/>
    </row>
    <row r="368" ht="15.75" customHeight="1">
      <c r="A368" s="72"/>
      <c r="B368" s="71"/>
      <c r="C368" s="71"/>
      <c r="D368" s="71"/>
      <c r="E368" s="71"/>
      <c r="F368" s="71"/>
      <c r="G368" s="59"/>
      <c r="H368" s="71"/>
      <c r="I368" s="71"/>
      <c r="J368" s="71"/>
      <c r="K368" s="71"/>
      <c r="L368" s="71"/>
      <c r="M368" s="71"/>
      <c r="N368" s="71"/>
      <c r="O368" s="71"/>
      <c r="P368" s="71"/>
      <c r="Q368" s="71"/>
      <c r="R368" s="71"/>
      <c r="S368" s="71"/>
      <c r="T368" s="71"/>
      <c r="U368" s="71"/>
      <c r="V368" s="71"/>
      <c r="W368" s="71"/>
      <c r="X368" s="71"/>
      <c r="Y368" s="71"/>
      <c r="Z368" s="71"/>
    </row>
    <row r="369" ht="15.75" customHeight="1">
      <c r="A369" s="72"/>
      <c r="B369" s="71"/>
      <c r="C369" s="71"/>
      <c r="D369" s="71"/>
      <c r="E369" s="71"/>
      <c r="F369" s="71"/>
      <c r="G369" s="59"/>
      <c r="H369" s="71"/>
      <c r="I369" s="71"/>
      <c r="J369" s="71"/>
      <c r="K369" s="71"/>
      <c r="L369" s="71"/>
      <c r="M369" s="71"/>
      <c r="N369" s="71"/>
      <c r="O369" s="71"/>
      <c r="P369" s="71"/>
      <c r="Q369" s="71"/>
      <c r="R369" s="71"/>
      <c r="S369" s="71"/>
      <c r="T369" s="71"/>
      <c r="U369" s="71"/>
      <c r="V369" s="71"/>
      <c r="W369" s="71"/>
      <c r="X369" s="71"/>
      <c r="Y369" s="71"/>
      <c r="Z369" s="71"/>
    </row>
    <row r="370" ht="15.75" customHeight="1">
      <c r="A370" s="72"/>
      <c r="B370" s="71"/>
      <c r="C370" s="71"/>
      <c r="D370" s="71"/>
      <c r="E370" s="71"/>
      <c r="F370" s="71"/>
      <c r="G370" s="59"/>
      <c r="H370" s="71"/>
      <c r="I370" s="71"/>
      <c r="J370" s="71"/>
      <c r="K370" s="71"/>
      <c r="L370" s="71"/>
      <c r="M370" s="71"/>
      <c r="N370" s="71"/>
      <c r="O370" s="71"/>
      <c r="P370" s="71"/>
      <c r="Q370" s="71"/>
      <c r="R370" s="71"/>
      <c r="S370" s="71"/>
      <c r="T370" s="71"/>
      <c r="U370" s="71"/>
      <c r="V370" s="71"/>
      <c r="W370" s="71"/>
      <c r="X370" s="71"/>
      <c r="Y370" s="71"/>
      <c r="Z370" s="71"/>
    </row>
    <row r="371" ht="15.75" customHeight="1">
      <c r="A371" s="72"/>
      <c r="B371" s="71"/>
      <c r="C371" s="71"/>
      <c r="D371" s="71"/>
      <c r="E371" s="71"/>
      <c r="F371" s="71"/>
      <c r="G371" s="59"/>
      <c r="H371" s="71"/>
      <c r="I371" s="71"/>
      <c r="J371" s="71"/>
      <c r="K371" s="71"/>
      <c r="L371" s="71"/>
      <c r="M371" s="71"/>
      <c r="N371" s="71"/>
      <c r="O371" s="71"/>
      <c r="P371" s="71"/>
      <c r="Q371" s="71"/>
      <c r="R371" s="71"/>
      <c r="S371" s="71"/>
      <c r="T371" s="71"/>
      <c r="U371" s="71"/>
      <c r="V371" s="71"/>
      <c r="W371" s="71"/>
      <c r="X371" s="71"/>
      <c r="Y371" s="71"/>
      <c r="Z371" s="71"/>
    </row>
    <row r="372" ht="15.75" customHeight="1">
      <c r="A372" s="72"/>
      <c r="B372" s="71"/>
      <c r="C372" s="71"/>
      <c r="D372" s="71"/>
      <c r="E372" s="71"/>
      <c r="F372" s="71"/>
      <c r="G372" s="59"/>
      <c r="H372" s="71"/>
      <c r="I372" s="71"/>
      <c r="J372" s="71"/>
      <c r="K372" s="71"/>
      <c r="L372" s="71"/>
      <c r="M372" s="71"/>
      <c r="N372" s="71"/>
      <c r="O372" s="71"/>
      <c r="P372" s="71"/>
      <c r="Q372" s="71"/>
      <c r="R372" s="71"/>
      <c r="S372" s="71"/>
      <c r="T372" s="71"/>
      <c r="U372" s="71"/>
      <c r="V372" s="71"/>
      <c r="W372" s="71"/>
      <c r="X372" s="71"/>
      <c r="Y372" s="71"/>
      <c r="Z372" s="71"/>
    </row>
    <row r="373" ht="15.75" customHeight="1">
      <c r="A373" s="72"/>
      <c r="B373" s="71"/>
      <c r="C373" s="71"/>
      <c r="D373" s="71"/>
      <c r="E373" s="71"/>
      <c r="F373" s="71"/>
      <c r="G373" s="59"/>
      <c r="H373" s="71"/>
      <c r="I373" s="71"/>
      <c r="J373" s="71"/>
      <c r="K373" s="71"/>
      <c r="L373" s="71"/>
      <c r="M373" s="71"/>
      <c r="N373" s="71"/>
      <c r="O373" s="71"/>
      <c r="P373" s="71"/>
      <c r="Q373" s="71"/>
      <c r="R373" s="71"/>
      <c r="S373" s="71"/>
      <c r="T373" s="71"/>
      <c r="U373" s="71"/>
      <c r="V373" s="71"/>
      <c r="W373" s="71"/>
      <c r="X373" s="71"/>
      <c r="Y373" s="71"/>
      <c r="Z373" s="71"/>
    </row>
    <row r="374" ht="15.75" customHeight="1">
      <c r="A374" s="72"/>
      <c r="B374" s="71"/>
      <c r="C374" s="71"/>
      <c r="D374" s="71"/>
      <c r="E374" s="71"/>
      <c r="F374" s="71"/>
      <c r="G374" s="59"/>
      <c r="H374" s="71"/>
      <c r="I374" s="71"/>
      <c r="J374" s="71"/>
      <c r="K374" s="71"/>
      <c r="L374" s="71"/>
      <c r="M374" s="71"/>
      <c r="N374" s="71"/>
      <c r="O374" s="71"/>
      <c r="P374" s="71"/>
      <c r="Q374" s="71"/>
      <c r="R374" s="71"/>
      <c r="S374" s="71"/>
      <c r="T374" s="71"/>
      <c r="U374" s="71"/>
      <c r="V374" s="71"/>
      <c r="W374" s="71"/>
      <c r="X374" s="71"/>
      <c r="Y374" s="71"/>
      <c r="Z374" s="71"/>
    </row>
    <row r="375" ht="15.75" customHeight="1">
      <c r="A375" s="72"/>
      <c r="B375" s="71"/>
      <c r="C375" s="71"/>
      <c r="D375" s="71"/>
      <c r="E375" s="71"/>
      <c r="F375" s="71"/>
      <c r="G375" s="59"/>
      <c r="H375" s="71"/>
      <c r="I375" s="71"/>
      <c r="J375" s="71"/>
      <c r="K375" s="71"/>
      <c r="L375" s="71"/>
      <c r="M375" s="71"/>
      <c r="N375" s="71"/>
      <c r="O375" s="71"/>
      <c r="P375" s="71"/>
      <c r="Q375" s="71"/>
      <c r="R375" s="71"/>
      <c r="S375" s="71"/>
      <c r="T375" s="71"/>
      <c r="U375" s="71"/>
      <c r="V375" s="71"/>
      <c r="W375" s="71"/>
      <c r="X375" s="71"/>
      <c r="Y375" s="71"/>
      <c r="Z375" s="71"/>
    </row>
    <row r="376" ht="15.75" customHeight="1">
      <c r="A376" s="72"/>
      <c r="B376" s="71"/>
      <c r="C376" s="71"/>
      <c r="D376" s="71"/>
      <c r="E376" s="71"/>
      <c r="F376" s="71"/>
      <c r="G376" s="59"/>
      <c r="H376" s="71"/>
      <c r="I376" s="71"/>
      <c r="J376" s="71"/>
      <c r="K376" s="71"/>
      <c r="L376" s="71"/>
      <c r="M376" s="71"/>
      <c r="N376" s="71"/>
      <c r="O376" s="71"/>
      <c r="P376" s="71"/>
      <c r="Q376" s="71"/>
      <c r="R376" s="71"/>
      <c r="S376" s="71"/>
      <c r="T376" s="71"/>
      <c r="U376" s="71"/>
      <c r="V376" s="71"/>
      <c r="W376" s="71"/>
      <c r="X376" s="71"/>
      <c r="Y376" s="71"/>
      <c r="Z376" s="71"/>
    </row>
    <row r="377" ht="15.75" customHeight="1">
      <c r="A377" s="72"/>
      <c r="B377" s="71"/>
      <c r="C377" s="71"/>
      <c r="D377" s="71"/>
      <c r="E377" s="71"/>
      <c r="F377" s="71"/>
      <c r="G377" s="59"/>
      <c r="H377" s="71"/>
      <c r="I377" s="71"/>
      <c r="J377" s="71"/>
      <c r="K377" s="71"/>
      <c r="L377" s="71"/>
      <c r="M377" s="71"/>
      <c r="N377" s="71"/>
      <c r="O377" s="71"/>
      <c r="P377" s="71"/>
      <c r="Q377" s="71"/>
      <c r="R377" s="71"/>
      <c r="S377" s="71"/>
      <c r="T377" s="71"/>
      <c r="U377" s="71"/>
      <c r="V377" s="71"/>
      <c r="W377" s="71"/>
      <c r="X377" s="71"/>
      <c r="Y377" s="71"/>
      <c r="Z377" s="71"/>
    </row>
    <row r="378" ht="15.75" customHeight="1">
      <c r="A378" s="72"/>
      <c r="B378" s="71"/>
      <c r="C378" s="71"/>
      <c r="D378" s="71"/>
      <c r="E378" s="71"/>
      <c r="F378" s="71"/>
      <c r="G378" s="59"/>
      <c r="H378" s="71"/>
      <c r="I378" s="71"/>
      <c r="J378" s="71"/>
      <c r="K378" s="71"/>
      <c r="L378" s="71"/>
      <c r="M378" s="71"/>
      <c r="N378" s="71"/>
      <c r="O378" s="71"/>
      <c r="P378" s="71"/>
      <c r="Q378" s="71"/>
      <c r="R378" s="71"/>
      <c r="S378" s="71"/>
      <c r="T378" s="71"/>
      <c r="U378" s="71"/>
      <c r="V378" s="71"/>
      <c r="W378" s="71"/>
      <c r="X378" s="71"/>
      <c r="Y378" s="71"/>
      <c r="Z378" s="71"/>
    </row>
    <row r="379" ht="15.75" customHeight="1">
      <c r="A379" s="72"/>
      <c r="B379" s="71"/>
      <c r="C379" s="71"/>
      <c r="D379" s="71"/>
      <c r="E379" s="71"/>
      <c r="F379" s="71"/>
      <c r="G379" s="59"/>
      <c r="H379" s="71"/>
      <c r="I379" s="71"/>
      <c r="J379" s="71"/>
      <c r="K379" s="71"/>
      <c r="L379" s="71"/>
      <c r="M379" s="71"/>
      <c r="N379" s="71"/>
      <c r="O379" s="71"/>
      <c r="P379" s="71"/>
      <c r="Q379" s="71"/>
      <c r="R379" s="71"/>
      <c r="S379" s="71"/>
      <c r="T379" s="71"/>
      <c r="U379" s="71"/>
      <c r="V379" s="71"/>
      <c r="W379" s="71"/>
      <c r="X379" s="71"/>
      <c r="Y379" s="71"/>
      <c r="Z379" s="71"/>
    </row>
    <row r="380" ht="15.75" customHeight="1">
      <c r="A380" s="72"/>
      <c r="B380" s="71"/>
      <c r="C380" s="71"/>
      <c r="D380" s="71"/>
      <c r="E380" s="71"/>
      <c r="F380" s="71"/>
      <c r="G380" s="59"/>
      <c r="H380" s="71"/>
      <c r="I380" s="71"/>
      <c r="J380" s="71"/>
      <c r="K380" s="71"/>
      <c r="L380" s="71"/>
      <c r="M380" s="71"/>
      <c r="N380" s="71"/>
      <c r="O380" s="71"/>
      <c r="P380" s="71"/>
      <c r="Q380" s="71"/>
      <c r="R380" s="71"/>
      <c r="S380" s="71"/>
      <c r="T380" s="71"/>
      <c r="U380" s="71"/>
      <c r="V380" s="71"/>
      <c r="W380" s="71"/>
      <c r="X380" s="71"/>
      <c r="Y380" s="71"/>
      <c r="Z380" s="71"/>
    </row>
    <row r="381" ht="15.75" customHeight="1">
      <c r="A381" s="72"/>
      <c r="B381" s="71"/>
      <c r="C381" s="71"/>
      <c r="D381" s="71"/>
      <c r="E381" s="71"/>
      <c r="F381" s="71"/>
      <c r="G381" s="59"/>
      <c r="H381" s="71"/>
      <c r="I381" s="71"/>
      <c r="J381" s="71"/>
      <c r="K381" s="71"/>
      <c r="L381" s="71"/>
      <c r="M381" s="71"/>
      <c r="N381" s="71"/>
      <c r="O381" s="71"/>
      <c r="P381" s="71"/>
      <c r="Q381" s="71"/>
      <c r="R381" s="71"/>
      <c r="S381" s="71"/>
      <c r="T381" s="71"/>
      <c r="U381" s="71"/>
      <c r="V381" s="71"/>
      <c r="W381" s="71"/>
      <c r="X381" s="71"/>
      <c r="Y381" s="71"/>
      <c r="Z381" s="71"/>
    </row>
    <row r="382" ht="15.75" customHeight="1">
      <c r="A382" s="72"/>
      <c r="B382" s="71"/>
      <c r="C382" s="71"/>
      <c r="D382" s="71"/>
      <c r="E382" s="71"/>
      <c r="F382" s="71"/>
      <c r="G382" s="59"/>
      <c r="H382" s="71"/>
      <c r="I382" s="71"/>
      <c r="J382" s="71"/>
      <c r="K382" s="71"/>
      <c r="L382" s="71"/>
      <c r="M382" s="71"/>
      <c r="N382" s="71"/>
      <c r="O382" s="71"/>
      <c r="P382" s="71"/>
      <c r="Q382" s="71"/>
      <c r="R382" s="71"/>
      <c r="S382" s="71"/>
      <c r="T382" s="71"/>
      <c r="U382" s="71"/>
      <c r="V382" s="71"/>
      <c r="W382" s="71"/>
      <c r="X382" s="71"/>
      <c r="Y382" s="71"/>
      <c r="Z382" s="71"/>
    </row>
    <row r="383" ht="15.75" customHeight="1">
      <c r="A383" s="72"/>
      <c r="B383" s="71"/>
      <c r="C383" s="71"/>
      <c r="D383" s="71"/>
      <c r="E383" s="71"/>
      <c r="F383" s="71"/>
      <c r="G383" s="59"/>
      <c r="H383" s="71"/>
      <c r="I383" s="71"/>
      <c r="J383" s="71"/>
      <c r="K383" s="71"/>
      <c r="L383" s="71"/>
      <c r="M383" s="71"/>
      <c r="N383" s="71"/>
      <c r="O383" s="71"/>
      <c r="P383" s="71"/>
      <c r="Q383" s="71"/>
      <c r="R383" s="71"/>
      <c r="S383" s="71"/>
      <c r="T383" s="71"/>
      <c r="U383" s="71"/>
      <c r="V383" s="71"/>
      <c r="W383" s="71"/>
      <c r="X383" s="71"/>
      <c r="Y383" s="71"/>
      <c r="Z383" s="71"/>
    </row>
    <row r="384" ht="15.75" customHeight="1">
      <c r="A384" s="72"/>
      <c r="B384" s="71"/>
      <c r="C384" s="71"/>
      <c r="D384" s="71"/>
      <c r="E384" s="71"/>
      <c r="F384" s="71"/>
      <c r="G384" s="59"/>
      <c r="H384" s="71"/>
      <c r="I384" s="71"/>
      <c r="J384" s="71"/>
      <c r="K384" s="71"/>
      <c r="L384" s="71"/>
      <c r="M384" s="71"/>
      <c r="N384" s="71"/>
      <c r="O384" s="71"/>
      <c r="P384" s="71"/>
      <c r="Q384" s="71"/>
      <c r="R384" s="71"/>
      <c r="S384" s="71"/>
      <c r="T384" s="71"/>
      <c r="U384" s="71"/>
      <c r="V384" s="71"/>
      <c r="W384" s="71"/>
      <c r="X384" s="71"/>
      <c r="Y384" s="71"/>
      <c r="Z384" s="71"/>
    </row>
    <row r="385" ht="15.75" customHeight="1">
      <c r="A385" s="72"/>
      <c r="B385" s="71"/>
      <c r="C385" s="71"/>
      <c r="D385" s="71"/>
      <c r="E385" s="71"/>
      <c r="F385" s="71"/>
      <c r="G385" s="59"/>
      <c r="H385" s="71"/>
      <c r="I385" s="71"/>
      <c r="J385" s="71"/>
      <c r="K385" s="71"/>
      <c r="L385" s="71"/>
      <c r="M385" s="71"/>
      <c r="N385" s="71"/>
      <c r="O385" s="71"/>
      <c r="P385" s="71"/>
      <c r="Q385" s="71"/>
      <c r="R385" s="71"/>
      <c r="S385" s="71"/>
      <c r="T385" s="71"/>
      <c r="U385" s="71"/>
      <c r="V385" s="71"/>
      <c r="W385" s="71"/>
      <c r="X385" s="71"/>
      <c r="Y385" s="71"/>
      <c r="Z385" s="71"/>
    </row>
    <row r="386" ht="15.75" customHeight="1">
      <c r="A386" s="72"/>
      <c r="B386" s="71"/>
      <c r="C386" s="71"/>
      <c r="D386" s="71"/>
      <c r="E386" s="71"/>
      <c r="F386" s="71"/>
      <c r="G386" s="59"/>
      <c r="H386" s="71"/>
      <c r="I386" s="71"/>
      <c r="J386" s="71"/>
      <c r="K386" s="71"/>
      <c r="L386" s="71"/>
      <c r="M386" s="71"/>
      <c r="N386" s="71"/>
      <c r="O386" s="71"/>
      <c r="P386" s="71"/>
      <c r="Q386" s="71"/>
      <c r="R386" s="71"/>
      <c r="S386" s="71"/>
      <c r="T386" s="71"/>
      <c r="U386" s="71"/>
      <c r="V386" s="71"/>
      <c r="W386" s="71"/>
      <c r="X386" s="71"/>
      <c r="Y386" s="71"/>
      <c r="Z386" s="71"/>
    </row>
    <row r="387" ht="15.75" customHeight="1">
      <c r="A387" s="72"/>
      <c r="B387" s="71"/>
      <c r="C387" s="71"/>
      <c r="D387" s="71"/>
      <c r="E387" s="71"/>
      <c r="F387" s="71"/>
      <c r="G387" s="59"/>
      <c r="H387" s="71"/>
      <c r="I387" s="71"/>
      <c r="J387" s="71"/>
      <c r="K387" s="71"/>
      <c r="L387" s="71"/>
      <c r="M387" s="71"/>
      <c r="N387" s="71"/>
      <c r="O387" s="71"/>
      <c r="P387" s="71"/>
      <c r="Q387" s="71"/>
      <c r="R387" s="71"/>
      <c r="S387" s="71"/>
      <c r="T387" s="71"/>
      <c r="U387" s="71"/>
      <c r="V387" s="71"/>
      <c r="W387" s="71"/>
      <c r="X387" s="71"/>
      <c r="Y387" s="71"/>
      <c r="Z387" s="71"/>
    </row>
    <row r="388" ht="15.75" customHeight="1">
      <c r="A388" s="72"/>
      <c r="B388" s="71"/>
      <c r="C388" s="71"/>
      <c r="D388" s="71"/>
      <c r="E388" s="71"/>
      <c r="F388" s="71"/>
      <c r="G388" s="59"/>
      <c r="H388" s="71"/>
      <c r="I388" s="71"/>
      <c r="J388" s="71"/>
      <c r="K388" s="71"/>
      <c r="L388" s="71"/>
      <c r="M388" s="71"/>
      <c r="N388" s="71"/>
      <c r="O388" s="71"/>
      <c r="P388" s="71"/>
      <c r="Q388" s="71"/>
      <c r="R388" s="71"/>
      <c r="S388" s="71"/>
      <c r="T388" s="71"/>
      <c r="U388" s="71"/>
      <c r="V388" s="71"/>
      <c r="W388" s="71"/>
      <c r="X388" s="71"/>
      <c r="Y388" s="71"/>
      <c r="Z388" s="71"/>
    </row>
    <row r="389" ht="15.75" customHeight="1">
      <c r="A389" s="72"/>
      <c r="B389" s="71"/>
      <c r="C389" s="71"/>
      <c r="D389" s="71"/>
      <c r="E389" s="71"/>
      <c r="F389" s="71"/>
      <c r="G389" s="59"/>
      <c r="H389" s="71"/>
      <c r="I389" s="71"/>
      <c r="J389" s="71"/>
      <c r="K389" s="71"/>
      <c r="L389" s="71"/>
      <c r="M389" s="71"/>
      <c r="N389" s="71"/>
      <c r="O389" s="71"/>
      <c r="P389" s="71"/>
      <c r="Q389" s="71"/>
      <c r="R389" s="71"/>
      <c r="S389" s="71"/>
      <c r="T389" s="71"/>
      <c r="U389" s="71"/>
      <c r="V389" s="71"/>
      <c r="W389" s="71"/>
      <c r="X389" s="71"/>
      <c r="Y389" s="71"/>
      <c r="Z389" s="71"/>
    </row>
    <row r="390" ht="15.75" customHeight="1">
      <c r="A390" s="72"/>
      <c r="B390" s="71"/>
      <c r="C390" s="71"/>
      <c r="D390" s="71"/>
      <c r="E390" s="71"/>
      <c r="F390" s="71"/>
      <c r="G390" s="59"/>
      <c r="H390" s="71"/>
      <c r="I390" s="71"/>
      <c r="J390" s="71"/>
      <c r="K390" s="71"/>
      <c r="L390" s="71"/>
      <c r="M390" s="71"/>
      <c r="N390" s="71"/>
      <c r="O390" s="71"/>
      <c r="P390" s="71"/>
      <c r="Q390" s="71"/>
      <c r="R390" s="71"/>
      <c r="S390" s="71"/>
      <c r="T390" s="71"/>
      <c r="U390" s="71"/>
      <c r="V390" s="71"/>
      <c r="W390" s="71"/>
      <c r="X390" s="71"/>
      <c r="Y390" s="71"/>
      <c r="Z390" s="71"/>
    </row>
    <row r="391" ht="15.75" customHeight="1">
      <c r="A391" s="72"/>
      <c r="B391" s="71"/>
      <c r="C391" s="71"/>
      <c r="D391" s="71"/>
      <c r="E391" s="71"/>
      <c r="F391" s="71"/>
      <c r="G391" s="59"/>
      <c r="H391" s="71"/>
      <c r="I391" s="71"/>
      <c r="J391" s="71"/>
      <c r="K391" s="71"/>
      <c r="L391" s="71"/>
      <c r="M391" s="71"/>
      <c r="N391" s="71"/>
      <c r="O391" s="71"/>
      <c r="P391" s="71"/>
      <c r="Q391" s="71"/>
      <c r="R391" s="71"/>
      <c r="S391" s="71"/>
      <c r="T391" s="71"/>
      <c r="U391" s="71"/>
      <c r="V391" s="71"/>
      <c r="W391" s="71"/>
      <c r="X391" s="71"/>
      <c r="Y391" s="71"/>
      <c r="Z391" s="71"/>
    </row>
    <row r="392" ht="15.75" customHeight="1">
      <c r="A392" s="72"/>
      <c r="B392" s="71"/>
      <c r="C392" s="71"/>
      <c r="D392" s="71"/>
      <c r="E392" s="71"/>
      <c r="F392" s="71"/>
      <c r="G392" s="59"/>
      <c r="H392" s="71"/>
      <c r="I392" s="71"/>
      <c r="J392" s="71"/>
      <c r="K392" s="71"/>
      <c r="L392" s="71"/>
      <c r="M392" s="71"/>
      <c r="N392" s="71"/>
      <c r="O392" s="71"/>
      <c r="P392" s="71"/>
      <c r="Q392" s="71"/>
      <c r="R392" s="71"/>
      <c r="S392" s="71"/>
      <c r="T392" s="71"/>
      <c r="U392" s="71"/>
      <c r="V392" s="71"/>
      <c r="W392" s="71"/>
      <c r="X392" s="71"/>
      <c r="Y392" s="71"/>
      <c r="Z392" s="71"/>
    </row>
    <row r="393" ht="15.75" customHeight="1">
      <c r="A393" s="72"/>
      <c r="B393" s="71"/>
      <c r="C393" s="71"/>
      <c r="D393" s="71"/>
      <c r="E393" s="71"/>
      <c r="F393" s="71"/>
      <c r="G393" s="59"/>
      <c r="H393" s="71"/>
      <c r="I393" s="71"/>
      <c r="J393" s="71"/>
      <c r="K393" s="71"/>
      <c r="L393" s="71"/>
      <c r="M393" s="71"/>
      <c r="N393" s="71"/>
      <c r="O393" s="71"/>
      <c r="P393" s="71"/>
      <c r="Q393" s="71"/>
      <c r="R393" s="71"/>
      <c r="S393" s="71"/>
      <c r="T393" s="71"/>
      <c r="U393" s="71"/>
      <c r="V393" s="71"/>
      <c r="W393" s="71"/>
      <c r="X393" s="71"/>
      <c r="Y393" s="71"/>
      <c r="Z393" s="71"/>
    </row>
    <row r="394" ht="15.75" customHeight="1">
      <c r="A394" s="72"/>
      <c r="B394" s="71"/>
      <c r="C394" s="71"/>
      <c r="D394" s="71"/>
      <c r="E394" s="71"/>
      <c r="F394" s="71"/>
      <c r="G394" s="59"/>
      <c r="H394" s="71"/>
      <c r="I394" s="71"/>
      <c r="J394" s="71"/>
      <c r="K394" s="71"/>
      <c r="L394" s="71"/>
      <c r="M394" s="71"/>
      <c r="N394" s="71"/>
      <c r="O394" s="71"/>
      <c r="P394" s="71"/>
      <c r="Q394" s="71"/>
      <c r="R394" s="71"/>
      <c r="S394" s="71"/>
      <c r="T394" s="71"/>
      <c r="U394" s="71"/>
      <c r="V394" s="71"/>
      <c r="W394" s="71"/>
      <c r="X394" s="71"/>
      <c r="Y394" s="71"/>
      <c r="Z394" s="71"/>
    </row>
    <row r="395" ht="15.75" customHeight="1">
      <c r="A395" s="72"/>
      <c r="B395" s="71"/>
      <c r="C395" s="71"/>
      <c r="D395" s="71"/>
      <c r="E395" s="71"/>
      <c r="F395" s="71"/>
      <c r="G395" s="59"/>
      <c r="H395" s="71"/>
      <c r="I395" s="71"/>
      <c r="J395" s="71"/>
      <c r="K395" s="71"/>
      <c r="L395" s="71"/>
      <c r="M395" s="71"/>
      <c r="N395" s="71"/>
      <c r="O395" s="71"/>
      <c r="P395" s="71"/>
      <c r="Q395" s="71"/>
      <c r="R395" s="71"/>
      <c r="S395" s="71"/>
      <c r="T395" s="71"/>
      <c r="U395" s="71"/>
      <c r="V395" s="71"/>
      <c r="W395" s="71"/>
      <c r="X395" s="71"/>
      <c r="Y395" s="71"/>
      <c r="Z395" s="71"/>
    </row>
    <row r="396" ht="15.75" customHeight="1">
      <c r="A396" s="72"/>
      <c r="B396" s="71"/>
      <c r="C396" s="71"/>
      <c r="D396" s="71"/>
      <c r="E396" s="71"/>
      <c r="F396" s="71"/>
      <c r="G396" s="59"/>
      <c r="H396" s="71"/>
      <c r="I396" s="71"/>
      <c r="J396" s="71"/>
      <c r="K396" s="71"/>
      <c r="L396" s="71"/>
      <c r="M396" s="71"/>
      <c r="N396" s="71"/>
      <c r="O396" s="71"/>
      <c r="P396" s="71"/>
      <c r="Q396" s="71"/>
      <c r="R396" s="71"/>
      <c r="S396" s="71"/>
      <c r="T396" s="71"/>
      <c r="U396" s="71"/>
      <c r="V396" s="71"/>
      <c r="W396" s="71"/>
      <c r="X396" s="71"/>
      <c r="Y396" s="71"/>
      <c r="Z396" s="71"/>
    </row>
    <row r="397" ht="15.75" customHeight="1">
      <c r="A397" s="72"/>
      <c r="B397" s="71"/>
      <c r="C397" s="71"/>
      <c r="D397" s="71"/>
      <c r="E397" s="71"/>
      <c r="F397" s="71"/>
      <c r="G397" s="59"/>
      <c r="H397" s="71"/>
      <c r="I397" s="71"/>
      <c r="J397" s="71"/>
      <c r="K397" s="71"/>
      <c r="L397" s="71"/>
      <c r="M397" s="71"/>
      <c r="N397" s="71"/>
      <c r="O397" s="71"/>
      <c r="P397" s="71"/>
      <c r="Q397" s="71"/>
      <c r="R397" s="71"/>
      <c r="S397" s="71"/>
      <c r="T397" s="71"/>
      <c r="U397" s="71"/>
      <c r="V397" s="71"/>
      <c r="W397" s="71"/>
      <c r="X397" s="71"/>
      <c r="Y397" s="71"/>
      <c r="Z397" s="71"/>
    </row>
    <row r="398" ht="15.75" customHeight="1">
      <c r="A398" s="72"/>
      <c r="B398" s="71"/>
      <c r="C398" s="71"/>
      <c r="D398" s="71"/>
      <c r="E398" s="71"/>
      <c r="F398" s="71"/>
      <c r="G398" s="59"/>
      <c r="H398" s="71"/>
      <c r="I398" s="71"/>
      <c r="J398" s="71"/>
      <c r="K398" s="71"/>
      <c r="L398" s="71"/>
      <c r="M398" s="71"/>
      <c r="N398" s="71"/>
      <c r="O398" s="71"/>
      <c r="P398" s="71"/>
      <c r="Q398" s="71"/>
      <c r="R398" s="71"/>
      <c r="S398" s="71"/>
      <c r="T398" s="71"/>
      <c r="U398" s="71"/>
      <c r="V398" s="71"/>
      <c r="W398" s="71"/>
      <c r="X398" s="71"/>
      <c r="Y398" s="71"/>
      <c r="Z398" s="71"/>
    </row>
    <row r="399" ht="15.75" customHeight="1">
      <c r="A399" s="72"/>
      <c r="B399" s="71"/>
      <c r="C399" s="71"/>
      <c r="D399" s="71"/>
      <c r="E399" s="71"/>
      <c r="F399" s="71"/>
      <c r="G399" s="59"/>
      <c r="H399" s="71"/>
      <c r="I399" s="71"/>
      <c r="J399" s="71"/>
      <c r="K399" s="71"/>
      <c r="L399" s="71"/>
      <c r="M399" s="71"/>
      <c r="N399" s="71"/>
      <c r="O399" s="71"/>
      <c r="P399" s="71"/>
      <c r="Q399" s="71"/>
      <c r="R399" s="71"/>
      <c r="S399" s="71"/>
      <c r="T399" s="71"/>
      <c r="U399" s="71"/>
      <c r="V399" s="71"/>
      <c r="W399" s="71"/>
      <c r="X399" s="71"/>
      <c r="Y399" s="71"/>
      <c r="Z399" s="71"/>
    </row>
    <row r="400" ht="15.75" customHeight="1">
      <c r="A400" s="72"/>
      <c r="B400" s="71"/>
      <c r="C400" s="71"/>
      <c r="D400" s="71"/>
      <c r="E400" s="71"/>
      <c r="F400" s="71"/>
      <c r="G400" s="59"/>
      <c r="H400" s="71"/>
      <c r="I400" s="71"/>
      <c r="J400" s="71"/>
      <c r="K400" s="71"/>
      <c r="L400" s="71"/>
      <c r="M400" s="71"/>
      <c r="N400" s="71"/>
      <c r="O400" s="71"/>
      <c r="P400" s="71"/>
      <c r="Q400" s="71"/>
      <c r="R400" s="71"/>
      <c r="S400" s="71"/>
      <c r="T400" s="71"/>
      <c r="U400" s="71"/>
      <c r="V400" s="71"/>
      <c r="W400" s="71"/>
      <c r="X400" s="71"/>
      <c r="Y400" s="71"/>
      <c r="Z400" s="71"/>
    </row>
    <row r="401" ht="15.75" customHeight="1">
      <c r="A401" s="72"/>
      <c r="B401" s="71"/>
      <c r="C401" s="71"/>
      <c r="D401" s="71"/>
      <c r="E401" s="71"/>
      <c r="F401" s="71"/>
      <c r="G401" s="59"/>
      <c r="H401" s="71"/>
      <c r="I401" s="71"/>
      <c r="J401" s="71"/>
      <c r="K401" s="71"/>
      <c r="L401" s="71"/>
      <c r="M401" s="71"/>
      <c r="N401" s="71"/>
      <c r="O401" s="71"/>
      <c r="P401" s="71"/>
      <c r="Q401" s="71"/>
      <c r="R401" s="71"/>
      <c r="S401" s="71"/>
      <c r="T401" s="71"/>
      <c r="U401" s="71"/>
      <c r="V401" s="71"/>
      <c r="W401" s="71"/>
      <c r="X401" s="71"/>
      <c r="Y401" s="71"/>
      <c r="Z401" s="71"/>
    </row>
    <row r="402" ht="15.75" customHeight="1">
      <c r="A402" s="72"/>
      <c r="B402" s="71"/>
      <c r="C402" s="71"/>
      <c r="D402" s="71"/>
      <c r="E402" s="71"/>
      <c r="F402" s="71"/>
      <c r="G402" s="59"/>
      <c r="H402" s="71"/>
      <c r="I402" s="71"/>
      <c r="J402" s="71"/>
      <c r="K402" s="71"/>
      <c r="L402" s="71"/>
      <c r="M402" s="71"/>
      <c r="N402" s="71"/>
      <c r="O402" s="71"/>
      <c r="P402" s="71"/>
      <c r="Q402" s="71"/>
      <c r="R402" s="71"/>
      <c r="S402" s="71"/>
      <c r="T402" s="71"/>
      <c r="U402" s="71"/>
      <c r="V402" s="71"/>
      <c r="W402" s="71"/>
      <c r="X402" s="71"/>
      <c r="Y402" s="71"/>
      <c r="Z402" s="71"/>
    </row>
    <row r="403" ht="15.75" customHeight="1">
      <c r="A403" s="72"/>
      <c r="B403" s="71"/>
      <c r="C403" s="71"/>
      <c r="D403" s="71"/>
      <c r="E403" s="71"/>
      <c r="F403" s="71"/>
      <c r="G403" s="59"/>
      <c r="H403" s="71"/>
      <c r="I403" s="71"/>
      <c r="J403" s="71"/>
      <c r="K403" s="71"/>
      <c r="L403" s="71"/>
      <c r="M403" s="71"/>
      <c r="N403" s="71"/>
      <c r="O403" s="71"/>
      <c r="P403" s="71"/>
      <c r="Q403" s="71"/>
      <c r="R403" s="71"/>
      <c r="S403" s="71"/>
      <c r="T403" s="71"/>
      <c r="U403" s="71"/>
      <c r="V403" s="71"/>
      <c r="W403" s="71"/>
      <c r="X403" s="71"/>
      <c r="Y403" s="71"/>
      <c r="Z403" s="71"/>
    </row>
    <row r="404" ht="15.75" customHeight="1">
      <c r="A404" s="72"/>
      <c r="B404" s="71"/>
      <c r="C404" s="71"/>
      <c r="D404" s="71"/>
      <c r="E404" s="71"/>
      <c r="F404" s="71"/>
      <c r="G404" s="59"/>
      <c r="H404" s="71"/>
      <c r="I404" s="71"/>
      <c r="J404" s="71"/>
      <c r="K404" s="71"/>
      <c r="L404" s="71"/>
      <c r="M404" s="71"/>
      <c r="N404" s="71"/>
      <c r="O404" s="71"/>
      <c r="P404" s="71"/>
      <c r="Q404" s="71"/>
      <c r="R404" s="71"/>
      <c r="S404" s="71"/>
      <c r="T404" s="71"/>
      <c r="U404" s="71"/>
      <c r="V404" s="71"/>
      <c r="W404" s="71"/>
      <c r="X404" s="71"/>
      <c r="Y404" s="71"/>
      <c r="Z404" s="71"/>
    </row>
    <row r="405" ht="15.75" customHeight="1">
      <c r="A405" s="72"/>
      <c r="B405" s="71"/>
      <c r="C405" s="71"/>
      <c r="D405" s="71"/>
      <c r="E405" s="71"/>
      <c r="F405" s="71"/>
      <c r="G405" s="59"/>
      <c r="H405" s="71"/>
      <c r="I405" s="71"/>
      <c r="J405" s="71"/>
      <c r="K405" s="71"/>
      <c r="L405" s="71"/>
      <c r="M405" s="71"/>
      <c r="N405" s="71"/>
      <c r="O405" s="71"/>
      <c r="P405" s="71"/>
      <c r="Q405" s="71"/>
      <c r="R405" s="71"/>
      <c r="S405" s="71"/>
      <c r="T405" s="71"/>
      <c r="U405" s="71"/>
      <c r="V405" s="71"/>
      <c r="W405" s="71"/>
      <c r="X405" s="71"/>
      <c r="Y405" s="71"/>
      <c r="Z405" s="71"/>
    </row>
    <row r="406" ht="15.75" customHeight="1">
      <c r="A406" s="72"/>
      <c r="B406" s="71"/>
      <c r="C406" s="71"/>
      <c r="D406" s="71"/>
      <c r="E406" s="71"/>
      <c r="F406" s="71"/>
      <c r="G406" s="59"/>
      <c r="H406" s="71"/>
      <c r="I406" s="71"/>
      <c r="J406" s="71"/>
      <c r="K406" s="71"/>
      <c r="L406" s="71"/>
      <c r="M406" s="71"/>
      <c r="N406" s="71"/>
      <c r="O406" s="71"/>
      <c r="P406" s="71"/>
      <c r="Q406" s="71"/>
      <c r="R406" s="71"/>
      <c r="S406" s="71"/>
      <c r="T406" s="71"/>
      <c r="U406" s="71"/>
      <c r="V406" s="71"/>
      <c r="W406" s="71"/>
      <c r="X406" s="71"/>
      <c r="Y406" s="71"/>
      <c r="Z406" s="71"/>
    </row>
    <row r="407" ht="15.75" customHeight="1">
      <c r="A407" s="72"/>
      <c r="B407" s="71"/>
      <c r="C407" s="71"/>
      <c r="D407" s="71"/>
      <c r="E407" s="71"/>
      <c r="F407" s="71"/>
      <c r="G407" s="59"/>
      <c r="H407" s="71"/>
      <c r="I407" s="71"/>
      <c r="J407" s="71"/>
      <c r="K407" s="71"/>
      <c r="L407" s="71"/>
      <c r="M407" s="71"/>
      <c r="N407" s="71"/>
      <c r="O407" s="71"/>
      <c r="P407" s="71"/>
      <c r="Q407" s="71"/>
      <c r="R407" s="71"/>
      <c r="S407" s="71"/>
      <c r="T407" s="71"/>
      <c r="U407" s="71"/>
      <c r="V407" s="71"/>
      <c r="W407" s="71"/>
      <c r="X407" s="71"/>
      <c r="Y407" s="71"/>
      <c r="Z407" s="71"/>
    </row>
    <row r="408" ht="15.75" customHeight="1">
      <c r="A408" s="72"/>
      <c r="B408" s="71"/>
      <c r="C408" s="71"/>
      <c r="D408" s="71"/>
      <c r="E408" s="71"/>
      <c r="F408" s="71"/>
      <c r="G408" s="59"/>
      <c r="H408" s="71"/>
      <c r="I408" s="71"/>
      <c r="J408" s="71"/>
      <c r="K408" s="71"/>
      <c r="L408" s="71"/>
      <c r="M408" s="71"/>
      <c r="N408" s="71"/>
      <c r="O408" s="71"/>
      <c r="P408" s="71"/>
      <c r="Q408" s="71"/>
      <c r="R408" s="71"/>
      <c r="S408" s="71"/>
      <c r="T408" s="71"/>
      <c r="U408" s="71"/>
      <c r="V408" s="71"/>
      <c r="W408" s="71"/>
      <c r="X408" s="71"/>
      <c r="Y408" s="71"/>
      <c r="Z408" s="71"/>
    </row>
    <row r="409" ht="15.75" customHeight="1">
      <c r="A409" s="72"/>
      <c r="B409" s="71"/>
      <c r="C409" s="71"/>
      <c r="D409" s="71"/>
      <c r="E409" s="71"/>
      <c r="F409" s="71"/>
      <c r="G409" s="59"/>
      <c r="H409" s="71"/>
      <c r="I409" s="71"/>
      <c r="J409" s="71"/>
      <c r="K409" s="71"/>
      <c r="L409" s="71"/>
      <c r="M409" s="71"/>
      <c r="N409" s="71"/>
      <c r="O409" s="71"/>
      <c r="P409" s="71"/>
      <c r="Q409" s="71"/>
      <c r="R409" s="71"/>
      <c r="S409" s="71"/>
      <c r="T409" s="71"/>
      <c r="U409" s="71"/>
      <c r="V409" s="71"/>
      <c r="W409" s="71"/>
      <c r="X409" s="71"/>
      <c r="Y409" s="71"/>
      <c r="Z409" s="71"/>
    </row>
    <row r="410" ht="15.75" customHeight="1">
      <c r="A410" s="72"/>
      <c r="B410" s="71"/>
      <c r="C410" s="71"/>
      <c r="D410" s="71"/>
      <c r="E410" s="71"/>
      <c r="F410" s="71"/>
      <c r="G410" s="59"/>
      <c r="H410" s="71"/>
      <c r="I410" s="71"/>
      <c r="J410" s="71"/>
      <c r="K410" s="71"/>
      <c r="L410" s="71"/>
      <c r="M410" s="71"/>
      <c r="N410" s="71"/>
      <c r="O410" s="71"/>
      <c r="P410" s="71"/>
      <c r="Q410" s="71"/>
      <c r="R410" s="71"/>
      <c r="S410" s="71"/>
      <c r="T410" s="71"/>
      <c r="U410" s="71"/>
      <c r="V410" s="71"/>
      <c r="W410" s="71"/>
      <c r="X410" s="71"/>
      <c r="Y410" s="71"/>
      <c r="Z410" s="71"/>
    </row>
    <row r="411" ht="15.75" customHeight="1">
      <c r="A411" s="72"/>
      <c r="B411" s="71"/>
      <c r="C411" s="71"/>
      <c r="D411" s="71"/>
      <c r="E411" s="71"/>
      <c r="F411" s="71"/>
      <c r="G411" s="59"/>
      <c r="H411" s="71"/>
      <c r="I411" s="71"/>
      <c r="J411" s="71"/>
      <c r="K411" s="71"/>
      <c r="L411" s="71"/>
      <c r="M411" s="71"/>
      <c r="N411" s="71"/>
      <c r="O411" s="71"/>
      <c r="P411" s="71"/>
      <c r="Q411" s="71"/>
      <c r="R411" s="71"/>
      <c r="S411" s="71"/>
      <c r="T411" s="71"/>
      <c r="U411" s="71"/>
      <c r="V411" s="71"/>
      <c r="W411" s="71"/>
      <c r="X411" s="71"/>
      <c r="Y411" s="71"/>
      <c r="Z411" s="71"/>
    </row>
    <row r="412" ht="15.75" customHeight="1">
      <c r="A412" s="72"/>
      <c r="B412" s="71"/>
      <c r="C412" s="71"/>
      <c r="D412" s="71"/>
      <c r="E412" s="71"/>
      <c r="F412" s="71"/>
      <c r="G412" s="59"/>
      <c r="H412" s="71"/>
      <c r="I412" s="71"/>
      <c r="J412" s="71"/>
      <c r="K412" s="71"/>
      <c r="L412" s="71"/>
      <c r="M412" s="71"/>
      <c r="N412" s="71"/>
      <c r="O412" s="71"/>
      <c r="P412" s="71"/>
      <c r="Q412" s="71"/>
      <c r="R412" s="71"/>
      <c r="S412" s="71"/>
      <c r="T412" s="71"/>
      <c r="U412" s="71"/>
      <c r="V412" s="71"/>
      <c r="W412" s="71"/>
      <c r="X412" s="71"/>
      <c r="Y412" s="71"/>
      <c r="Z412" s="71"/>
    </row>
    <row r="413" ht="15.75" customHeight="1">
      <c r="A413" s="72"/>
      <c r="B413" s="71"/>
      <c r="C413" s="71"/>
      <c r="D413" s="71"/>
      <c r="E413" s="71"/>
      <c r="F413" s="71"/>
      <c r="G413" s="59"/>
      <c r="H413" s="71"/>
      <c r="I413" s="71"/>
      <c r="J413" s="71"/>
      <c r="K413" s="71"/>
      <c r="L413" s="71"/>
      <c r="M413" s="71"/>
      <c r="N413" s="71"/>
      <c r="O413" s="71"/>
      <c r="P413" s="71"/>
      <c r="Q413" s="71"/>
      <c r="R413" s="71"/>
      <c r="S413" s="71"/>
      <c r="T413" s="71"/>
      <c r="U413" s="71"/>
      <c r="V413" s="71"/>
      <c r="W413" s="71"/>
      <c r="X413" s="71"/>
      <c r="Y413" s="71"/>
      <c r="Z413" s="71"/>
    </row>
    <row r="414" ht="15.75" customHeight="1">
      <c r="A414" s="72"/>
      <c r="B414" s="71"/>
      <c r="C414" s="71"/>
      <c r="D414" s="71"/>
      <c r="E414" s="71"/>
      <c r="F414" s="71"/>
      <c r="G414" s="59"/>
      <c r="H414" s="71"/>
      <c r="I414" s="71"/>
      <c r="J414" s="71"/>
      <c r="K414" s="71"/>
      <c r="L414" s="71"/>
      <c r="M414" s="71"/>
      <c r="N414" s="71"/>
      <c r="O414" s="71"/>
      <c r="P414" s="71"/>
      <c r="Q414" s="71"/>
      <c r="R414" s="71"/>
      <c r="S414" s="71"/>
      <c r="T414" s="71"/>
      <c r="U414" s="71"/>
      <c r="V414" s="71"/>
      <c r="W414" s="71"/>
      <c r="X414" s="71"/>
      <c r="Y414" s="71"/>
      <c r="Z414" s="71"/>
    </row>
    <row r="415" ht="15.75" customHeight="1">
      <c r="A415" s="72"/>
      <c r="B415" s="71"/>
      <c r="C415" s="71"/>
      <c r="D415" s="71"/>
      <c r="E415" s="71"/>
      <c r="F415" s="71"/>
      <c r="G415" s="59"/>
      <c r="H415" s="71"/>
      <c r="I415" s="71"/>
      <c r="J415" s="71"/>
      <c r="K415" s="71"/>
      <c r="L415" s="71"/>
      <c r="M415" s="71"/>
      <c r="N415" s="71"/>
      <c r="O415" s="71"/>
      <c r="P415" s="71"/>
      <c r="Q415" s="71"/>
      <c r="R415" s="71"/>
      <c r="S415" s="71"/>
      <c r="T415" s="71"/>
      <c r="U415" s="71"/>
      <c r="V415" s="71"/>
      <c r="W415" s="71"/>
      <c r="X415" s="71"/>
      <c r="Y415" s="71"/>
      <c r="Z415" s="71"/>
    </row>
    <row r="416" ht="15.75" customHeight="1">
      <c r="A416" s="72"/>
      <c r="B416" s="71"/>
      <c r="C416" s="71"/>
      <c r="D416" s="71"/>
      <c r="E416" s="71"/>
      <c r="F416" s="71"/>
      <c r="G416" s="59"/>
      <c r="H416" s="71"/>
      <c r="I416" s="71"/>
      <c r="J416" s="71"/>
      <c r="K416" s="71"/>
      <c r="L416" s="71"/>
      <c r="M416" s="71"/>
      <c r="N416" s="71"/>
      <c r="O416" s="71"/>
      <c r="P416" s="71"/>
      <c r="Q416" s="71"/>
      <c r="R416" s="71"/>
      <c r="S416" s="71"/>
      <c r="T416" s="71"/>
      <c r="U416" s="71"/>
      <c r="V416" s="71"/>
      <c r="W416" s="71"/>
      <c r="X416" s="71"/>
      <c r="Y416" s="71"/>
      <c r="Z416" s="71"/>
    </row>
    <row r="417" ht="15.75" customHeight="1">
      <c r="A417" s="72"/>
      <c r="B417" s="71"/>
      <c r="C417" s="71"/>
      <c r="D417" s="71"/>
      <c r="E417" s="71"/>
      <c r="F417" s="71"/>
      <c r="G417" s="59"/>
      <c r="H417" s="71"/>
      <c r="I417" s="71"/>
      <c r="J417" s="71"/>
      <c r="K417" s="71"/>
      <c r="L417" s="71"/>
      <c r="M417" s="71"/>
      <c r="N417" s="71"/>
      <c r="O417" s="71"/>
      <c r="P417" s="71"/>
      <c r="Q417" s="71"/>
      <c r="R417" s="71"/>
      <c r="S417" s="71"/>
      <c r="T417" s="71"/>
      <c r="U417" s="71"/>
      <c r="V417" s="71"/>
      <c r="W417" s="71"/>
      <c r="X417" s="71"/>
      <c r="Y417" s="71"/>
      <c r="Z417" s="71"/>
    </row>
    <row r="418" ht="15.75" customHeight="1">
      <c r="A418" s="72"/>
      <c r="B418" s="71"/>
      <c r="C418" s="71"/>
      <c r="D418" s="71"/>
      <c r="E418" s="71"/>
      <c r="F418" s="71"/>
      <c r="G418" s="59"/>
      <c r="H418" s="71"/>
      <c r="I418" s="71"/>
      <c r="J418" s="71"/>
      <c r="K418" s="71"/>
      <c r="L418" s="71"/>
      <c r="M418" s="71"/>
      <c r="N418" s="71"/>
      <c r="O418" s="71"/>
      <c r="P418" s="71"/>
      <c r="Q418" s="71"/>
      <c r="R418" s="71"/>
      <c r="S418" s="71"/>
      <c r="T418" s="71"/>
      <c r="U418" s="71"/>
      <c r="V418" s="71"/>
      <c r="W418" s="71"/>
      <c r="X418" s="71"/>
      <c r="Y418" s="71"/>
      <c r="Z418" s="71"/>
    </row>
    <row r="419" ht="15.75" customHeight="1">
      <c r="A419" s="72"/>
      <c r="B419" s="71"/>
      <c r="C419" s="71"/>
      <c r="D419" s="71"/>
      <c r="E419" s="71"/>
      <c r="F419" s="71"/>
      <c r="G419" s="59"/>
      <c r="H419" s="71"/>
      <c r="I419" s="71"/>
      <c r="J419" s="71"/>
      <c r="K419" s="71"/>
      <c r="L419" s="71"/>
      <c r="M419" s="71"/>
      <c r="N419" s="71"/>
      <c r="O419" s="71"/>
      <c r="P419" s="71"/>
      <c r="Q419" s="71"/>
      <c r="R419" s="71"/>
      <c r="S419" s="71"/>
      <c r="T419" s="71"/>
      <c r="U419" s="71"/>
      <c r="V419" s="71"/>
      <c r="W419" s="71"/>
      <c r="X419" s="71"/>
      <c r="Y419" s="71"/>
      <c r="Z419" s="71"/>
    </row>
    <row r="420" ht="15.75" customHeight="1">
      <c r="A420" s="72"/>
      <c r="B420" s="71"/>
      <c r="C420" s="71"/>
      <c r="D420" s="71"/>
      <c r="E420" s="71"/>
      <c r="F420" s="71"/>
      <c r="G420" s="59"/>
      <c r="H420" s="71"/>
      <c r="I420" s="71"/>
      <c r="J420" s="71"/>
      <c r="K420" s="71"/>
      <c r="L420" s="71"/>
      <c r="M420" s="71"/>
      <c r="N420" s="71"/>
      <c r="O420" s="71"/>
      <c r="P420" s="71"/>
      <c r="Q420" s="71"/>
      <c r="R420" s="71"/>
      <c r="S420" s="71"/>
      <c r="T420" s="71"/>
      <c r="U420" s="71"/>
      <c r="V420" s="71"/>
      <c r="W420" s="71"/>
      <c r="X420" s="71"/>
      <c r="Y420" s="71"/>
      <c r="Z420" s="71"/>
    </row>
    <row r="421" ht="15.75" customHeight="1">
      <c r="A421" s="72"/>
      <c r="B421" s="71"/>
      <c r="C421" s="71"/>
      <c r="D421" s="71"/>
      <c r="E421" s="71"/>
      <c r="F421" s="71"/>
      <c r="G421" s="59"/>
      <c r="H421" s="71"/>
      <c r="I421" s="71"/>
      <c r="J421" s="71"/>
      <c r="K421" s="71"/>
      <c r="L421" s="71"/>
      <c r="M421" s="71"/>
      <c r="N421" s="71"/>
      <c r="O421" s="71"/>
      <c r="P421" s="71"/>
      <c r="Q421" s="71"/>
      <c r="R421" s="71"/>
      <c r="S421" s="71"/>
      <c r="T421" s="71"/>
      <c r="U421" s="71"/>
      <c r="V421" s="71"/>
      <c r="W421" s="71"/>
      <c r="X421" s="71"/>
      <c r="Y421" s="71"/>
      <c r="Z421" s="71"/>
    </row>
    <row r="422" ht="15.75" customHeight="1">
      <c r="A422" s="72"/>
      <c r="B422" s="71"/>
      <c r="C422" s="71"/>
      <c r="D422" s="71"/>
      <c r="E422" s="71"/>
      <c r="F422" s="71"/>
      <c r="G422" s="59"/>
      <c r="H422" s="71"/>
      <c r="I422" s="71"/>
      <c r="J422" s="71"/>
      <c r="K422" s="71"/>
      <c r="L422" s="71"/>
      <c r="M422" s="71"/>
      <c r="N422" s="71"/>
      <c r="O422" s="71"/>
      <c r="P422" s="71"/>
      <c r="Q422" s="71"/>
      <c r="R422" s="71"/>
      <c r="S422" s="71"/>
      <c r="T422" s="71"/>
      <c r="U422" s="71"/>
      <c r="V422" s="71"/>
      <c r="W422" s="71"/>
      <c r="X422" s="71"/>
      <c r="Y422" s="71"/>
      <c r="Z422" s="71"/>
    </row>
    <row r="423" ht="15.75" customHeight="1">
      <c r="A423" s="72"/>
      <c r="B423" s="71"/>
      <c r="C423" s="71"/>
      <c r="D423" s="71"/>
      <c r="E423" s="71"/>
      <c r="F423" s="71"/>
      <c r="G423" s="59"/>
      <c r="H423" s="71"/>
      <c r="I423" s="71"/>
      <c r="J423" s="71"/>
      <c r="K423" s="71"/>
      <c r="L423" s="71"/>
      <c r="M423" s="71"/>
      <c r="N423" s="71"/>
      <c r="O423" s="71"/>
      <c r="P423" s="71"/>
      <c r="Q423" s="71"/>
      <c r="R423" s="71"/>
      <c r="S423" s="71"/>
      <c r="T423" s="71"/>
      <c r="U423" s="71"/>
      <c r="V423" s="71"/>
      <c r="W423" s="71"/>
      <c r="X423" s="71"/>
      <c r="Y423" s="71"/>
      <c r="Z423" s="71"/>
    </row>
    <row r="424" ht="15.75" customHeight="1">
      <c r="A424" s="72"/>
      <c r="B424" s="71"/>
      <c r="C424" s="71"/>
      <c r="D424" s="71"/>
      <c r="E424" s="71"/>
      <c r="F424" s="71"/>
      <c r="G424" s="59"/>
      <c r="H424" s="71"/>
      <c r="I424" s="71"/>
      <c r="J424" s="71"/>
      <c r="K424" s="71"/>
      <c r="L424" s="71"/>
      <c r="M424" s="71"/>
      <c r="N424" s="71"/>
      <c r="O424" s="71"/>
      <c r="P424" s="71"/>
      <c r="Q424" s="71"/>
      <c r="R424" s="71"/>
      <c r="S424" s="71"/>
      <c r="T424" s="71"/>
      <c r="U424" s="71"/>
      <c r="V424" s="71"/>
      <c r="W424" s="71"/>
      <c r="X424" s="71"/>
      <c r="Y424" s="71"/>
      <c r="Z424" s="71"/>
    </row>
    <row r="425" ht="15.75" customHeight="1">
      <c r="A425" s="72"/>
      <c r="B425" s="71"/>
      <c r="C425" s="71"/>
      <c r="D425" s="71"/>
      <c r="E425" s="71"/>
      <c r="F425" s="71"/>
      <c r="G425" s="59"/>
      <c r="H425" s="71"/>
      <c r="I425" s="71"/>
      <c r="J425" s="71"/>
      <c r="K425" s="71"/>
      <c r="L425" s="71"/>
      <c r="M425" s="71"/>
      <c r="N425" s="71"/>
      <c r="O425" s="71"/>
      <c r="P425" s="71"/>
      <c r="Q425" s="71"/>
      <c r="R425" s="71"/>
      <c r="S425" s="71"/>
      <c r="T425" s="71"/>
      <c r="U425" s="71"/>
      <c r="V425" s="71"/>
      <c r="W425" s="71"/>
      <c r="X425" s="71"/>
      <c r="Y425" s="71"/>
      <c r="Z425" s="71"/>
    </row>
    <row r="426" ht="15.75" customHeight="1">
      <c r="A426" s="72"/>
      <c r="B426" s="71"/>
      <c r="C426" s="71"/>
      <c r="D426" s="71"/>
      <c r="E426" s="71"/>
      <c r="F426" s="71"/>
      <c r="G426" s="59"/>
      <c r="H426" s="71"/>
      <c r="I426" s="71"/>
      <c r="J426" s="71"/>
      <c r="K426" s="71"/>
      <c r="L426" s="71"/>
      <c r="M426" s="71"/>
      <c r="N426" s="71"/>
      <c r="O426" s="71"/>
      <c r="P426" s="71"/>
      <c r="Q426" s="71"/>
      <c r="R426" s="71"/>
      <c r="S426" s="71"/>
      <c r="T426" s="71"/>
      <c r="U426" s="71"/>
      <c r="V426" s="71"/>
      <c r="W426" s="71"/>
      <c r="X426" s="71"/>
      <c r="Y426" s="71"/>
      <c r="Z426" s="71"/>
    </row>
    <row r="427" ht="15.75" customHeight="1">
      <c r="A427" s="72"/>
      <c r="B427" s="71"/>
      <c r="C427" s="71"/>
      <c r="D427" s="71"/>
      <c r="E427" s="71"/>
      <c r="F427" s="71"/>
      <c r="G427" s="59"/>
      <c r="H427" s="71"/>
      <c r="I427" s="71"/>
      <c r="J427" s="71"/>
      <c r="K427" s="71"/>
      <c r="L427" s="71"/>
      <c r="M427" s="71"/>
      <c r="N427" s="71"/>
      <c r="O427" s="71"/>
      <c r="P427" s="71"/>
      <c r="Q427" s="71"/>
      <c r="R427" s="71"/>
      <c r="S427" s="71"/>
      <c r="T427" s="71"/>
      <c r="U427" s="71"/>
      <c r="V427" s="71"/>
      <c r="W427" s="71"/>
      <c r="X427" s="71"/>
      <c r="Y427" s="71"/>
      <c r="Z427" s="71"/>
    </row>
    <row r="428" ht="15.75" customHeight="1">
      <c r="A428" s="72"/>
      <c r="B428" s="71"/>
      <c r="C428" s="71"/>
      <c r="D428" s="71"/>
      <c r="E428" s="71"/>
      <c r="F428" s="71"/>
      <c r="G428" s="59"/>
      <c r="H428" s="71"/>
      <c r="I428" s="71"/>
      <c r="J428" s="71"/>
      <c r="K428" s="71"/>
      <c r="L428" s="71"/>
      <c r="M428" s="71"/>
      <c r="N428" s="71"/>
      <c r="O428" s="71"/>
      <c r="P428" s="71"/>
      <c r="Q428" s="71"/>
      <c r="R428" s="71"/>
      <c r="S428" s="71"/>
      <c r="T428" s="71"/>
      <c r="U428" s="71"/>
      <c r="V428" s="71"/>
      <c r="W428" s="71"/>
      <c r="X428" s="71"/>
      <c r="Y428" s="71"/>
      <c r="Z428" s="71"/>
    </row>
    <row r="429" ht="15.75" customHeight="1">
      <c r="A429" s="72"/>
      <c r="B429" s="71"/>
      <c r="C429" s="71"/>
      <c r="D429" s="71"/>
      <c r="E429" s="71"/>
      <c r="F429" s="71"/>
      <c r="G429" s="59"/>
      <c r="H429" s="71"/>
      <c r="I429" s="71"/>
      <c r="J429" s="71"/>
      <c r="K429" s="71"/>
      <c r="L429" s="71"/>
      <c r="M429" s="71"/>
      <c r="N429" s="71"/>
      <c r="O429" s="71"/>
      <c r="P429" s="71"/>
      <c r="Q429" s="71"/>
      <c r="R429" s="71"/>
      <c r="S429" s="71"/>
      <c r="T429" s="71"/>
      <c r="U429" s="71"/>
      <c r="V429" s="71"/>
      <c r="W429" s="71"/>
      <c r="X429" s="71"/>
      <c r="Y429" s="71"/>
      <c r="Z429" s="71"/>
    </row>
    <row r="430" ht="15.75" customHeight="1">
      <c r="A430" s="72"/>
      <c r="B430" s="71"/>
      <c r="C430" s="71"/>
      <c r="D430" s="71"/>
      <c r="E430" s="71"/>
      <c r="F430" s="71"/>
      <c r="G430" s="59"/>
      <c r="H430" s="71"/>
      <c r="I430" s="71"/>
      <c r="J430" s="71"/>
      <c r="K430" s="71"/>
      <c r="L430" s="71"/>
      <c r="M430" s="71"/>
      <c r="N430" s="71"/>
      <c r="O430" s="71"/>
      <c r="P430" s="71"/>
      <c r="Q430" s="71"/>
      <c r="R430" s="71"/>
      <c r="S430" s="71"/>
      <c r="T430" s="71"/>
      <c r="U430" s="71"/>
      <c r="V430" s="71"/>
      <c r="W430" s="71"/>
      <c r="X430" s="71"/>
      <c r="Y430" s="71"/>
      <c r="Z430" s="71"/>
    </row>
    <row r="431" ht="15.75" customHeight="1">
      <c r="A431" s="72"/>
      <c r="B431" s="71"/>
      <c r="C431" s="71"/>
      <c r="D431" s="71"/>
      <c r="E431" s="71"/>
      <c r="F431" s="71"/>
      <c r="G431" s="59"/>
      <c r="H431" s="71"/>
      <c r="I431" s="71"/>
      <c r="J431" s="71"/>
      <c r="K431" s="71"/>
      <c r="L431" s="71"/>
      <c r="M431" s="71"/>
      <c r="N431" s="71"/>
      <c r="O431" s="71"/>
      <c r="P431" s="71"/>
      <c r="Q431" s="71"/>
      <c r="R431" s="71"/>
      <c r="S431" s="71"/>
      <c r="T431" s="71"/>
      <c r="U431" s="71"/>
      <c r="V431" s="71"/>
      <c r="W431" s="71"/>
      <c r="X431" s="71"/>
      <c r="Y431" s="71"/>
      <c r="Z431" s="71"/>
    </row>
    <row r="432" ht="15.75" customHeight="1">
      <c r="A432" s="72"/>
      <c r="B432" s="71"/>
      <c r="C432" s="71"/>
      <c r="D432" s="71"/>
      <c r="E432" s="71"/>
      <c r="F432" s="71"/>
      <c r="G432" s="59"/>
      <c r="H432" s="71"/>
      <c r="I432" s="71"/>
      <c r="J432" s="71"/>
      <c r="K432" s="71"/>
      <c r="L432" s="71"/>
      <c r="M432" s="71"/>
      <c r="N432" s="71"/>
      <c r="O432" s="71"/>
      <c r="P432" s="71"/>
      <c r="Q432" s="71"/>
      <c r="R432" s="71"/>
      <c r="S432" s="71"/>
      <c r="T432" s="71"/>
      <c r="U432" s="71"/>
      <c r="V432" s="71"/>
      <c r="W432" s="71"/>
      <c r="X432" s="71"/>
      <c r="Y432" s="71"/>
      <c r="Z432" s="71"/>
    </row>
    <row r="433" ht="15.75" customHeight="1">
      <c r="A433" s="72"/>
      <c r="B433" s="71"/>
      <c r="C433" s="71"/>
      <c r="D433" s="71"/>
      <c r="E433" s="71"/>
      <c r="F433" s="71"/>
      <c r="G433" s="59"/>
      <c r="H433" s="71"/>
      <c r="I433" s="71"/>
      <c r="J433" s="71"/>
      <c r="K433" s="71"/>
      <c r="L433" s="71"/>
      <c r="M433" s="71"/>
      <c r="N433" s="71"/>
      <c r="O433" s="71"/>
      <c r="P433" s="71"/>
      <c r="Q433" s="71"/>
      <c r="R433" s="71"/>
      <c r="S433" s="71"/>
      <c r="T433" s="71"/>
      <c r="U433" s="71"/>
      <c r="V433" s="71"/>
      <c r="W433" s="71"/>
      <c r="X433" s="71"/>
      <c r="Y433" s="71"/>
      <c r="Z433" s="71"/>
    </row>
    <row r="434" ht="15.75" customHeight="1">
      <c r="A434" s="72"/>
      <c r="B434" s="71"/>
      <c r="C434" s="71"/>
      <c r="D434" s="71"/>
      <c r="E434" s="71"/>
      <c r="F434" s="71"/>
      <c r="G434" s="59"/>
      <c r="H434" s="71"/>
      <c r="I434" s="71"/>
      <c r="J434" s="71"/>
      <c r="K434" s="71"/>
      <c r="L434" s="71"/>
      <c r="M434" s="71"/>
      <c r="N434" s="71"/>
      <c r="O434" s="71"/>
      <c r="P434" s="71"/>
      <c r="Q434" s="71"/>
      <c r="R434" s="71"/>
      <c r="S434" s="71"/>
      <c r="T434" s="71"/>
      <c r="U434" s="71"/>
      <c r="V434" s="71"/>
      <c r="W434" s="71"/>
      <c r="X434" s="71"/>
      <c r="Y434" s="71"/>
      <c r="Z434" s="71"/>
    </row>
    <row r="435" ht="15.75" customHeight="1">
      <c r="A435" s="72"/>
      <c r="B435" s="71"/>
      <c r="C435" s="71"/>
      <c r="D435" s="71"/>
      <c r="E435" s="71"/>
      <c r="F435" s="71"/>
      <c r="G435" s="59"/>
      <c r="H435" s="71"/>
      <c r="I435" s="71"/>
      <c r="J435" s="71"/>
      <c r="K435" s="71"/>
      <c r="L435" s="71"/>
      <c r="M435" s="71"/>
      <c r="N435" s="71"/>
      <c r="O435" s="71"/>
      <c r="P435" s="71"/>
      <c r="Q435" s="71"/>
      <c r="R435" s="71"/>
      <c r="S435" s="71"/>
      <c r="T435" s="71"/>
      <c r="U435" s="71"/>
      <c r="V435" s="71"/>
      <c r="W435" s="71"/>
      <c r="X435" s="71"/>
      <c r="Y435" s="71"/>
      <c r="Z435" s="71"/>
    </row>
    <row r="436" ht="15.75" customHeight="1">
      <c r="A436" s="72"/>
      <c r="B436" s="71"/>
      <c r="C436" s="71"/>
      <c r="D436" s="71"/>
      <c r="E436" s="71"/>
      <c r="F436" s="71"/>
      <c r="G436" s="59"/>
      <c r="H436" s="71"/>
      <c r="I436" s="71"/>
      <c r="J436" s="71"/>
      <c r="K436" s="71"/>
      <c r="L436" s="71"/>
      <c r="M436" s="71"/>
      <c r="N436" s="71"/>
      <c r="O436" s="71"/>
      <c r="P436" s="71"/>
      <c r="Q436" s="71"/>
      <c r="R436" s="71"/>
      <c r="S436" s="71"/>
      <c r="T436" s="71"/>
      <c r="U436" s="71"/>
      <c r="V436" s="71"/>
      <c r="W436" s="71"/>
      <c r="X436" s="71"/>
      <c r="Y436" s="71"/>
      <c r="Z436" s="71"/>
    </row>
    <row r="437" ht="15.75" customHeight="1">
      <c r="A437" s="72"/>
      <c r="B437" s="71"/>
      <c r="C437" s="71"/>
      <c r="D437" s="71"/>
      <c r="E437" s="71"/>
      <c r="F437" s="71"/>
      <c r="G437" s="59"/>
      <c r="H437" s="71"/>
      <c r="I437" s="71"/>
      <c r="J437" s="71"/>
      <c r="K437" s="71"/>
      <c r="L437" s="71"/>
      <c r="M437" s="71"/>
      <c r="N437" s="71"/>
      <c r="O437" s="71"/>
      <c r="P437" s="71"/>
      <c r="Q437" s="71"/>
      <c r="R437" s="71"/>
      <c r="S437" s="71"/>
      <c r="T437" s="71"/>
      <c r="U437" s="71"/>
      <c r="V437" s="71"/>
      <c r="W437" s="71"/>
      <c r="X437" s="71"/>
      <c r="Y437" s="71"/>
      <c r="Z437" s="71"/>
    </row>
    <row r="438" ht="15.75" customHeight="1">
      <c r="A438" s="72"/>
      <c r="B438" s="71"/>
      <c r="C438" s="71"/>
      <c r="D438" s="71"/>
      <c r="E438" s="71"/>
      <c r="F438" s="71"/>
      <c r="G438" s="59"/>
      <c r="H438" s="71"/>
      <c r="I438" s="71"/>
      <c r="J438" s="71"/>
      <c r="K438" s="71"/>
      <c r="L438" s="71"/>
      <c r="M438" s="71"/>
      <c r="N438" s="71"/>
      <c r="O438" s="71"/>
      <c r="P438" s="71"/>
      <c r="Q438" s="71"/>
      <c r="R438" s="71"/>
      <c r="S438" s="71"/>
      <c r="T438" s="71"/>
      <c r="U438" s="71"/>
      <c r="V438" s="71"/>
      <c r="W438" s="71"/>
      <c r="X438" s="71"/>
      <c r="Y438" s="71"/>
      <c r="Z438" s="71"/>
    </row>
    <row r="439" ht="15.75" customHeight="1">
      <c r="A439" s="72"/>
      <c r="B439" s="71"/>
      <c r="C439" s="71"/>
      <c r="D439" s="71"/>
      <c r="E439" s="71"/>
      <c r="F439" s="71"/>
      <c r="G439" s="59"/>
      <c r="H439" s="71"/>
      <c r="I439" s="71"/>
      <c r="J439" s="71"/>
      <c r="K439" s="71"/>
      <c r="L439" s="71"/>
      <c r="M439" s="71"/>
      <c r="N439" s="71"/>
      <c r="O439" s="71"/>
      <c r="P439" s="71"/>
      <c r="Q439" s="71"/>
      <c r="R439" s="71"/>
      <c r="S439" s="71"/>
      <c r="T439" s="71"/>
      <c r="U439" s="71"/>
      <c r="V439" s="71"/>
      <c r="W439" s="71"/>
      <c r="X439" s="71"/>
      <c r="Y439" s="71"/>
      <c r="Z439" s="71"/>
    </row>
    <row r="440" ht="15.75" customHeight="1">
      <c r="A440" s="72"/>
      <c r="B440" s="71"/>
      <c r="C440" s="71"/>
      <c r="D440" s="71"/>
      <c r="E440" s="71"/>
      <c r="F440" s="71"/>
      <c r="G440" s="59"/>
      <c r="H440" s="71"/>
      <c r="I440" s="71"/>
      <c r="J440" s="71"/>
      <c r="K440" s="71"/>
      <c r="L440" s="71"/>
      <c r="M440" s="71"/>
      <c r="N440" s="71"/>
      <c r="O440" s="71"/>
      <c r="P440" s="71"/>
      <c r="Q440" s="71"/>
      <c r="R440" s="71"/>
      <c r="S440" s="71"/>
      <c r="T440" s="71"/>
      <c r="U440" s="71"/>
      <c r="V440" s="71"/>
      <c r="W440" s="71"/>
      <c r="X440" s="71"/>
      <c r="Y440" s="71"/>
      <c r="Z440" s="71"/>
    </row>
    <row r="441" ht="15.75" customHeight="1">
      <c r="A441" s="72"/>
      <c r="B441" s="71"/>
      <c r="C441" s="71"/>
      <c r="D441" s="71"/>
      <c r="E441" s="71"/>
      <c r="F441" s="71"/>
      <c r="G441" s="59"/>
      <c r="H441" s="71"/>
      <c r="I441" s="71"/>
      <c r="J441" s="71"/>
      <c r="K441" s="71"/>
      <c r="L441" s="71"/>
      <c r="M441" s="71"/>
      <c r="N441" s="71"/>
      <c r="O441" s="71"/>
      <c r="P441" s="71"/>
      <c r="Q441" s="71"/>
      <c r="R441" s="71"/>
      <c r="S441" s="71"/>
      <c r="T441" s="71"/>
      <c r="U441" s="71"/>
      <c r="V441" s="71"/>
      <c r="W441" s="71"/>
      <c r="X441" s="71"/>
      <c r="Y441" s="71"/>
      <c r="Z441" s="71"/>
    </row>
    <row r="442" ht="15.75" customHeight="1">
      <c r="A442" s="72"/>
      <c r="B442" s="71"/>
      <c r="C442" s="71"/>
      <c r="D442" s="71"/>
      <c r="E442" s="71"/>
      <c r="F442" s="71"/>
      <c r="G442" s="59"/>
      <c r="H442" s="71"/>
      <c r="I442" s="71"/>
      <c r="J442" s="71"/>
      <c r="K442" s="71"/>
      <c r="L442" s="71"/>
      <c r="M442" s="71"/>
      <c r="N442" s="71"/>
      <c r="O442" s="71"/>
      <c r="P442" s="71"/>
      <c r="Q442" s="71"/>
      <c r="R442" s="71"/>
      <c r="S442" s="71"/>
      <c r="T442" s="71"/>
      <c r="U442" s="71"/>
      <c r="V442" s="71"/>
      <c r="W442" s="71"/>
      <c r="X442" s="71"/>
      <c r="Y442" s="71"/>
      <c r="Z442" s="71"/>
    </row>
    <row r="443" ht="15.75" customHeight="1">
      <c r="A443" s="72"/>
      <c r="B443" s="71"/>
      <c r="C443" s="71"/>
      <c r="D443" s="71"/>
      <c r="E443" s="71"/>
      <c r="F443" s="71"/>
      <c r="G443" s="59"/>
      <c r="H443" s="71"/>
      <c r="I443" s="71"/>
      <c r="J443" s="71"/>
      <c r="K443" s="71"/>
      <c r="L443" s="71"/>
      <c r="M443" s="71"/>
      <c r="N443" s="71"/>
      <c r="O443" s="71"/>
      <c r="P443" s="71"/>
      <c r="Q443" s="71"/>
      <c r="R443" s="71"/>
      <c r="S443" s="71"/>
      <c r="T443" s="71"/>
      <c r="U443" s="71"/>
      <c r="V443" s="71"/>
      <c r="W443" s="71"/>
      <c r="X443" s="71"/>
      <c r="Y443" s="71"/>
      <c r="Z443" s="71"/>
    </row>
    <row r="444" ht="15.75" customHeight="1">
      <c r="A444" s="72"/>
      <c r="B444" s="71"/>
      <c r="C444" s="71"/>
      <c r="D444" s="71"/>
      <c r="E444" s="71"/>
      <c r="F444" s="71"/>
      <c r="G444" s="59"/>
      <c r="H444" s="71"/>
      <c r="I444" s="71"/>
      <c r="J444" s="71"/>
      <c r="K444" s="71"/>
      <c r="L444" s="71"/>
      <c r="M444" s="71"/>
      <c r="N444" s="71"/>
      <c r="O444" s="71"/>
      <c r="P444" s="71"/>
      <c r="Q444" s="71"/>
      <c r="R444" s="71"/>
      <c r="S444" s="71"/>
      <c r="T444" s="71"/>
      <c r="U444" s="71"/>
      <c r="V444" s="71"/>
      <c r="W444" s="71"/>
      <c r="X444" s="71"/>
      <c r="Y444" s="71"/>
      <c r="Z444" s="71"/>
    </row>
    <row r="445" ht="15.75" customHeight="1">
      <c r="A445" s="72"/>
      <c r="B445" s="71"/>
      <c r="C445" s="71"/>
      <c r="D445" s="71"/>
      <c r="E445" s="71"/>
      <c r="F445" s="71"/>
      <c r="G445" s="59"/>
      <c r="H445" s="71"/>
      <c r="I445" s="71"/>
      <c r="J445" s="71"/>
      <c r="K445" s="71"/>
      <c r="L445" s="71"/>
      <c r="M445" s="71"/>
      <c r="N445" s="71"/>
      <c r="O445" s="71"/>
      <c r="P445" s="71"/>
      <c r="Q445" s="71"/>
      <c r="R445" s="71"/>
      <c r="S445" s="71"/>
      <c r="T445" s="71"/>
      <c r="U445" s="71"/>
      <c r="V445" s="71"/>
      <c r="W445" s="71"/>
      <c r="X445" s="71"/>
      <c r="Y445" s="71"/>
      <c r="Z445" s="71"/>
    </row>
    <row r="446" ht="15.75" customHeight="1">
      <c r="A446" s="72"/>
      <c r="B446" s="71"/>
      <c r="C446" s="71"/>
      <c r="D446" s="71"/>
      <c r="E446" s="71"/>
      <c r="F446" s="71"/>
      <c r="G446" s="59"/>
      <c r="H446" s="71"/>
      <c r="I446" s="71"/>
      <c r="J446" s="71"/>
      <c r="K446" s="71"/>
      <c r="L446" s="71"/>
      <c r="M446" s="71"/>
      <c r="N446" s="71"/>
      <c r="O446" s="71"/>
      <c r="P446" s="71"/>
      <c r="Q446" s="71"/>
      <c r="R446" s="71"/>
      <c r="S446" s="71"/>
      <c r="T446" s="71"/>
      <c r="U446" s="71"/>
      <c r="V446" s="71"/>
      <c r="W446" s="71"/>
      <c r="X446" s="71"/>
      <c r="Y446" s="71"/>
      <c r="Z446" s="71"/>
    </row>
    <row r="447" ht="15.75" customHeight="1">
      <c r="A447" s="72"/>
      <c r="B447" s="71"/>
      <c r="C447" s="71"/>
      <c r="D447" s="71"/>
      <c r="E447" s="71"/>
      <c r="F447" s="71"/>
      <c r="G447" s="59"/>
      <c r="H447" s="71"/>
      <c r="I447" s="71"/>
      <c r="J447" s="71"/>
      <c r="K447" s="71"/>
      <c r="L447" s="71"/>
      <c r="M447" s="71"/>
      <c r="N447" s="71"/>
      <c r="O447" s="71"/>
      <c r="P447" s="71"/>
      <c r="Q447" s="71"/>
      <c r="R447" s="71"/>
      <c r="S447" s="71"/>
      <c r="T447" s="71"/>
      <c r="U447" s="71"/>
      <c r="V447" s="71"/>
      <c r="W447" s="71"/>
      <c r="X447" s="71"/>
      <c r="Y447" s="71"/>
      <c r="Z447" s="71"/>
    </row>
    <row r="448" ht="15.75" customHeight="1">
      <c r="A448" s="72"/>
      <c r="B448" s="71"/>
      <c r="C448" s="71"/>
      <c r="D448" s="71"/>
      <c r="E448" s="71"/>
      <c r="F448" s="71"/>
      <c r="G448" s="59"/>
      <c r="H448" s="71"/>
      <c r="I448" s="71"/>
      <c r="J448" s="71"/>
      <c r="K448" s="71"/>
      <c r="L448" s="71"/>
      <c r="M448" s="71"/>
      <c r="N448" s="71"/>
      <c r="O448" s="71"/>
      <c r="P448" s="71"/>
      <c r="Q448" s="71"/>
      <c r="R448" s="71"/>
      <c r="S448" s="71"/>
      <c r="T448" s="71"/>
      <c r="U448" s="71"/>
      <c r="V448" s="71"/>
      <c r="W448" s="71"/>
      <c r="X448" s="71"/>
      <c r="Y448" s="71"/>
      <c r="Z448" s="71"/>
    </row>
    <row r="449" ht="15.75" customHeight="1">
      <c r="A449" s="72"/>
      <c r="B449" s="71"/>
      <c r="C449" s="71"/>
      <c r="D449" s="71"/>
      <c r="E449" s="71"/>
      <c r="F449" s="71"/>
      <c r="G449" s="59"/>
      <c r="H449" s="71"/>
      <c r="I449" s="71"/>
      <c r="J449" s="71"/>
      <c r="K449" s="71"/>
      <c r="L449" s="71"/>
      <c r="M449" s="71"/>
      <c r="N449" s="71"/>
      <c r="O449" s="71"/>
      <c r="P449" s="71"/>
      <c r="Q449" s="71"/>
      <c r="R449" s="71"/>
      <c r="S449" s="71"/>
      <c r="T449" s="71"/>
      <c r="U449" s="71"/>
      <c r="V449" s="71"/>
      <c r="W449" s="71"/>
      <c r="X449" s="71"/>
      <c r="Y449" s="71"/>
      <c r="Z449" s="71"/>
    </row>
    <row r="450" ht="15.75" customHeight="1">
      <c r="A450" s="72"/>
      <c r="B450" s="71"/>
      <c r="C450" s="71"/>
      <c r="D450" s="71"/>
      <c r="E450" s="71"/>
      <c r="F450" s="71"/>
      <c r="G450" s="59"/>
      <c r="H450" s="71"/>
      <c r="I450" s="71"/>
      <c r="J450" s="71"/>
      <c r="K450" s="71"/>
      <c r="L450" s="71"/>
      <c r="M450" s="71"/>
      <c r="N450" s="71"/>
      <c r="O450" s="71"/>
      <c r="P450" s="71"/>
      <c r="Q450" s="71"/>
      <c r="R450" s="71"/>
      <c r="S450" s="71"/>
      <c r="T450" s="71"/>
      <c r="U450" s="71"/>
      <c r="V450" s="71"/>
      <c r="W450" s="71"/>
      <c r="X450" s="71"/>
      <c r="Y450" s="71"/>
      <c r="Z450" s="71"/>
    </row>
    <row r="451" ht="15.75" customHeight="1">
      <c r="A451" s="72"/>
      <c r="B451" s="71"/>
      <c r="C451" s="71"/>
      <c r="D451" s="71"/>
      <c r="E451" s="71"/>
      <c r="F451" s="71"/>
      <c r="G451" s="59"/>
      <c r="H451" s="71"/>
      <c r="I451" s="71"/>
      <c r="J451" s="71"/>
      <c r="K451" s="71"/>
      <c r="L451" s="71"/>
      <c r="M451" s="71"/>
      <c r="N451" s="71"/>
      <c r="O451" s="71"/>
      <c r="P451" s="71"/>
      <c r="Q451" s="71"/>
      <c r="R451" s="71"/>
      <c r="S451" s="71"/>
      <c r="T451" s="71"/>
      <c r="U451" s="71"/>
      <c r="V451" s="71"/>
      <c r="W451" s="71"/>
      <c r="X451" s="71"/>
      <c r="Y451" s="71"/>
      <c r="Z451" s="71"/>
    </row>
    <row r="452" ht="15.75" customHeight="1">
      <c r="A452" s="72"/>
      <c r="B452" s="71"/>
      <c r="C452" s="71"/>
      <c r="D452" s="71"/>
      <c r="E452" s="71"/>
      <c r="F452" s="71"/>
      <c r="G452" s="59"/>
      <c r="H452" s="71"/>
      <c r="I452" s="71"/>
      <c r="J452" s="71"/>
      <c r="K452" s="71"/>
      <c r="L452" s="71"/>
      <c r="M452" s="71"/>
      <c r="N452" s="71"/>
      <c r="O452" s="71"/>
      <c r="P452" s="71"/>
      <c r="Q452" s="71"/>
      <c r="R452" s="71"/>
      <c r="S452" s="71"/>
      <c r="T452" s="71"/>
      <c r="U452" s="71"/>
      <c r="V452" s="71"/>
      <c r="W452" s="71"/>
      <c r="X452" s="71"/>
      <c r="Y452" s="71"/>
      <c r="Z452" s="71"/>
    </row>
    <row r="453" ht="15.75" customHeight="1">
      <c r="A453" s="72"/>
      <c r="B453" s="71"/>
      <c r="C453" s="71"/>
      <c r="D453" s="71"/>
      <c r="E453" s="71"/>
      <c r="F453" s="71"/>
      <c r="G453" s="59"/>
      <c r="H453" s="71"/>
      <c r="I453" s="71"/>
      <c r="J453" s="71"/>
      <c r="K453" s="71"/>
      <c r="L453" s="71"/>
      <c r="M453" s="71"/>
      <c r="N453" s="71"/>
      <c r="O453" s="71"/>
      <c r="P453" s="71"/>
      <c r="Q453" s="71"/>
      <c r="R453" s="71"/>
      <c r="S453" s="71"/>
      <c r="T453" s="71"/>
      <c r="U453" s="71"/>
      <c r="V453" s="71"/>
      <c r="W453" s="71"/>
      <c r="X453" s="71"/>
      <c r="Y453" s="71"/>
      <c r="Z453" s="71"/>
    </row>
    <row r="454" ht="15.75" customHeight="1">
      <c r="A454" s="72"/>
      <c r="B454" s="71"/>
      <c r="C454" s="71"/>
      <c r="D454" s="71"/>
      <c r="E454" s="71"/>
      <c r="F454" s="71"/>
      <c r="G454" s="59"/>
      <c r="H454" s="71"/>
      <c r="I454" s="71"/>
      <c r="J454" s="71"/>
      <c r="K454" s="71"/>
      <c r="L454" s="71"/>
      <c r="M454" s="71"/>
      <c r="N454" s="71"/>
      <c r="O454" s="71"/>
      <c r="P454" s="71"/>
      <c r="Q454" s="71"/>
      <c r="R454" s="71"/>
      <c r="S454" s="71"/>
      <c r="T454" s="71"/>
      <c r="U454" s="71"/>
      <c r="V454" s="71"/>
      <c r="W454" s="71"/>
      <c r="X454" s="71"/>
      <c r="Y454" s="71"/>
      <c r="Z454" s="71"/>
    </row>
    <row r="455" ht="15.75" customHeight="1">
      <c r="A455" s="72"/>
      <c r="B455" s="71"/>
      <c r="C455" s="71"/>
      <c r="D455" s="71"/>
      <c r="E455" s="71"/>
      <c r="F455" s="71"/>
      <c r="G455" s="59"/>
      <c r="H455" s="71"/>
      <c r="I455" s="71"/>
      <c r="J455" s="71"/>
      <c r="K455" s="71"/>
      <c r="L455" s="71"/>
      <c r="M455" s="71"/>
      <c r="N455" s="71"/>
      <c r="O455" s="71"/>
      <c r="P455" s="71"/>
      <c r="Q455" s="71"/>
      <c r="R455" s="71"/>
      <c r="S455" s="71"/>
      <c r="T455" s="71"/>
      <c r="U455" s="71"/>
      <c r="V455" s="71"/>
      <c r="W455" s="71"/>
      <c r="X455" s="71"/>
      <c r="Y455" s="71"/>
      <c r="Z455" s="71"/>
    </row>
    <row r="456" ht="15.75" customHeight="1">
      <c r="A456" s="72"/>
      <c r="B456" s="71"/>
      <c r="C456" s="71"/>
      <c r="D456" s="71"/>
      <c r="E456" s="71"/>
      <c r="F456" s="71"/>
      <c r="G456" s="59"/>
      <c r="H456" s="71"/>
      <c r="I456" s="71"/>
      <c r="J456" s="71"/>
      <c r="K456" s="71"/>
      <c r="L456" s="71"/>
      <c r="M456" s="71"/>
      <c r="N456" s="71"/>
      <c r="O456" s="71"/>
      <c r="P456" s="71"/>
      <c r="Q456" s="71"/>
      <c r="R456" s="71"/>
      <c r="S456" s="71"/>
      <c r="T456" s="71"/>
      <c r="U456" s="71"/>
      <c r="V456" s="71"/>
      <c r="W456" s="71"/>
      <c r="X456" s="71"/>
      <c r="Y456" s="71"/>
      <c r="Z456" s="71"/>
    </row>
    <row r="457" ht="15.75" customHeight="1">
      <c r="A457" s="72"/>
      <c r="B457" s="71"/>
      <c r="C457" s="71"/>
      <c r="D457" s="71"/>
      <c r="E457" s="71"/>
      <c r="F457" s="71"/>
      <c r="G457" s="59"/>
      <c r="H457" s="71"/>
      <c r="I457" s="71"/>
      <c r="J457" s="71"/>
      <c r="K457" s="71"/>
      <c r="L457" s="71"/>
      <c r="M457" s="71"/>
      <c r="N457" s="71"/>
      <c r="O457" s="71"/>
      <c r="P457" s="71"/>
      <c r="Q457" s="71"/>
      <c r="R457" s="71"/>
      <c r="S457" s="71"/>
      <c r="T457" s="71"/>
      <c r="U457" s="71"/>
      <c r="V457" s="71"/>
      <c r="W457" s="71"/>
      <c r="X457" s="71"/>
      <c r="Y457" s="71"/>
      <c r="Z457" s="71"/>
    </row>
    <row r="458" ht="15.75" customHeight="1">
      <c r="A458" s="72"/>
      <c r="B458" s="71"/>
      <c r="C458" s="71"/>
      <c r="D458" s="71"/>
      <c r="E458" s="71"/>
      <c r="F458" s="71"/>
      <c r="G458" s="59"/>
      <c r="H458" s="71"/>
      <c r="I458" s="71"/>
      <c r="J458" s="71"/>
      <c r="K458" s="71"/>
      <c r="L458" s="71"/>
      <c r="M458" s="71"/>
      <c r="N458" s="71"/>
      <c r="O458" s="71"/>
      <c r="P458" s="71"/>
      <c r="Q458" s="71"/>
      <c r="R458" s="71"/>
      <c r="S458" s="71"/>
      <c r="T458" s="71"/>
      <c r="U458" s="71"/>
      <c r="V458" s="71"/>
      <c r="W458" s="71"/>
      <c r="X458" s="71"/>
      <c r="Y458" s="71"/>
      <c r="Z458" s="71"/>
    </row>
    <row r="459" ht="15.75" customHeight="1">
      <c r="A459" s="72"/>
      <c r="B459" s="71"/>
      <c r="C459" s="71"/>
      <c r="D459" s="71"/>
      <c r="E459" s="71"/>
      <c r="F459" s="71"/>
      <c r="G459" s="59"/>
      <c r="H459" s="71"/>
      <c r="I459" s="71"/>
      <c r="J459" s="71"/>
      <c r="K459" s="71"/>
      <c r="L459" s="71"/>
      <c r="M459" s="71"/>
      <c r="N459" s="71"/>
      <c r="O459" s="71"/>
      <c r="P459" s="71"/>
      <c r="Q459" s="71"/>
      <c r="R459" s="71"/>
      <c r="S459" s="71"/>
      <c r="T459" s="71"/>
      <c r="U459" s="71"/>
      <c r="V459" s="71"/>
      <c r="W459" s="71"/>
      <c r="X459" s="71"/>
      <c r="Y459" s="71"/>
      <c r="Z459" s="71"/>
    </row>
    <row r="460" ht="15.75" customHeight="1">
      <c r="A460" s="72"/>
      <c r="B460" s="71"/>
      <c r="C460" s="71"/>
      <c r="D460" s="71"/>
      <c r="E460" s="71"/>
      <c r="F460" s="71"/>
      <c r="G460" s="59"/>
      <c r="H460" s="71"/>
      <c r="I460" s="71"/>
      <c r="J460" s="71"/>
      <c r="K460" s="71"/>
      <c r="L460" s="71"/>
      <c r="M460" s="71"/>
      <c r="N460" s="71"/>
      <c r="O460" s="71"/>
      <c r="P460" s="71"/>
      <c r="Q460" s="71"/>
      <c r="R460" s="71"/>
      <c r="S460" s="71"/>
      <c r="T460" s="71"/>
      <c r="U460" s="71"/>
      <c r="V460" s="71"/>
      <c r="W460" s="71"/>
      <c r="X460" s="71"/>
      <c r="Y460" s="71"/>
      <c r="Z460" s="71"/>
    </row>
    <row r="461" ht="15.75" customHeight="1">
      <c r="A461" s="72"/>
      <c r="B461" s="71"/>
      <c r="C461" s="71"/>
      <c r="D461" s="71"/>
      <c r="E461" s="71"/>
      <c r="F461" s="71"/>
      <c r="G461" s="59"/>
      <c r="H461" s="71"/>
      <c r="I461" s="71"/>
      <c r="J461" s="71"/>
      <c r="K461" s="71"/>
      <c r="L461" s="71"/>
      <c r="M461" s="71"/>
      <c r="N461" s="71"/>
      <c r="O461" s="71"/>
      <c r="P461" s="71"/>
      <c r="Q461" s="71"/>
      <c r="R461" s="71"/>
      <c r="S461" s="71"/>
      <c r="T461" s="71"/>
      <c r="U461" s="71"/>
      <c r="V461" s="71"/>
      <c r="W461" s="71"/>
      <c r="X461" s="71"/>
      <c r="Y461" s="71"/>
      <c r="Z461" s="71"/>
    </row>
    <row r="462" ht="15.75" customHeight="1">
      <c r="A462" s="72"/>
      <c r="B462" s="71"/>
      <c r="C462" s="71"/>
      <c r="D462" s="71"/>
      <c r="E462" s="71"/>
      <c r="F462" s="71"/>
      <c r="G462" s="59"/>
      <c r="H462" s="71"/>
      <c r="I462" s="71"/>
      <c r="J462" s="71"/>
      <c r="K462" s="71"/>
      <c r="L462" s="71"/>
      <c r="M462" s="71"/>
      <c r="N462" s="71"/>
      <c r="O462" s="71"/>
      <c r="P462" s="71"/>
      <c r="Q462" s="71"/>
      <c r="R462" s="71"/>
      <c r="S462" s="71"/>
      <c r="T462" s="71"/>
      <c r="U462" s="71"/>
      <c r="V462" s="71"/>
      <c r="W462" s="71"/>
      <c r="X462" s="71"/>
      <c r="Y462" s="71"/>
      <c r="Z462" s="71"/>
    </row>
    <row r="463" ht="15.75" customHeight="1">
      <c r="A463" s="72"/>
      <c r="B463" s="71"/>
      <c r="C463" s="71"/>
      <c r="D463" s="71"/>
      <c r="E463" s="71"/>
      <c r="F463" s="71"/>
      <c r="G463" s="59"/>
      <c r="H463" s="71"/>
      <c r="I463" s="71"/>
      <c r="J463" s="71"/>
      <c r="K463" s="71"/>
      <c r="L463" s="71"/>
      <c r="M463" s="71"/>
      <c r="N463" s="71"/>
      <c r="O463" s="71"/>
      <c r="P463" s="71"/>
      <c r="Q463" s="71"/>
      <c r="R463" s="71"/>
      <c r="S463" s="71"/>
      <c r="T463" s="71"/>
      <c r="U463" s="71"/>
      <c r="V463" s="71"/>
      <c r="W463" s="71"/>
      <c r="X463" s="71"/>
      <c r="Y463" s="71"/>
      <c r="Z463" s="71"/>
    </row>
    <row r="464" ht="15.75" customHeight="1">
      <c r="A464" s="72"/>
      <c r="B464" s="71"/>
      <c r="C464" s="71"/>
      <c r="D464" s="71"/>
      <c r="E464" s="71"/>
      <c r="F464" s="71"/>
      <c r="G464" s="59"/>
      <c r="H464" s="71"/>
      <c r="I464" s="71"/>
      <c r="J464" s="71"/>
      <c r="K464" s="71"/>
      <c r="L464" s="71"/>
      <c r="M464" s="71"/>
      <c r="N464" s="71"/>
      <c r="O464" s="71"/>
      <c r="P464" s="71"/>
      <c r="Q464" s="71"/>
      <c r="R464" s="71"/>
      <c r="S464" s="71"/>
      <c r="T464" s="71"/>
      <c r="U464" s="71"/>
      <c r="V464" s="71"/>
      <c r="W464" s="71"/>
      <c r="X464" s="71"/>
      <c r="Y464" s="71"/>
      <c r="Z464" s="71"/>
    </row>
    <row r="465" ht="15.75" customHeight="1">
      <c r="A465" s="72"/>
      <c r="B465" s="71"/>
      <c r="C465" s="71"/>
      <c r="D465" s="71"/>
      <c r="E465" s="71"/>
      <c r="F465" s="71"/>
      <c r="G465" s="59"/>
      <c r="H465" s="71"/>
      <c r="I465" s="71"/>
      <c r="J465" s="71"/>
      <c r="K465" s="71"/>
      <c r="L465" s="71"/>
      <c r="M465" s="71"/>
      <c r="N465" s="71"/>
      <c r="O465" s="71"/>
      <c r="P465" s="71"/>
      <c r="Q465" s="71"/>
      <c r="R465" s="71"/>
      <c r="S465" s="71"/>
      <c r="T465" s="71"/>
      <c r="U465" s="71"/>
      <c r="V465" s="71"/>
      <c r="W465" s="71"/>
      <c r="X465" s="71"/>
      <c r="Y465" s="71"/>
      <c r="Z465" s="71"/>
    </row>
    <row r="466" ht="15.75" customHeight="1">
      <c r="A466" s="72"/>
      <c r="B466" s="71"/>
      <c r="C466" s="71"/>
      <c r="D466" s="71"/>
      <c r="E466" s="71"/>
      <c r="F466" s="71"/>
      <c r="G466" s="59"/>
      <c r="H466" s="71"/>
      <c r="I466" s="71"/>
      <c r="J466" s="71"/>
      <c r="K466" s="71"/>
      <c r="L466" s="71"/>
      <c r="M466" s="71"/>
      <c r="N466" s="71"/>
      <c r="O466" s="71"/>
      <c r="P466" s="71"/>
      <c r="Q466" s="71"/>
      <c r="R466" s="71"/>
      <c r="S466" s="71"/>
      <c r="T466" s="71"/>
      <c r="U466" s="71"/>
      <c r="V466" s="71"/>
      <c r="W466" s="71"/>
      <c r="X466" s="71"/>
      <c r="Y466" s="71"/>
      <c r="Z466" s="71"/>
    </row>
    <row r="467" ht="15.75" customHeight="1">
      <c r="A467" s="72"/>
      <c r="B467" s="71"/>
      <c r="C467" s="71"/>
      <c r="D467" s="71"/>
      <c r="E467" s="71"/>
      <c r="F467" s="71"/>
      <c r="G467" s="59"/>
      <c r="H467" s="71"/>
      <c r="I467" s="71"/>
      <c r="J467" s="71"/>
      <c r="K467" s="71"/>
      <c r="L467" s="71"/>
      <c r="M467" s="71"/>
      <c r="N467" s="71"/>
      <c r="O467" s="71"/>
      <c r="P467" s="71"/>
      <c r="Q467" s="71"/>
      <c r="R467" s="71"/>
      <c r="S467" s="71"/>
      <c r="T467" s="71"/>
      <c r="U467" s="71"/>
      <c r="V467" s="71"/>
      <c r="W467" s="71"/>
      <c r="X467" s="71"/>
      <c r="Y467" s="71"/>
      <c r="Z467" s="71"/>
    </row>
    <row r="468" ht="15.75" customHeight="1">
      <c r="A468" s="72"/>
      <c r="B468" s="71"/>
      <c r="C468" s="71"/>
      <c r="D468" s="71"/>
      <c r="E468" s="71"/>
      <c r="F468" s="71"/>
      <c r="G468" s="59"/>
      <c r="H468" s="71"/>
      <c r="I468" s="71"/>
      <c r="J468" s="71"/>
      <c r="K468" s="71"/>
      <c r="L468" s="71"/>
      <c r="M468" s="71"/>
      <c r="N468" s="71"/>
      <c r="O468" s="71"/>
      <c r="P468" s="71"/>
      <c r="Q468" s="71"/>
      <c r="R468" s="71"/>
      <c r="S468" s="71"/>
      <c r="T468" s="71"/>
      <c r="U468" s="71"/>
      <c r="V468" s="71"/>
      <c r="W468" s="71"/>
      <c r="X468" s="71"/>
      <c r="Y468" s="71"/>
      <c r="Z468" s="71"/>
    </row>
    <row r="469" ht="15.75" customHeight="1">
      <c r="A469" s="72"/>
      <c r="B469" s="71"/>
      <c r="C469" s="71"/>
      <c r="D469" s="71"/>
      <c r="E469" s="71"/>
      <c r="F469" s="71"/>
      <c r="G469" s="59"/>
      <c r="H469" s="71"/>
      <c r="I469" s="71"/>
      <c r="J469" s="71"/>
      <c r="K469" s="71"/>
      <c r="L469" s="71"/>
      <c r="M469" s="71"/>
      <c r="N469" s="71"/>
      <c r="O469" s="71"/>
      <c r="P469" s="71"/>
      <c r="Q469" s="71"/>
      <c r="R469" s="71"/>
      <c r="S469" s="71"/>
      <c r="T469" s="71"/>
      <c r="U469" s="71"/>
      <c r="V469" s="71"/>
      <c r="W469" s="71"/>
      <c r="X469" s="71"/>
      <c r="Y469" s="71"/>
      <c r="Z469" s="71"/>
    </row>
    <row r="470" ht="15.75" customHeight="1">
      <c r="A470" s="72"/>
      <c r="B470" s="71"/>
      <c r="C470" s="71"/>
      <c r="D470" s="71"/>
      <c r="E470" s="71"/>
      <c r="F470" s="71"/>
      <c r="G470" s="59"/>
      <c r="H470" s="71"/>
      <c r="I470" s="71"/>
      <c r="J470" s="71"/>
      <c r="K470" s="71"/>
      <c r="L470" s="71"/>
      <c r="M470" s="71"/>
      <c r="N470" s="71"/>
      <c r="O470" s="71"/>
      <c r="P470" s="71"/>
      <c r="Q470" s="71"/>
      <c r="R470" s="71"/>
      <c r="S470" s="71"/>
      <c r="T470" s="71"/>
      <c r="U470" s="71"/>
      <c r="V470" s="71"/>
      <c r="W470" s="71"/>
      <c r="X470" s="71"/>
      <c r="Y470" s="71"/>
      <c r="Z470" s="71"/>
    </row>
    <row r="471" ht="15.75" customHeight="1">
      <c r="A471" s="72"/>
      <c r="B471" s="71"/>
      <c r="C471" s="71"/>
      <c r="D471" s="71"/>
      <c r="E471" s="71"/>
      <c r="F471" s="71"/>
      <c r="G471" s="59"/>
      <c r="H471" s="71"/>
      <c r="I471" s="71"/>
      <c r="J471" s="71"/>
      <c r="K471" s="71"/>
      <c r="L471" s="71"/>
      <c r="M471" s="71"/>
      <c r="N471" s="71"/>
      <c r="O471" s="71"/>
      <c r="P471" s="71"/>
      <c r="Q471" s="71"/>
      <c r="R471" s="71"/>
      <c r="S471" s="71"/>
      <c r="T471" s="71"/>
      <c r="U471" s="71"/>
      <c r="V471" s="71"/>
      <c r="W471" s="71"/>
      <c r="X471" s="71"/>
      <c r="Y471" s="71"/>
      <c r="Z471" s="71"/>
    </row>
    <row r="472" ht="15.75" customHeight="1">
      <c r="A472" s="72"/>
      <c r="B472" s="71"/>
      <c r="C472" s="71"/>
      <c r="D472" s="71"/>
      <c r="E472" s="71"/>
      <c r="F472" s="71"/>
      <c r="G472" s="59"/>
      <c r="H472" s="71"/>
      <c r="I472" s="71"/>
      <c r="J472" s="71"/>
      <c r="K472" s="71"/>
      <c r="L472" s="71"/>
      <c r="M472" s="71"/>
      <c r="N472" s="71"/>
      <c r="O472" s="71"/>
      <c r="P472" s="71"/>
      <c r="Q472" s="71"/>
      <c r="R472" s="71"/>
      <c r="S472" s="71"/>
      <c r="T472" s="71"/>
      <c r="U472" s="71"/>
      <c r="V472" s="71"/>
      <c r="W472" s="71"/>
      <c r="X472" s="71"/>
      <c r="Y472" s="71"/>
      <c r="Z472" s="71"/>
    </row>
    <row r="473" ht="15.75" customHeight="1">
      <c r="A473" s="72"/>
      <c r="B473" s="71"/>
      <c r="C473" s="71"/>
      <c r="D473" s="71"/>
      <c r="E473" s="71"/>
      <c r="F473" s="71"/>
      <c r="G473" s="59"/>
      <c r="H473" s="71"/>
      <c r="I473" s="71"/>
      <c r="J473" s="71"/>
      <c r="K473" s="71"/>
      <c r="L473" s="71"/>
      <c r="M473" s="71"/>
      <c r="N473" s="71"/>
      <c r="O473" s="71"/>
      <c r="P473" s="71"/>
      <c r="Q473" s="71"/>
      <c r="R473" s="71"/>
      <c r="S473" s="71"/>
      <c r="T473" s="71"/>
      <c r="U473" s="71"/>
      <c r="V473" s="71"/>
      <c r="W473" s="71"/>
      <c r="X473" s="71"/>
      <c r="Y473" s="71"/>
      <c r="Z473" s="71"/>
    </row>
    <row r="474" ht="15.75" customHeight="1">
      <c r="A474" s="72"/>
      <c r="B474" s="71"/>
      <c r="C474" s="71"/>
      <c r="D474" s="71"/>
      <c r="E474" s="71"/>
      <c r="F474" s="71"/>
      <c r="G474" s="59"/>
      <c r="H474" s="71"/>
      <c r="I474" s="71"/>
      <c r="J474" s="71"/>
      <c r="K474" s="71"/>
      <c r="L474" s="71"/>
      <c r="M474" s="71"/>
      <c r="N474" s="71"/>
      <c r="O474" s="71"/>
      <c r="P474" s="71"/>
      <c r="Q474" s="71"/>
      <c r="R474" s="71"/>
      <c r="S474" s="71"/>
      <c r="T474" s="71"/>
      <c r="U474" s="71"/>
      <c r="V474" s="71"/>
      <c r="W474" s="71"/>
      <c r="X474" s="71"/>
      <c r="Y474" s="71"/>
      <c r="Z474" s="71"/>
    </row>
    <row r="475" ht="15.75" customHeight="1">
      <c r="A475" s="72"/>
      <c r="B475" s="71"/>
      <c r="C475" s="71"/>
      <c r="D475" s="71"/>
      <c r="E475" s="71"/>
      <c r="F475" s="71"/>
      <c r="G475" s="59"/>
      <c r="H475" s="71"/>
      <c r="I475" s="71"/>
      <c r="J475" s="71"/>
      <c r="K475" s="71"/>
      <c r="L475" s="71"/>
      <c r="M475" s="71"/>
      <c r="N475" s="71"/>
      <c r="O475" s="71"/>
      <c r="P475" s="71"/>
      <c r="Q475" s="71"/>
      <c r="R475" s="71"/>
      <c r="S475" s="71"/>
      <c r="T475" s="71"/>
      <c r="U475" s="71"/>
      <c r="V475" s="71"/>
      <c r="W475" s="71"/>
      <c r="X475" s="71"/>
      <c r="Y475" s="71"/>
      <c r="Z475" s="71"/>
    </row>
    <row r="476" ht="15.75" customHeight="1">
      <c r="A476" s="72"/>
      <c r="B476" s="71"/>
      <c r="C476" s="71"/>
      <c r="D476" s="71"/>
      <c r="E476" s="71"/>
      <c r="F476" s="71"/>
      <c r="G476" s="59"/>
      <c r="H476" s="71"/>
      <c r="I476" s="71"/>
      <c r="J476" s="71"/>
      <c r="K476" s="71"/>
      <c r="L476" s="71"/>
      <c r="M476" s="71"/>
      <c r="N476" s="71"/>
      <c r="O476" s="71"/>
      <c r="P476" s="71"/>
      <c r="Q476" s="71"/>
      <c r="R476" s="71"/>
      <c r="S476" s="71"/>
      <c r="T476" s="71"/>
      <c r="U476" s="71"/>
      <c r="V476" s="71"/>
      <c r="W476" s="71"/>
      <c r="X476" s="71"/>
      <c r="Y476" s="71"/>
      <c r="Z476" s="71"/>
    </row>
    <row r="477" ht="15.75" customHeight="1">
      <c r="A477" s="72"/>
      <c r="B477" s="71"/>
      <c r="C477" s="71"/>
      <c r="D477" s="71"/>
      <c r="E477" s="71"/>
      <c r="F477" s="71"/>
      <c r="G477" s="59"/>
      <c r="H477" s="71"/>
      <c r="I477" s="71"/>
      <c r="J477" s="71"/>
      <c r="K477" s="71"/>
      <c r="L477" s="71"/>
      <c r="M477" s="71"/>
      <c r="N477" s="71"/>
      <c r="O477" s="71"/>
      <c r="P477" s="71"/>
      <c r="Q477" s="71"/>
      <c r="R477" s="71"/>
      <c r="S477" s="71"/>
      <c r="T477" s="71"/>
      <c r="U477" s="71"/>
      <c r="V477" s="71"/>
      <c r="W477" s="71"/>
      <c r="X477" s="71"/>
      <c r="Y477" s="71"/>
      <c r="Z477" s="71"/>
    </row>
    <row r="478" ht="15.75" customHeight="1">
      <c r="A478" s="72"/>
      <c r="B478" s="71"/>
      <c r="C478" s="71"/>
      <c r="D478" s="71"/>
      <c r="E478" s="71"/>
      <c r="F478" s="71"/>
      <c r="G478" s="59"/>
      <c r="H478" s="71"/>
      <c r="I478" s="71"/>
      <c r="J478" s="71"/>
      <c r="K478" s="71"/>
      <c r="L478" s="71"/>
      <c r="M478" s="71"/>
      <c r="N478" s="71"/>
      <c r="O478" s="71"/>
      <c r="P478" s="71"/>
      <c r="Q478" s="71"/>
      <c r="R478" s="71"/>
      <c r="S478" s="71"/>
      <c r="T478" s="71"/>
      <c r="U478" s="71"/>
      <c r="V478" s="71"/>
      <c r="W478" s="71"/>
      <c r="X478" s="71"/>
      <c r="Y478" s="71"/>
      <c r="Z478" s="71"/>
    </row>
    <row r="479" ht="15.75" customHeight="1">
      <c r="A479" s="72"/>
      <c r="B479" s="71"/>
      <c r="C479" s="71"/>
      <c r="D479" s="71"/>
      <c r="E479" s="71"/>
      <c r="F479" s="71"/>
      <c r="G479" s="59"/>
      <c r="H479" s="71"/>
      <c r="I479" s="71"/>
      <c r="J479" s="71"/>
      <c r="K479" s="71"/>
      <c r="L479" s="71"/>
      <c r="M479" s="71"/>
      <c r="N479" s="71"/>
      <c r="O479" s="71"/>
      <c r="P479" s="71"/>
      <c r="Q479" s="71"/>
      <c r="R479" s="71"/>
      <c r="S479" s="71"/>
      <c r="T479" s="71"/>
      <c r="U479" s="71"/>
      <c r="V479" s="71"/>
      <c r="W479" s="71"/>
      <c r="X479" s="71"/>
      <c r="Y479" s="71"/>
      <c r="Z479" s="71"/>
    </row>
    <row r="480" ht="15.75" customHeight="1">
      <c r="A480" s="72"/>
      <c r="B480" s="71"/>
      <c r="C480" s="71"/>
      <c r="D480" s="71"/>
      <c r="E480" s="71"/>
      <c r="F480" s="71"/>
      <c r="G480" s="59"/>
      <c r="H480" s="71"/>
      <c r="I480" s="71"/>
      <c r="J480" s="71"/>
      <c r="K480" s="71"/>
      <c r="L480" s="71"/>
      <c r="M480" s="71"/>
      <c r="N480" s="71"/>
      <c r="O480" s="71"/>
      <c r="P480" s="71"/>
      <c r="Q480" s="71"/>
      <c r="R480" s="71"/>
      <c r="S480" s="71"/>
      <c r="T480" s="71"/>
      <c r="U480" s="71"/>
      <c r="V480" s="71"/>
      <c r="W480" s="71"/>
      <c r="X480" s="71"/>
      <c r="Y480" s="71"/>
      <c r="Z480" s="71"/>
    </row>
    <row r="481" ht="15.75" customHeight="1">
      <c r="A481" s="72"/>
      <c r="B481" s="71"/>
      <c r="C481" s="71"/>
      <c r="D481" s="71"/>
      <c r="E481" s="71"/>
      <c r="F481" s="71"/>
      <c r="G481" s="59"/>
      <c r="H481" s="71"/>
      <c r="I481" s="71"/>
      <c r="J481" s="71"/>
      <c r="K481" s="71"/>
      <c r="L481" s="71"/>
      <c r="M481" s="71"/>
      <c r="N481" s="71"/>
      <c r="O481" s="71"/>
      <c r="P481" s="71"/>
      <c r="Q481" s="71"/>
      <c r="R481" s="71"/>
      <c r="S481" s="71"/>
      <c r="T481" s="71"/>
      <c r="U481" s="71"/>
      <c r="V481" s="71"/>
      <c r="W481" s="71"/>
      <c r="X481" s="71"/>
      <c r="Y481" s="71"/>
      <c r="Z481" s="71"/>
    </row>
    <row r="482" ht="15.75" customHeight="1">
      <c r="A482" s="72"/>
      <c r="B482" s="71"/>
      <c r="C482" s="71"/>
      <c r="D482" s="71"/>
      <c r="E482" s="71"/>
      <c r="F482" s="71"/>
      <c r="G482" s="59"/>
      <c r="H482" s="71"/>
      <c r="I482" s="71"/>
      <c r="J482" s="71"/>
      <c r="K482" s="71"/>
      <c r="L482" s="71"/>
      <c r="M482" s="71"/>
      <c r="N482" s="71"/>
      <c r="O482" s="71"/>
      <c r="P482" s="71"/>
      <c r="Q482" s="71"/>
      <c r="R482" s="71"/>
      <c r="S482" s="71"/>
      <c r="T482" s="71"/>
      <c r="U482" s="71"/>
      <c r="V482" s="71"/>
      <c r="W482" s="71"/>
      <c r="X482" s="71"/>
      <c r="Y482" s="71"/>
      <c r="Z482" s="71"/>
    </row>
    <row r="483" ht="15.75" customHeight="1">
      <c r="A483" s="72"/>
      <c r="B483" s="71"/>
      <c r="C483" s="71"/>
      <c r="D483" s="71"/>
      <c r="E483" s="71"/>
      <c r="F483" s="71"/>
      <c r="G483" s="59"/>
      <c r="H483" s="71"/>
      <c r="I483" s="71"/>
      <c r="J483" s="71"/>
      <c r="K483" s="71"/>
      <c r="L483" s="71"/>
      <c r="M483" s="71"/>
      <c r="N483" s="71"/>
      <c r="O483" s="71"/>
      <c r="P483" s="71"/>
      <c r="Q483" s="71"/>
      <c r="R483" s="71"/>
      <c r="S483" s="71"/>
      <c r="T483" s="71"/>
      <c r="U483" s="71"/>
      <c r="V483" s="71"/>
      <c r="W483" s="71"/>
      <c r="X483" s="71"/>
      <c r="Y483" s="71"/>
      <c r="Z483" s="71"/>
    </row>
    <row r="484" ht="15.75" customHeight="1">
      <c r="A484" s="72"/>
      <c r="B484" s="71"/>
      <c r="C484" s="71"/>
      <c r="D484" s="71"/>
      <c r="E484" s="71"/>
      <c r="F484" s="71"/>
      <c r="G484" s="59"/>
      <c r="H484" s="71"/>
      <c r="I484" s="71"/>
      <c r="J484" s="71"/>
      <c r="K484" s="71"/>
      <c r="L484" s="71"/>
      <c r="M484" s="71"/>
      <c r="N484" s="71"/>
      <c r="O484" s="71"/>
      <c r="P484" s="71"/>
      <c r="Q484" s="71"/>
      <c r="R484" s="71"/>
      <c r="S484" s="71"/>
      <c r="T484" s="71"/>
      <c r="U484" s="71"/>
      <c r="V484" s="71"/>
      <c r="W484" s="71"/>
      <c r="X484" s="71"/>
      <c r="Y484" s="71"/>
      <c r="Z484" s="71"/>
    </row>
    <row r="485" ht="15.75" customHeight="1">
      <c r="A485" s="72"/>
      <c r="B485" s="71"/>
      <c r="C485" s="71"/>
      <c r="D485" s="71"/>
      <c r="E485" s="71"/>
      <c r="F485" s="71"/>
      <c r="G485" s="59"/>
      <c r="H485" s="71"/>
      <c r="I485" s="71"/>
      <c r="J485" s="71"/>
      <c r="K485" s="71"/>
      <c r="L485" s="71"/>
      <c r="M485" s="71"/>
      <c r="N485" s="71"/>
      <c r="O485" s="71"/>
      <c r="P485" s="71"/>
      <c r="Q485" s="71"/>
      <c r="R485" s="71"/>
      <c r="S485" s="71"/>
      <c r="T485" s="71"/>
      <c r="U485" s="71"/>
      <c r="V485" s="71"/>
      <c r="W485" s="71"/>
      <c r="X485" s="71"/>
      <c r="Y485" s="71"/>
      <c r="Z485" s="71"/>
    </row>
    <row r="486" ht="15.75" customHeight="1">
      <c r="A486" s="72"/>
      <c r="B486" s="71"/>
      <c r="C486" s="71"/>
      <c r="D486" s="71"/>
      <c r="E486" s="71"/>
      <c r="F486" s="71"/>
      <c r="G486" s="59"/>
      <c r="H486" s="71"/>
      <c r="I486" s="71"/>
      <c r="J486" s="71"/>
      <c r="K486" s="71"/>
      <c r="L486" s="71"/>
      <c r="M486" s="71"/>
      <c r="N486" s="71"/>
      <c r="O486" s="71"/>
      <c r="P486" s="71"/>
      <c r="Q486" s="71"/>
      <c r="R486" s="71"/>
      <c r="S486" s="71"/>
      <c r="T486" s="71"/>
      <c r="U486" s="71"/>
      <c r="V486" s="71"/>
      <c r="W486" s="71"/>
      <c r="X486" s="71"/>
      <c r="Y486" s="71"/>
      <c r="Z486" s="71"/>
    </row>
    <row r="487" ht="15.75" customHeight="1">
      <c r="A487" s="72"/>
      <c r="B487" s="71"/>
      <c r="C487" s="71"/>
      <c r="D487" s="71"/>
      <c r="E487" s="71"/>
      <c r="F487" s="71"/>
      <c r="G487" s="59"/>
      <c r="H487" s="71"/>
      <c r="I487" s="71"/>
      <c r="J487" s="71"/>
      <c r="K487" s="71"/>
      <c r="L487" s="71"/>
      <c r="M487" s="71"/>
      <c r="N487" s="71"/>
      <c r="O487" s="71"/>
      <c r="P487" s="71"/>
      <c r="Q487" s="71"/>
      <c r="R487" s="71"/>
      <c r="S487" s="71"/>
      <c r="T487" s="71"/>
      <c r="U487" s="71"/>
      <c r="V487" s="71"/>
      <c r="W487" s="71"/>
      <c r="X487" s="71"/>
      <c r="Y487" s="71"/>
      <c r="Z487" s="71"/>
    </row>
    <row r="488" ht="15.75" customHeight="1">
      <c r="A488" s="72"/>
      <c r="B488" s="71"/>
      <c r="C488" s="71"/>
      <c r="D488" s="71"/>
      <c r="E488" s="71"/>
      <c r="F488" s="71"/>
      <c r="G488" s="59"/>
      <c r="H488" s="71"/>
      <c r="I488" s="71"/>
      <c r="J488" s="71"/>
      <c r="K488" s="71"/>
      <c r="L488" s="71"/>
      <c r="M488" s="71"/>
      <c r="N488" s="71"/>
      <c r="O488" s="71"/>
      <c r="P488" s="71"/>
      <c r="Q488" s="71"/>
      <c r="R488" s="71"/>
      <c r="S488" s="71"/>
      <c r="T488" s="71"/>
      <c r="U488" s="71"/>
      <c r="V488" s="71"/>
      <c r="W488" s="71"/>
      <c r="X488" s="71"/>
      <c r="Y488" s="71"/>
      <c r="Z488" s="71"/>
    </row>
    <row r="489" ht="15.75" customHeight="1">
      <c r="A489" s="72"/>
      <c r="B489" s="71"/>
      <c r="C489" s="71"/>
      <c r="D489" s="71"/>
      <c r="E489" s="71"/>
      <c r="F489" s="71"/>
      <c r="G489" s="59"/>
      <c r="H489" s="71"/>
      <c r="I489" s="71"/>
      <c r="J489" s="71"/>
      <c r="K489" s="71"/>
      <c r="L489" s="71"/>
      <c r="M489" s="71"/>
      <c r="N489" s="71"/>
      <c r="O489" s="71"/>
      <c r="P489" s="71"/>
      <c r="Q489" s="71"/>
      <c r="R489" s="71"/>
      <c r="S489" s="71"/>
      <c r="T489" s="71"/>
      <c r="U489" s="71"/>
      <c r="V489" s="71"/>
      <c r="W489" s="71"/>
      <c r="X489" s="71"/>
      <c r="Y489" s="71"/>
      <c r="Z489" s="71"/>
    </row>
    <row r="490" ht="15.75" customHeight="1">
      <c r="A490" s="72"/>
      <c r="B490" s="71"/>
      <c r="C490" s="71"/>
      <c r="D490" s="71"/>
      <c r="E490" s="71"/>
      <c r="F490" s="71"/>
      <c r="G490" s="59"/>
      <c r="H490" s="71"/>
      <c r="I490" s="71"/>
      <c r="J490" s="71"/>
      <c r="K490" s="71"/>
      <c r="L490" s="71"/>
      <c r="M490" s="71"/>
      <c r="N490" s="71"/>
      <c r="O490" s="71"/>
      <c r="P490" s="71"/>
      <c r="Q490" s="71"/>
      <c r="R490" s="71"/>
      <c r="S490" s="71"/>
      <c r="T490" s="71"/>
      <c r="U490" s="71"/>
      <c r="V490" s="71"/>
      <c r="W490" s="71"/>
      <c r="X490" s="71"/>
      <c r="Y490" s="71"/>
      <c r="Z490" s="71"/>
    </row>
    <row r="491" ht="15.75" customHeight="1">
      <c r="A491" s="72"/>
      <c r="B491" s="71"/>
      <c r="C491" s="71"/>
      <c r="D491" s="71"/>
      <c r="E491" s="71"/>
      <c r="F491" s="71"/>
      <c r="G491" s="59"/>
      <c r="H491" s="71"/>
      <c r="I491" s="71"/>
      <c r="J491" s="71"/>
      <c r="K491" s="71"/>
      <c r="L491" s="71"/>
      <c r="M491" s="71"/>
      <c r="N491" s="71"/>
      <c r="O491" s="71"/>
      <c r="P491" s="71"/>
      <c r="Q491" s="71"/>
      <c r="R491" s="71"/>
      <c r="S491" s="71"/>
      <c r="T491" s="71"/>
      <c r="U491" s="71"/>
      <c r="V491" s="71"/>
      <c r="W491" s="71"/>
      <c r="X491" s="71"/>
      <c r="Y491" s="71"/>
      <c r="Z491" s="71"/>
    </row>
    <row r="492" ht="15.75" customHeight="1">
      <c r="A492" s="72"/>
      <c r="B492" s="71"/>
      <c r="C492" s="71"/>
      <c r="D492" s="71"/>
      <c r="E492" s="71"/>
      <c r="F492" s="71"/>
      <c r="G492" s="59"/>
      <c r="H492" s="71"/>
      <c r="I492" s="71"/>
      <c r="J492" s="71"/>
      <c r="K492" s="71"/>
      <c r="L492" s="71"/>
      <c r="M492" s="71"/>
      <c r="N492" s="71"/>
      <c r="O492" s="71"/>
      <c r="P492" s="71"/>
      <c r="Q492" s="71"/>
      <c r="R492" s="71"/>
      <c r="S492" s="71"/>
      <c r="T492" s="71"/>
      <c r="U492" s="71"/>
      <c r="V492" s="71"/>
      <c r="W492" s="71"/>
      <c r="X492" s="71"/>
      <c r="Y492" s="71"/>
      <c r="Z492" s="71"/>
    </row>
    <row r="493" ht="15.75" customHeight="1">
      <c r="A493" s="72"/>
      <c r="B493" s="71"/>
      <c r="C493" s="71"/>
      <c r="D493" s="71"/>
      <c r="E493" s="71"/>
      <c r="F493" s="71"/>
      <c r="G493" s="59"/>
      <c r="H493" s="71"/>
      <c r="I493" s="71"/>
      <c r="J493" s="71"/>
      <c r="K493" s="71"/>
      <c r="L493" s="71"/>
      <c r="M493" s="71"/>
      <c r="N493" s="71"/>
      <c r="O493" s="71"/>
      <c r="P493" s="71"/>
      <c r="Q493" s="71"/>
      <c r="R493" s="71"/>
      <c r="S493" s="71"/>
      <c r="T493" s="71"/>
      <c r="U493" s="71"/>
      <c r="V493" s="71"/>
      <c r="W493" s="71"/>
      <c r="X493" s="71"/>
      <c r="Y493" s="71"/>
      <c r="Z493" s="71"/>
    </row>
    <row r="494" ht="15.75" customHeight="1">
      <c r="A494" s="72"/>
      <c r="B494" s="71"/>
      <c r="C494" s="71"/>
      <c r="D494" s="71"/>
      <c r="E494" s="71"/>
      <c r="F494" s="71"/>
      <c r="G494" s="59"/>
      <c r="H494" s="71"/>
      <c r="I494" s="71"/>
      <c r="J494" s="71"/>
      <c r="K494" s="71"/>
      <c r="L494" s="71"/>
      <c r="M494" s="71"/>
      <c r="N494" s="71"/>
      <c r="O494" s="71"/>
      <c r="P494" s="71"/>
      <c r="Q494" s="71"/>
      <c r="R494" s="71"/>
      <c r="S494" s="71"/>
      <c r="T494" s="71"/>
      <c r="U494" s="71"/>
      <c r="V494" s="71"/>
      <c r="W494" s="71"/>
      <c r="X494" s="71"/>
      <c r="Y494" s="71"/>
      <c r="Z494" s="71"/>
    </row>
    <row r="495" ht="15.75" customHeight="1">
      <c r="A495" s="72"/>
      <c r="B495" s="71"/>
      <c r="C495" s="71"/>
      <c r="D495" s="71"/>
      <c r="E495" s="71"/>
      <c r="F495" s="71"/>
      <c r="G495" s="59"/>
      <c r="H495" s="71"/>
      <c r="I495" s="71"/>
      <c r="J495" s="71"/>
      <c r="K495" s="71"/>
      <c r="L495" s="71"/>
      <c r="M495" s="71"/>
      <c r="N495" s="71"/>
      <c r="O495" s="71"/>
      <c r="P495" s="71"/>
      <c r="Q495" s="71"/>
      <c r="R495" s="71"/>
      <c r="S495" s="71"/>
      <c r="T495" s="71"/>
      <c r="U495" s="71"/>
      <c r="V495" s="71"/>
      <c r="W495" s="71"/>
      <c r="X495" s="71"/>
      <c r="Y495" s="71"/>
      <c r="Z495" s="71"/>
    </row>
    <row r="496" ht="15.75" customHeight="1">
      <c r="A496" s="72"/>
      <c r="B496" s="71"/>
      <c r="C496" s="71"/>
      <c r="D496" s="71"/>
      <c r="E496" s="71"/>
      <c r="F496" s="71"/>
      <c r="G496" s="59"/>
      <c r="H496" s="71"/>
      <c r="I496" s="71"/>
      <c r="J496" s="71"/>
      <c r="K496" s="71"/>
      <c r="L496" s="71"/>
      <c r="M496" s="71"/>
      <c r="N496" s="71"/>
      <c r="O496" s="71"/>
      <c r="P496" s="71"/>
      <c r="Q496" s="71"/>
      <c r="R496" s="71"/>
      <c r="S496" s="71"/>
      <c r="T496" s="71"/>
      <c r="U496" s="71"/>
      <c r="V496" s="71"/>
      <c r="W496" s="71"/>
      <c r="X496" s="71"/>
      <c r="Y496" s="71"/>
      <c r="Z496" s="71"/>
    </row>
    <row r="497" ht="15.75" customHeight="1">
      <c r="A497" s="72"/>
      <c r="B497" s="71"/>
      <c r="C497" s="71"/>
      <c r="D497" s="71"/>
      <c r="E497" s="71"/>
      <c r="F497" s="71"/>
      <c r="G497" s="59"/>
      <c r="H497" s="71"/>
      <c r="I497" s="71"/>
      <c r="J497" s="71"/>
      <c r="K497" s="71"/>
      <c r="L497" s="71"/>
      <c r="M497" s="71"/>
      <c r="N497" s="71"/>
      <c r="O497" s="71"/>
      <c r="P497" s="71"/>
      <c r="Q497" s="71"/>
      <c r="R497" s="71"/>
      <c r="S497" s="71"/>
      <c r="T497" s="71"/>
      <c r="U497" s="71"/>
      <c r="V497" s="71"/>
      <c r="W497" s="71"/>
      <c r="X497" s="71"/>
      <c r="Y497" s="71"/>
      <c r="Z497" s="71"/>
    </row>
    <row r="498" ht="15.75" customHeight="1">
      <c r="A498" s="72"/>
      <c r="B498" s="71"/>
      <c r="C498" s="71"/>
      <c r="D498" s="71"/>
      <c r="E498" s="71"/>
      <c r="F498" s="71"/>
      <c r="G498" s="59"/>
      <c r="H498" s="71"/>
      <c r="I498" s="71"/>
      <c r="J498" s="71"/>
      <c r="K498" s="71"/>
      <c r="L498" s="71"/>
      <c r="M498" s="71"/>
      <c r="N498" s="71"/>
      <c r="O498" s="71"/>
      <c r="P498" s="71"/>
      <c r="Q498" s="71"/>
      <c r="R498" s="71"/>
      <c r="S498" s="71"/>
      <c r="T498" s="71"/>
      <c r="U498" s="71"/>
      <c r="V498" s="71"/>
      <c r="W498" s="71"/>
      <c r="X498" s="71"/>
      <c r="Y498" s="71"/>
      <c r="Z498" s="71"/>
    </row>
    <row r="499" ht="15.75" customHeight="1">
      <c r="A499" s="72"/>
      <c r="B499" s="71"/>
      <c r="C499" s="71"/>
      <c r="D499" s="71"/>
      <c r="E499" s="71"/>
      <c r="F499" s="71"/>
      <c r="G499" s="59"/>
      <c r="H499" s="71"/>
      <c r="I499" s="71"/>
      <c r="J499" s="71"/>
      <c r="K499" s="71"/>
      <c r="L499" s="71"/>
      <c r="M499" s="71"/>
      <c r="N499" s="71"/>
      <c r="O499" s="71"/>
      <c r="P499" s="71"/>
      <c r="Q499" s="71"/>
      <c r="R499" s="71"/>
      <c r="S499" s="71"/>
      <c r="T499" s="71"/>
      <c r="U499" s="71"/>
      <c r="V499" s="71"/>
      <c r="W499" s="71"/>
      <c r="X499" s="71"/>
      <c r="Y499" s="71"/>
      <c r="Z499" s="71"/>
    </row>
    <row r="500" ht="15.75" customHeight="1">
      <c r="A500" s="72"/>
      <c r="B500" s="71"/>
      <c r="C500" s="71"/>
      <c r="D500" s="71"/>
      <c r="E500" s="71"/>
      <c r="F500" s="71"/>
      <c r="G500" s="59"/>
      <c r="H500" s="71"/>
      <c r="I500" s="71"/>
      <c r="J500" s="71"/>
      <c r="K500" s="71"/>
      <c r="L500" s="71"/>
      <c r="M500" s="71"/>
      <c r="N500" s="71"/>
      <c r="O500" s="71"/>
      <c r="P500" s="71"/>
      <c r="Q500" s="71"/>
      <c r="R500" s="71"/>
      <c r="S500" s="71"/>
      <c r="T500" s="71"/>
      <c r="U500" s="71"/>
      <c r="V500" s="71"/>
      <c r="W500" s="71"/>
      <c r="X500" s="71"/>
      <c r="Y500" s="71"/>
      <c r="Z500" s="71"/>
    </row>
    <row r="501" ht="15.75" customHeight="1">
      <c r="A501" s="72"/>
      <c r="B501" s="71"/>
      <c r="C501" s="71"/>
      <c r="D501" s="71"/>
      <c r="E501" s="71"/>
      <c r="F501" s="71"/>
      <c r="G501" s="59"/>
      <c r="H501" s="71"/>
      <c r="I501" s="71"/>
      <c r="J501" s="71"/>
      <c r="K501" s="71"/>
      <c r="L501" s="71"/>
      <c r="M501" s="71"/>
      <c r="N501" s="71"/>
      <c r="O501" s="71"/>
      <c r="P501" s="71"/>
      <c r="Q501" s="71"/>
      <c r="R501" s="71"/>
      <c r="S501" s="71"/>
      <c r="T501" s="71"/>
      <c r="U501" s="71"/>
      <c r="V501" s="71"/>
      <c r="W501" s="71"/>
      <c r="X501" s="71"/>
      <c r="Y501" s="71"/>
      <c r="Z501" s="71"/>
    </row>
    <row r="502" ht="15.75" customHeight="1">
      <c r="A502" s="72"/>
      <c r="B502" s="71"/>
      <c r="C502" s="71"/>
      <c r="D502" s="71"/>
      <c r="E502" s="71"/>
      <c r="F502" s="71"/>
      <c r="G502" s="59"/>
      <c r="H502" s="71"/>
      <c r="I502" s="71"/>
      <c r="J502" s="71"/>
      <c r="K502" s="71"/>
      <c r="L502" s="71"/>
      <c r="M502" s="71"/>
      <c r="N502" s="71"/>
      <c r="O502" s="71"/>
      <c r="P502" s="71"/>
      <c r="Q502" s="71"/>
      <c r="R502" s="71"/>
      <c r="S502" s="71"/>
      <c r="T502" s="71"/>
      <c r="U502" s="71"/>
      <c r="V502" s="71"/>
      <c r="W502" s="71"/>
      <c r="X502" s="71"/>
      <c r="Y502" s="71"/>
      <c r="Z502" s="71"/>
    </row>
    <row r="503" ht="15.75" customHeight="1">
      <c r="A503" s="72"/>
      <c r="B503" s="71"/>
      <c r="C503" s="71"/>
      <c r="D503" s="71"/>
      <c r="E503" s="71"/>
      <c r="F503" s="71"/>
      <c r="G503" s="59"/>
      <c r="H503" s="71"/>
      <c r="I503" s="71"/>
      <c r="J503" s="71"/>
      <c r="K503" s="71"/>
      <c r="L503" s="71"/>
      <c r="M503" s="71"/>
      <c r="N503" s="71"/>
      <c r="O503" s="71"/>
      <c r="P503" s="71"/>
      <c r="Q503" s="71"/>
      <c r="R503" s="71"/>
      <c r="S503" s="71"/>
      <c r="T503" s="71"/>
      <c r="U503" s="71"/>
      <c r="V503" s="71"/>
      <c r="W503" s="71"/>
      <c r="X503" s="71"/>
      <c r="Y503" s="71"/>
      <c r="Z503" s="71"/>
    </row>
    <row r="504" ht="15.75" customHeight="1">
      <c r="A504" s="72"/>
      <c r="B504" s="71"/>
      <c r="C504" s="71"/>
      <c r="D504" s="71"/>
      <c r="E504" s="71"/>
      <c r="F504" s="71"/>
      <c r="G504" s="59"/>
      <c r="H504" s="71"/>
      <c r="I504" s="71"/>
      <c r="J504" s="71"/>
      <c r="K504" s="71"/>
      <c r="L504" s="71"/>
      <c r="M504" s="71"/>
      <c r="N504" s="71"/>
      <c r="O504" s="71"/>
      <c r="P504" s="71"/>
      <c r="Q504" s="71"/>
      <c r="R504" s="71"/>
      <c r="S504" s="71"/>
      <c r="T504" s="71"/>
      <c r="U504" s="71"/>
      <c r="V504" s="71"/>
      <c r="W504" s="71"/>
      <c r="X504" s="71"/>
      <c r="Y504" s="71"/>
      <c r="Z504" s="71"/>
    </row>
    <row r="505" ht="15.75" customHeight="1">
      <c r="A505" s="72"/>
      <c r="B505" s="71"/>
      <c r="C505" s="71"/>
      <c r="D505" s="71"/>
      <c r="E505" s="71"/>
      <c r="F505" s="71"/>
      <c r="G505" s="59"/>
      <c r="H505" s="71"/>
      <c r="I505" s="71"/>
      <c r="J505" s="71"/>
      <c r="K505" s="71"/>
      <c r="L505" s="71"/>
      <c r="M505" s="71"/>
      <c r="N505" s="71"/>
      <c r="O505" s="71"/>
      <c r="P505" s="71"/>
      <c r="Q505" s="71"/>
      <c r="R505" s="71"/>
      <c r="S505" s="71"/>
      <c r="T505" s="71"/>
      <c r="U505" s="71"/>
      <c r="V505" s="71"/>
      <c r="W505" s="71"/>
      <c r="X505" s="71"/>
      <c r="Y505" s="71"/>
      <c r="Z505" s="71"/>
    </row>
    <row r="506" ht="15.75" customHeight="1">
      <c r="A506" s="72"/>
      <c r="B506" s="71"/>
      <c r="C506" s="71"/>
      <c r="D506" s="71"/>
      <c r="E506" s="71"/>
      <c r="F506" s="71"/>
      <c r="G506" s="59"/>
      <c r="H506" s="71"/>
      <c r="I506" s="71"/>
      <c r="J506" s="71"/>
      <c r="K506" s="71"/>
      <c r="L506" s="71"/>
      <c r="M506" s="71"/>
      <c r="N506" s="71"/>
      <c r="O506" s="71"/>
      <c r="P506" s="71"/>
      <c r="Q506" s="71"/>
      <c r="R506" s="71"/>
      <c r="S506" s="71"/>
      <c r="T506" s="71"/>
      <c r="U506" s="71"/>
      <c r="V506" s="71"/>
      <c r="W506" s="71"/>
      <c r="X506" s="71"/>
      <c r="Y506" s="71"/>
      <c r="Z506" s="71"/>
    </row>
    <row r="507" ht="15.75" customHeight="1">
      <c r="A507" s="72"/>
      <c r="B507" s="71"/>
      <c r="C507" s="71"/>
      <c r="D507" s="71"/>
      <c r="E507" s="71"/>
      <c r="F507" s="71"/>
      <c r="G507" s="59"/>
      <c r="H507" s="71"/>
      <c r="I507" s="71"/>
      <c r="J507" s="71"/>
      <c r="K507" s="71"/>
      <c r="L507" s="71"/>
      <c r="M507" s="71"/>
      <c r="N507" s="71"/>
      <c r="O507" s="71"/>
      <c r="P507" s="71"/>
      <c r="Q507" s="71"/>
      <c r="R507" s="71"/>
      <c r="S507" s="71"/>
      <c r="T507" s="71"/>
      <c r="U507" s="71"/>
      <c r="V507" s="71"/>
      <c r="W507" s="71"/>
      <c r="X507" s="71"/>
      <c r="Y507" s="71"/>
      <c r="Z507" s="71"/>
    </row>
    <row r="508" ht="15.75" customHeight="1">
      <c r="A508" s="72"/>
      <c r="B508" s="71"/>
      <c r="C508" s="71"/>
      <c r="D508" s="71"/>
      <c r="E508" s="71"/>
      <c r="F508" s="71"/>
      <c r="G508" s="59"/>
      <c r="H508" s="71"/>
      <c r="I508" s="71"/>
      <c r="J508" s="71"/>
      <c r="K508" s="71"/>
      <c r="L508" s="71"/>
      <c r="M508" s="71"/>
      <c r="N508" s="71"/>
      <c r="O508" s="71"/>
      <c r="P508" s="71"/>
      <c r="Q508" s="71"/>
      <c r="R508" s="71"/>
      <c r="S508" s="71"/>
      <c r="T508" s="71"/>
      <c r="U508" s="71"/>
      <c r="V508" s="71"/>
      <c r="W508" s="71"/>
      <c r="X508" s="71"/>
      <c r="Y508" s="71"/>
      <c r="Z508" s="71"/>
    </row>
    <row r="509" ht="15.75" customHeight="1">
      <c r="A509" s="72"/>
      <c r="B509" s="71"/>
      <c r="C509" s="71"/>
      <c r="D509" s="71"/>
      <c r="E509" s="71"/>
      <c r="F509" s="71"/>
      <c r="G509" s="59"/>
      <c r="H509" s="71"/>
      <c r="I509" s="71"/>
      <c r="J509" s="71"/>
      <c r="K509" s="71"/>
      <c r="L509" s="71"/>
      <c r="M509" s="71"/>
      <c r="N509" s="71"/>
      <c r="O509" s="71"/>
      <c r="P509" s="71"/>
      <c r="Q509" s="71"/>
      <c r="R509" s="71"/>
      <c r="S509" s="71"/>
      <c r="T509" s="71"/>
      <c r="U509" s="71"/>
      <c r="V509" s="71"/>
      <c r="W509" s="71"/>
      <c r="X509" s="71"/>
      <c r="Y509" s="71"/>
      <c r="Z509" s="71"/>
    </row>
    <row r="510" ht="15.75" customHeight="1">
      <c r="A510" s="72"/>
      <c r="B510" s="71"/>
      <c r="C510" s="71"/>
      <c r="D510" s="71"/>
      <c r="E510" s="71"/>
      <c r="F510" s="71"/>
      <c r="G510" s="59"/>
      <c r="H510" s="71"/>
      <c r="I510" s="71"/>
      <c r="J510" s="71"/>
      <c r="K510" s="71"/>
      <c r="L510" s="71"/>
      <c r="M510" s="71"/>
      <c r="N510" s="71"/>
      <c r="O510" s="71"/>
      <c r="P510" s="71"/>
      <c r="Q510" s="71"/>
      <c r="R510" s="71"/>
      <c r="S510" s="71"/>
      <c r="T510" s="71"/>
      <c r="U510" s="71"/>
      <c r="V510" s="71"/>
      <c r="W510" s="71"/>
      <c r="X510" s="71"/>
      <c r="Y510" s="71"/>
      <c r="Z510" s="71"/>
    </row>
    <row r="511" ht="15.75" customHeight="1">
      <c r="A511" s="72"/>
      <c r="B511" s="71"/>
      <c r="C511" s="71"/>
      <c r="D511" s="71"/>
      <c r="E511" s="71"/>
      <c r="F511" s="71"/>
      <c r="G511" s="59"/>
      <c r="H511" s="71"/>
      <c r="I511" s="71"/>
      <c r="J511" s="71"/>
      <c r="K511" s="71"/>
      <c r="L511" s="71"/>
      <c r="M511" s="71"/>
      <c r="N511" s="71"/>
      <c r="O511" s="71"/>
      <c r="P511" s="71"/>
      <c r="Q511" s="71"/>
      <c r="R511" s="71"/>
      <c r="S511" s="71"/>
      <c r="T511" s="71"/>
      <c r="U511" s="71"/>
      <c r="V511" s="71"/>
      <c r="W511" s="71"/>
      <c r="X511" s="71"/>
      <c r="Y511" s="71"/>
      <c r="Z511" s="71"/>
    </row>
    <row r="512" ht="15.75" customHeight="1">
      <c r="A512" s="72"/>
      <c r="B512" s="71"/>
      <c r="C512" s="71"/>
      <c r="D512" s="71"/>
      <c r="E512" s="71"/>
      <c r="F512" s="71"/>
      <c r="G512" s="59"/>
      <c r="H512" s="71"/>
      <c r="I512" s="71"/>
      <c r="J512" s="71"/>
      <c r="K512" s="71"/>
      <c r="L512" s="71"/>
      <c r="M512" s="71"/>
      <c r="N512" s="71"/>
      <c r="O512" s="71"/>
      <c r="P512" s="71"/>
      <c r="Q512" s="71"/>
      <c r="R512" s="71"/>
      <c r="S512" s="71"/>
      <c r="T512" s="71"/>
      <c r="U512" s="71"/>
      <c r="V512" s="71"/>
      <c r="W512" s="71"/>
      <c r="X512" s="71"/>
      <c r="Y512" s="71"/>
      <c r="Z512" s="71"/>
    </row>
    <row r="513" ht="15.75" customHeight="1">
      <c r="A513" s="72"/>
      <c r="B513" s="71"/>
      <c r="C513" s="71"/>
      <c r="D513" s="71"/>
      <c r="E513" s="71"/>
      <c r="F513" s="71"/>
      <c r="G513" s="59"/>
      <c r="H513" s="71"/>
      <c r="I513" s="71"/>
      <c r="J513" s="71"/>
      <c r="K513" s="71"/>
      <c r="L513" s="71"/>
      <c r="M513" s="71"/>
      <c r="N513" s="71"/>
      <c r="O513" s="71"/>
      <c r="P513" s="71"/>
      <c r="Q513" s="71"/>
      <c r="R513" s="71"/>
      <c r="S513" s="71"/>
      <c r="T513" s="71"/>
      <c r="U513" s="71"/>
      <c r="V513" s="71"/>
      <c r="W513" s="71"/>
      <c r="X513" s="71"/>
      <c r="Y513" s="71"/>
      <c r="Z513" s="71"/>
    </row>
    <row r="514" ht="15.75" customHeight="1">
      <c r="A514" s="72"/>
      <c r="B514" s="71"/>
      <c r="C514" s="71"/>
      <c r="D514" s="71"/>
      <c r="E514" s="71"/>
      <c r="F514" s="71"/>
      <c r="G514" s="59"/>
      <c r="H514" s="71"/>
      <c r="I514" s="71"/>
      <c r="J514" s="71"/>
      <c r="K514" s="71"/>
      <c r="L514" s="71"/>
      <c r="M514" s="71"/>
      <c r="N514" s="71"/>
      <c r="O514" s="71"/>
      <c r="P514" s="71"/>
      <c r="Q514" s="71"/>
      <c r="R514" s="71"/>
      <c r="S514" s="71"/>
      <c r="T514" s="71"/>
      <c r="U514" s="71"/>
      <c r="V514" s="71"/>
      <c r="W514" s="71"/>
      <c r="X514" s="71"/>
      <c r="Y514" s="71"/>
      <c r="Z514" s="71"/>
    </row>
    <row r="515" ht="15.75" customHeight="1">
      <c r="A515" s="72"/>
      <c r="B515" s="71"/>
      <c r="C515" s="71"/>
      <c r="D515" s="71"/>
      <c r="E515" s="71"/>
      <c r="F515" s="71"/>
      <c r="G515" s="59"/>
      <c r="H515" s="71"/>
      <c r="I515" s="71"/>
      <c r="J515" s="71"/>
      <c r="K515" s="71"/>
      <c r="L515" s="71"/>
      <c r="M515" s="71"/>
      <c r="N515" s="71"/>
      <c r="O515" s="71"/>
      <c r="P515" s="71"/>
      <c r="Q515" s="71"/>
      <c r="R515" s="71"/>
      <c r="S515" s="71"/>
      <c r="T515" s="71"/>
      <c r="U515" s="71"/>
      <c r="V515" s="71"/>
      <c r="W515" s="71"/>
      <c r="X515" s="71"/>
      <c r="Y515" s="71"/>
      <c r="Z515" s="71"/>
    </row>
    <row r="516" ht="15.75" customHeight="1">
      <c r="A516" s="72"/>
      <c r="B516" s="71"/>
      <c r="C516" s="71"/>
      <c r="D516" s="71"/>
      <c r="E516" s="71"/>
      <c r="F516" s="71"/>
      <c r="G516" s="59"/>
      <c r="H516" s="71"/>
      <c r="I516" s="71"/>
      <c r="J516" s="71"/>
      <c r="K516" s="71"/>
      <c r="L516" s="71"/>
      <c r="M516" s="71"/>
      <c r="N516" s="71"/>
      <c r="O516" s="71"/>
      <c r="P516" s="71"/>
      <c r="Q516" s="71"/>
      <c r="R516" s="71"/>
      <c r="S516" s="71"/>
      <c r="T516" s="71"/>
      <c r="U516" s="71"/>
      <c r="V516" s="71"/>
      <c r="W516" s="71"/>
      <c r="X516" s="71"/>
      <c r="Y516" s="71"/>
      <c r="Z516" s="71"/>
    </row>
    <row r="517" ht="15.75" customHeight="1">
      <c r="A517" s="72"/>
      <c r="B517" s="71"/>
      <c r="C517" s="71"/>
      <c r="D517" s="71"/>
      <c r="E517" s="71"/>
      <c r="F517" s="71"/>
      <c r="G517" s="59"/>
      <c r="H517" s="71"/>
      <c r="I517" s="71"/>
      <c r="J517" s="71"/>
      <c r="K517" s="71"/>
      <c r="L517" s="71"/>
      <c r="M517" s="71"/>
      <c r="N517" s="71"/>
      <c r="O517" s="71"/>
      <c r="P517" s="71"/>
      <c r="Q517" s="71"/>
      <c r="R517" s="71"/>
      <c r="S517" s="71"/>
      <c r="T517" s="71"/>
      <c r="U517" s="71"/>
      <c r="V517" s="71"/>
      <c r="W517" s="71"/>
      <c r="X517" s="71"/>
      <c r="Y517" s="71"/>
      <c r="Z517" s="71"/>
    </row>
    <row r="518" ht="15.75" customHeight="1">
      <c r="A518" s="72"/>
      <c r="B518" s="71"/>
      <c r="C518" s="71"/>
      <c r="D518" s="71"/>
      <c r="E518" s="71"/>
      <c r="F518" s="71"/>
      <c r="G518" s="59"/>
      <c r="H518" s="71"/>
      <c r="I518" s="71"/>
      <c r="J518" s="71"/>
      <c r="K518" s="71"/>
      <c r="L518" s="71"/>
      <c r="M518" s="71"/>
      <c r="N518" s="71"/>
      <c r="O518" s="71"/>
      <c r="P518" s="71"/>
      <c r="Q518" s="71"/>
      <c r="R518" s="71"/>
      <c r="S518" s="71"/>
      <c r="T518" s="71"/>
      <c r="U518" s="71"/>
      <c r="V518" s="71"/>
      <c r="W518" s="71"/>
      <c r="X518" s="71"/>
      <c r="Y518" s="71"/>
      <c r="Z518" s="71"/>
    </row>
    <row r="519" ht="15.75" customHeight="1">
      <c r="A519" s="72"/>
      <c r="B519" s="71"/>
      <c r="C519" s="71"/>
      <c r="D519" s="71"/>
      <c r="E519" s="71"/>
      <c r="F519" s="71"/>
      <c r="G519" s="59"/>
      <c r="H519" s="71"/>
      <c r="I519" s="71"/>
      <c r="J519" s="71"/>
      <c r="K519" s="71"/>
      <c r="L519" s="71"/>
      <c r="M519" s="71"/>
      <c r="N519" s="71"/>
      <c r="O519" s="71"/>
      <c r="P519" s="71"/>
      <c r="Q519" s="71"/>
      <c r="R519" s="71"/>
      <c r="S519" s="71"/>
      <c r="T519" s="71"/>
      <c r="U519" s="71"/>
      <c r="V519" s="71"/>
      <c r="W519" s="71"/>
      <c r="X519" s="71"/>
      <c r="Y519" s="71"/>
      <c r="Z519" s="71"/>
    </row>
    <row r="520" ht="15.75" customHeight="1">
      <c r="A520" s="72"/>
      <c r="B520" s="71"/>
      <c r="C520" s="71"/>
      <c r="D520" s="71"/>
      <c r="E520" s="71"/>
      <c r="F520" s="71"/>
      <c r="G520" s="59"/>
      <c r="H520" s="71"/>
      <c r="I520" s="71"/>
      <c r="J520" s="71"/>
      <c r="K520" s="71"/>
      <c r="L520" s="71"/>
      <c r="M520" s="71"/>
      <c r="N520" s="71"/>
      <c r="O520" s="71"/>
      <c r="P520" s="71"/>
      <c r="Q520" s="71"/>
      <c r="R520" s="71"/>
      <c r="S520" s="71"/>
      <c r="T520" s="71"/>
      <c r="U520" s="71"/>
      <c r="V520" s="71"/>
      <c r="W520" s="71"/>
      <c r="X520" s="71"/>
      <c r="Y520" s="71"/>
      <c r="Z520" s="71"/>
    </row>
    <row r="521" ht="15.75" customHeight="1">
      <c r="A521" s="72"/>
      <c r="B521" s="71"/>
      <c r="C521" s="71"/>
      <c r="D521" s="71"/>
      <c r="E521" s="71"/>
      <c r="F521" s="71"/>
      <c r="G521" s="59"/>
      <c r="H521" s="71"/>
      <c r="I521" s="71"/>
      <c r="J521" s="71"/>
      <c r="K521" s="71"/>
      <c r="L521" s="71"/>
      <c r="M521" s="71"/>
      <c r="N521" s="71"/>
      <c r="O521" s="71"/>
      <c r="P521" s="71"/>
      <c r="Q521" s="71"/>
      <c r="R521" s="71"/>
      <c r="S521" s="71"/>
      <c r="T521" s="71"/>
      <c r="U521" s="71"/>
      <c r="V521" s="71"/>
      <c r="W521" s="71"/>
      <c r="X521" s="71"/>
      <c r="Y521" s="71"/>
      <c r="Z521" s="71"/>
    </row>
    <row r="522" ht="15.75" customHeight="1">
      <c r="A522" s="72"/>
      <c r="B522" s="71"/>
      <c r="C522" s="71"/>
      <c r="D522" s="71"/>
      <c r="E522" s="71"/>
      <c r="F522" s="71"/>
      <c r="G522" s="59"/>
      <c r="H522" s="71"/>
      <c r="I522" s="71"/>
      <c r="J522" s="71"/>
      <c r="K522" s="71"/>
      <c r="L522" s="71"/>
      <c r="M522" s="71"/>
      <c r="N522" s="71"/>
      <c r="O522" s="71"/>
      <c r="P522" s="71"/>
      <c r="Q522" s="71"/>
      <c r="R522" s="71"/>
      <c r="S522" s="71"/>
      <c r="T522" s="71"/>
      <c r="U522" s="71"/>
      <c r="V522" s="71"/>
      <c r="W522" s="71"/>
      <c r="X522" s="71"/>
      <c r="Y522" s="71"/>
      <c r="Z522" s="71"/>
    </row>
    <row r="523" ht="15.75" customHeight="1">
      <c r="A523" s="72"/>
      <c r="B523" s="71"/>
      <c r="C523" s="71"/>
      <c r="D523" s="71"/>
      <c r="E523" s="71"/>
      <c r="F523" s="71"/>
      <c r="G523" s="59"/>
      <c r="H523" s="71"/>
      <c r="I523" s="71"/>
      <c r="J523" s="71"/>
      <c r="K523" s="71"/>
      <c r="L523" s="71"/>
      <c r="M523" s="71"/>
      <c r="N523" s="71"/>
      <c r="O523" s="71"/>
      <c r="P523" s="71"/>
      <c r="Q523" s="71"/>
      <c r="R523" s="71"/>
      <c r="S523" s="71"/>
      <c r="T523" s="71"/>
      <c r="U523" s="71"/>
      <c r="V523" s="71"/>
      <c r="W523" s="71"/>
      <c r="X523" s="71"/>
      <c r="Y523" s="71"/>
      <c r="Z523" s="71"/>
    </row>
    <row r="524" ht="15.75" customHeight="1">
      <c r="A524" s="72"/>
      <c r="B524" s="71"/>
      <c r="C524" s="71"/>
      <c r="D524" s="71"/>
      <c r="E524" s="71"/>
      <c r="F524" s="71"/>
      <c r="G524" s="59"/>
      <c r="H524" s="71"/>
      <c r="I524" s="71"/>
      <c r="J524" s="71"/>
      <c r="K524" s="71"/>
      <c r="L524" s="71"/>
      <c r="M524" s="71"/>
      <c r="N524" s="71"/>
      <c r="O524" s="71"/>
      <c r="P524" s="71"/>
      <c r="Q524" s="71"/>
      <c r="R524" s="71"/>
      <c r="S524" s="71"/>
      <c r="T524" s="71"/>
      <c r="U524" s="71"/>
      <c r="V524" s="71"/>
      <c r="W524" s="71"/>
      <c r="X524" s="71"/>
      <c r="Y524" s="71"/>
      <c r="Z524" s="71"/>
    </row>
    <row r="525" ht="15.75" customHeight="1">
      <c r="A525" s="72"/>
      <c r="B525" s="71"/>
      <c r="C525" s="71"/>
      <c r="D525" s="71"/>
      <c r="E525" s="71"/>
      <c r="F525" s="71"/>
      <c r="G525" s="59"/>
      <c r="H525" s="71"/>
      <c r="I525" s="71"/>
      <c r="J525" s="71"/>
      <c r="K525" s="71"/>
      <c r="L525" s="71"/>
      <c r="M525" s="71"/>
      <c r="N525" s="71"/>
      <c r="O525" s="71"/>
      <c r="P525" s="71"/>
      <c r="Q525" s="71"/>
      <c r="R525" s="71"/>
      <c r="S525" s="71"/>
      <c r="T525" s="71"/>
      <c r="U525" s="71"/>
      <c r="V525" s="71"/>
      <c r="W525" s="71"/>
      <c r="X525" s="71"/>
      <c r="Y525" s="71"/>
      <c r="Z525" s="71"/>
    </row>
    <row r="526" ht="15.75" customHeight="1">
      <c r="A526" s="72"/>
      <c r="B526" s="71"/>
      <c r="C526" s="71"/>
      <c r="D526" s="71"/>
      <c r="E526" s="71"/>
      <c r="F526" s="71"/>
      <c r="G526" s="59"/>
      <c r="H526" s="71"/>
      <c r="I526" s="71"/>
      <c r="J526" s="71"/>
      <c r="K526" s="71"/>
      <c r="L526" s="71"/>
      <c r="M526" s="71"/>
      <c r="N526" s="71"/>
      <c r="O526" s="71"/>
      <c r="P526" s="71"/>
      <c r="Q526" s="71"/>
      <c r="R526" s="71"/>
      <c r="S526" s="71"/>
      <c r="T526" s="71"/>
      <c r="U526" s="71"/>
      <c r="V526" s="71"/>
      <c r="W526" s="71"/>
      <c r="X526" s="71"/>
      <c r="Y526" s="71"/>
      <c r="Z526" s="71"/>
    </row>
    <row r="527" ht="15.75" customHeight="1">
      <c r="A527" s="72"/>
      <c r="B527" s="71"/>
      <c r="C527" s="71"/>
      <c r="D527" s="71"/>
      <c r="E527" s="71"/>
      <c r="F527" s="71"/>
      <c r="G527" s="59"/>
      <c r="H527" s="71"/>
      <c r="I527" s="71"/>
      <c r="J527" s="71"/>
      <c r="K527" s="71"/>
      <c r="L527" s="71"/>
      <c r="M527" s="71"/>
      <c r="N527" s="71"/>
      <c r="O527" s="71"/>
      <c r="P527" s="71"/>
      <c r="Q527" s="71"/>
      <c r="R527" s="71"/>
      <c r="S527" s="71"/>
      <c r="T527" s="71"/>
      <c r="U527" s="71"/>
      <c r="V527" s="71"/>
      <c r="W527" s="71"/>
      <c r="X527" s="71"/>
      <c r="Y527" s="71"/>
      <c r="Z527" s="71"/>
    </row>
    <row r="528" ht="15.75" customHeight="1">
      <c r="A528" s="72"/>
      <c r="B528" s="71"/>
      <c r="C528" s="71"/>
      <c r="D528" s="71"/>
      <c r="E528" s="71"/>
      <c r="F528" s="71"/>
      <c r="G528" s="59"/>
      <c r="H528" s="71"/>
      <c r="I528" s="71"/>
      <c r="J528" s="71"/>
      <c r="K528" s="71"/>
      <c r="L528" s="71"/>
      <c r="M528" s="71"/>
      <c r="N528" s="71"/>
      <c r="O528" s="71"/>
      <c r="P528" s="71"/>
      <c r="Q528" s="71"/>
      <c r="R528" s="71"/>
      <c r="S528" s="71"/>
      <c r="T528" s="71"/>
      <c r="U528" s="71"/>
      <c r="V528" s="71"/>
      <c r="W528" s="71"/>
      <c r="X528" s="71"/>
      <c r="Y528" s="71"/>
      <c r="Z528" s="71"/>
    </row>
    <row r="529" ht="15.75" customHeight="1">
      <c r="A529" s="72"/>
      <c r="B529" s="71"/>
      <c r="C529" s="71"/>
      <c r="D529" s="71"/>
      <c r="E529" s="71"/>
      <c r="F529" s="71"/>
      <c r="G529" s="59"/>
      <c r="H529" s="71"/>
      <c r="I529" s="71"/>
      <c r="J529" s="71"/>
      <c r="K529" s="71"/>
      <c r="L529" s="71"/>
      <c r="M529" s="71"/>
      <c r="N529" s="71"/>
      <c r="O529" s="71"/>
      <c r="P529" s="71"/>
      <c r="Q529" s="71"/>
      <c r="R529" s="71"/>
      <c r="S529" s="71"/>
      <c r="T529" s="71"/>
      <c r="U529" s="71"/>
      <c r="V529" s="71"/>
      <c r="W529" s="71"/>
      <c r="X529" s="71"/>
      <c r="Y529" s="71"/>
      <c r="Z529" s="71"/>
    </row>
    <row r="530" ht="15.75" customHeight="1">
      <c r="A530" s="72"/>
      <c r="B530" s="71"/>
      <c r="C530" s="71"/>
      <c r="D530" s="71"/>
      <c r="E530" s="71"/>
      <c r="F530" s="71"/>
      <c r="G530" s="59"/>
      <c r="H530" s="71"/>
      <c r="I530" s="71"/>
      <c r="J530" s="71"/>
      <c r="K530" s="71"/>
      <c r="L530" s="71"/>
      <c r="M530" s="71"/>
      <c r="N530" s="71"/>
      <c r="O530" s="71"/>
      <c r="P530" s="71"/>
      <c r="Q530" s="71"/>
      <c r="R530" s="71"/>
      <c r="S530" s="71"/>
      <c r="T530" s="71"/>
      <c r="U530" s="71"/>
      <c r="V530" s="71"/>
      <c r="W530" s="71"/>
      <c r="X530" s="71"/>
      <c r="Y530" s="71"/>
      <c r="Z530" s="71"/>
    </row>
    <row r="531" ht="15.75" customHeight="1">
      <c r="A531" s="72"/>
      <c r="B531" s="71"/>
      <c r="C531" s="71"/>
      <c r="D531" s="71"/>
      <c r="E531" s="71"/>
      <c r="F531" s="71"/>
      <c r="G531" s="59"/>
      <c r="H531" s="71"/>
      <c r="I531" s="71"/>
      <c r="J531" s="71"/>
      <c r="K531" s="71"/>
      <c r="L531" s="71"/>
      <c r="M531" s="71"/>
      <c r="N531" s="71"/>
      <c r="O531" s="71"/>
      <c r="P531" s="71"/>
      <c r="Q531" s="71"/>
      <c r="R531" s="71"/>
      <c r="S531" s="71"/>
      <c r="T531" s="71"/>
      <c r="U531" s="71"/>
      <c r="V531" s="71"/>
      <c r="W531" s="71"/>
      <c r="X531" s="71"/>
      <c r="Y531" s="71"/>
      <c r="Z531" s="71"/>
    </row>
    <row r="532" ht="15.75" customHeight="1">
      <c r="A532" s="72"/>
      <c r="B532" s="71"/>
      <c r="C532" s="71"/>
      <c r="D532" s="71"/>
      <c r="E532" s="71"/>
      <c r="F532" s="71"/>
      <c r="G532" s="59"/>
      <c r="H532" s="71"/>
      <c r="I532" s="71"/>
      <c r="J532" s="71"/>
      <c r="K532" s="71"/>
      <c r="L532" s="71"/>
      <c r="M532" s="71"/>
      <c r="N532" s="71"/>
      <c r="O532" s="71"/>
      <c r="P532" s="71"/>
      <c r="Q532" s="71"/>
      <c r="R532" s="71"/>
      <c r="S532" s="71"/>
      <c r="T532" s="71"/>
      <c r="U532" s="71"/>
      <c r="V532" s="71"/>
      <c r="W532" s="71"/>
      <c r="X532" s="71"/>
      <c r="Y532" s="71"/>
      <c r="Z532" s="71"/>
    </row>
    <row r="533" ht="15.75" customHeight="1">
      <c r="A533" s="72"/>
      <c r="B533" s="71"/>
      <c r="C533" s="71"/>
      <c r="D533" s="71"/>
      <c r="E533" s="71"/>
      <c r="F533" s="71"/>
      <c r="G533" s="59"/>
      <c r="H533" s="71"/>
      <c r="I533" s="71"/>
      <c r="J533" s="71"/>
      <c r="K533" s="71"/>
      <c r="L533" s="71"/>
      <c r="M533" s="71"/>
      <c r="N533" s="71"/>
      <c r="O533" s="71"/>
      <c r="P533" s="71"/>
      <c r="Q533" s="71"/>
      <c r="R533" s="71"/>
      <c r="S533" s="71"/>
      <c r="T533" s="71"/>
      <c r="U533" s="71"/>
      <c r="V533" s="71"/>
      <c r="W533" s="71"/>
      <c r="X533" s="71"/>
      <c r="Y533" s="71"/>
      <c r="Z533" s="71"/>
    </row>
    <row r="534" ht="15.75" customHeight="1">
      <c r="A534" s="72"/>
      <c r="B534" s="71"/>
      <c r="C534" s="71"/>
      <c r="D534" s="71"/>
      <c r="E534" s="71"/>
      <c r="F534" s="71"/>
      <c r="G534" s="59"/>
      <c r="H534" s="71"/>
      <c r="I534" s="71"/>
      <c r="J534" s="71"/>
      <c r="K534" s="71"/>
      <c r="L534" s="71"/>
      <c r="M534" s="71"/>
      <c r="N534" s="71"/>
      <c r="O534" s="71"/>
      <c r="P534" s="71"/>
      <c r="Q534" s="71"/>
      <c r="R534" s="71"/>
      <c r="S534" s="71"/>
      <c r="T534" s="71"/>
      <c r="U534" s="71"/>
      <c r="V534" s="71"/>
      <c r="W534" s="71"/>
      <c r="X534" s="71"/>
      <c r="Y534" s="71"/>
      <c r="Z534" s="71"/>
    </row>
    <row r="535" ht="15.75" customHeight="1">
      <c r="A535" s="72"/>
      <c r="B535" s="71"/>
      <c r="C535" s="71"/>
      <c r="D535" s="71"/>
      <c r="E535" s="71"/>
      <c r="F535" s="71"/>
      <c r="G535" s="59"/>
      <c r="H535" s="71"/>
      <c r="I535" s="71"/>
      <c r="J535" s="71"/>
      <c r="K535" s="71"/>
      <c r="L535" s="71"/>
      <c r="M535" s="71"/>
      <c r="N535" s="71"/>
      <c r="O535" s="71"/>
      <c r="P535" s="71"/>
      <c r="Q535" s="71"/>
      <c r="R535" s="71"/>
      <c r="S535" s="71"/>
      <c r="T535" s="71"/>
      <c r="U535" s="71"/>
      <c r="V535" s="71"/>
      <c r="W535" s="71"/>
      <c r="X535" s="71"/>
      <c r="Y535" s="71"/>
      <c r="Z535" s="71"/>
    </row>
    <row r="536" ht="15.75" customHeight="1">
      <c r="A536" s="72"/>
      <c r="B536" s="71"/>
      <c r="C536" s="71"/>
      <c r="D536" s="71"/>
      <c r="E536" s="71"/>
      <c r="F536" s="71"/>
      <c r="G536" s="59"/>
      <c r="H536" s="71"/>
      <c r="I536" s="71"/>
      <c r="J536" s="71"/>
      <c r="K536" s="71"/>
      <c r="L536" s="71"/>
      <c r="M536" s="71"/>
      <c r="N536" s="71"/>
      <c r="O536" s="71"/>
      <c r="P536" s="71"/>
      <c r="Q536" s="71"/>
      <c r="R536" s="71"/>
      <c r="S536" s="71"/>
      <c r="T536" s="71"/>
      <c r="U536" s="71"/>
      <c r="V536" s="71"/>
      <c r="W536" s="71"/>
      <c r="X536" s="71"/>
      <c r="Y536" s="71"/>
      <c r="Z536" s="71"/>
    </row>
    <row r="537" ht="15.75" customHeight="1">
      <c r="A537" s="72"/>
      <c r="B537" s="71"/>
      <c r="C537" s="71"/>
      <c r="D537" s="71"/>
      <c r="E537" s="71"/>
      <c r="F537" s="71"/>
      <c r="G537" s="59"/>
      <c r="H537" s="71"/>
      <c r="I537" s="71"/>
      <c r="J537" s="71"/>
      <c r="K537" s="71"/>
      <c r="L537" s="71"/>
      <c r="M537" s="71"/>
      <c r="N537" s="71"/>
      <c r="O537" s="71"/>
      <c r="P537" s="71"/>
      <c r="Q537" s="71"/>
      <c r="R537" s="71"/>
      <c r="S537" s="71"/>
      <c r="T537" s="71"/>
      <c r="U537" s="71"/>
      <c r="V537" s="71"/>
      <c r="W537" s="71"/>
      <c r="X537" s="71"/>
      <c r="Y537" s="71"/>
      <c r="Z537" s="71"/>
    </row>
    <row r="538" ht="15.75" customHeight="1">
      <c r="A538" s="72"/>
      <c r="B538" s="71"/>
      <c r="C538" s="71"/>
      <c r="D538" s="71"/>
      <c r="E538" s="71"/>
      <c r="F538" s="71"/>
      <c r="G538" s="59"/>
      <c r="H538" s="71"/>
      <c r="I538" s="71"/>
      <c r="J538" s="71"/>
      <c r="K538" s="71"/>
      <c r="L538" s="71"/>
      <c r="M538" s="71"/>
      <c r="N538" s="71"/>
      <c r="O538" s="71"/>
      <c r="P538" s="71"/>
      <c r="Q538" s="71"/>
      <c r="R538" s="71"/>
      <c r="S538" s="71"/>
      <c r="T538" s="71"/>
      <c r="U538" s="71"/>
      <c r="V538" s="71"/>
      <c r="W538" s="71"/>
      <c r="X538" s="71"/>
      <c r="Y538" s="71"/>
      <c r="Z538" s="71"/>
    </row>
    <row r="539" ht="15.75" customHeight="1">
      <c r="A539" s="72"/>
      <c r="B539" s="71"/>
      <c r="C539" s="71"/>
      <c r="D539" s="71"/>
      <c r="E539" s="71"/>
      <c r="F539" s="71"/>
      <c r="G539" s="59"/>
      <c r="H539" s="71"/>
      <c r="I539" s="71"/>
      <c r="J539" s="71"/>
      <c r="K539" s="71"/>
      <c r="L539" s="71"/>
      <c r="M539" s="71"/>
      <c r="N539" s="71"/>
      <c r="O539" s="71"/>
      <c r="P539" s="71"/>
      <c r="Q539" s="71"/>
      <c r="R539" s="71"/>
      <c r="S539" s="71"/>
      <c r="T539" s="71"/>
      <c r="U539" s="71"/>
      <c r="V539" s="71"/>
      <c r="W539" s="71"/>
      <c r="X539" s="71"/>
      <c r="Y539" s="71"/>
      <c r="Z539" s="71"/>
    </row>
    <row r="540" ht="15.75" customHeight="1">
      <c r="A540" s="72"/>
      <c r="B540" s="71"/>
      <c r="C540" s="71"/>
      <c r="D540" s="71"/>
      <c r="E540" s="71"/>
      <c r="F540" s="71"/>
      <c r="G540" s="59"/>
      <c r="H540" s="71"/>
      <c r="I540" s="71"/>
      <c r="J540" s="71"/>
      <c r="K540" s="71"/>
      <c r="L540" s="71"/>
      <c r="M540" s="71"/>
      <c r="N540" s="71"/>
      <c r="O540" s="71"/>
      <c r="P540" s="71"/>
      <c r="Q540" s="71"/>
      <c r="R540" s="71"/>
      <c r="S540" s="71"/>
      <c r="T540" s="71"/>
      <c r="U540" s="71"/>
      <c r="V540" s="71"/>
      <c r="W540" s="71"/>
      <c r="X540" s="71"/>
      <c r="Y540" s="71"/>
      <c r="Z540" s="71"/>
    </row>
    <row r="541" ht="15.75" customHeight="1">
      <c r="A541" s="72"/>
      <c r="B541" s="71"/>
      <c r="C541" s="71"/>
      <c r="D541" s="71"/>
      <c r="E541" s="71"/>
      <c r="F541" s="71"/>
      <c r="G541" s="59"/>
      <c r="H541" s="71"/>
      <c r="I541" s="71"/>
      <c r="J541" s="71"/>
      <c r="K541" s="71"/>
      <c r="L541" s="71"/>
      <c r="M541" s="71"/>
      <c r="N541" s="71"/>
      <c r="O541" s="71"/>
      <c r="P541" s="71"/>
      <c r="Q541" s="71"/>
      <c r="R541" s="71"/>
      <c r="S541" s="71"/>
      <c r="T541" s="71"/>
      <c r="U541" s="71"/>
      <c r="V541" s="71"/>
      <c r="W541" s="71"/>
      <c r="X541" s="71"/>
      <c r="Y541" s="71"/>
      <c r="Z541" s="71"/>
    </row>
    <row r="542" ht="15.75" customHeight="1">
      <c r="A542" s="72"/>
      <c r="B542" s="71"/>
      <c r="C542" s="71"/>
      <c r="D542" s="71"/>
      <c r="E542" s="71"/>
      <c r="F542" s="71"/>
      <c r="G542" s="59"/>
      <c r="H542" s="71"/>
      <c r="I542" s="71"/>
      <c r="J542" s="71"/>
      <c r="K542" s="71"/>
      <c r="L542" s="71"/>
      <c r="M542" s="71"/>
      <c r="N542" s="71"/>
      <c r="O542" s="71"/>
      <c r="P542" s="71"/>
      <c r="Q542" s="71"/>
      <c r="R542" s="71"/>
      <c r="S542" s="71"/>
      <c r="T542" s="71"/>
      <c r="U542" s="71"/>
      <c r="V542" s="71"/>
      <c r="W542" s="71"/>
      <c r="X542" s="71"/>
      <c r="Y542" s="71"/>
      <c r="Z542" s="71"/>
    </row>
    <row r="543" ht="15.75" customHeight="1">
      <c r="A543" s="72"/>
      <c r="B543" s="71"/>
      <c r="C543" s="71"/>
      <c r="D543" s="71"/>
      <c r="E543" s="71"/>
      <c r="F543" s="71"/>
      <c r="G543" s="59"/>
      <c r="H543" s="71"/>
      <c r="I543" s="71"/>
      <c r="J543" s="71"/>
      <c r="K543" s="71"/>
      <c r="L543" s="71"/>
      <c r="M543" s="71"/>
      <c r="N543" s="71"/>
      <c r="O543" s="71"/>
      <c r="P543" s="71"/>
      <c r="Q543" s="71"/>
      <c r="R543" s="71"/>
      <c r="S543" s="71"/>
      <c r="T543" s="71"/>
      <c r="U543" s="71"/>
      <c r="V543" s="71"/>
      <c r="W543" s="71"/>
      <c r="X543" s="71"/>
      <c r="Y543" s="71"/>
      <c r="Z543" s="71"/>
    </row>
    <row r="544" ht="15.75" customHeight="1">
      <c r="A544" s="72"/>
      <c r="B544" s="71"/>
      <c r="C544" s="71"/>
      <c r="D544" s="71"/>
      <c r="E544" s="71"/>
      <c r="F544" s="71"/>
      <c r="G544" s="59"/>
      <c r="H544" s="71"/>
      <c r="I544" s="71"/>
      <c r="J544" s="71"/>
      <c r="K544" s="71"/>
      <c r="L544" s="71"/>
      <c r="M544" s="71"/>
      <c r="N544" s="71"/>
      <c r="O544" s="71"/>
      <c r="P544" s="71"/>
      <c r="Q544" s="71"/>
      <c r="R544" s="71"/>
      <c r="S544" s="71"/>
      <c r="T544" s="71"/>
      <c r="U544" s="71"/>
      <c r="V544" s="71"/>
      <c r="W544" s="71"/>
      <c r="X544" s="71"/>
      <c r="Y544" s="71"/>
      <c r="Z544" s="71"/>
    </row>
    <row r="545" ht="15.75" customHeight="1">
      <c r="A545" s="72"/>
      <c r="B545" s="71"/>
      <c r="C545" s="71"/>
      <c r="D545" s="71"/>
      <c r="E545" s="71"/>
      <c r="F545" s="71"/>
      <c r="G545" s="59"/>
      <c r="H545" s="71"/>
      <c r="I545" s="71"/>
      <c r="J545" s="71"/>
      <c r="K545" s="71"/>
      <c r="L545" s="71"/>
      <c r="M545" s="71"/>
      <c r="N545" s="71"/>
      <c r="O545" s="71"/>
      <c r="P545" s="71"/>
      <c r="Q545" s="71"/>
      <c r="R545" s="71"/>
      <c r="S545" s="71"/>
      <c r="T545" s="71"/>
      <c r="U545" s="71"/>
      <c r="V545" s="71"/>
      <c r="W545" s="71"/>
      <c r="X545" s="71"/>
      <c r="Y545" s="71"/>
      <c r="Z545" s="71"/>
    </row>
    <row r="546" ht="15.75" customHeight="1">
      <c r="A546" s="72"/>
      <c r="B546" s="71"/>
      <c r="C546" s="71"/>
      <c r="D546" s="71"/>
      <c r="E546" s="71"/>
      <c r="F546" s="71"/>
      <c r="G546" s="59"/>
      <c r="H546" s="71"/>
      <c r="I546" s="71"/>
      <c r="J546" s="71"/>
      <c r="K546" s="71"/>
      <c r="L546" s="71"/>
      <c r="M546" s="71"/>
      <c r="N546" s="71"/>
      <c r="O546" s="71"/>
      <c r="P546" s="71"/>
      <c r="Q546" s="71"/>
      <c r="R546" s="71"/>
      <c r="S546" s="71"/>
      <c r="T546" s="71"/>
      <c r="U546" s="71"/>
      <c r="V546" s="71"/>
      <c r="W546" s="71"/>
      <c r="X546" s="71"/>
      <c r="Y546" s="71"/>
      <c r="Z546" s="71"/>
    </row>
    <row r="547" ht="15.75" customHeight="1">
      <c r="A547" s="72"/>
      <c r="B547" s="71"/>
      <c r="C547" s="71"/>
      <c r="D547" s="71"/>
      <c r="E547" s="71"/>
      <c r="F547" s="71"/>
      <c r="G547" s="59"/>
      <c r="H547" s="71"/>
      <c r="I547" s="71"/>
      <c r="J547" s="71"/>
      <c r="K547" s="71"/>
      <c r="L547" s="71"/>
      <c r="M547" s="71"/>
      <c r="N547" s="71"/>
      <c r="O547" s="71"/>
      <c r="P547" s="71"/>
      <c r="Q547" s="71"/>
      <c r="R547" s="71"/>
      <c r="S547" s="71"/>
      <c r="T547" s="71"/>
      <c r="U547" s="71"/>
      <c r="V547" s="71"/>
      <c r="W547" s="71"/>
      <c r="X547" s="71"/>
      <c r="Y547" s="71"/>
      <c r="Z547" s="71"/>
    </row>
    <row r="548" ht="15.75" customHeight="1">
      <c r="A548" s="72"/>
      <c r="B548" s="71"/>
      <c r="C548" s="71"/>
      <c r="D548" s="71"/>
      <c r="E548" s="71"/>
      <c r="F548" s="71"/>
      <c r="G548" s="59"/>
      <c r="H548" s="71"/>
      <c r="I548" s="71"/>
      <c r="J548" s="71"/>
      <c r="K548" s="71"/>
      <c r="L548" s="71"/>
      <c r="M548" s="71"/>
      <c r="N548" s="71"/>
      <c r="O548" s="71"/>
      <c r="P548" s="71"/>
      <c r="Q548" s="71"/>
      <c r="R548" s="71"/>
      <c r="S548" s="71"/>
      <c r="T548" s="71"/>
      <c r="U548" s="71"/>
      <c r="V548" s="71"/>
      <c r="W548" s="71"/>
      <c r="X548" s="71"/>
      <c r="Y548" s="71"/>
      <c r="Z548" s="71"/>
    </row>
    <row r="549" ht="15.75" customHeight="1">
      <c r="A549" s="72"/>
      <c r="B549" s="71"/>
      <c r="C549" s="71"/>
      <c r="D549" s="71"/>
      <c r="E549" s="71"/>
      <c r="F549" s="71"/>
      <c r="G549" s="59"/>
      <c r="H549" s="71"/>
      <c r="I549" s="71"/>
      <c r="J549" s="71"/>
      <c r="K549" s="71"/>
      <c r="L549" s="71"/>
      <c r="M549" s="71"/>
      <c r="N549" s="71"/>
      <c r="O549" s="71"/>
      <c r="P549" s="71"/>
      <c r="Q549" s="71"/>
      <c r="R549" s="71"/>
      <c r="S549" s="71"/>
      <c r="T549" s="71"/>
      <c r="U549" s="71"/>
      <c r="V549" s="71"/>
      <c r="W549" s="71"/>
      <c r="X549" s="71"/>
      <c r="Y549" s="71"/>
      <c r="Z549" s="71"/>
    </row>
    <row r="550" ht="15.75" customHeight="1">
      <c r="A550" s="72"/>
      <c r="B550" s="71"/>
      <c r="C550" s="71"/>
      <c r="D550" s="71"/>
      <c r="E550" s="71"/>
      <c r="F550" s="71"/>
      <c r="G550" s="59"/>
      <c r="H550" s="71"/>
      <c r="I550" s="71"/>
      <c r="J550" s="71"/>
      <c r="K550" s="71"/>
      <c r="L550" s="71"/>
      <c r="M550" s="71"/>
      <c r="N550" s="71"/>
      <c r="O550" s="71"/>
      <c r="P550" s="71"/>
      <c r="Q550" s="71"/>
      <c r="R550" s="71"/>
      <c r="S550" s="71"/>
      <c r="T550" s="71"/>
      <c r="U550" s="71"/>
      <c r="V550" s="71"/>
      <c r="W550" s="71"/>
      <c r="X550" s="71"/>
      <c r="Y550" s="71"/>
      <c r="Z550" s="71"/>
    </row>
    <row r="551" ht="15.75" customHeight="1">
      <c r="A551" s="72"/>
      <c r="B551" s="71"/>
      <c r="C551" s="71"/>
      <c r="D551" s="71"/>
      <c r="E551" s="71"/>
      <c r="F551" s="71"/>
      <c r="G551" s="59"/>
      <c r="H551" s="71"/>
      <c r="I551" s="71"/>
      <c r="J551" s="71"/>
      <c r="K551" s="71"/>
      <c r="L551" s="71"/>
      <c r="M551" s="71"/>
      <c r="N551" s="71"/>
      <c r="O551" s="71"/>
      <c r="P551" s="71"/>
      <c r="Q551" s="71"/>
      <c r="R551" s="71"/>
      <c r="S551" s="71"/>
      <c r="T551" s="71"/>
      <c r="U551" s="71"/>
      <c r="V551" s="71"/>
      <c r="W551" s="71"/>
      <c r="X551" s="71"/>
      <c r="Y551" s="71"/>
      <c r="Z551" s="71"/>
    </row>
    <row r="552" ht="15.75" customHeight="1">
      <c r="A552" s="72"/>
      <c r="B552" s="71"/>
      <c r="C552" s="71"/>
      <c r="D552" s="71"/>
      <c r="E552" s="71"/>
      <c r="F552" s="71"/>
      <c r="G552" s="59"/>
      <c r="H552" s="71"/>
      <c r="I552" s="71"/>
      <c r="J552" s="71"/>
      <c r="K552" s="71"/>
      <c r="L552" s="71"/>
      <c r="M552" s="71"/>
      <c r="N552" s="71"/>
      <c r="O552" s="71"/>
      <c r="P552" s="71"/>
      <c r="Q552" s="71"/>
      <c r="R552" s="71"/>
      <c r="S552" s="71"/>
      <c r="T552" s="71"/>
      <c r="U552" s="71"/>
      <c r="V552" s="71"/>
      <c r="W552" s="71"/>
      <c r="X552" s="71"/>
      <c r="Y552" s="71"/>
      <c r="Z552" s="71"/>
    </row>
    <row r="553" ht="15.75" customHeight="1">
      <c r="A553" s="72"/>
      <c r="B553" s="71"/>
      <c r="C553" s="71"/>
      <c r="D553" s="71"/>
      <c r="E553" s="71"/>
      <c r="F553" s="71"/>
      <c r="G553" s="59"/>
      <c r="H553" s="71"/>
      <c r="I553" s="71"/>
      <c r="J553" s="71"/>
      <c r="K553" s="71"/>
      <c r="L553" s="71"/>
      <c r="M553" s="71"/>
      <c r="N553" s="71"/>
      <c r="O553" s="71"/>
      <c r="P553" s="71"/>
      <c r="Q553" s="71"/>
      <c r="R553" s="71"/>
      <c r="S553" s="71"/>
      <c r="T553" s="71"/>
      <c r="U553" s="71"/>
      <c r="V553" s="71"/>
      <c r="W553" s="71"/>
      <c r="X553" s="71"/>
      <c r="Y553" s="71"/>
      <c r="Z553" s="71"/>
    </row>
    <row r="554" ht="15.75" customHeight="1">
      <c r="A554" s="72"/>
      <c r="B554" s="71"/>
      <c r="C554" s="71"/>
      <c r="D554" s="71"/>
      <c r="E554" s="71"/>
      <c r="F554" s="71"/>
      <c r="G554" s="59"/>
      <c r="H554" s="71"/>
      <c r="I554" s="71"/>
      <c r="J554" s="71"/>
      <c r="K554" s="71"/>
      <c r="L554" s="71"/>
      <c r="M554" s="71"/>
      <c r="N554" s="71"/>
      <c r="O554" s="71"/>
      <c r="P554" s="71"/>
      <c r="Q554" s="71"/>
      <c r="R554" s="71"/>
      <c r="S554" s="71"/>
      <c r="T554" s="71"/>
      <c r="U554" s="71"/>
      <c r="V554" s="71"/>
      <c r="W554" s="71"/>
      <c r="X554" s="71"/>
      <c r="Y554" s="71"/>
      <c r="Z554" s="71"/>
    </row>
    <row r="555" ht="15.75" customHeight="1">
      <c r="A555" s="72"/>
      <c r="B555" s="71"/>
      <c r="C555" s="71"/>
      <c r="D555" s="71"/>
      <c r="E555" s="71"/>
      <c r="F555" s="71"/>
      <c r="G555" s="59"/>
      <c r="H555" s="71"/>
      <c r="I555" s="71"/>
      <c r="J555" s="71"/>
      <c r="K555" s="71"/>
      <c r="L555" s="71"/>
      <c r="M555" s="71"/>
      <c r="N555" s="71"/>
      <c r="O555" s="71"/>
      <c r="P555" s="71"/>
      <c r="Q555" s="71"/>
      <c r="R555" s="71"/>
      <c r="S555" s="71"/>
      <c r="T555" s="71"/>
      <c r="U555" s="71"/>
      <c r="V555" s="71"/>
      <c r="W555" s="71"/>
      <c r="X555" s="71"/>
      <c r="Y555" s="71"/>
      <c r="Z555" s="71"/>
    </row>
    <row r="556" ht="15.75" customHeight="1">
      <c r="A556" s="72"/>
      <c r="B556" s="71"/>
      <c r="C556" s="71"/>
      <c r="D556" s="71"/>
      <c r="E556" s="71"/>
      <c r="F556" s="71"/>
      <c r="G556" s="59"/>
      <c r="H556" s="71"/>
      <c r="I556" s="71"/>
      <c r="J556" s="71"/>
      <c r="K556" s="71"/>
      <c r="L556" s="71"/>
      <c r="M556" s="71"/>
      <c r="N556" s="71"/>
      <c r="O556" s="71"/>
      <c r="P556" s="71"/>
      <c r="Q556" s="71"/>
      <c r="R556" s="71"/>
      <c r="S556" s="71"/>
      <c r="T556" s="71"/>
      <c r="U556" s="71"/>
      <c r="V556" s="71"/>
      <c r="W556" s="71"/>
      <c r="X556" s="71"/>
      <c r="Y556" s="71"/>
      <c r="Z556" s="71"/>
    </row>
    <row r="557" ht="15.75" customHeight="1">
      <c r="A557" s="72"/>
      <c r="B557" s="71"/>
      <c r="C557" s="71"/>
      <c r="D557" s="71"/>
      <c r="E557" s="71"/>
      <c r="F557" s="71"/>
      <c r="G557" s="59"/>
      <c r="H557" s="71"/>
      <c r="I557" s="71"/>
      <c r="J557" s="71"/>
      <c r="K557" s="71"/>
      <c r="L557" s="71"/>
      <c r="M557" s="71"/>
      <c r="N557" s="71"/>
      <c r="O557" s="71"/>
      <c r="P557" s="71"/>
      <c r="Q557" s="71"/>
      <c r="R557" s="71"/>
      <c r="S557" s="71"/>
      <c r="T557" s="71"/>
      <c r="U557" s="71"/>
      <c r="V557" s="71"/>
      <c r="W557" s="71"/>
      <c r="X557" s="71"/>
      <c r="Y557" s="71"/>
      <c r="Z557" s="71"/>
    </row>
    <row r="558" ht="15.75" customHeight="1">
      <c r="A558" s="72"/>
      <c r="B558" s="71"/>
      <c r="C558" s="71"/>
      <c r="D558" s="71"/>
      <c r="E558" s="71"/>
      <c r="F558" s="71"/>
      <c r="G558" s="59"/>
      <c r="H558" s="71"/>
      <c r="I558" s="71"/>
      <c r="J558" s="71"/>
      <c r="K558" s="71"/>
      <c r="L558" s="71"/>
      <c r="M558" s="71"/>
      <c r="N558" s="71"/>
      <c r="O558" s="71"/>
      <c r="P558" s="71"/>
      <c r="Q558" s="71"/>
      <c r="R558" s="71"/>
      <c r="S558" s="71"/>
      <c r="T558" s="71"/>
      <c r="U558" s="71"/>
      <c r="V558" s="71"/>
      <c r="W558" s="71"/>
      <c r="X558" s="71"/>
      <c r="Y558" s="71"/>
      <c r="Z558" s="71"/>
    </row>
    <row r="559" ht="15.75" customHeight="1">
      <c r="A559" s="72"/>
      <c r="B559" s="71"/>
      <c r="C559" s="71"/>
      <c r="D559" s="71"/>
      <c r="E559" s="71"/>
      <c r="F559" s="71"/>
      <c r="G559" s="59"/>
      <c r="H559" s="71"/>
      <c r="I559" s="71"/>
      <c r="J559" s="71"/>
      <c r="K559" s="71"/>
      <c r="L559" s="71"/>
      <c r="M559" s="71"/>
      <c r="N559" s="71"/>
      <c r="O559" s="71"/>
      <c r="P559" s="71"/>
      <c r="Q559" s="71"/>
      <c r="R559" s="71"/>
      <c r="S559" s="71"/>
      <c r="T559" s="71"/>
      <c r="U559" s="71"/>
      <c r="V559" s="71"/>
      <c r="W559" s="71"/>
      <c r="X559" s="71"/>
      <c r="Y559" s="71"/>
      <c r="Z559" s="71"/>
    </row>
    <row r="560" ht="15.75" customHeight="1">
      <c r="A560" s="72"/>
      <c r="B560" s="71"/>
      <c r="C560" s="71"/>
      <c r="D560" s="71"/>
      <c r="E560" s="71"/>
      <c r="F560" s="71"/>
      <c r="G560" s="59"/>
      <c r="H560" s="71"/>
      <c r="I560" s="71"/>
      <c r="J560" s="71"/>
      <c r="K560" s="71"/>
      <c r="L560" s="71"/>
      <c r="M560" s="71"/>
      <c r="N560" s="71"/>
      <c r="O560" s="71"/>
      <c r="P560" s="71"/>
      <c r="Q560" s="71"/>
      <c r="R560" s="71"/>
      <c r="S560" s="71"/>
      <c r="T560" s="71"/>
      <c r="U560" s="71"/>
      <c r="V560" s="71"/>
      <c r="W560" s="71"/>
      <c r="X560" s="71"/>
      <c r="Y560" s="71"/>
      <c r="Z560" s="71"/>
    </row>
    <row r="561" ht="15.75" customHeight="1">
      <c r="A561" s="72"/>
      <c r="B561" s="71"/>
      <c r="C561" s="71"/>
      <c r="D561" s="71"/>
      <c r="E561" s="71"/>
      <c r="F561" s="71"/>
      <c r="G561" s="59"/>
      <c r="H561" s="71"/>
      <c r="I561" s="71"/>
      <c r="J561" s="71"/>
      <c r="K561" s="71"/>
      <c r="L561" s="71"/>
      <c r="M561" s="71"/>
      <c r="N561" s="71"/>
      <c r="O561" s="71"/>
      <c r="P561" s="71"/>
      <c r="Q561" s="71"/>
      <c r="R561" s="71"/>
      <c r="S561" s="71"/>
      <c r="T561" s="71"/>
      <c r="U561" s="71"/>
      <c r="V561" s="71"/>
      <c r="W561" s="71"/>
      <c r="X561" s="71"/>
      <c r="Y561" s="71"/>
      <c r="Z561" s="71"/>
    </row>
    <row r="562" ht="15.75" customHeight="1">
      <c r="A562" s="72"/>
      <c r="B562" s="71"/>
      <c r="C562" s="71"/>
      <c r="D562" s="71"/>
      <c r="E562" s="71"/>
      <c r="F562" s="71"/>
      <c r="G562" s="59"/>
      <c r="H562" s="71"/>
      <c r="I562" s="71"/>
      <c r="J562" s="71"/>
      <c r="K562" s="71"/>
      <c r="L562" s="71"/>
      <c r="M562" s="71"/>
      <c r="N562" s="71"/>
      <c r="O562" s="71"/>
      <c r="P562" s="71"/>
      <c r="Q562" s="71"/>
      <c r="R562" s="71"/>
      <c r="S562" s="71"/>
      <c r="T562" s="71"/>
      <c r="U562" s="71"/>
      <c r="V562" s="71"/>
      <c r="W562" s="71"/>
      <c r="X562" s="71"/>
      <c r="Y562" s="71"/>
      <c r="Z562" s="71"/>
    </row>
    <row r="563" ht="15.75" customHeight="1">
      <c r="A563" s="72"/>
      <c r="B563" s="71"/>
      <c r="C563" s="71"/>
      <c r="D563" s="71"/>
      <c r="E563" s="71"/>
      <c r="F563" s="71"/>
      <c r="G563" s="59"/>
      <c r="H563" s="71"/>
      <c r="I563" s="71"/>
      <c r="J563" s="71"/>
      <c r="K563" s="71"/>
      <c r="L563" s="71"/>
      <c r="M563" s="71"/>
      <c r="N563" s="71"/>
      <c r="O563" s="71"/>
      <c r="P563" s="71"/>
      <c r="Q563" s="71"/>
      <c r="R563" s="71"/>
      <c r="S563" s="71"/>
      <c r="T563" s="71"/>
      <c r="U563" s="71"/>
      <c r="V563" s="71"/>
      <c r="W563" s="71"/>
      <c r="X563" s="71"/>
      <c r="Y563" s="71"/>
      <c r="Z563" s="71"/>
    </row>
    <row r="564" ht="15.75" customHeight="1">
      <c r="A564" s="72"/>
      <c r="B564" s="71"/>
      <c r="C564" s="71"/>
      <c r="D564" s="71"/>
      <c r="E564" s="71"/>
      <c r="F564" s="71"/>
      <c r="G564" s="59"/>
      <c r="H564" s="71"/>
      <c r="I564" s="71"/>
      <c r="J564" s="71"/>
      <c r="K564" s="71"/>
      <c r="L564" s="71"/>
      <c r="M564" s="71"/>
      <c r="N564" s="71"/>
      <c r="O564" s="71"/>
      <c r="P564" s="71"/>
      <c r="Q564" s="71"/>
      <c r="R564" s="71"/>
      <c r="S564" s="71"/>
      <c r="T564" s="71"/>
      <c r="U564" s="71"/>
      <c r="V564" s="71"/>
      <c r="W564" s="71"/>
      <c r="X564" s="71"/>
      <c r="Y564" s="71"/>
      <c r="Z564" s="71"/>
    </row>
    <row r="565" ht="15.75" customHeight="1">
      <c r="A565" s="72"/>
      <c r="B565" s="71"/>
      <c r="C565" s="71"/>
      <c r="D565" s="71"/>
      <c r="E565" s="71"/>
      <c r="F565" s="71"/>
      <c r="G565" s="59"/>
      <c r="H565" s="71"/>
      <c r="I565" s="71"/>
      <c r="J565" s="71"/>
      <c r="K565" s="71"/>
      <c r="L565" s="71"/>
      <c r="M565" s="71"/>
      <c r="N565" s="71"/>
      <c r="O565" s="71"/>
      <c r="P565" s="71"/>
      <c r="Q565" s="71"/>
      <c r="R565" s="71"/>
      <c r="S565" s="71"/>
      <c r="T565" s="71"/>
      <c r="U565" s="71"/>
      <c r="V565" s="71"/>
      <c r="W565" s="71"/>
      <c r="X565" s="71"/>
      <c r="Y565" s="71"/>
      <c r="Z565" s="71"/>
    </row>
    <row r="566" ht="15.75" customHeight="1">
      <c r="A566" s="72"/>
      <c r="B566" s="71"/>
      <c r="C566" s="71"/>
      <c r="D566" s="71"/>
      <c r="E566" s="71"/>
      <c r="F566" s="71"/>
      <c r="G566" s="59"/>
      <c r="H566" s="71"/>
      <c r="I566" s="71"/>
      <c r="J566" s="71"/>
      <c r="K566" s="71"/>
      <c r="L566" s="71"/>
      <c r="M566" s="71"/>
      <c r="N566" s="71"/>
      <c r="O566" s="71"/>
      <c r="P566" s="71"/>
      <c r="Q566" s="71"/>
      <c r="R566" s="71"/>
      <c r="S566" s="71"/>
      <c r="T566" s="71"/>
      <c r="U566" s="71"/>
      <c r="V566" s="71"/>
      <c r="W566" s="71"/>
      <c r="X566" s="71"/>
      <c r="Y566" s="71"/>
      <c r="Z566" s="71"/>
    </row>
    <row r="567" ht="15.75" customHeight="1">
      <c r="A567" s="72"/>
      <c r="B567" s="71"/>
      <c r="C567" s="71"/>
      <c r="D567" s="71"/>
      <c r="E567" s="71"/>
      <c r="F567" s="71"/>
      <c r="G567" s="59"/>
      <c r="H567" s="71"/>
      <c r="I567" s="71"/>
      <c r="J567" s="71"/>
      <c r="K567" s="71"/>
      <c r="L567" s="71"/>
      <c r="M567" s="71"/>
      <c r="N567" s="71"/>
      <c r="O567" s="71"/>
      <c r="P567" s="71"/>
      <c r="Q567" s="71"/>
      <c r="R567" s="71"/>
      <c r="S567" s="71"/>
      <c r="T567" s="71"/>
      <c r="U567" s="71"/>
      <c r="V567" s="71"/>
      <c r="W567" s="71"/>
      <c r="X567" s="71"/>
      <c r="Y567" s="71"/>
      <c r="Z567" s="71"/>
    </row>
    <row r="568" ht="15.75" customHeight="1">
      <c r="A568" s="72"/>
      <c r="B568" s="71"/>
      <c r="C568" s="71"/>
      <c r="D568" s="71"/>
      <c r="E568" s="71"/>
      <c r="F568" s="71"/>
      <c r="G568" s="59"/>
      <c r="H568" s="71"/>
      <c r="I568" s="71"/>
      <c r="J568" s="71"/>
      <c r="K568" s="71"/>
      <c r="L568" s="71"/>
      <c r="M568" s="71"/>
      <c r="N568" s="71"/>
      <c r="O568" s="71"/>
      <c r="P568" s="71"/>
      <c r="Q568" s="71"/>
      <c r="R568" s="71"/>
      <c r="S568" s="71"/>
      <c r="T568" s="71"/>
      <c r="U568" s="71"/>
      <c r="V568" s="71"/>
      <c r="W568" s="71"/>
      <c r="X568" s="71"/>
      <c r="Y568" s="71"/>
      <c r="Z568" s="71"/>
    </row>
    <row r="569" ht="15.75" customHeight="1">
      <c r="A569" s="72"/>
      <c r="B569" s="71"/>
      <c r="C569" s="71"/>
      <c r="D569" s="71"/>
      <c r="E569" s="71"/>
      <c r="F569" s="71"/>
      <c r="G569" s="59"/>
      <c r="H569" s="71"/>
      <c r="I569" s="71"/>
      <c r="J569" s="71"/>
      <c r="K569" s="71"/>
      <c r="L569" s="71"/>
      <c r="M569" s="71"/>
      <c r="N569" s="71"/>
      <c r="O569" s="71"/>
      <c r="P569" s="71"/>
      <c r="Q569" s="71"/>
      <c r="R569" s="71"/>
      <c r="S569" s="71"/>
      <c r="T569" s="71"/>
      <c r="U569" s="71"/>
      <c r="V569" s="71"/>
      <c r="W569" s="71"/>
      <c r="X569" s="71"/>
      <c r="Y569" s="71"/>
      <c r="Z569" s="71"/>
    </row>
    <row r="570" ht="15.75" customHeight="1">
      <c r="A570" s="72"/>
      <c r="B570" s="71"/>
      <c r="C570" s="71"/>
      <c r="D570" s="71"/>
      <c r="E570" s="71"/>
      <c r="F570" s="71"/>
      <c r="G570" s="59"/>
      <c r="H570" s="71"/>
      <c r="I570" s="71"/>
      <c r="J570" s="71"/>
      <c r="K570" s="71"/>
      <c r="L570" s="71"/>
      <c r="M570" s="71"/>
      <c r="N570" s="71"/>
      <c r="O570" s="71"/>
      <c r="P570" s="71"/>
      <c r="Q570" s="71"/>
      <c r="R570" s="71"/>
      <c r="S570" s="71"/>
      <c r="T570" s="71"/>
      <c r="U570" s="71"/>
      <c r="V570" s="71"/>
      <c r="W570" s="71"/>
      <c r="X570" s="71"/>
      <c r="Y570" s="71"/>
      <c r="Z570" s="71"/>
    </row>
    <row r="571" ht="15.75" customHeight="1">
      <c r="A571" s="72"/>
      <c r="B571" s="71"/>
      <c r="C571" s="71"/>
      <c r="D571" s="71"/>
      <c r="E571" s="71"/>
      <c r="F571" s="71"/>
      <c r="G571" s="59"/>
      <c r="H571" s="71"/>
      <c r="I571" s="71"/>
      <c r="J571" s="71"/>
      <c r="K571" s="71"/>
      <c r="L571" s="71"/>
      <c r="M571" s="71"/>
      <c r="N571" s="71"/>
      <c r="O571" s="71"/>
      <c r="P571" s="71"/>
      <c r="Q571" s="71"/>
      <c r="R571" s="71"/>
      <c r="S571" s="71"/>
      <c r="T571" s="71"/>
      <c r="U571" s="71"/>
      <c r="V571" s="71"/>
      <c r="W571" s="71"/>
      <c r="X571" s="71"/>
      <c r="Y571" s="71"/>
      <c r="Z571" s="71"/>
    </row>
    <row r="572" ht="15.75" customHeight="1">
      <c r="A572" s="72"/>
      <c r="B572" s="71"/>
      <c r="C572" s="71"/>
      <c r="D572" s="71"/>
      <c r="E572" s="71"/>
      <c r="F572" s="71"/>
      <c r="G572" s="59"/>
      <c r="H572" s="71"/>
      <c r="I572" s="71"/>
      <c r="J572" s="71"/>
      <c r="K572" s="71"/>
      <c r="L572" s="71"/>
      <c r="M572" s="71"/>
      <c r="N572" s="71"/>
      <c r="O572" s="71"/>
      <c r="P572" s="71"/>
      <c r="Q572" s="71"/>
      <c r="R572" s="71"/>
      <c r="S572" s="71"/>
      <c r="T572" s="71"/>
      <c r="U572" s="71"/>
      <c r="V572" s="71"/>
      <c r="W572" s="71"/>
      <c r="X572" s="71"/>
      <c r="Y572" s="71"/>
      <c r="Z572" s="71"/>
    </row>
    <row r="573" ht="15.75" customHeight="1">
      <c r="A573" s="72"/>
      <c r="B573" s="71"/>
      <c r="C573" s="71"/>
      <c r="D573" s="71"/>
      <c r="E573" s="71"/>
      <c r="F573" s="71"/>
      <c r="G573" s="59"/>
      <c r="H573" s="71"/>
      <c r="I573" s="71"/>
      <c r="J573" s="71"/>
      <c r="K573" s="71"/>
      <c r="L573" s="71"/>
      <c r="M573" s="71"/>
      <c r="N573" s="71"/>
      <c r="O573" s="71"/>
      <c r="P573" s="71"/>
      <c r="Q573" s="71"/>
      <c r="R573" s="71"/>
      <c r="S573" s="71"/>
      <c r="T573" s="71"/>
      <c r="U573" s="71"/>
      <c r="V573" s="71"/>
      <c r="W573" s="71"/>
      <c r="X573" s="71"/>
      <c r="Y573" s="71"/>
      <c r="Z573" s="71"/>
    </row>
    <row r="574" ht="15.75" customHeight="1">
      <c r="A574" s="72"/>
      <c r="B574" s="71"/>
      <c r="C574" s="71"/>
      <c r="D574" s="71"/>
      <c r="E574" s="71"/>
      <c r="F574" s="71"/>
      <c r="G574" s="59"/>
      <c r="H574" s="71"/>
      <c r="I574" s="71"/>
      <c r="J574" s="71"/>
      <c r="K574" s="71"/>
      <c r="L574" s="71"/>
      <c r="M574" s="71"/>
      <c r="N574" s="71"/>
      <c r="O574" s="71"/>
      <c r="P574" s="71"/>
      <c r="Q574" s="71"/>
      <c r="R574" s="71"/>
      <c r="S574" s="71"/>
      <c r="T574" s="71"/>
      <c r="U574" s="71"/>
      <c r="V574" s="71"/>
      <c r="W574" s="71"/>
      <c r="X574" s="71"/>
      <c r="Y574" s="71"/>
      <c r="Z574" s="71"/>
    </row>
    <row r="575" ht="15.75" customHeight="1">
      <c r="A575" s="72"/>
      <c r="B575" s="71"/>
      <c r="C575" s="71"/>
      <c r="D575" s="71"/>
      <c r="E575" s="71"/>
      <c r="F575" s="71"/>
      <c r="G575" s="59"/>
      <c r="H575" s="71"/>
      <c r="I575" s="71"/>
      <c r="J575" s="71"/>
      <c r="K575" s="71"/>
      <c r="L575" s="71"/>
      <c r="M575" s="71"/>
      <c r="N575" s="71"/>
      <c r="O575" s="71"/>
      <c r="P575" s="71"/>
      <c r="Q575" s="71"/>
      <c r="R575" s="71"/>
      <c r="S575" s="71"/>
      <c r="T575" s="71"/>
      <c r="U575" s="71"/>
      <c r="V575" s="71"/>
      <c r="W575" s="71"/>
      <c r="X575" s="71"/>
      <c r="Y575" s="71"/>
      <c r="Z575" s="71"/>
    </row>
    <row r="576" ht="15.75" customHeight="1">
      <c r="A576" s="72"/>
      <c r="B576" s="71"/>
      <c r="C576" s="71"/>
      <c r="D576" s="71"/>
      <c r="E576" s="71"/>
      <c r="F576" s="71"/>
      <c r="G576" s="59"/>
      <c r="H576" s="71"/>
      <c r="I576" s="71"/>
      <c r="J576" s="71"/>
      <c r="K576" s="71"/>
      <c r="L576" s="71"/>
      <c r="M576" s="71"/>
      <c r="N576" s="71"/>
      <c r="O576" s="71"/>
      <c r="P576" s="71"/>
      <c r="Q576" s="71"/>
      <c r="R576" s="71"/>
      <c r="S576" s="71"/>
      <c r="T576" s="71"/>
      <c r="U576" s="71"/>
      <c r="V576" s="71"/>
      <c r="W576" s="71"/>
      <c r="X576" s="71"/>
      <c r="Y576" s="71"/>
      <c r="Z576" s="71"/>
    </row>
    <row r="577" ht="15.75" customHeight="1">
      <c r="A577" s="72"/>
      <c r="B577" s="71"/>
      <c r="C577" s="71"/>
      <c r="D577" s="71"/>
      <c r="E577" s="71"/>
      <c r="F577" s="71"/>
      <c r="G577" s="59"/>
      <c r="H577" s="71"/>
      <c r="I577" s="71"/>
      <c r="J577" s="71"/>
      <c r="K577" s="71"/>
      <c r="L577" s="71"/>
      <c r="M577" s="71"/>
      <c r="N577" s="71"/>
      <c r="O577" s="71"/>
      <c r="P577" s="71"/>
      <c r="Q577" s="71"/>
      <c r="R577" s="71"/>
      <c r="S577" s="71"/>
      <c r="T577" s="71"/>
      <c r="U577" s="71"/>
      <c r="V577" s="71"/>
      <c r="W577" s="71"/>
      <c r="X577" s="71"/>
      <c r="Y577" s="71"/>
      <c r="Z577" s="71"/>
    </row>
    <row r="578" ht="15.75" customHeight="1">
      <c r="A578" s="72"/>
      <c r="B578" s="71"/>
      <c r="C578" s="71"/>
      <c r="D578" s="71"/>
      <c r="E578" s="71"/>
      <c r="F578" s="71"/>
      <c r="G578" s="59"/>
      <c r="H578" s="71"/>
      <c r="I578" s="71"/>
      <c r="J578" s="71"/>
      <c r="K578" s="71"/>
      <c r="L578" s="71"/>
      <c r="M578" s="71"/>
      <c r="N578" s="71"/>
      <c r="O578" s="71"/>
      <c r="P578" s="71"/>
      <c r="Q578" s="71"/>
      <c r="R578" s="71"/>
      <c r="S578" s="71"/>
      <c r="T578" s="71"/>
      <c r="U578" s="71"/>
      <c r="V578" s="71"/>
      <c r="W578" s="71"/>
      <c r="X578" s="71"/>
      <c r="Y578" s="71"/>
      <c r="Z578" s="71"/>
    </row>
    <row r="579" ht="15.75" customHeight="1">
      <c r="A579" s="72"/>
      <c r="B579" s="71"/>
      <c r="C579" s="71"/>
      <c r="D579" s="71"/>
      <c r="E579" s="71"/>
      <c r="F579" s="71"/>
      <c r="G579" s="59"/>
      <c r="H579" s="71"/>
      <c r="I579" s="71"/>
      <c r="J579" s="71"/>
      <c r="K579" s="71"/>
      <c r="L579" s="71"/>
      <c r="M579" s="71"/>
      <c r="N579" s="71"/>
      <c r="O579" s="71"/>
      <c r="P579" s="71"/>
      <c r="Q579" s="71"/>
      <c r="R579" s="71"/>
      <c r="S579" s="71"/>
      <c r="T579" s="71"/>
      <c r="U579" s="71"/>
      <c r="V579" s="71"/>
      <c r="W579" s="71"/>
      <c r="X579" s="71"/>
      <c r="Y579" s="71"/>
      <c r="Z579" s="71"/>
    </row>
    <row r="580" ht="15.75" customHeight="1">
      <c r="A580" s="72"/>
      <c r="B580" s="71"/>
      <c r="C580" s="71"/>
      <c r="D580" s="71"/>
      <c r="E580" s="71"/>
      <c r="F580" s="71"/>
      <c r="G580" s="59"/>
      <c r="H580" s="71"/>
      <c r="I580" s="71"/>
      <c r="J580" s="71"/>
      <c r="K580" s="71"/>
      <c r="L580" s="71"/>
      <c r="M580" s="71"/>
      <c r="N580" s="71"/>
      <c r="O580" s="71"/>
      <c r="P580" s="71"/>
      <c r="Q580" s="71"/>
      <c r="R580" s="71"/>
      <c r="S580" s="71"/>
      <c r="T580" s="71"/>
      <c r="U580" s="71"/>
      <c r="V580" s="71"/>
      <c r="W580" s="71"/>
      <c r="X580" s="71"/>
      <c r="Y580" s="71"/>
      <c r="Z580" s="71"/>
    </row>
    <row r="581" ht="15.75" customHeight="1">
      <c r="A581" s="72"/>
      <c r="B581" s="71"/>
      <c r="C581" s="71"/>
      <c r="D581" s="71"/>
      <c r="E581" s="71"/>
      <c r="F581" s="71"/>
      <c r="G581" s="59"/>
      <c r="H581" s="71"/>
      <c r="I581" s="71"/>
      <c r="J581" s="71"/>
      <c r="K581" s="71"/>
      <c r="L581" s="71"/>
      <c r="M581" s="71"/>
      <c r="N581" s="71"/>
      <c r="O581" s="71"/>
      <c r="P581" s="71"/>
      <c r="Q581" s="71"/>
      <c r="R581" s="71"/>
      <c r="S581" s="71"/>
      <c r="T581" s="71"/>
      <c r="U581" s="71"/>
      <c r="V581" s="71"/>
      <c r="W581" s="71"/>
      <c r="X581" s="71"/>
      <c r="Y581" s="71"/>
      <c r="Z581" s="71"/>
    </row>
    <row r="582" ht="15.75" customHeight="1">
      <c r="A582" s="72"/>
      <c r="B582" s="71"/>
      <c r="C582" s="71"/>
      <c r="D582" s="71"/>
      <c r="E582" s="71"/>
      <c r="F582" s="71"/>
      <c r="G582" s="59"/>
      <c r="H582" s="71"/>
      <c r="I582" s="71"/>
      <c r="J582" s="71"/>
      <c r="K582" s="71"/>
      <c r="L582" s="71"/>
      <c r="M582" s="71"/>
      <c r="N582" s="71"/>
      <c r="O582" s="71"/>
      <c r="P582" s="71"/>
      <c r="Q582" s="71"/>
      <c r="R582" s="71"/>
      <c r="S582" s="71"/>
      <c r="T582" s="71"/>
      <c r="U582" s="71"/>
      <c r="V582" s="71"/>
      <c r="W582" s="71"/>
      <c r="X582" s="71"/>
      <c r="Y582" s="71"/>
      <c r="Z582" s="71"/>
    </row>
    <row r="583" ht="15.75" customHeight="1">
      <c r="A583" s="72"/>
      <c r="B583" s="71"/>
      <c r="C583" s="71"/>
      <c r="D583" s="71"/>
      <c r="E583" s="71"/>
      <c r="F583" s="71"/>
      <c r="G583" s="59"/>
      <c r="H583" s="71"/>
      <c r="I583" s="71"/>
      <c r="J583" s="71"/>
      <c r="K583" s="71"/>
      <c r="L583" s="71"/>
      <c r="M583" s="71"/>
      <c r="N583" s="71"/>
      <c r="O583" s="71"/>
      <c r="P583" s="71"/>
      <c r="Q583" s="71"/>
      <c r="R583" s="71"/>
      <c r="S583" s="71"/>
      <c r="T583" s="71"/>
      <c r="U583" s="71"/>
      <c r="V583" s="71"/>
      <c r="W583" s="71"/>
      <c r="X583" s="71"/>
      <c r="Y583" s="71"/>
      <c r="Z583" s="71"/>
    </row>
    <row r="584" ht="15.75" customHeight="1">
      <c r="A584" s="72"/>
      <c r="B584" s="71"/>
      <c r="C584" s="71"/>
      <c r="D584" s="71"/>
      <c r="E584" s="71"/>
      <c r="F584" s="71"/>
      <c r="G584" s="59"/>
      <c r="H584" s="71"/>
      <c r="I584" s="71"/>
      <c r="J584" s="71"/>
      <c r="K584" s="71"/>
      <c r="L584" s="71"/>
      <c r="M584" s="71"/>
      <c r="N584" s="71"/>
      <c r="O584" s="71"/>
      <c r="P584" s="71"/>
      <c r="Q584" s="71"/>
      <c r="R584" s="71"/>
      <c r="S584" s="71"/>
      <c r="T584" s="71"/>
      <c r="U584" s="71"/>
      <c r="V584" s="71"/>
      <c r="W584" s="71"/>
      <c r="X584" s="71"/>
      <c r="Y584" s="71"/>
      <c r="Z584" s="71"/>
    </row>
    <row r="585" ht="15.75" customHeight="1">
      <c r="A585" s="72"/>
      <c r="B585" s="71"/>
      <c r="C585" s="71"/>
      <c r="D585" s="71"/>
      <c r="E585" s="71"/>
      <c r="F585" s="71"/>
      <c r="G585" s="59"/>
      <c r="H585" s="71"/>
      <c r="I585" s="71"/>
      <c r="J585" s="71"/>
      <c r="K585" s="71"/>
      <c r="L585" s="71"/>
      <c r="M585" s="71"/>
      <c r="N585" s="71"/>
      <c r="O585" s="71"/>
      <c r="P585" s="71"/>
      <c r="Q585" s="71"/>
      <c r="R585" s="71"/>
      <c r="S585" s="71"/>
      <c r="T585" s="71"/>
      <c r="U585" s="71"/>
      <c r="V585" s="71"/>
      <c r="W585" s="71"/>
      <c r="X585" s="71"/>
      <c r="Y585" s="71"/>
      <c r="Z585" s="71"/>
    </row>
    <row r="586" ht="15.75" customHeight="1">
      <c r="A586" s="72"/>
      <c r="B586" s="71"/>
      <c r="C586" s="71"/>
      <c r="D586" s="71"/>
      <c r="E586" s="71"/>
      <c r="F586" s="71"/>
      <c r="G586" s="59"/>
      <c r="H586" s="71"/>
      <c r="I586" s="71"/>
      <c r="J586" s="71"/>
      <c r="K586" s="71"/>
      <c r="L586" s="71"/>
      <c r="M586" s="71"/>
      <c r="N586" s="71"/>
      <c r="O586" s="71"/>
      <c r="P586" s="71"/>
      <c r="Q586" s="71"/>
      <c r="R586" s="71"/>
      <c r="S586" s="71"/>
      <c r="T586" s="71"/>
      <c r="U586" s="71"/>
      <c r="V586" s="71"/>
      <c r="W586" s="71"/>
      <c r="X586" s="71"/>
      <c r="Y586" s="71"/>
      <c r="Z586" s="71"/>
    </row>
    <row r="587" ht="15.75" customHeight="1">
      <c r="A587" s="72"/>
      <c r="B587" s="71"/>
      <c r="C587" s="71"/>
      <c r="D587" s="71"/>
      <c r="E587" s="71"/>
      <c r="F587" s="71"/>
      <c r="G587" s="59"/>
      <c r="H587" s="71"/>
      <c r="I587" s="71"/>
      <c r="J587" s="71"/>
      <c r="K587" s="71"/>
      <c r="L587" s="71"/>
      <c r="M587" s="71"/>
      <c r="N587" s="71"/>
      <c r="O587" s="71"/>
      <c r="P587" s="71"/>
      <c r="Q587" s="71"/>
      <c r="R587" s="71"/>
      <c r="S587" s="71"/>
      <c r="T587" s="71"/>
      <c r="U587" s="71"/>
      <c r="V587" s="71"/>
      <c r="W587" s="71"/>
      <c r="X587" s="71"/>
      <c r="Y587" s="71"/>
      <c r="Z587" s="71"/>
    </row>
    <row r="588" ht="15.75" customHeight="1">
      <c r="A588" s="72"/>
      <c r="B588" s="71"/>
      <c r="C588" s="71"/>
      <c r="D588" s="71"/>
      <c r="E588" s="71"/>
      <c r="F588" s="71"/>
      <c r="G588" s="59"/>
      <c r="H588" s="71"/>
      <c r="I588" s="71"/>
      <c r="J588" s="71"/>
      <c r="K588" s="71"/>
      <c r="L588" s="71"/>
      <c r="M588" s="71"/>
      <c r="N588" s="71"/>
      <c r="O588" s="71"/>
      <c r="P588" s="71"/>
      <c r="Q588" s="71"/>
      <c r="R588" s="71"/>
      <c r="S588" s="71"/>
      <c r="T588" s="71"/>
      <c r="U588" s="71"/>
      <c r="V588" s="71"/>
      <c r="W588" s="71"/>
      <c r="X588" s="71"/>
      <c r="Y588" s="71"/>
      <c r="Z588" s="71"/>
    </row>
    <row r="589" ht="15.75" customHeight="1">
      <c r="A589" s="72"/>
      <c r="B589" s="71"/>
      <c r="C589" s="71"/>
      <c r="D589" s="71"/>
      <c r="E589" s="71"/>
      <c r="F589" s="71"/>
      <c r="G589" s="59"/>
      <c r="H589" s="71"/>
      <c r="I589" s="71"/>
      <c r="J589" s="71"/>
      <c r="K589" s="71"/>
      <c r="L589" s="71"/>
      <c r="M589" s="71"/>
      <c r="N589" s="71"/>
      <c r="O589" s="71"/>
      <c r="P589" s="71"/>
      <c r="Q589" s="71"/>
      <c r="R589" s="71"/>
      <c r="S589" s="71"/>
      <c r="T589" s="71"/>
      <c r="U589" s="71"/>
      <c r="V589" s="71"/>
      <c r="W589" s="71"/>
      <c r="X589" s="71"/>
      <c r="Y589" s="71"/>
      <c r="Z589" s="71"/>
    </row>
    <row r="590" ht="15.75" customHeight="1">
      <c r="A590" s="72"/>
      <c r="B590" s="71"/>
      <c r="C590" s="71"/>
      <c r="D590" s="71"/>
      <c r="E590" s="71"/>
      <c r="F590" s="71"/>
      <c r="G590" s="59"/>
      <c r="H590" s="71"/>
      <c r="I590" s="71"/>
      <c r="J590" s="71"/>
      <c r="K590" s="71"/>
      <c r="L590" s="71"/>
      <c r="M590" s="71"/>
      <c r="N590" s="71"/>
      <c r="O590" s="71"/>
      <c r="P590" s="71"/>
      <c r="Q590" s="71"/>
      <c r="R590" s="71"/>
      <c r="S590" s="71"/>
      <c r="T590" s="71"/>
      <c r="U590" s="71"/>
      <c r="V590" s="71"/>
      <c r="W590" s="71"/>
      <c r="X590" s="71"/>
      <c r="Y590" s="71"/>
      <c r="Z590" s="71"/>
    </row>
    <row r="591" ht="15.75" customHeight="1">
      <c r="A591" s="72"/>
      <c r="B591" s="71"/>
      <c r="C591" s="71"/>
      <c r="D591" s="71"/>
      <c r="E591" s="71"/>
      <c r="F591" s="71"/>
      <c r="G591" s="59"/>
      <c r="H591" s="71"/>
      <c r="I591" s="71"/>
      <c r="J591" s="71"/>
      <c r="K591" s="71"/>
      <c r="L591" s="71"/>
      <c r="M591" s="71"/>
      <c r="N591" s="71"/>
      <c r="O591" s="71"/>
      <c r="P591" s="71"/>
      <c r="Q591" s="71"/>
      <c r="R591" s="71"/>
      <c r="S591" s="71"/>
      <c r="T591" s="71"/>
      <c r="U591" s="71"/>
      <c r="V591" s="71"/>
      <c r="W591" s="71"/>
      <c r="X591" s="71"/>
      <c r="Y591" s="71"/>
      <c r="Z591" s="71"/>
    </row>
    <row r="592" ht="15.75" customHeight="1">
      <c r="A592" s="72"/>
      <c r="B592" s="71"/>
      <c r="C592" s="71"/>
      <c r="D592" s="71"/>
      <c r="E592" s="71"/>
      <c r="F592" s="71"/>
      <c r="G592" s="59"/>
      <c r="H592" s="71"/>
      <c r="I592" s="71"/>
      <c r="J592" s="71"/>
      <c r="K592" s="71"/>
      <c r="L592" s="71"/>
      <c r="M592" s="71"/>
      <c r="N592" s="71"/>
      <c r="O592" s="71"/>
      <c r="P592" s="71"/>
      <c r="Q592" s="71"/>
      <c r="R592" s="71"/>
      <c r="S592" s="71"/>
      <c r="T592" s="71"/>
      <c r="U592" s="71"/>
      <c r="V592" s="71"/>
      <c r="W592" s="71"/>
      <c r="X592" s="71"/>
      <c r="Y592" s="71"/>
      <c r="Z592" s="71"/>
    </row>
    <row r="593" ht="15.75" customHeight="1">
      <c r="A593" s="72"/>
      <c r="B593" s="71"/>
      <c r="C593" s="71"/>
      <c r="D593" s="71"/>
      <c r="E593" s="71"/>
      <c r="F593" s="71"/>
      <c r="G593" s="59"/>
      <c r="H593" s="71"/>
      <c r="I593" s="71"/>
      <c r="J593" s="71"/>
      <c r="K593" s="71"/>
      <c r="L593" s="71"/>
      <c r="M593" s="71"/>
      <c r="N593" s="71"/>
      <c r="O593" s="71"/>
      <c r="P593" s="71"/>
      <c r="Q593" s="71"/>
      <c r="R593" s="71"/>
      <c r="S593" s="71"/>
      <c r="T593" s="71"/>
      <c r="U593" s="71"/>
      <c r="V593" s="71"/>
      <c r="W593" s="71"/>
      <c r="X593" s="71"/>
      <c r="Y593" s="71"/>
      <c r="Z593" s="71"/>
    </row>
    <row r="594" ht="15.75" customHeight="1">
      <c r="A594" s="72"/>
      <c r="B594" s="71"/>
      <c r="C594" s="71"/>
      <c r="D594" s="71"/>
      <c r="E594" s="71"/>
      <c r="F594" s="71"/>
      <c r="G594" s="59"/>
      <c r="H594" s="71"/>
      <c r="I594" s="71"/>
      <c r="J594" s="71"/>
      <c r="K594" s="71"/>
      <c r="L594" s="71"/>
      <c r="M594" s="71"/>
      <c r="N594" s="71"/>
      <c r="O594" s="71"/>
      <c r="P594" s="71"/>
      <c r="Q594" s="71"/>
      <c r="R594" s="71"/>
      <c r="S594" s="71"/>
      <c r="T594" s="71"/>
      <c r="U594" s="71"/>
      <c r="V594" s="71"/>
      <c r="W594" s="71"/>
      <c r="X594" s="71"/>
      <c r="Y594" s="71"/>
      <c r="Z594" s="71"/>
    </row>
    <row r="595" ht="15.75" customHeight="1">
      <c r="A595" s="72"/>
      <c r="B595" s="71"/>
      <c r="C595" s="71"/>
      <c r="D595" s="71"/>
      <c r="E595" s="71"/>
      <c r="F595" s="71"/>
      <c r="G595" s="59"/>
      <c r="H595" s="71"/>
      <c r="I595" s="71"/>
      <c r="J595" s="71"/>
      <c r="K595" s="71"/>
      <c r="L595" s="71"/>
      <c r="M595" s="71"/>
      <c r="N595" s="71"/>
      <c r="O595" s="71"/>
      <c r="P595" s="71"/>
      <c r="Q595" s="71"/>
      <c r="R595" s="71"/>
      <c r="S595" s="71"/>
      <c r="T595" s="71"/>
      <c r="U595" s="71"/>
      <c r="V595" s="71"/>
      <c r="W595" s="71"/>
      <c r="X595" s="71"/>
      <c r="Y595" s="71"/>
      <c r="Z595" s="71"/>
    </row>
    <row r="596" ht="15.75" customHeight="1">
      <c r="A596" s="72"/>
      <c r="B596" s="71"/>
      <c r="C596" s="71"/>
      <c r="D596" s="71"/>
      <c r="E596" s="71"/>
      <c r="F596" s="71"/>
      <c r="G596" s="59"/>
      <c r="H596" s="71"/>
      <c r="I596" s="71"/>
      <c r="J596" s="71"/>
      <c r="K596" s="71"/>
      <c r="L596" s="71"/>
      <c r="M596" s="71"/>
      <c r="N596" s="71"/>
      <c r="O596" s="71"/>
      <c r="P596" s="71"/>
      <c r="Q596" s="71"/>
      <c r="R596" s="71"/>
      <c r="S596" s="71"/>
      <c r="T596" s="71"/>
      <c r="U596" s="71"/>
      <c r="V596" s="71"/>
      <c r="W596" s="71"/>
      <c r="X596" s="71"/>
      <c r="Y596" s="71"/>
      <c r="Z596" s="71"/>
    </row>
    <row r="597" ht="15.75" customHeight="1">
      <c r="A597" s="72"/>
      <c r="B597" s="71"/>
      <c r="C597" s="71"/>
      <c r="D597" s="71"/>
      <c r="E597" s="71"/>
      <c r="F597" s="71"/>
      <c r="G597" s="59"/>
      <c r="H597" s="71"/>
      <c r="I597" s="71"/>
      <c r="J597" s="71"/>
      <c r="K597" s="71"/>
      <c r="L597" s="71"/>
      <c r="M597" s="71"/>
      <c r="N597" s="71"/>
      <c r="O597" s="71"/>
      <c r="P597" s="71"/>
      <c r="Q597" s="71"/>
      <c r="R597" s="71"/>
      <c r="S597" s="71"/>
      <c r="T597" s="71"/>
      <c r="U597" s="71"/>
      <c r="V597" s="71"/>
      <c r="W597" s="71"/>
      <c r="X597" s="71"/>
      <c r="Y597" s="71"/>
      <c r="Z597" s="71"/>
    </row>
    <row r="598" ht="15.75" customHeight="1">
      <c r="A598" s="72"/>
      <c r="B598" s="71"/>
      <c r="C598" s="71"/>
      <c r="D598" s="71"/>
      <c r="E598" s="71"/>
      <c r="F598" s="71"/>
      <c r="G598" s="59"/>
      <c r="H598" s="71"/>
      <c r="I598" s="71"/>
      <c r="J598" s="71"/>
      <c r="K598" s="71"/>
      <c r="L598" s="71"/>
      <c r="M598" s="71"/>
      <c r="N598" s="71"/>
      <c r="O598" s="71"/>
      <c r="P598" s="71"/>
      <c r="Q598" s="71"/>
      <c r="R598" s="71"/>
      <c r="S598" s="71"/>
      <c r="T598" s="71"/>
      <c r="U598" s="71"/>
      <c r="V598" s="71"/>
      <c r="W598" s="71"/>
      <c r="X598" s="71"/>
      <c r="Y598" s="71"/>
      <c r="Z598" s="71"/>
    </row>
    <row r="599" ht="15.75" customHeight="1">
      <c r="A599" s="72"/>
      <c r="B599" s="71"/>
      <c r="C599" s="71"/>
      <c r="D599" s="71"/>
      <c r="E599" s="71"/>
      <c r="F599" s="71"/>
      <c r="G599" s="59"/>
      <c r="H599" s="71"/>
      <c r="I599" s="71"/>
      <c r="J599" s="71"/>
      <c r="K599" s="71"/>
      <c r="L599" s="71"/>
      <c r="M599" s="71"/>
      <c r="N599" s="71"/>
      <c r="O599" s="71"/>
      <c r="P599" s="71"/>
      <c r="Q599" s="71"/>
      <c r="R599" s="71"/>
      <c r="S599" s="71"/>
      <c r="T599" s="71"/>
      <c r="U599" s="71"/>
      <c r="V599" s="71"/>
      <c r="W599" s="71"/>
      <c r="X599" s="71"/>
      <c r="Y599" s="71"/>
      <c r="Z599" s="71"/>
    </row>
    <row r="600" ht="15.75" customHeight="1">
      <c r="A600" s="72"/>
      <c r="B600" s="71"/>
      <c r="C600" s="71"/>
      <c r="D600" s="71"/>
      <c r="E600" s="71"/>
      <c r="F600" s="71"/>
      <c r="G600" s="59"/>
      <c r="H600" s="71"/>
      <c r="I600" s="71"/>
      <c r="J600" s="71"/>
      <c r="K600" s="71"/>
      <c r="L600" s="71"/>
      <c r="M600" s="71"/>
      <c r="N600" s="71"/>
      <c r="O600" s="71"/>
      <c r="P600" s="71"/>
      <c r="Q600" s="71"/>
      <c r="R600" s="71"/>
      <c r="S600" s="71"/>
      <c r="T600" s="71"/>
      <c r="U600" s="71"/>
      <c r="V600" s="71"/>
      <c r="W600" s="71"/>
      <c r="X600" s="71"/>
      <c r="Y600" s="71"/>
      <c r="Z600" s="71"/>
    </row>
    <row r="601" ht="15.75" customHeight="1">
      <c r="A601" s="72"/>
      <c r="B601" s="71"/>
      <c r="C601" s="71"/>
      <c r="D601" s="71"/>
      <c r="E601" s="71"/>
      <c r="F601" s="71"/>
      <c r="G601" s="59"/>
      <c r="H601" s="71"/>
      <c r="I601" s="71"/>
      <c r="J601" s="71"/>
      <c r="K601" s="71"/>
      <c r="L601" s="71"/>
      <c r="M601" s="71"/>
      <c r="N601" s="71"/>
      <c r="O601" s="71"/>
      <c r="P601" s="71"/>
      <c r="Q601" s="71"/>
      <c r="R601" s="71"/>
      <c r="S601" s="71"/>
      <c r="T601" s="71"/>
      <c r="U601" s="71"/>
      <c r="V601" s="71"/>
      <c r="W601" s="71"/>
      <c r="X601" s="71"/>
      <c r="Y601" s="71"/>
      <c r="Z601" s="71"/>
    </row>
    <row r="602" ht="15.75" customHeight="1">
      <c r="A602" s="72"/>
      <c r="B602" s="71"/>
      <c r="C602" s="71"/>
      <c r="D602" s="71"/>
      <c r="E602" s="71"/>
      <c r="F602" s="71"/>
      <c r="G602" s="59"/>
      <c r="H602" s="71"/>
      <c r="I602" s="71"/>
      <c r="J602" s="71"/>
      <c r="K602" s="71"/>
      <c r="L602" s="71"/>
      <c r="M602" s="71"/>
      <c r="N602" s="71"/>
      <c r="O602" s="71"/>
      <c r="P602" s="71"/>
      <c r="Q602" s="71"/>
      <c r="R602" s="71"/>
      <c r="S602" s="71"/>
      <c r="T602" s="71"/>
      <c r="U602" s="71"/>
      <c r="V602" s="71"/>
      <c r="W602" s="71"/>
      <c r="X602" s="71"/>
      <c r="Y602" s="71"/>
      <c r="Z602" s="71"/>
    </row>
    <row r="603" ht="15.75" customHeight="1">
      <c r="A603" s="72"/>
      <c r="B603" s="71"/>
      <c r="C603" s="71"/>
      <c r="D603" s="71"/>
      <c r="E603" s="71"/>
      <c r="F603" s="71"/>
      <c r="G603" s="59"/>
      <c r="H603" s="71"/>
      <c r="I603" s="71"/>
      <c r="J603" s="71"/>
      <c r="K603" s="71"/>
      <c r="L603" s="71"/>
      <c r="M603" s="71"/>
      <c r="N603" s="71"/>
      <c r="O603" s="71"/>
      <c r="P603" s="71"/>
      <c r="Q603" s="71"/>
      <c r="R603" s="71"/>
      <c r="S603" s="71"/>
      <c r="T603" s="71"/>
      <c r="U603" s="71"/>
      <c r="V603" s="71"/>
      <c r="W603" s="71"/>
      <c r="X603" s="71"/>
      <c r="Y603" s="71"/>
      <c r="Z603" s="71"/>
    </row>
    <row r="604" ht="15.75" customHeight="1">
      <c r="A604" s="72"/>
      <c r="B604" s="71"/>
      <c r="C604" s="71"/>
      <c r="D604" s="71"/>
      <c r="E604" s="71"/>
      <c r="F604" s="71"/>
      <c r="G604" s="59"/>
      <c r="H604" s="71"/>
      <c r="I604" s="71"/>
      <c r="J604" s="71"/>
      <c r="K604" s="71"/>
      <c r="L604" s="71"/>
      <c r="M604" s="71"/>
      <c r="N604" s="71"/>
      <c r="O604" s="71"/>
      <c r="P604" s="71"/>
      <c r="Q604" s="71"/>
      <c r="R604" s="71"/>
      <c r="S604" s="71"/>
      <c r="T604" s="71"/>
      <c r="U604" s="71"/>
      <c r="V604" s="71"/>
      <c r="W604" s="71"/>
      <c r="X604" s="71"/>
      <c r="Y604" s="71"/>
      <c r="Z604" s="71"/>
    </row>
    <row r="605" ht="15.75" customHeight="1">
      <c r="A605" s="72"/>
      <c r="B605" s="71"/>
      <c r="C605" s="71"/>
      <c r="D605" s="71"/>
      <c r="E605" s="71"/>
      <c r="F605" s="71"/>
      <c r="G605" s="59"/>
      <c r="H605" s="71"/>
      <c r="I605" s="71"/>
      <c r="J605" s="71"/>
      <c r="K605" s="71"/>
      <c r="L605" s="71"/>
      <c r="M605" s="71"/>
      <c r="N605" s="71"/>
      <c r="O605" s="71"/>
      <c r="P605" s="71"/>
      <c r="Q605" s="71"/>
      <c r="R605" s="71"/>
      <c r="S605" s="71"/>
      <c r="T605" s="71"/>
      <c r="U605" s="71"/>
      <c r="V605" s="71"/>
      <c r="W605" s="71"/>
      <c r="X605" s="71"/>
      <c r="Y605" s="71"/>
      <c r="Z605" s="71"/>
    </row>
    <row r="606" ht="15.75" customHeight="1">
      <c r="A606" s="72"/>
      <c r="B606" s="71"/>
      <c r="C606" s="71"/>
      <c r="D606" s="71"/>
      <c r="E606" s="71"/>
      <c r="F606" s="71"/>
      <c r="G606" s="59"/>
      <c r="H606" s="71"/>
      <c r="I606" s="71"/>
      <c r="J606" s="71"/>
      <c r="K606" s="71"/>
      <c r="L606" s="71"/>
      <c r="M606" s="71"/>
      <c r="N606" s="71"/>
      <c r="O606" s="71"/>
      <c r="P606" s="71"/>
      <c r="Q606" s="71"/>
      <c r="R606" s="71"/>
      <c r="S606" s="71"/>
      <c r="T606" s="71"/>
      <c r="U606" s="71"/>
      <c r="V606" s="71"/>
      <c r="W606" s="71"/>
      <c r="X606" s="71"/>
      <c r="Y606" s="71"/>
      <c r="Z606" s="71"/>
    </row>
    <row r="607" ht="15.75" customHeight="1">
      <c r="A607" s="72"/>
      <c r="B607" s="71"/>
      <c r="C607" s="71"/>
      <c r="D607" s="71"/>
      <c r="E607" s="71"/>
      <c r="F607" s="71"/>
      <c r="G607" s="59"/>
      <c r="H607" s="71"/>
      <c r="I607" s="71"/>
      <c r="J607" s="71"/>
      <c r="K607" s="71"/>
      <c r="L607" s="71"/>
      <c r="M607" s="71"/>
      <c r="N607" s="71"/>
      <c r="O607" s="71"/>
      <c r="P607" s="71"/>
      <c r="Q607" s="71"/>
      <c r="R607" s="71"/>
      <c r="S607" s="71"/>
      <c r="T607" s="71"/>
      <c r="U607" s="71"/>
      <c r="V607" s="71"/>
      <c r="W607" s="71"/>
      <c r="X607" s="71"/>
      <c r="Y607" s="71"/>
      <c r="Z607" s="71"/>
    </row>
    <row r="608" ht="15.75" customHeight="1">
      <c r="A608" s="72"/>
      <c r="B608" s="71"/>
      <c r="C608" s="71"/>
      <c r="D608" s="71"/>
      <c r="E608" s="71"/>
      <c r="F608" s="71"/>
      <c r="G608" s="59"/>
      <c r="H608" s="71"/>
      <c r="I608" s="71"/>
      <c r="J608" s="71"/>
      <c r="K608" s="71"/>
      <c r="L608" s="71"/>
      <c r="M608" s="71"/>
      <c r="N608" s="71"/>
      <c r="O608" s="71"/>
      <c r="P608" s="71"/>
      <c r="Q608" s="71"/>
      <c r="R608" s="71"/>
      <c r="S608" s="71"/>
      <c r="T608" s="71"/>
      <c r="U608" s="71"/>
      <c r="V608" s="71"/>
      <c r="W608" s="71"/>
      <c r="X608" s="71"/>
      <c r="Y608" s="71"/>
      <c r="Z608" s="71"/>
    </row>
    <row r="609" ht="15.75" customHeight="1">
      <c r="A609" s="72"/>
      <c r="B609" s="71"/>
      <c r="C609" s="71"/>
      <c r="D609" s="71"/>
      <c r="E609" s="71"/>
      <c r="F609" s="71"/>
      <c r="G609" s="59"/>
      <c r="H609" s="71"/>
      <c r="I609" s="71"/>
      <c r="J609" s="71"/>
      <c r="K609" s="71"/>
      <c r="L609" s="71"/>
      <c r="M609" s="71"/>
      <c r="N609" s="71"/>
      <c r="O609" s="71"/>
      <c r="P609" s="71"/>
      <c r="Q609" s="71"/>
      <c r="R609" s="71"/>
      <c r="S609" s="71"/>
      <c r="T609" s="71"/>
      <c r="U609" s="71"/>
      <c r="V609" s="71"/>
      <c r="W609" s="71"/>
      <c r="X609" s="71"/>
      <c r="Y609" s="71"/>
      <c r="Z609" s="71"/>
    </row>
    <row r="610" ht="15.75" customHeight="1">
      <c r="A610" s="72"/>
      <c r="B610" s="71"/>
      <c r="C610" s="71"/>
      <c r="D610" s="71"/>
      <c r="E610" s="71"/>
      <c r="F610" s="71"/>
      <c r="G610" s="59"/>
      <c r="H610" s="71"/>
      <c r="I610" s="71"/>
      <c r="J610" s="71"/>
      <c r="K610" s="71"/>
      <c r="L610" s="71"/>
      <c r="M610" s="71"/>
      <c r="N610" s="71"/>
      <c r="O610" s="71"/>
      <c r="P610" s="71"/>
      <c r="Q610" s="71"/>
      <c r="R610" s="71"/>
      <c r="S610" s="71"/>
      <c r="T610" s="71"/>
      <c r="U610" s="71"/>
      <c r="V610" s="71"/>
      <c r="W610" s="71"/>
      <c r="X610" s="71"/>
      <c r="Y610" s="71"/>
      <c r="Z610" s="71"/>
    </row>
    <row r="611" ht="15.75" customHeight="1">
      <c r="A611" s="72"/>
      <c r="B611" s="71"/>
      <c r="C611" s="71"/>
      <c r="D611" s="71"/>
      <c r="E611" s="71"/>
      <c r="F611" s="71"/>
      <c r="G611" s="59"/>
      <c r="H611" s="71"/>
      <c r="I611" s="71"/>
      <c r="J611" s="71"/>
      <c r="K611" s="71"/>
      <c r="L611" s="71"/>
      <c r="M611" s="71"/>
      <c r="N611" s="71"/>
      <c r="O611" s="71"/>
      <c r="P611" s="71"/>
      <c r="Q611" s="71"/>
      <c r="R611" s="71"/>
      <c r="S611" s="71"/>
      <c r="T611" s="71"/>
      <c r="U611" s="71"/>
      <c r="V611" s="71"/>
      <c r="W611" s="71"/>
      <c r="X611" s="71"/>
      <c r="Y611" s="71"/>
      <c r="Z611" s="71"/>
    </row>
    <row r="612" ht="15.75" customHeight="1">
      <c r="A612" s="72"/>
      <c r="B612" s="71"/>
      <c r="C612" s="71"/>
      <c r="D612" s="71"/>
      <c r="E612" s="71"/>
      <c r="F612" s="71"/>
      <c r="G612" s="59"/>
      <c r="H612" s="71"/>
      <c r="I612" s="71"/>
      <c r="J612" s="71"/>
      <c r="K612" s="71"/>
      <c r="L612" s="71"/>
      <c r="M612" s="71"/>
      <c r="N612" s="71"/>
      <c r="O612" s="71"/>
      <c r="P612" s="71"/>
      <c r="Q612" s="71"/>
      <c r="R612" s="71"/>
      <c r="S612" s="71"/>
      <c r="T612" s="71"/>
      <c r="U612" s="71"/>
      <c r="V612" s="71"/>
      <c r="W612" s="71"/>
      <c r="X612" s="71"/>
      <c r="Y612" s="71"/>
      <c r="Z612" s="71"/>
    </row>
    <row r="613" ht="15.75" customHeight="1">
      <c r="A613" s="72"/>
      <c r="B613" s="71"/>
      <c r="C613" s="71"/>
      <c r="D613" s="71"/>
      <c r="E613" s="71"/>
      <c r="F613" s="71"/>
      <c r="G613" s="59"/>
      <c r="H613" s="71"/>
      <c r="I613" s="71"/>
      <c r="J613" s="71"/>
      <c r="K613" s="71"/>
      <c r="L613" s="71"/>
      <c r="M613" s="71"/>
      <c r="N613" s="71"/>
      <c r="O613" s="71"/>
      <c r="P613" s="71"/>
      <c r="Q613" s="71"/>
      <c r="R613" s="71"/>
      <c r="S613" s="71"/>
      <c r="T613" s="71"/>
      <c r="U613" s="71"/>
      <c r="V613" s="71"/>
      <c r="W613" s="71"/>
      <c r="X613" s="71"/>
      <c r="Y613" s="71"/>
      <c r="Z613" s="71"/>
    </row>
    <row r="614" ht="15.75" customHeight="1">
      <c r="A614" s="72"/>
      <c r="B614" s="71"/>
      <c r="C614" s="71"/>
      <c r="D614" s="71"/>
      <c r="E614" s="71"/>
      <c r="F614" s="71"/>
      <c r="G614" s="59"/>
      <c r="H614" s="71"/>
      <c r="I614" s="71"/>
      <c r="J614" s="71"/>
      <c r="K614" s="71"/>
      <c r="L614" s="71"/>
      <c r="M614" s="71"/>
      <c r="N614" s="71"/>
      <c r="O614" s="71"/>
      <c r="P614" s="71"/>
      <c r="Q614" s="71"/>
      <c r="R614" s="71"/>
      <c r="S614" s="71"/>
      <c r="T614" s="71"/>
      <c r="U614" s="71"/>
      <c r="V614" s="71"/>
      <c r="W614" s="71"/>
      <c r="X614" s="71"/>
      <c r="Y614" s="71"/>
      <c r="Z614" s="71"/>
    </row>
    <row r="615" ht="15.75" customHeight="1">
      <c r="A615" s="72"/>
      <c r="B615" s="71"/>
      <c r="C615" s="71"/>
      <c r="D615" s="71"/>
      <c r="E615" s="71"/>
      <c r="F615" s="71"/>
      <c r="G615" s="59"/>
      <c r="H615" s="71"/>
      <c r="I615" s="71"/>
      <c r="J615" s="71"/>
      <c r="K615" s="71"/>
      <c r="L615" s="71"/>
      <c r="M615" s="71"/>
      <c r="N615" s="71"/>
      <c r="O615" s="71"/>
      <c r="P615" s="71"/>
      <c r="Q615" s="71"/>
      <c r="R615" s="71"/>
      <c r="S615" s="71"/>
      <c r="T615" s="71"/>
      <c r="U615" s="71"/>
      <c r="V615" s="71"/>
      <c r="W615" s="71"/>
      <c r="X615" s="71"/>
      <c r="Y615" s="71"/>
      <c r="Z615" s="71"/>
    </row>
    <row r="616" ht="15.75" customHeight="1">
      <c r="A616" s="72"/>
      <c r="B616" s="71"/>
      <c r="C616" s="71"/>
      <c r="D616" s="71"/>
      <c r="E616" s="71"/>
      <c r="F616" s="71"/>
      <c r="G616" s="59"/>
      <c r="H616" s="71"/>
      <c r="I616" s="71"/>
      <c r="J616" s="71"/>
      <c r="K616" s="71"/>
      <c r="L616" s="71"/>
      <c r="M616" s="71"/>
      <c r="N616" s="71"/>
      <c r="O616" s="71"/>
      <c r="P616" s="71"/>
      <c r="Q616" s="71"/>
      <c r="R616" s="71"/>
      <c r="S616" s="71"/>
      <c r="T616" s="71"/>
      <c r="U616" s="71"/>
      <c r="V616" s="71"/>
      <c r="W616" s="71"/>
      <c r="X616" s="71"/>
      <c r="Y616" s="71"/>
      <c r="Z616" s="71"/>
    </row>
    <row r="617" ht="15.75" customHeight="1">
      <c r="A617" s="72"/>
      <c r="B617" s="71"/>
      <c r="C617" s="71"/>
      <c r="D617" s="71"/>
      <c r="E617" s="71"/>
      <c r="F617" s="71"/>
      <c r="G617" s="59"/>
      <c r="H617" s="71"/>
      <c r="I617" s="71"/>
      <c r="J617" s="71"/>
      <c r="K617" s="71"/>
      <c r="L617" s="71"/>
      <c r="M617" s="71"/>
      <c r="N617" s="71"/>
      <c r="O617" s="71"/>
      <c r="P617" s="71"/>
      <c r="Q617" s="71"/>
      <c r="R617" s="71"/>
      <c r="S617" s="71"/>
      <c r="T617" s="71"/>
      <c r="U617" s="71"/>
      <c r="V617" s="71"/>
      <c r="W617" s="71"/>
      <c r="X617" s="71"/>
      <c r="Y617" s="71"/>
      <c r="Z617" s="71"/>
    </row>
    <row r="618" ht="15.75" customHeight="1">
      <c r="A618" s="72"/>
      <c r="B618" s="71"/>
      <c r="C618" s="71"/>
      <c r="D618" s="71"/>
      <c r="E618" s="71"/>
      <c r="F618" s="71"/>
      <c r="G618" s="59"/>
      <c r="H618" s="71"/>
      <c r="I618" s="71"/>
      <c r="J618" s="71"/>
      <c r="K618" s="71"/>
      <c r="L618" s="71"/>
      <c r="M618" s="71"/>
      <c r="N618" s="71"/>
      <c r="O618" s="71"/>
      <c r="P618" s="71"/>
      <c r="Q618" s="71"/>
      <c r="R618" s="71"/>
      <c r="S618" s="71"/>
      <c r="T618" s="71"/>
      <c r="U618" s="71"/>
      <c r="V618" s="71"/>
      <c r="W618" s="71"/>
      <c r="X618" s="71"/>
      <c r="Y618" s="71"/>
      <c r="Z618" s="71"/>
    </row>
    <row r="619" ht="15.75" customHeight="1">
      <c r="A619" s="72"/>
      <c r="B619" s="71"/>
      <c r="C619" s="71"/>
      <c r="D619" s="71"/>
      <c r="E619" s="71"/>
      <c r="F619" s="71"/>
      <c r="G619" s="59"/>
      <c r="H619" s="71"/>
      <c r="I619" s="71"/>
      <c r="J619" s="71"/>
      <c r="K619" s="71"/>
      <c r="L619" s="71"/>
      <c r="M619" s="71"/>
      <c r="N619" s="71"/>
      <c r="O619" s="71"/>
      <c r="P619" s="71"/>
      <c r="Q619" s="71"/>
      <c r="R619" s="71"/>
      <c r="S619" s="71"/>
      <c r="T619" s="71"/>
      <c r="U619" s="71"/>
      <c r="V619" s="71"/>
      <c r="W619" s="71"/>
      <c r="X619" s="71"/>
      <c r="Y619" s="71"/>
      <c r="Z619" s="71"/>
    </row>
    <row r="620" ht="15.75" customHeight="1">
      <c r="A620" s="72"/>
      <c r="B620" s="71"/>
      <c r="C620" s="71"/>
      <c r="D620" s="71"/>
      <c r="E620" s="71"/>
      <c r="F620" s="71"/>
      <c r="G620" s="59"/>
      <c r="H620" s="71"/>
      <c r="I620" s="71"/>
      <c r="J620" s="71"/>
      <c r="K620" s="71"/>
      <c r="L620" s="71"/>
      <c r="M620" s="71"/>
      <c r="N620" s="71"/>
      <c r="O620" s="71"/>
      <c r="P620" s="71"/>
      <c r="Q620" s="71"/>
      <c r="R620" s="71"/>
      <c r="S620" s="71"/>
      <c r="T620" s="71"/>
      <c r="U620" s="71"/>
      <c r="V620" s="71"/>
      <c r="W620" s="71"/>
      <c r="X620" s="71"/>
      <c r="Y620" s="71"/>
      <c r="Z620" s="71"/>
    </row>
    <row r="621" ht="15.75" customHeight="1">
      <c r="A621" s="72"/>
      <c r="B621" s="71"/>
      <c r="C621" s="71"/>
      <c r="D621" s="71"/>
      <c r="E621" s="71"/>
      <c r="F621" s="71"/>
      <c r="G621" s="59"/>
      <c r="H621" s="71"/>
      <c r="I621" s="71"/>
      <c r="J621" s="71"/>
      <c r="K621" s="71"/>
      <c r="L621" s="71"/>
      <c r="M621" s="71"/>
      <c r="N621" s="71"/>
      <c r="O621" s="71"/>
      <c r="P621" s="71"/>
      <c r="Q621" s="71"/>
      <c r="R621" s="71"/>
      <c r="S621" s="71"/>
      <c r="T621" s="71"/>
      <c r="U621" s="71"/>
      <c r="V621" s="71"/>
      <c r="W621" s="71"/>
      <c r="X621" s="71"/>
      <c r="Y621" s="71"/>
      <c r="Z621" s="71"/>
    </row>
    <row r="622" ht="15.75" customHeight="1">
      <c r="A622" s="72"/>
      <c r="B622" s="71"/>
      <c r="C622" s="71"/>
      <c r="D622" s="71"/>
      <c r="E622" s="71"/>
      <c r="F622" s="71"/>
      <c r="G622" s="59"/>
      <c r="H622" s="71"/>
      <c r="I622" s="71"/>
      <c r="J622" s="71"/>
      <c r="K622" s="71"/>
      <c r="L622" s="71"/>
      <c r="M622" s="71"/>
      <c r="N622" s="71"/>
      <c r="O622" s="71"/>
      <c r="P622" s="71"/>
      <c r="Q622" s="71"/>
      <c r="R622" s="71"/>
      <c r="S622" s="71"/>
      <c r="T622" s="71"/>
      <c r="U622" s="71"/>
      <c r="V622" s="71"/>
      <c r="W622" s="71"/>
      <c r="X622" s="71"/>
      <c r="Y622" s="71"/>
      <c r="Z622" s="71"/>
    </row>
    <row r="623" ht="15.75" customHeight="1">
      <c r="A623" s="72"/>
      <c r="B623" s="71"/>
      <c r="C623" s="71"/>
      <c r="D623" s="71"/>
      <c r="E623" s="71"/>
      <c r="F623" s="71"/>
      <c r="G623" s="59"/>
      <c r="H623" s="71"/>
      <c r="I623" s="71"/>
      <c r="J623" s="71"/>
      <c r="K623" s="71"/>
      <c r="L623" s="71"/>
      <c r="M623" s="71"/>
      <c r="N623" s="71"/>
      <c r="O623" s="71"/>
      <c r="P623" s="71"/>
      <c r="Q623" s="71"/>
      <c r="R623" s="71"/>
      <c r="S623" s="71"/>
      <c r="T623" s="71"/>
      <c r="U623" s="71"/>
      <c r="V623" s="71"/>
      <c r="W623" s="71"/>
      <c r="X623" s="71"/>
      <c r="Y623" s="71"/>
      <c r="Z623" s="71"/>
    </row>
    <row r="624" ht="15.75" customHeight="1">
      <c r="A624" s="72"/>
      <c r="B624" s="71"/>
      <c r="C624" s="71"/>
      <c r="D624" s="71"/>
      <c r="E624" s="71"/>
      <c r="F624" s="71"/>
      <c r="G624" s="59"/>
      <c r="H624" s="71"/>
      <c r="I624" s="71"/>
      <c r="J624" s="71"/>
      <c r="K624" s="71"/>
      <c r="L624" s="71"/>
      <c r="M624" s="71"/>
      <c r="N624" s="71"/>
      <c r="O624" s="71"/>
      <c r="P624" s="71"/>
      <c r="Q624" s="71"/>
      <c r="R624" s="71"/>
      <c r="S624" s="71"/>
      <c r="T624" s="71"/>
      <c r="U624" s="71"/>
      <c r="V624" s="71"/>
      <c r="W624" s="71"/>
      <c r="X624" s="71"/>
      <c r="Y624" s="71"/>
      <c r="Z624" s="71"/>
    </row>
    <row r="625" ht="15.75" customHeight="1">
      <c r="A625" s="72"/>
      <c r="B625" s="71"/>
      <c r="C625" s="71"/>
      <c r="D625" s="71"/>
      <c r="E625" s="71"/>
      <c r="F625" s="71"/>
      <c r="G625" s="59"/>
      <c r="H625" s="71"/>
      <c r="I625" s="71"/>
      <c r="J625" s="71"/>
      <c r="K625" s="71"/>
      <c r="L625" s="71"/>
      <c r="M625" s="71"/>
      <c r="N625" s="71"/>
      <c r="O625" s="71"/>
      <c r="P625" s="71"/>
      <c r="Q625" s="71"/>
      <c r="R625" s="71"/>
      <c r="S625" s="71"/>
      <c r="T625" s="71"/>
      <c r="U625" s="71"/>
      <c r="V625" s="71"/>
      <c r="W625" s="71"/>
      <c r="X625" s="71"/>
      <c r="Y625" s="71"/>
      <c r="Z625" s="71"/>
    </row>
    <row r="626" ht="15.75" customHeight="1">
      <c r="A626" s="72"/>
      <c r="B626" s="71"/>
      <c r="C626" s="71"/>
      <c r="D626" s="71"/>
      <c r="E626" s="71"/>
      <c r="F626" s="71"/>
      <c r="G626" s="59"/>
      <c r="H626" s="71"/>
      <c r="I626" s="71"/>
      <c r="J626" s="71"/>
      <c r="K626" s="71"/>
      <c r="L626" s="71"/>
      <c r="M626" s="71"/>
      <c r="N626" s="71"/>
      <c r="O626" s="71"/>
      <c r="P626" s="71"/>
      <c r="Q626" s="71"/>
      <c r="R626" s="71"/>
      <c r="S626" s="71"/>
      <c r="T626" s="71"/>
      <c r="U626" s="71"/>
      <c r="V626" s="71"/>
      <c r="W626" s="71"/>
      <c r="X626" s="71"/>
      <c r="Y626" s="71"/>
      <c r="Z626" s="71"/>
    </row>
    <row r="627" ht="15.75" customHeight="1">
      <c r="A627" s="72"/>
      <c r="B627" s="71"/>
      <c r="C627" s="71"/>
      <c r="D627" s="71"/>
      <c r="E627" s="71"/>
      <c r="F627" s="71"/>
      <c r="G627" s="59"/>
      <c r="H627" s="71"/>
      <c r="I627" s="71"/>
      <c r="J627" s="71"/>
      <c r="K627" s="71"/>
      <c r="L627" s="71"/>
      <c r="M627" s="71"/>
      <c r="N627" s="71"/>
      <c r="O627" s="71"/>
      <c r="P627" s="71"/>
      <c r="Q627" s="71"/>
      <c r="R627" s="71"/>
      <c r="S627" s="71"/>
      <c r="T627" s="71"/>
      <c r="U627" s="71"/>
      <c r="V627" s="71"/>
      <c r="W627" s="71"/>
      <c r="X627" s="71"/>
      <c r="Y627" s="71"/>
      <c r="Z627" s="71"/>
    </row>
    <row r="628" ht="15.75" customHeight="1">
      <c r="A628" s="72"/>
      <c r="B628" s="71"/>
      <c r="C628" s="71"/>
      <c r="D628" s="71"/>
      <c r="E628" s="71"/>
      <c r="F628" s="71"/>
      <c r="G628" s="59"/>
      <c r="H628" s="71"/>
      <c r="I628" s="71"/>
      <c r="J628" s="71"/>
      <c r="K628" s="71"/>
      <c r="L628" s="71"/>
      <c r="M628" s="71"/>
      <c r="N628" s="71"/>
      <c r="O628" s="71"/>
      <c r="P628" s="71"/>
      <c r="Q628" s="71"/>
      <c r="R628" s="71"/>
      <c r="S628" s="71"/>
      <c r="T628" s="71"/>
      <c r="U628" s="71"/>
      <c r="V628" s="71"/>
      <c r="W628" s="71"/>
      <c r="X628" s="71"/>
      <c r="Y628" s="71"/>
      <c r="Z628" s="71"/>
    </row>
    <row r="629" ht="15.75" customHeight="1">
      <c r="A629" s="72"/>
      <c r="B629" s="71"/>
      <c r="C629" s="71"/>
      <c r="D629" s="71"/>
      <c r="E629" s="71"/>
      <c r="F629" s="71"/>
      <c r="G629" s="59"/>
      <c r="H629" s="71"/>
      <c r="I629" s="71"/>
      <c r="J629" s="71"/>
      <c r="K629" s="71"/>
      <c r="L629" s="71"/>
      <c r="M629" s="71"/>
      <c r="N629" s="71"/>
      <c r="O629" s="71"/>
      <c r="P629" s="71"/>
      <c r="Q629" s="71"/>
      <c r="R629" s="71"/>
      <c r="S629" s="71"/>
      <c r="T629" s="71"/>
      <c r="U629" s="71"/>
      <c r="V629" s="71"/>
      <c r="W629" s="71"/>
      <c r="X629" s="71"/>
      <c r="Y629" s="71"/>
      <c r="Z629" s="71"/>
    </row>
    <row r="630" ht="15.75" customHeight="1">
      <c r="A630" s="72"/>
      <c r="B630" s="71"/>
      <c r="C630" s="71"/>
      <c r="D630" s="71"/>
      <c r="E630" s="71"/>
      <c r="F630" s="71"/>
      <c r="G630" s="59"/>
      <c r="H630" s="71"/>
      <c r="I630" s="71"/>
      <c r="J630" s="71"/>
      <c r="K630" s="71"/>
      <c r="L630" s="71"/>
      <c r="M630" s="71"/>
      <c r="N630" s="71"/>
      <c r="O630" s="71"/>
      <c r="P630" s="71"/>
      <c r="Q630" s="71"/>
      <c r="R630" s="71"/>
      <c r="S630" s="71"/>
      <c r="T630" s="71"/>
      <c r="U630" s="71"/>
      <c r="V630" s="71"/>
      <c r="W630" s="71"/>
      <c r="X630" s="71"/>
      <c r="Y630" s="71"/>
      <c r="Z630" s="71"/>
    </row>
    <row r="631" ht="15.75" customHeight="1">
      <c r="A631" s="72"/>
      <c r="B631" s="71"/>
      <c r="C631" s="71"/>
      <c r="D631" s="71"/>
      <c r="E631" s="71"/>
      <c r="F631" s="71"/>
      <c r="G631" s="59"/>
      <c r="H631" s="71"/>
      <c r="I631" s="71"/>
      <c r="J631" s="71"/>
      <c r="K631" s="71"/>
      <c r="L631" s="71"/>
      <c r="M631" s="71"/>
      <c r="N631" s="71"/>
      <c r="O631" s="71"/>
      <c r="P631" s="71"/>
      <c r="Q631" s="71"/>
      <c r="R631" s="71"/>
      <c r="S631" s="71"/>
      <c r="T631" s="71"/>
      <c r="U631" s="71"/>
      <c r="V631" s="71"/>
      <c r="W631" s="71"/>
      <c r="X631" s="71"/>
      <c r="Y631" s="71"/>
      <c r="Z631" s="71"/>
    </row>
    <row r="632" ht="15.75" customHeight="1">
      <c r="A632" s="72"/>
      <c r="B632" s="71"/>
      <c r="C632" s="71"/>
      <c r="D632" s="71"/>
      <c r="E632" s="71"/>
      <c r="F632" s="71"/>
      <c r="G632" s="59"/>
      <c r="H632" s="71"/>
      <c r="I632" s="71"/>
      <c r="J632" s="71"/>
      <c r="K632" s="71"/>
      <c r="L632" s="71"/>
      <c r="M632" s="71"/>
      <c r="N632" s="71"/>
      <c r="O632" s="71"/>
      <c r="P632" s="71"/>
      <c r="Q632" s="71"/>
      <c r="R632" s="71"/>
      <c r="S632" s="71"/>
      <c r="T632" s="71"/>
      <c r="U632" s="71"/>
      <c r="V632" s="71"/>
      <c r="W632" s="71"/>
      <c r="X632" s="71"/>
      <c r="Y632" s="71"/>
      <c r="Z632" s="71"/>
    </row>
    <row r="633" ht="15.75" customHeight="1">
      <c r="A633" s="72"/>
      <c r="B633" s="71"/>
      <c r="C633" s="71"/>
      <c r="D633" s="71"/>
      <c r="E633" s="71"/>
      <c r="F633" s="71"/>
      <c r="G633" s="59"/>
      <c r="H633" s="71"/>
      <c r="I633" s="71"/>
      <c r="J633" s="71"/>
      <c r="K633" s="71"/>
      <c r="L633" s="71"/>
      <c r="M633" s="71"/>
      <c r="N633" s="71"/>
      <c r="O633" s="71"/>
      <c r="P633" s="71"/>
      <c r="Q633" s="71"/>
      <c r="R633" s="71"/>
      <c r="S633" s="71"/>
      <c r="T633" s="71"/>
      <c r="U633" s="71"/>
      <c r="V633" s="71"/>
      <c r="W633" s="71"/>
      <c r="X633" s="71"/>
      <c r="Y633" s="71"/>
      <c r="Z633" s="71"/>
    </row>
    <row r="634" ht="15.75" customHeight="1">
      <c r="A634" s="72"/>
      <c r="B634" s="71"/>
      <c r="C634" s="71"/>
      <c r="D634" s="71"/>
      <c r="E634" s="71"/>
      <c r="F634" s="71"/>
      <c r="G634" s="59"/>
      <c r="H634" s="71"/>
      <c r="I634" s="71"/>
      <c r="J634" s="71"/>
      <c r="K634" s="71"/>
      <c r="L634" s="71"/>
      <c r="M634" s="71"/>
      <c r="N634" s="71"/>
      <c r="O634" s="71"/>
      <c r="P634" s="71"/>
      <c r="Q634" s="71"/>
      <c r="R634" s="71"/>
      <c r="S634" s="71"/>
      <c r="T634" s="71"/>
      <c r="U634" s="71"/>
      <c r="V634" s="71"/>
      <c r="W634" s="71"/>
      <c r="X634" s="71"/>
      <c r="Y634" s="71"/>
      <c r="Z634" s="71"/>
    </row>
    <row r="635" ht="15.75" customHeight="1">
      <c r="A635" s="72"/>
      <c r="B635" s="71"/>
      <c r="C635" s="71"/>
      <c r="D635" s="71"/>
      <c r="E635" s="71"/>
      <c r="F635" s="71"/>
      <c r="G635" s="59"/>
      <c r="H635" s="71"/>
      <c r="I635" s="71"/>
      <c r="J635" s="71"/>
      <c r="K635" s="71"/>
      <c r="L635" s="71"/>
      <c r="M635" s="71"/>
      <c r="N635" s="71"/>
      <c r="O635" s="71"/>
      <c r="P635" s="71"/>
      <c r="Q635" s="71"/>
      <c r="R635" s="71"/>
      <c r="S635" s="71"/>
      <c r="T635" s="71"/>
      <c r="U635" s="71"/>
      <c r="V635" s="71"/>
      <c r="W635" s="71"/>
      <c r="X635" s="71"/>
      <c r="Y635" s="71"/>
      <c r="Z635" s="71"/>
    </row>
    <row r="636" ht="15.75" customHeight="1">
      <c r="A636" s="72"/>
      <c r="B636" s="71"/>
      <c r="C636" s="71"/>
      <c r="D636" s="71"/>
      <c r="E636" s="71"/>
      <c r="F636" s="71"/>
      <c r="G636" s="59"/>
      <c r="H636" s="71"/>
      <c r="I636" s="71"/>
      <c r="J636" s="71"/>
      <c r="K636" s="71"/>
      <c r="L636" s="71"/>
      <c r="M636" s="71"/>
      <c r="N636" s="71"/>
      <c r="O636" s="71"/>
      <c r="P636" s="71"/>
      <c r="Q636" s="71"/>
      <c r="R636" s="71"/>
      <c r="S636" s="71"/>
      <c r="T636" s="71"/>
      <c r="U636" s="71"/>
      <c r="V636" s="71"/>
      <c r="W636" s="71"/>
      <c r="X636" s="71"/>
      <c r="Y636" s="71"/>
      <c r="Z636" s="71"/>
    </row>
    <row r="637" ht="15.75" customHeight="1">
      <c r="A637" s="72"/>
      <c r="B637" s="71"/>
      <c r="C637" s="71"/>
      <c r="D637" s="71"/>
      <c r="E637" s="71"/>
      <c r="F637" s="71"/>
      <c r="G637" s="59"/>
      <c r="H637" s="71"/>
      <c r="I637" s="71"/>
      <c r="J637" s="71"/>
      <c r="K637" s="71"/>
      <c r="L637" s="71"/>
      <c r="M637" s="71"/>
      <c r="N637" s="71"/>
      <c r="O637" s="71"/>
      <c r="P637" s="71"/>
      <c r="Q637" s="71"/>
      <c r="R637" s="71"/>
      <c r="S637" s="71"/>
      <c r="T637" s="71"/>
      <c r="U637" s="71"/>
      <c r="V637" s="71"/>
      <c r="W637" s="71"/>
      <c r="X637" s="71"/>
      <c r="Y637" s="71"/>
      <c r="Z637" s="71"/>
    </row>
    <row r="638" ht="15.75" customHeight="1">
      <c r="A638" s="72"/>
      <c r="B638" s="71"/>
      <c r="C638" s="71"/>
      <c r="D638" s="71"/>
      <c r="E638" s="71"/>
      <c r="F638" s="71"/>
      <c r="G638" s="59"/>
      <c r="H638" s="71"/>
      <c r="I638" s="71"/>
      <c r="J638" s="71"/>
      <c r="K638" s="71"/>
      <c r="L638" s="71"/>
      <c r="M638" s="71"/>
      <c r="N638" s="71"/>
      <c r="O638" s="71"/>
      <c r="P638" s="71"/>
      <c r="Q638" s="71"/>
      <c r="R638" s="71"/>
      <c r="S638" s="71"/>
      <c r="T638" s="71"/>
      <c r="U638" s="71"/>
      <c r="V638" s="71"/>
      <c r="W638" s="71"/>
      <c r="X638" s="71"/>
      <c r="Y638" s="71"/>
      <c r="Z638" s="71"/>
    </row>
    <row r="639" ht="15.75" customHeight="1">
      <c r="A639" s="72"/>
      <c r="B639" s="71"/>
      <c r="C639" s="71"/>
      <c r="D639" s="71"/>
      <c r="E639" s="71"/>
      <c r="F639" s="71"/>
      <c r="G639" s="59"/>
      <c r="H639" s="71"/>
      <c r="I639" s="71"/>
      <c r="J639" s="71"/>
      <c r="K639" s="71"/>
      <c r="L639" s="71"/>
      <c r="M639" s="71"/>
      <c r="N639" s="71"/>
      <c r="O639" s="71"/>
      <c r="P639" s="71"/>
      <c r="Q639" s="71"/>
      <c r="R639" s="71"/>
      <c r="S639" s="71"/>
      <c r="T639" s="71"/>
      <c r="U639" s="71"/>
      <c r="V639" s="71"/>
      <c r="W639" s="71"/>
      <c r="X639" s="71"/>
      <c r="Y639" s="71"/>
      <c r="Z639" s="71"/>
    </row>
    <row r="640" ht="15.75" customHeight="1">
      <c r="A640" s="72"/>
      <c r="B640" s="71"/>
      <c r="C640" s="71"/>
      <c r="D640" s="71"/>
      <c r="E640" s="71"/>
      <c r="F640" s="71"/>
      <c r="G640" s="59"/>
      <c r="H640" s="71"/>
      <c r="I640" s="71"/>
      <c r="J640" s="71"/>
      <c r="K640" s="71"/>
      <c r="L640" s="71"/>
      <c r="M640" s="71"/>
      <c r="N640" s="71"/>
      <c r="O640" s="71"/>
      <c r="P640" s="71"/>
      <c r="Q640" s="71"/>
      <c r="R640" s="71"/>
      <c r="S640" s="71"/>
      <c r="T640" s="71"/>
      <c r="U640" s="71"/>
      <c r="V640" s="71"/>
      <c r="W640" s="71"/>
      <c r="X640" s="71"/>
      <c r="Y640" s="71"/>
      <c r="Z640" s="71"/>
    </row>
    <row r="641" ht="15.75" customHeight="1">
      <c r="A641" s="72"/>
      <c r="B641" s="71"/>
      <c r="C641" s="71"/>
      <c r="D641" s="71"/>
      <c r="E641" s="71"/>
      <c r="F641" s="71"/>
      <c r="G641" s="59"/>
      <c r="H641" s="71"/>
      <c r="I641" s="71"/>
      <c r="J641" s="71"/>
      <c r="K641" s="71"/>
      <c r="L641" s="71"/>
      <c r="M641" s="71"/>
      <c r="N641" s="71"/>
      <c r="O641" s="71"/>
      <c r="P641" s="71"/>
      <c r="Q641" s="71"/>
      <c r="R641" s="71"/>
      <c r="S641" s="71"/>
      <c r="T641" s="71"/>
      <c r="U641" s="71"/>
      <c r="V641" s="71"/>
      <c r="W641" s="71"/>
      <c r="X641" s="71"/>
      <c r="Y641" s="71"/>
      <c r="Z641" s="71"/>
    </row>
    <row r="642" ht="15.75" customHeight="1">
      <c r="A642" s="72"/>
      <c r="B642" s="71"/>
      <c r="C642" s="71"/>
      <c r="D642" s="71"/>
      <c r="E642" s="71"/>
      <c r="F642" s="71"/>
      <c r="G642" s="59"/>
      <c r="H642" s="71"/>
      <c r="I642" s="71"/>
      <c r="J642" s="71"/>
      <c r="K642" s="71"/>
      <c r="L642" s="71"/>
      <c r="M642" s="71"/>
      <c r="N642" s="71"/>
      <c r="O642" s="71"/>
      <c r="P642" s="71"/>
      <c r="Q642" s="71"/>
      <c r="R642" s="71"/>
      <c r="S642" s="71"/>
      <c r="T642" s="71"/>
      <c r="U642" s="71"/>
      <c r="V642" s="71"/>
      <c r="W642" s="71"/>
      <c r="X642" s="71"/>
      <c r="Y642" s="71"/>
      <c r="Z642" s="71"/>
    </row>
    <row r="643" ht="15.75" customHeight="1">
      <c r="A643" s="72"/>
      <c r="B643" s="71"/>
      <c r="C643" s="71"/>
      <c r="D643" s="71"/>
      <c r="E643" s="71"/>
      <c r="F643" s="71"/>
      <c r="G643" s="59"/>
      <c r="H643" s="71"/>
      <c r="I643" s="71"/>
      <c r="J643" s="71"/>
      <c r="K643" s="71"/>
      <c r="L643" s="71"/>
      <c r="M643" s="71"/>
      <c r="N643" s="71"/>
      <c r="O643" s="71"/>
      <c r="P643" s="71"/>
      <c r="Q643" s="71"/>
      <c r="R643" s="71"/>
      <c r="S643" s="71"/>
      <c r="T643" s="71"/>
      <c r="U643" s="71"/>
      <c r="V643" s="71"/>
      <c r="W643" s="71"/>
      <c r="X643" s="71"/>
      <c r="Y643" s="71"/>
      <c r="Z643" s="71"/>
    </row>
    <row r="644" ht="15.75" customHeight="1">
      <c r="A644" s="72"/>
      <c r="B644" s="71"/>
      <c r="C644" s="71"/>
      <c r="D644" s="71"/>
      <c r="E644" s="71"/>
      <c r="F644" s="71"/>
      <c r="G644" s="59"/>
      <c r="H644" s="71"/>
      <c r="I644" s="71"/>
      <c r="J644" s="71"/>
      <c r="K644" s="71"/>
      <c r="L644" s="71"/>
      <c r="M644" s="71"/>
      <c r="N644" s="71"/>
      <c r="O644" s="71"/>
      <c r="P644" s="71"/>
      <c r="Q644" s="71"/>
      <c r="R644" s="71"/>
      <c r="S644" s="71"/>
      <c r="T644" s="71"/>
      <c r="U644" s="71"/>
      <c r="V644" s="71"/>
      <c r="W644" s="71"/>
      <c r="X644" s="71"/>
      <c r="Y644" s="71"/>
      <c r="Z644" s="71"/>
    </row>
    <row r="645" ht="15.75" customHeight="1">
      <c r="A645" s="72"/>
      <c r="B645" s="71"/>
      <c r="C645" s="71"/>
      <c r="D645" s="71"/>
      <c r="E645" s="71"/>
      <c r="F645" s="71"/>
      <c r="G645" s="59"/>
      <c r="H645" s="71"/>
      <c r="I645" s="71"/>
      <c r="J645" s="71"/>
      <c r="K645" s="71"/>
      <c r="L645" s="71"/>
      <c r="M645" s="71"/>
      <c r="N645" s="71"/>
      <c r="O645" s="71"/>
      <c r="P645" s="71"/>
      <c r="Q645" s="71"/>
      <c r="R645" s="71"/>
      <c r="S645" s="71"/>
      <c r="T645" s="71"/>
      <c r="U645" s="71"/>
      <c r="V645" s="71"/>
      <c r="W645" s="71"/>
      <c r="X645" s="71"/>
      <c r="Y645" s="71"/>
      <c r="Z645" s="71"/>
    </row>
    <row r="646" ht="15.75" customHeight="1">
      <c r="A646" s="72"/>
      <c r="B646" s="71"/>
      <c r="C646" s="71"/>
      <c r="D646" s="71"/>
      <c r="E646" s="71"/>
      <c r="F646" s="71"/>
      <c r="G646" s="59"/>
      <c r="H646" s="71"/>
      <c r="I646" s="71"/>
      <c r="J646" s="71"/>
      <c r="K646" s="71"/>
      <c r="L646" s="71"/>
      <c r="M646" s="71"/>
      <c r="N646" s="71"/>
      <c r="O646" s="71"/>
      <c r="P646" s="71"/>
      <c r="Q646" s="71"/>
      <c r="R646" s="71"/>
      <c r="S646" s="71"/>
      <c r="T646" s="71"/>
      <c r="U646" s="71"/>
      <c r="V646" s="71"/>
      <c r="W646" s="71"/>
      <c r="X646" s="71"/>
      <c r="Y646" s="71"/>
      <c r="Z646" s="71"/>
    </row>
    <row r="647" ht="15.75" customHeight="1">
      <c r="A647" s="72"/>
      <c r="B647" s="71"/>
      <c r="C647" s="71"/>
      <c r="D647" s="71"/>
      <c r="E647" s="71"/>
      <c r="F647" s="71"/>
      <c r="G647" s="59"/>
      <c r="H647" s="71"/>
      <c r="I647" s="71"/>
      <c r="J647" s="71"/>
      <c r="K647" s="71"/>
      <c r="L647" s="71"/>
      <c r="M647" s="71"/>
      <c r="N647" s="71"/>
      <c r="O647" s="71"/>
      <c r="P647" s="71"/>
      <c r="Q647" s="71"/>
      <c r="R647" s="71"/>
      <c r="S647" s="71"/>
      <c r="T647" s="71"/>
      <c r="U647" s="71"/>
      <c r="V647" s="71"/>
      <c r="W647" s="71"/>
      <c r="X647" s="71"/>
      <c r="Y647" s="71"/>
      <c r="Z647" s="71"/>
    </row>
    <row r="648" ht="15.75" customHeight="1">
      <c r="A648" s="72"/>
      <c r="B648" s="71"/>
      <c r="C648" s="71"/>
      <c r="D648" s="71"/>
      <c r="E648" s="71"/>
      <c r="F648" s="71"/>
      <c r="G648" s="59"/>
      <c r="H648" s="71"/>
      <c r="I648" s="71"/>
      <c r="J648" s="71"/>
      <c r="K648" s="71"/>
      <c r="L648" s="71"/>
      <c r="M648" s="71"/>
      <c r="N648" s="71"/>
      <c r="O648" s="71"/>
      <c r="P648" s="71"/>
      <c r="Q648" s="71"/>
      <c r="R648" s="71"/>
      <c r="S648" s="71"/>
      <c r="T648" s="71"/>
      <c r="U648" s="71"/>
      <c r="V648" s="71"/>
      <c r="W648" s="71"/>
      <c r="X648" s="71"/>
      <c r="Y648" s="71"/>
      <c r="Z648" s="71"/>
    </row>
    <row r="649" ht="15.75" customHeight="1">
      <c r="A649" s="72"/>
      <c r="B649" s="71"/>
      <c r="C649" s="71"/>
      <c r="D649" s="71"/>
      <c r="E649" s="71"/>
      <c r="F649" s="71"/>
      <c r="G649" s="59"/>
      <c r="H649" s="71"/>
      <c r="I649" s="71"/>
      <c r="J649" s="71"/>
      <c r="K649" s="71"/>
      <c r="L649" s="71"/>
      <c r="M649" s="71"/>
      <c r="N649" s="71"/>
      <c r="O649" s="71"/>
      <c r="P649" s="71"/>
      <c r="Q649" s="71"/>
      <c r="R649" s="71"/>
      <c r="S649" s="71"/>
      <c r="T649" s="71"/>
      <c r="U649" s="71"/>
      <c r="V649" s="71"/>
      <c r="W649" s="71"/>
      <c r="X649" s="71"/>
      <c r="Y649" s="71"/>
      <c r="Z649" s="71"/>
    </row>
    <row r="650" ht="15.75" customHeight="1">
      <c r="A650" s="72"/>
      <c r="B650" s="71"/>
      <c r="C650" s="71"/>
      <c r="D650" s="71"/>
      <c r="E650" s="71"/>
      <c r="F650" s="71"/>
      <c r="G650" s="59"/>
      <c r="H650" s="71"/>
      <c r="I650" s="71"/>
      <c r="J650" s="71"/>
      <c r="K650" s="71"/>
      <c r="L650" s="71"/>
      <c r="M650" s="71"/>
      <c r="N650" s="71"/>
      <c r="O650" s="71"/>
      <c r="P650" s="71"/>
      <c r="Q650" s="71"/>
      <c r="R650" s="71"/>
      <c r="S650" s="71"/>
      <c r="T650" s="71"/>
      <c r="U650" s="71"/>
      <c r="V650" s="71"/>
      <c r="W650" s="71"/>
      <c r="X650" s="71"/>
      <c r="Y650" s="71"/>
      <c r="Z650" s="71"/>
    </row>
    <row r="651" ht="15.75" customHeight="1">
      <c r="A651" s="72"/>
      <c r="B651" s="71"/>
      <c r="C651" s="71"/>
      <c r="D651" s="71"/>
      <c r="E651" s="71"/>
      <c r="F651" s="71"/>
      <c r="G651" s="59"/>
      <c r="H651" s="71"/>
      <c r="I651" s="71"/>
      <c r="J651" s="71"/>
      <c r="K651" s="71"/>
      <c r="L651" s="71"/>
      <c r="M651" s="71"/>
      <c r="N651" s="71"/>
      <c r="O651" s="71"/>
      <c r="P651" s="71"/>
      <c r="Q651" s="71"/>
      <c r="R651" s="71"/>
      <c r="S651" s="71"/>
      <c r="T651" s="71"/>
      <c r="U651" s="71"/>
      <c r="V651" s="71"/>
      <c r="W651" s="71"/>
      <c r="X651" s="71"/>
      <c r="Y651" s="71"/>
      <c r="Z651" s="71"/>
    </row>
    <row r="652" ht="15.75" customHeight="1">
      <c r="A652" s="72"/>
      <c r="B652" s="71"/>
      <c r="C652" s="71"/>
      <c r="D652" s="71"/>
      <c r="E652" s="71"/>
      <c r="F652" s="71"/>
      <c r="G652" s="59"/>
      <c r="H652" s="71"/>
      <c r="I652" s="71"/>
      <c r="J652" s="71"/>
      <c r="K652" s="71"/>
      <c r="L652" s="71"/>
      <c r="M652" s="71"/>
      <c r="N652" s="71"/>
      <c r="O652" s="71"/>
      <c r="P652" s="71"/>
      <c r="Q652" s="71"/>
      <c r="R652" s="71"/>
      <c r="S652" s="71"/>
      <c r="T652" s="71"/>
      <c r="U652" s="71"/>
      <c r="V652" s="71"/>
      <c r="W652" s="71"/>
      <c r="X652" s="71"/>
      <c r="Y652" s="71"/>
      <c r="Z652" s="71"/>
    </row>
    <row r="653" ht="15.75" customHeight="1">
      <c r="A653" s="72"/>
      <c r="B653" s="71"/>
      <c r="C653" s="71"/>
      <c r="D653" s="71"/>
      <c r="E653" s="71"/>
      <c r="F653" s="71"/>
      <c r="G653" s="59"/>
      <c r="H653" s="71"/>
      <c r="I653" s="71"/>
      <c r="J653" s="71"/>
      <c r="K653" s="71"/>
      <c r="L653" s="71"/>
      <c r="M653" s="71"/>
      <c r="N653" s="71"/>
      <c r="O653" s="71"/>
      <c r="P653" s="71"/>
      <c r="Q653" s="71"/>
      <c r="R653" s="71"/>
      <c r="S653" s="71"/>
      <c r="T653" s="71"/>
      <c r="U653" s="71"/>
      <c r="V653" s="71"/>
      <c r="W653" s="71"/>
      <c r="X653" s="71"/>
      <c r="Y653" s="71"/>
      <c r="Z653" s="71"/>
    </row>
    <row r="654" ht="15.75" customHeight="1">
      <c r="A654" s="72"/>
      <c r="B654" s="71"/>
      <c r="C654" s="71"/>
      <c r="D654" s="71"/>
      <c r="E654" s="71"/>
      <c r="F654" s="71"/>
      <c r="G654" s="59"/>
      <c r="H654" s="71"/>
      <c r="I654" s="71"/>
      <c r="J654" s="71"/>
      <c r="K654" s="71"/>
      <c r="L654" s="71"/>
      <c r="M654" s="71"/>
      <c r="N654" s="71"/>
      <c r="O654" s="71"/>
      <c r="P654" s="71"/>
      <c r="Q654" s="71"/>
      <c r="R654" s="71"/>
      <c r="S654" s="71"/>
      <c r="T654" s="71"/>
      <c r="U654" s="71"/>
      <c r="V654" s="71"/>
      <c r="W654" s="71"/>
      <c r="X654" s="71"/>
      <c r="Y654" s="71"/>
      <c r="Z654" s="71"/>
    </row>
    <row r="655" ht="15.75" customHeight="1">
      <c r="A655" s="72"/>
      <c r="B655" s="71"/>
      <c r="C655" s="71"/>
      <c r="D655" s="71"/>
      <c r="E655" s="71"/>
      <c r="F655" s="71"/>
      <c r="G655" s="59"/>
      <c r="H655" s="71"/>
      <c r="I655" s="71"/>
      <c r="J655" s="71"/>
      <c r="K655" s="71"/>
      <c r="L655" s="71"/>
      <c r="M655" s="71"/>
      <c r="N655" s="71"/>
      <c r="O655" s="71"/>
      <c r="P655" s="71"/>
      <c r="Q655" s="71"/>
      <c r="R655" s="71"/>
      <c r="S655" s="71"/>
      <c r="T655" s="71"/>
      <c r="U655" s="71"/>
      <c r="V655" s="71"/>
      <c r="W655" s="71"/>
      <c r="X655" s="71"/>
      <c r="Y655" s="71"/>
      <c r="Z655" s="71"/>
    </row>
    <row r="656" ht="15.75" customHeight="1">
      <c r="A656" s="72"/>
      <c r="B656" s="71"/>
      <c r="C656" s="71"/>
      <c r="D656" s="71"/>
      <c r="E656" s="71"/>
      <c r="F656" s="71"/>
      <c r="G656" s="59"/>
      <c r="H656" s="71"/>
      <c r="I656" s="71"/>
      <c r="J656" s="71"/>
      <c r="K656" s="71"/>
      <c r="L656" s="71"/>
      <c r="M656" s="71"/>
      <c r="N656" s="71"/>
      <c r="O656" s="71"/>
      <c r="P656" s="71"/>
      <c r="Q656" s="71"/>
      <c r="R656" s="71"/>
      <c r="S656" s="71"/>
      <c r="T656" s="71"/>
      <c r="U656" s="71"/>
      <c r="V656" s="71"/>
      <c r="W656" s="71"/>
      <c r="X656" s="71"/>
      <c r="Y656" s="71"/>
      <c r="Z656" s="71"/>
    </row>
    <row r="657" ht="15.75" customHeight="1">
      <c r="A657" s="72"/>
      <c r="B657" s="71"/>
      <c r="C657" s="71"/>
      <c r="D657" s="71"/>
      <c r="E657" s="71"/>
      <c r="F657" s="71"/>
      <c r="G657" s="59"/>
      <c r="H657" s="71"/>
      <c r="I657" s="71"/>
      <c r="J657" s="71"/>
      <c r="K657" s="71"/>
      <c r="L657" s="71"/>
      <c r="M657" s="71"/>
      <c r="N657" s="71"/>
      <c r="O657" s="71"/>
      <c r="P657" s="71"/>
      <c r="Q657" s="71"/>
      <c r="R657" s="71"/>
      <c r="S657" s="71"/>
      <c r="T657" s="71"/>
      <c r="U657" s="71"/>
      <c r="V657" s="71"/>
      <c r="W657" s="71"/>
      <c r="X657" s="71"/>
      <c r="Y657" s="71"/>
      <c r="Z657" s="71"/>
    </row>
    <row r="658" ht="15.75" customHeight="1">
      <c r="A658" s="72"/>
      <c r="B658" s="71"/>
      <c r="C658" s="71"/>
      <c r="D658" s="71"/>
      <c r="E658" s="71"/>
      <c r="F658" s="71"/>
      <c r="G658" s="59"/>
      <c r="H658" s="71"/>
      <c r="I658" s="71"/>
      <c r="J658" s="71"/>
      <c r="K658" s="71"/>
      <c r="L658" s="71"/>
      <c r="M658" s="71"/>
      <c r="N658" s="71"/>
      <c r="O658" s="71"/>
      <c r="P658" s="71"/>
      <c r="Q658" s="71"/>
      <c r="R658" s="71"/>
      <c r="S658" s="71"/>
      <c r="T658" s="71"/>
      <c r="U658" s="71"/>
      <c r="V658" s="71"/>
      <c r="W658" s="71"/>
      <c r="X658" s="71"/>
      <c r="Y658" s="71"/>
      <c r="Z658" s="71"/>
    </row>
    <row r="659" ht="15.75" customHeight="1">
      <c r="A659" s="72"/>
      <c r="B659" s="71"/>
      <c r="C659" s="71"/>
      <c r="D659" s="71"/>
      <c r="E659" s="71"/>
      <c r="F659" s="71"/>
      <c r="G659" s="59"/>
      <c r="H659" s="71"/>
      <c r="I659" s="71"/>
      <c r="J659" s="71"/>
      <c r="K659" s="71"/>
      <c r="L659" s="71"/>
      <c r="M659" s="71"/>
      <c r="N659" s="71"/>
      <c r="O659" s="71"/>
      <c r="P659" s="71"/>
      <c r="Q659" s="71"/>
      <c r="R659" s="71"/>
      <c r="S659" s="71"/>
      <c r="T659" s="71"/>
      <c r="U659" s="71"/>
      <c r="V659" s="71"/>
      <c r="W659" s="71"/>
      <c r="X659" s="71"/>
      <c r="Y659" s="71"/>
      <c r="Z659" s="71"/>
    </row>
    <row r="660" ht="15.75" customHeight="1">
      <c r="A660" s="72"/>
      <c r="B660" s="71"/>
      <c r="C660" s="71"/>
      <c r="D660" s="71"/>
      <c r="E660" s="71"/>
      <c r="F660" s="71"/>
      <c r="G660" s="59"/>
      <c r="H660" s="71"/>
      <c r="I660" s="71"/>
      <c r="J660" s="71"/>
      <c r="K660" s="71"/>
      <c r="L660" s="71"/>
      <c r="M660" s="71"/>
      <c r="N660" s="71"/>
      <c r="O660" s="71"/>
      <c r="P660" s="71"/>
      <c r="Q660" s="71"/>
      <c r="R660" s="71"/>
      <c r="S660" s="71"/>
      <c r="T660" s="71"/>
      <c r="U660" s="71"/>
      <c r="V660" s="71"/>
      <c r="W660" s="71"/>
      <c r="X660" s="71"/>
      <c r="Y660" s="71"/>
      <c r="Z660" s="71"/>
    </row>
    <row r="661" ht="15.75" customHeight="1">
      <c r="A661" s="72"/>
      <c r="B661" s="71"/>
      <c r="C661" s="71"/>
      <c r="D661" s="71"/>
      <c r="E661" s="71"/>
      <c r="F661" s="71"/>
      <c r="G661" s="59"/>
      <c r="H661" s="71"/>
      <c r="I661" s="71"/>
      <c r="J661" s="71"/>
      <c r="K661" s="71"/>
      <c r="L661" s="71"/>
      <c r="M661" s="71"/>
      <c r="N661" s="71"/>
      <c r="O661" s="71"/>
      <c r="P661" s="71"/>
      <c r="Q661" s="71"/>
      <c r="R661" s="71"/>
      <c r="S661" s="71"/>
      <c r="T661" s="71"/>
      <c r="U661" s="71"/>
      <c r="V661" s="71"/>
      <c r="W661" s="71"/>
      <c r="X661" s="71"/>
      <c r="Y661" s="71"/>
      <c r="Z661" s="71"/>
    </row>
    <row r="662" ht="15.75" customHeight="1">
      <c r="A662" s="72"/>
      <c r="B662" s="71"/>
      <c r="C662" s="71"/>
      <c r="D662" s="71"/>
      <c r="E662" s="71"/>
      <c r="F662" s="71"/>
      <c r="G662" s="59"/>
      <c r="H662" s="71"/>
      <c r="I662" s="71"/>
      <c r="J662" s="71"/>
      <c r="K662" s="71"/>
      <c r="L662" s="71"/>
      <c r="M662" s="71"/>
      <c r="N662" s="71"/>
      <c r="O662" s="71"/>
      <c r="P662" s="71"/>
      <c r="Q662" s="71"/>
      <c r="R662" s="71"/>
      <c r="S662" s="71"/>
      <c r="T662" s="71"/>
      <c r="U662" s="71"/>
      <c r="V662" s="71"/>
      <c r="W662" s="71"/>
      <c r="X662" s="71"/>
      <c r="Y662" s="71"/>
      <c r="Z662" s="71"/>
    </row>
    <row r="663" ht="15.75" customHeight="1">
      <c r="A663" s="72"/>
      <c r="B663" s="71"/>
      <c r="C663" s="71"/>
      <c r="D663" s="71"/>
      <c r="E663" s="71"/>
      <c r="F663" s="71"/>
      <c r="G663" s="59"/>
      <c r="H663" s="71"/>
      <c r="I663" s="71"/>
      <c r="J663" s="71"/>
      <c r="K663" s="71"/>
      <c r="L663" s="71"/>
      <c r="M663" s="71"/>
      <c r="N663" s="71"/>
      <c r="O663" s="71"/>
      <c r="P663" s="71"/>
      <c r="Q663" s="71"/>
      <c r="R663" s="71"/>
      <c r="S663" s="71"/>
      <c r="T663" s="71"/>
      <c r="U663" s="71"/>
      <c r="V663" s="71"/>
      <c r="W663" s="71"/>
      <c r="X663" s="71"/>
      <c r="Y663" s="71"/>
      <c r="Z663" s="71"/>
    </row>
    <row r="664" ht="15.75" customHeight="1">
      <c r="A664" s="72"/>
      <c r="B664" s="71"/>
      <c r="C664" s="71"/>
      <c r="D664" s="71"/>
      <c r="E664" s="71"/>
      <c r="F664" s="71"/>
      <c r="G664" s="59"/>
      <c r="H664" s="71"/>
      <c r="I664" s="71"/>
      <c r="J664" s="71"/>
      <c r="K664" s="71"/>
      <c r="L664" s="71"/>
      <c r="M664" s="71"/>
      <c r="N664" s="71"/>
      <c r="O664" s="71"/>
      <c r="P664" s="71"/>
      <c r="Q664" s="71"/>
      <c r="R664" s="71"/>
      <c r="S664" s="71"/>
      <c r="T664" s="71"/>
      <c r="U664" s="71"/>
      <c r="V664" s="71"/>
      <c r="W664" s="71"/>
      <c r="X664" s="71"/>
      <c r="Y664" s="71"/>
      <c r="Z664" s="71"/>
    </row>
    <row r="665" ht="15.75" customHeight="1">
      <c r="A665" s="72"/>
      <c r="B665" s="71"/>
      <c r="C665" s="71"/>
      <c r="D665" s="71"/>
      <c r="E665" s="71"/>
      <c r="F665" s="71"/>
      <c r="G665" s="59"/>
      <c r="H665" s="71"/>
      <c r="I665" s="71"/>
      <c r="J665" s="71"/>
      <c r="K665" s="71"/>
      <c r="L665" s="71"/>
      <c r="M665" s="71"/>
      <c r="N665" s="71"/>
      <c r="O665" s="71"/>
      <c r="P665" s="71"/>
      <c r="Q665" s="71"/>
      <c r="R665" s="71"/>
      <c r="S665" s="71"/>
      <c r="T665" s="71"/>
      <c r="U665" s="71"/>
      <c r="V665" s="71"/>
      <c r="W665" s="71"/>
      <c r="X665" s="71"/>
      <c r="Y665" s="71"/>
      <c r="Z665" s="71"/>
    </row>
    <row r="666" ht="15.75" customHeight="1">
      <c r="A666" s="72"/>
      <c r="B666" s="71"/>
      <c r="C666" s="71"/>
      <c r="D666" s="71"/>
      <c r="E666" s="71"/>
      <c r="F666" s="71"/>
      <c r="G666" s="59"/>
      <c r="H666" s="71"/>
      <c r="I666" s="71"/>
      <c r="J666" s="71"/>
      <c r="K666" s="71"/>
      <c r="L666" s="71"/>
      <c r="M666" s="71"/>
      <c r="N666" s="71"/>
      <c r="O666" s="71"/>
      <c r="P666" s="71"/>
      <c r="Q666" s="71"/>
      <c r="R666" s="71"/>
      <c r="S666" s="71"/>
      <c r="T666" s="71"/>
      <c r="U666" s="71"/>
      <c r="V666" s="71"/>
      <c r="W666" s="71"/>
      <c r="X666" s="71"/>
      <c r="Y666" s="71"/>
      <c r="Z666" s="71"/>
    </row>
    <row r="667" ht="15.75" customHeight="1">
      <c r="A667" s="72"/>
      <c r="B667" s="71"/>
      <c r="C667" s="71"/>
      <c r="D667" s="71"/>
      <c r="E667" s="71"/>
      <c r="F667" s="71"/>
      <c r="G667" s="59"/>
      <c r="H667" s="71"/>
      <c r="I667" s="71"/>
      <c r="J667" s="71"/>
      <c r="K667" s="71"/>
      <c r="L667" s="71"/>
      <c r="M667" s="71"/>
      <c r="N667" s="71"/>
      <c r="O667" s="71"/>
      <c r="P667" s="71"/>
      <c r="Q667" s="71"/>
      <c r="R667" s="71"/>
      <c r="S667" s="71"/>
      <c r="T667" s="71"/>
      <c r="U667" s="71"/>
      <c r="V667" s="71"/>
      <c r="W667" s="71"/>
      <c r="X667" s="71"/>
      <c r="Y667" s="71"/>
      <c r="Z667" s="71"/>
    </row>
    <row r="668" ht="15.75" customHeight="1">
      <c r="A668" s="72"/>
      <c r="B668" s="71"/>
      <c r="C668" s="71"/>
      <c r="D668" s="71"/>
      <c r="E668" s="71"/>
      <c r="F668" s="71"/>
      <c r="G668" s="59"/>
      <c r="H668" s="71"/>
      <c r="I668" s="71"/>
      <c r="J668" s="71"/>
      <c r="K668" s="71"/>
      <c r="L668" s="71"/>
      <c r="M668" s="71"/>
      <c r="N668" s="71"/>
      <c r="O668" s="71"/>
      <c r="P668" s="71"/>
      <c r="Q668" s="71"/>
      <c r="R668" s="71"/>
      <c r="S668" s="71"/>
      <c r="T668" s="71"/>
      <c r="U668" s="71"/>
      <c r="V668" s="71"/>
      <c r="W668" s="71"/>
      <c r="X668" s="71"/>
      <c r="Y668" s="71"/>
      <c r="Z668" s="71"/>
    </row>
    <row r="669" ht="15.75" customHeight="1">
      <c r="A669" s="72"/>
      <c r="B669" s="71"/>
      <c r="C669" s="71"/>
      <c r="D669" s="71"/>
      <c r="E669" s="71"/>
      <c r="F669" s="71"/>
      <c r="G669" s="59"/>
      <c r="H669" s="71"/>
      <c r="I669" s="71"/>
      <c r="J669" s="71"/>
      <c r="K669" s="71"/>
      <c r="L669" s="71"/>
      <c r="M669" s="71"/>
      <c r="N669" s="71"/>
      <c r="O669" s="71"/>
      <c r="P669" s="71"/>
      <c r="Q669" s="71"/>
      <c r="R669" s="71"/>
      <c r="S669" s="71"/>
      <c r="T669" s="71"/>
      <c r="U669" s="71"/>
      <c r="V669" s="71"/>
      <c r="W669" s="71"/>
      <c r="X669" s="71"/>
      <c r="Y669" s="71"/>
      <c r="Z669" s="71"/>
    </row>
    <row r="670" ht="15.75" customHeight="1">
      <c r="A670" s="72"/>
      <c r="B670" s="71"/>
      <c r="C670" s="71"/>
      <c r="D670" s="71"/>
      <c r="E670" s="71"/>
      <c r="F670" s="71"/>
      <c r="G670" s="59"/>
      <c r="H670" s="71"/>
      <c r="I670" s="71"/>
      <c r="J670" s="71"/>
      <c r="K670" s="71"/>
      <c r="L670" s="71"/>
      <c r="M670" s="71"/>
      <c r="N670" s="71"/>
      <c r="O670" s="71"/>
      <c r="P670" s="71"/>
      <c r="Q670" s="71"/>
      <c r="R670" s="71"/>
      <c r="S670" s="71"/>
      <c r="T670" s="71"/>
      <c r="U670" s="71"/>
      <c r="V670" s="71"/>
      <c r="W670" s="71"/>
      <c r="X670" s="71"/>
      <c r="Y670" s="71"/>
      <c r="Z670" s="71"/>
    </row>
    <row r="671" ht="15.75" customHeight="1">
      <c r="A671" s="72"/>
      <c r="B671" s="71"/>
      <c r="C671" s="71"/>
      <c r="D671" s="71"/>
      <c r="E671" s="71"/>
      <c r="F671" s="71"/>
      <c r="G671" s="59"/>
      <c r="H671" s="71"/>
      <c r="I671" s="71"/>
      <c r="J671" s="71"/>
      <c r="K671" s="71"/>
      <c r="L671" s="71"/>
      <c r="M671" s="71"/>
      <c r="N671" s="71"/>
      <c r="O671" s="71"/>
      <c r="P671" s="71"/>
      <c r="Q671" s="71"/>
      <c r="R671" s="71"/>
      <c r="S671" s="71"/>
      <c r="T671" s="71"/>
      <c r="U671" s="71"/>
      <c r="V671" s="71"/>
      <c r="W671" s="71"/>
      <c r="X671" s="71"/>
      <c r="Y671" s="71"/>
      <c r="Z671" s="71"/>
    </row>
    <row r="672" ht="15.75" customHeight="1">
      <c r="A672" s="72"/>
      <c r="B672" s="71"/>
      <c r="C672" s="71"/>
      <c r="D672" s="71"/>
      <c r="E672" s="71"/>
      <c r="F672" s="71"/>
      <c r="G672" s="59"/>
      <c r="H672" s="71"/>
      <c r="I672" s="71"/>
      <c r="J672" s="71"/>
      <c r="K672" s="71"/>
      <c r="L672" s="71"/>
      <c r="M672" s="71"/>
      <c r="N672" s="71"/>
      <c r="O672" s="71"/>
      <c r="P672" s="71"/>
      <c r="Q672" s="71"/>
      <c r="R672" s="71"/>
      <c r="S672" s="71"/>
      <c r="T672" s="71"/>
      <c r="U672" s="71"/>
      <c r="V672" s="71"/>
      <c r="W672" s="71"/>
      <c r="X672" s="71"/>
      <c r="Y672" s="71"/>
      <c r="Z672" s="71"/>
    </row>
    <row r="673" ht="15.75" customHeight="1">
      <c r="A673" s="72"/>
      <c r="B673" s="71"/>
      <c r="C673" s="71"/>
      <c r="D673" s="71"/>
      <c r="E673" s="71"/>
      <c r="F673" s="71"/>
      <c r="G673" s="59"/>
      <c r="H673" s="71"/>
      <c r="I673" s="71"/>
      <c r="J673" s="71"/>
      <c r="K673" s="71"/>
      <c r="L673" s="71"/>
      <c r="M673" s="71"/>
      <c r="N673" s="71"/>
      <c r="O673" s="71"/>
      <c r="P673" s="71"/>
      <c r="Q673" s="71"/>
      <c r="R673" s="71"/>
      <c r="S673" s="71"/>
      <c r="T673" s="71"/>
      <c r="U673" s="71"/>
      <c r="V673" s="71"/>
      <c r="W673" s="71"/>
      <c r="X673" s="71"/>
      <c r="Y673" s="71"/>
      <c r="Z673" s="71"/>
    </row>
    <row r="674" ht="15.75" customHeight="1">
      <c r="A674" s="72"/>
      <c r="B674" s="71"/>
      <c r="C674" s="71"/>
      <c r="D674" s="71"/>
      <c r="E674" s="71"/>
      <c r="F674" s="71"/>
      <c r="G674" s="59"/>
      <c r="H674" s="71"/>
      <c r="I674" s="71"/>
      <c r="J674" s="71"/>
      <c r="K674" s="71"/>
      <c r="L674" s="71"/>
      <c r="M674" s="71"/>
      <c r="N674" s="71"/>
      <c r="O674" s="71"/>
      <c r="P674" s="71"/>
      <c r="Q674" s="71"/>
      <c r="R674" s="71"/>
      <c r="S674" s="71"/>
      <c r="T674" s="71"/>
      <c r="U674" s="71"/>
      <c r="V674" s="71"/>
      <c r="W674" s="71"/>
      <c r="X674" s="71"/>
      <c r="Y674" s="71"/>
      <c r="Z674" s="71"/>
    </row>
    <row r="675" ht="15.75" customHeight="1">
      <c r="A675" s="72"/>
      <c r="B675" s="71"/>
      <c r="C675" s="71"/>
      <c r="D675" s="71"/>
      <c r="E675" s="71"/>
      <c r="F675" s="71"/>
      <c r="G675" s="59"/>
      <c r="H675" s="71"/>
      <c r="I675" s="71"/>
      <c r="J675" s="71"/>
      <c r="K675" s="71"/>
      <c r="L675" s="71"/>
      <c r="M675" s="71"/>
      <c r="N675" s="71"/>
      <c r="O675" s="71"/>
      <c r="P675" s="71"/>
      <c r="Q675" s="71"/>
      <c r="R675" s="71"/>
      <c r="S675" s="71"/>
      <c r="T675" s="71"/>
      <c r="U675" s="71"/>
      <c r="V675" s="71"/>
      <c r="W675" s="71"/>
      <c r="X675" s="71"/>
      <c r="Y675" s="71"/>
      <c r="Z675" s="71"/>
    </row>
    <row r="676" ht="15.75" customHeight="1">
      <c r="A676" s="72"/>
      <c r="B676" s="71"/>
      <c r="C676" s="71"/>
      <c r="D676" s="71"/>
      <c r="E676" s="71"/>
      <c r="F676" s="71"/>
      <c r="G676" s="59"/>
      <c r="H676" s="71"/>
      <c r="I676" s="71"/>
      <c r="J676" s="71"/>
      <c r="K676" s="71"/>
      <c r="L676" s="71"/>
      <c r="M676" s="71"/>
      <c r="N676" s="71"/>
      <c r="O676" s="71"/>
      <c r="P676" s="71"/>
      <c r="Q676" s="71"/>
      <c r="R676" s="71"/>
      <c r="S676" s="71"/>
      <c r="T676" s="71"/>
      <c r="U676" s="71"/>
      <c r="V676" s="71"/>
      <c r="W676" s="71"/>
      <c r="X676" s="71"/>
      <c r="Y676" s="71"/>
      <c r="Z676" s="71"/>
    </row>
    <row r="677" ht="15.75" customHeight="1">
      <c r="A677" s="72"/>
      <c r="B677" s="71"/>
      <c r="C677" s="71"/>
      <c r="D677" s="71"/>
      <c r="E677" s="71"/>
      <c r="F677" s="71"/>
      <c r="G677" s="59"/>
      <c r="H677" s="71"/>
      <c r="I677" s="71"/>
      <c r="J677" s="71"/>
      <c r="K677" s="71"/>
      <c r="L677" s="71"/>
      <c r="M677" s="71"/>
      <c r="N677" s="71"/>
      <c r="O677" s="71"/>
      <c r="P677" s="71"/>
      <c r="Q677" s="71"/>
      <c r="R677" s="71"/>
      <c r="S677" s="71"/>
      <c r="T677" s="71"/>
      <c r="U677" s="71"/>
      <c r="V677" s="71"/>
      <c r="W677" s="71"/>
      <c r="X677" s="71"/>
      <c r="Y677" s="71"/>
      <c r="Z677" s="71"/>
    </row>
    <row r="678" ht="15.75" customHeight="1">
      <c r="A678" s="72"/>
      <c r="B678" s="71"/>
      <c r="C678" s="71"/>
      <c r="D678" s="71"/>
      <c r="E678" s="71"/>
      <c r="F678" s="71"/>
      <c r="G678" s="59"/>
      <c r="H678" s="71"/>
      <c r="I678" s="71"/>
      <c r="J678" s="71"/>
      <c r="K678" s="71"/>
      <c r="L678" s="71"/>
      <c r="M678" s="71"/>
      <c r="N678" s="71"/>
      <c r="O678" s="71"/>
      <c r="P678" s="71"/>
      <c r="Q678" s="71"/>
      <c r="R678" s="71"/>
      <c r="S678" s="71"/>
      <c r="T678" s="71"/>
      <c r="U678" s="71"/>
      <c r="V678" s="71"/>
      <c r="W678" s="71"/>
      <c r="X678" s="71"/>
      <c r="Y678" s="71"/>
      <c r="Z678" s="71"/>
    </row>
    <row r="679" ht="15.75" customHeight="1">
      <c r="A679" s="72"/>
      <c r="B679" s="71"/>
      <c r="C679" s="71"/>
      <c r="D679" s="71"/>
      <c r="E679" s="71"/>
      <c r="F679" s="71"/>
      <c r="G679" s="59"/>
      <c r="H679" s="71"/>
      <c r="I679" s="71"/>
      <c r="J679" s="71"/>
      <c r="K679" s="71"/>
      <c r="L679" s="71"/>
      <c r="M679" s="71"/>
      <c r="N679" s="71"/>
      <c r="O679" s="71"/>
      <c r="P679" s="71"/>
      <c r="Q679" s="71"/>
      <c r="R679" s="71"/>
      <c r="S679" s="71"/>
      <c r="T679" s="71"/>
      <c r="U679" s="71"/>
      <c r="V679" s="71"/>
      <c r="W679" s="71"/>
      <c r="X679" s="71"/>
      <c r="Y679" s="71"/>
      <c r="Z679" s="71"/>
    </row>
    <row r="680" ht="15.75" customHeight="1">
      <c r="A680" s="72"/>
      <c r="B680" s="71"/>
      <c r="C680" s="71"/>
      <c r="D680" s="71"/>
      <c r="E680" s="71"/>
      <c r="F680" s="71"/>
      <c r="G680" s="59"/>
      <c r="H680" s="71"/>
      <c r="I680" s="71"/>
      <c r="J680" s="71"/>
      <c r="K680" s="71"/>
      <c r="L680" s="71"/>
      <c r="M680" s="71"/>
      <c r="N680" s="71"/>
      <c r="O680" s="71"/>
      <c r="P680" s="71"/>
      <c r="Q680" s="71"/>
      <c r="R680" s="71"/>
      <c r="S680" s="71"/>
      <c r="T680" s="71"/>
      <c r="U680" s="71"/>
      <c r="V680" s="71"/>
      <c r="W680" s="71"/>
      <c r="X680" s="71"/>
      <c r="Y680" s="71"/>
      <c r="Z680" s="71"/>
    </row>
    <row r="681" ht="15.75" customHeight="1">
      <c r="A681" s="72"/>
      <c r="B681" s="71"/>
      <c r="C681" s="71"/>
      <c r="D681" s="71"/>
      <c r="E681" s="71"/>
      <c r="F681" s="71"/>
      <c r="G681" s="59"/>
      <c r="H681" s="71"/>
      <c r="I681" s="71"/>
      <c r="J681" s="71"/>
      <c r="K681" s="71"/>
      <c r="L681" s="71"/>
      <c r="M681" s="71"/>
      <c r="N681" s="71"/>
      <c r="O681" s="71"/>
      <c r="P681" s="71"/>
      <c r="Q681" s="71"/>
      <c r="R681" s="71"/>
      <c r="S681" s="71"/>
      <c r="T681" s="71"/>
      <c r="U681" s="71"/>
      <c r="V681" s="71"/>
      <c r="W681" s="71"/>
      <c r="X681" s="71"/>
      <c r="Y681" s="71"/>
      <c r="Z681" s="71"/>
    </row>
    <row r="682" ht="15.75" customHeight="1">
      <c r="A682" s="72"/>
      <c r="B682" s="71"/>
      <c r="C682" s="71"/>
      <c r="D682" s="71"/>
      <c r="E682" s="71"/>
      <c r="F682" s="71"/>
      <c r="G682" s="59"/>
      <c r="H682" s="71"/>
      <c r="I682" s="71"/>
      <c r="J682" s="71"/>
      <c r="K682" s="71"/>
      <c r="L682" s="71"/>
      <c r="M682" s="71"/>
      <c r="N682" s="71"/>
      <c r="O682" s="71"/>
      <c r="P682" s="71"/>
      <c r="Q682" s="71"/>
      <c r="R682" s="71"/>
      <c r="S682" s="71"/>
      <c r="T682" s="71"/>
      <c r="U682" s="71"/>
      <c r="V682" s="71"/>
      <c r="W682" s="71"/>
      <c r="X682" s="71"/>
      <c r="Y682" s="71"/>
      <c r="Z682" s="71"/>
    </row>
    <row r="683" ht="15.75" customHeight="1">
      <c r="A683" s="72"/>
      <c r="B683" s="71"/>
      <c r="C683" s="71"/>
      <c r="D683" s="71"/>
      <c r="E683" s="71"/>
      <c r="F683" s="71"/>
      <c r="G683" s="59"/>
      <c r="H683" s="71"/>
      <c r="I683" s="71"/>
      <c r="J683" s="71"/>
      <c r="K683" s="71"/>
      <c r="L683" s="71"/>
      <c r="M683" s="71"/>
      <c r="N683" s="71"/>
      <c r="O683" s="71"/>
      <c r="P683" s="71"/>
      <c r="Q683" s="71"/>
      <c r="R683" s="71"/>
      <c r="S683" s="71"/>
      <c r="T683" s="71"/>
      <c r="U683" s="71"/>
      <c r="V683" s="71"/>
      <c r="W683" s="71"/>
      <c r="X683" s="71"/>
      <c r="Y683" s="71"/>
      <c r="Z683" s="71"/>
    </row>
    <row r="684" ht="15.75" customHeight="1">
      <c r="A684" s="72"/>
      <c r="B684" s="71"/>
      <c r="C684" s="71"/>
      <c r="D684" s="71"/>
      <c r="E684" s="71"/>
      <c r="F684" s="71"/>
      <c r="G684" s="59"/>
      <c r="H684" s="71"/>
      <c r="I684" s="71"/>
      <c r="J684" s="71"/>
      <c r="K684" s="71"/>
      <c r="L684" s="71"/>
      <c r="M684" s="71"/>
      <c r="N684" s="71"/>
      <c r="O684" s="71"/>
      <c r="P684" s="71"/>
      <c r="Q684" s="71"/>
      <c r="R684" s="71"/>
      <c r="S684" s="71"/>
      <c r="T684" s="71"/>
      <c r="U684" s="71"/>
      <c r="V684" s="71"/>
      <c r="W684" s="71"/>
      <c r="X684" s="71"/>
      <c r="Y684" s="71"/>
      <c r="Z684" s="71"/>
    </row>
    <row r="685" ht="15.75" customHeight="1">
      <c r="A685" s="72"/>
      <c r="B685" s="71"/>
      <c r="C685" s="71"/>
      <c r="D685" s="71"/>
      <c r="E685" s="71"/>
      <c r="F685" s="71"/>
      <c r="G685" s="59"/>
      <c r="H685" s="71"/>
      <c r="I685" s="71"/>
      <c r="J685" s="71"/>
      <c r="K685" s="71"/>
      <c r="L685" s="71"/>
      <c r="M685" s="71"/>
      <c r="N685" s="71"/>
      <c r="O685" s="71"/>
      <c r="P685" s="71"/>
      <c r="Q685" s="71"/>
      <c r="R685" s="71"/>
      <c r="S685" s="71"/>
      <c r="T685" s="71"/>
      <c r="U685" s="71"/>
      <c r="V685" s="71"/>
      <c r="W685" s="71"/>
      <c r="X685" s="71"/>
      <c r="Y685" s="71"/>
      <c r="Z685" s="71"/>
    </row>
    <row r="686" ht="15.75" customHeight="1">
      <c r="A686" s="72"/>
      <c r="B686" s="71"/>
      <c r="C686" s="71"/>
      <c r="D686" s="71"/>
      <c r="E686" s="71"/>
      <c r="F686" s="71"/>
      <c r="G686" s="59"/>
      <c r="H686" s="71"/>
      <c r="I686" s="71"/>
      <c r="J686" s="71"/>
      <c r="K686" s="71"/>
      <c r="L686" s="71"/>
      <c r="M686" s="71"/>
      <c r="N686" s="71"/>
      <c r="O686" s="71"/>
      <c r="P686" s="71"/>
      <c r="Q686" s="71"/>
      <c r="R686" s="71"/>
      <c r="S686" s="71"/>
      <c r="T686" s="71"/>
      <c r="U686" s="71"/>
      <c r="V686" s="71"/>
      <c r="W686" s="71"/>
      <c r="X686" s="71"/>
      <c r="Y686" s="71"/>
      <c r="Z686" s="71"/>
    </row>
    <row r="687" ht="15.75" customHeight="1">
      <c r="A687" s="72"/>
      <c r="B687" s="71"/>
      <c r="C687" s="71"/>
      <c r="D687" s="71"/>
      <c r="E687" s="71"/>
      <c r="F687" s="71"/>
      <c r="G687" s="59"/>
      <c r="H687" s="71"/>
      <c r="I687" s="71"/>
      <c r="J687" s="71"/>
      <c r="K687" s="71"/>
      <c r="L687" s="71"/>
      <c r="M687" s="71"/>
      <c r="N687" s="71"/>
      <c r="O687" s="71"/>
      <c r="P687" s="71"/>
      <c r="Q687" s="71"/>
      <c r="R687" s="71"/>
      <c r="S687" s="71"/>
      <c r="T687" s="71"/>
      <c r="U687" s="71"/>
      <c r="V687" s="71"/>
      <c r="W687" s="71"/>
      <c r="X687" s="71"/>
      <c r="Y687" s="71"/>
      <c r="Z687" s="71"/>
    </row>
    <row r="688" ht="15.75" customHeight="1">
      <c r="A688" s="72"/>
      <c r="B688" s="71"/>
      <c r="C688" s="71"/>
      <c r="D688" s="71"/>
      <c r="E688" s="71"/>
      <c r="F688" s="71"/>
      <c r="G688" s="59"/>
      <c r="H688" s="71"/>
      <c r="I688" s="71"/>
      <c r="J688" s="71"/>
      <c r="K688" s="71"/>
      <c r="L688" s="71"/>
      <c r="M688" s="71"/>
      <c r="N688" s="71"/>
      <c r="O688" s="71"/>
      <c r="P688" s="71"/>
      <c r="Q688" s="71"/>
      <c r="R688" s="71"/>
      <c r="S688" s="71"/>
      <c r="T688" s="71"/>
      <c r="U688" s="71"/>
      <c r="V688" s="71"/>
      <c r="W688" s="71"/>
      <c r="X688" s="71"/>
      <c r="Y688" s="71"/>
      <c r="Z688" s="71"/>
    </row>
    <row r="689" ht="15.75" customHeight="1">
      <c r="A689" s="72"/>
      <c r="B689" s="71"/>
      <c r="C689" s="71"/>
      <c r="D689" s="71"/>
      <c r="E689" s="71"/>
      <c r="F689" s="71"/>
      <c r="G689" s="59"/>
      <c r="H689" s="71"/>
      <c r="I689" s="71"/>
      <c r="J689" s="71"/>
      <c r="K689" s="71"/>
      <c r="L689" s="71"/>
      <c r="M689" s="71"/>
      <c r="N689" s="71"/>
      <c r="O689" s="71"/>
      <c r="P689" s="71"/>
      <c r="Q689" s="71"/>
      <c r="R689" s="71"/>
      <c r="S689" s="71"/>
      <c r="T689" s="71"/>
      <c r="U689" s="71"/>
      <c r="V689" s="71"/>
      <c r="W689" s="71"/>
      <c r="X689" s="71"/>
      <c r="Y689" s="71"/>
      <c r="Z689" s="71"/>
    </row>
    <row r="690" ht="15.75" customHeight="1">
      <c r="A690" s="72"/>
      <c r="B690" s="71"/>
      <c r="C690" s="71"/>
      <c r="D690" s="71"/>
      <c r="E690" s="71"/>
      <c r="F690" s="71"/>
      <c r="G690" s="59"/>
      <c r="H690" s="71"/>
      <c r="I690" s="71"/>
      <c r="J690" s="71"/>
      <c r="K690" s="71"/>
      <c r="L690" s="71"/>
      <c r="M690" s="71"/>
      <c r="N690" s="71"/>
      <c r="O690" s="71"/>
      <c r="P690" s="71"/>
      <c r="Q690" s="71"/>
      <c r="R690" s="71"/>
      <c r="S690" s="71"/>
      <c r="T690" s="71"/>
      <c r="U690" s="71"/>
      <c r="V690" s="71"/>
      <c r="W690" s="71"/>
      <c r="X690" s="71"/>
      <c r="Y690" s="71"/>
      <c r="Z690" s="71"/>
    </row>
    <row r="691" ht="15.75" customHeight="1">
      <c r="A691" s="72"/>
      <c r="B691" s="71"/>
      <c r="C691" s="71"/>
      <c r="D691" s="71"/>
      <c r="E691" s="71"/>
      <c r="F691" s="71"/>
      <c r="G691" s="59"/>
      <c r="H691" s="71"/>
      <c r="I691" s="71"/>
      <c r="J691" s="71"/>
      <c r="K691" s="71"/>
      <c r="L691" s="71"/>
      <c r="M691" s="71"/>
      <c r="N691" s="71"/>
      <c r="O691" s="71"/>
      <c r="P691" s="71"/>
      <c r="Q691" s="71"/>
      <c r="R691" s="71"/>
      <c r="S691" s="71"/>
      <c r="T691" s="71"/>
      <c r="U691" s="71"/>
      <c r="V691" s="71"/>
      <c r="W691" s="71"/>
      <c r="X691" s="71"/>
      <c r="Y691" s="71"/>
      <c r="Z691" s="71"/>
    </row>
    <row r="692" ht="15.75" customHeight="1">
      <c r="A692" s="72"/>
      <c r="B692" s="71"/>
      <c r="C692" s="71"/>
      <c r="D692" s="71"/>
      <c r="E692" s="71"/>
      <c r="F692" s="71"/>
      <c r="G692" s="59"/>
      <c r="H692" s="71"/>
      <c r="I692" s="71"/>
      <c r="J692" s="71"/>
      <c r="K692" s="71"/>
      <c r="L692" s="71"/>
      <c r="M692" s="71"/>
      <c r="N692" s="71"/>
      <c r="O692" s="71"/>
      <c r="P692" s="71"/>
      <c r="Q692" s="71"/>
      <c r="R692" s="71"/>
      <c r="S692" s="71"/>
      <c r="T692" s="71"/>
      <c r="U692" s="71"/>
      <c r="V692" s="71"/>
      <c r="W692" s="71"/>
      <c r="X692" s="71"/>
      <c r="Y692" s="71"/>
      <c r="Z692" s="71"/>
    </row>
    <row r="693" ht="15.75" customHeight="1">
      <c r="A693" s="72"/>
      <c r="B693" s="71"/>
      <c r="C693" s="71"/>
      <c r="D693" s="71"/>
      <c r="E693" s="71"/>
      <c r="F693" s="71"/>
      <c r="G693" s="59"/>
      <c r="H693" s="71"/>
      <c r="I693" s="71"/>
      <c r="J693" s="71"/>
      <c r="K693" s="71"/>
      <c r="L693" s="71"/>
      <c r="M693" s="71"/>
      <c r="N693" s="71"/>
      <c r="O693" s="71"/>
      <c r="P693" s="71"/>
      <c r="Q693" s="71"/>
      <c r="R693" s="71"/>
      <c r="S693" s="71"/>
      <c r="T693" s="71"/>
      <c r="U693" s="71"/>
      <c r="V693" s="71"/>
      <c r="W693" s="71"/>
      <c r="X693" s="71"/>
      <c r="Y693" s="71"/>
      <c r="Z693" s="71"/>
    </row>
    <row r="694" ht="15.75" customHeight="1">
      <c r="A694" s="72"/>
      <c r="B694" s="71"/>
      <c r="C694" s="71"/>
      <c r="D694" s="71"/>
      <c r="E694" s="71"/>
      <c r="F694" s="71"/>
      <c r="G694" s="59"/>
      <c r="H694" s="71"/>
      <c r="I694" s="71"/>
      <c r="J694" s="71"/>
      <c r="K694" s="71"/>
      <c r="L694" s="71"/>
      <c r="M694" s="71"/>
      <c r="N694" s="71"/>
      <c r="O694" s="71"/>
      <c r="P694" s="71"/>
      <c r="Q694" s="71"/>
      <c r="R694" s="71"/>
      <c r="S694" s="71"/>
      <c r="T694" s="71"/>
      <c r="U694" s="71"/>
      <c r="V694" s="71"/>
      <c r="W694" s="71"/>
      <c r="X694" s="71"/>
      <c r="Y694" s="71"/>
      <c r="Z694" s="71"/>
    </row>
    <row r="695" ht="15.75" customHeight="1">
      <c r="A695" s="72"/>
      <c r="B695" s="71"/>
      <c r="C695" s="71"/>
      <c r="D695" s="71"/>
      <c r="E695" s="71"/>
      <c r="F695" s="71"/>
      <c r="G695" s="59"/>
      <c r="H695" s="71"/>
      <c r="I695" s="71"/>
      <c r="J695" s="71"/>
      <c r="K695" s="71"/>
      <c r="L695" s="71"/>
      <c r="M695" s="71"/>
      <c r="N695" s="71"/>
      <c r="O695" s="71"/>
      <c r="P695" s="71"/>
      <c r="Q695" s="71"/>
      <c r="R695" s="71"/>
      <c r="S695" s="71"/>
      <c r="T695" s="71"/>
      <c r="U695" s="71"/>
      <c r="V695" s="71"/>
      <c r="W695" s="71"/>
      <c r="X695" s="71"/>
      <c r="Y695" s="71"/>
      <c r="Z695" s="71"/>
    </row>
    <row r="696" ht="15.75" customHeight="1">
      <c r="A696" s="72"/>
      <c r="B696" s="71"/>
      <c r="C696" s="71"/>
      <c r="D696" s="71"/>
      <c r="E696" s="71"/>
      <c r="F696" s="71"/>
      <c r="G696" s="59"/>
      <c r="H696" s="71"/>
      <c r="I696" s="71"/>
      <c r="J696" s="71"/>
      <c r="K696" s="71"/>
      <c r="L696" s="71"/>
      <c r="M696" s="71"/>
      <c r="N696" s="71"/>
      <c r="O696" s="71"/>
      <c r="P696" s="71"/>
      <c r="Q696" s="71"/>
      <c r="R696" s="71"/>
      <c r="S696" s="71"/>
      <c r="T696" s="71"/>
      <c r="U696" s="71"/>
      <c r="V696" s="71"/>
      <c r="W696" s="71"/>
      <c r="X696" s="71"/>
      <c r="Y696" s="71"/>
      <c r="Z696" s="71"/>
    </row>
    <row r="697" ht="15.75" customHeight="1">
      <c r="A697" s="72"/>
      <c r="B697" s="71"/>
      <c r="C697" s="71"/>
      <c r="D697" s="71"/>
      <c r="E697" s="71"/>
      <c r="F697" s="71"/>
      <c r="G697" s="59"/>
      <c r="H697" s="71"/>
      <c r="I697" s="71"/>
      <c r="J697" s="71"/>
      <c r="K697" s="71"/>
      <c r="L697" s="71"/>
      <c r="M697" s="71"/>
      <c r="N697" s="71"/>
      <c r="O697" s="71"/>
      <c r="P697" s="71"/>
      <c r="Q697" s="71"/>
      <c r="R697" s="71"/>
      <c r="S697" s="71"/>
      <c r="T697" s="71"/>
      <c r="U697" s="71"/>
      <c r="V697" s="71"/>
      <c r="W697" s="71"/>
      <c r="X697" s="71"/>
      <c r="Y697" s="71"/>
      <c r="Z697" s="71"/>
    </row>
    <row r="698" ht="15.75" customHeight="1">
      <c r="A698" s="72"/>
      <c r="B698" s="71"/>
      <c r="C698" s="71"/>
      <c r="D698" s="71"/>
      <c r="E698" s="71"/>
      <c r="F698" s="71"/>
      <c r="G698" s="59"/>
      <c r="H698" s="71"/>
      <c r="I698" s="71"/>
      <c r="J698" s="71"/>
      <c r="K698" s="71"/>
      <c r="L698" s="71"/>
      <c r="M698" s="71"/>
      <c r="N698" s="71"/>
      <c r="O698" s="71"/>
      <c r="P698" s="71"/>
      <c r="Q698" s="71"/>
      <c r="R698" s="71"/>
      <c r="S698" s="71"/>
      <c r="T698" s="71"/>
      <c r="U698" s="71"/>
      <c r="V698" s="71"/>
      <c r="W698" s="71"/>
      <c r="X698" s="71"/>
      <c r="Y698" s="71"/>
      <c r="Z698" s="71"/>
    </row>
    <row r="699" ht="15.75" customHeight="1">
      <c r="A699" s="72"/>
      <c r="B699" s="71"/>
      <c r="C699" s="71"/>
      <c r="D699" s="71"/>
      <c r="E699" s="71"/>
      <c r="F699" s="71"/>
      <c r="G699" s="59"/>
      <c r="H699" s="71"/>
      <c r="I699" s="71"/>
      <c r="J699" s="71"/>
      <c r="K699" s="71"/>
      <c r="L699" s="71"/>
      <c r="M699" s="71"/>
      <c r="N699" s="71"/>
      <c r="O699" s="71"/>
      <c r="P699" s="71"/>
      <c r="Q699" s="71"/>
      <c r="R699" s="71"/>
      <c r="S699" s="71"/>
      <c r="T699" s="71"/>
      <c r="U699" s="71"/>
      <c r="V699" s="71"/>
      <c r="W699" s="71"/>
      <c r="X699" s="71"/>
      <c r="Y699" s="71"/>
      <c r="Z699" s="71"/>
    </row>
    <row r="700" ht="15.75" customHeight="1">
      <c r="A700" s="72"/>
      <c r="B700" s="71"/>
      <c r="C700" s="71"/>
      <c r="D700" s="71"/>
      <c r="E700" s="71"/>
      <c r="F700" s="71"/>
      <c r="G700" s="59"/>
      <c r="H700" s="71"/>
      <c r="I700" s="71"/>
      <c r="J700" s="71"/>
      <c r="K700" s="71"/>
      <c r="L700" s="71"/>
      <c r="M700" s="71"/>
      <c r="N700" s="71"/>
      <c r="O700" s="71"/>
      <c r="P700" s="71"/>
      <c r="Q700" s="71"/>
      <c r="R700" s="71"/>
      <c r="S700" s="71"/>
      <c r="T700" s="71"/>
      <c r="U700" s="71"/>
      <c r="V700" s="71"/>
      <c r="W700" s="71"/>
      <c r="X700" s="71"/>
      <c r="Y700" s="71"/>
      <c r="Z700" s="71"/>
    </row>
    <row r="701" ht="15.75" customHeight="1">
      <c r="A701" s="72"/>
      <c r="B701" s="71"/>
      <c r="C701" s="71"/>
      <c r="D701" s="71"/>
      <c r="E701" s="71"/>
      <c r="F701" s="71"/>
      <c r="G701" s="59"/>
      <c r="H701" s="71"/>
      <c r="I701" s="71"/>
      <c r="J701" s="71"/>
      <c r="K701" s="71"/>
      <c r="L701" s="71"/>
      <c r="M701" s="71"/>
      <c r="N701" s="71"/>
      <c r="O701" s="71"/>
      <c r="P701" s="71"/>
      <c r="Q701" s="71"/>
      <c r="R701" s="71"/>
      <c r="S701" s="71"/>
      <c r="T701" s="71"/>
      <c r="U701" s="71"/>
      <c r="V701" s="71"/>
      <c r="W701" s="71"/>
      <c r="X701" s="71"/>
      <c r="Y701" s="71"/>
      <c r="Z701" s="71"/>
    </row>
    <row r="702" ht="15.75" customHeight="1">
      <c r="A702" s="72"/>
      <c r="B702" s="71"/>
      <c r="C702" s="71"/>
      <c r="D702" s="71"/>
      <c r="E702" s="71"/>
      <c r="F702" s="71"/>
      <c r="G702" s="59"/>
      <c r="H702" s="71"/>
      <c r="I702" s="71"/>
      <c r="J702" s="71"/>
      <c r="K702" s="71"/>
      <c r="L702" s="71"/>
      <c r="M702" s="71"/>
      <c r="N702" s="71"/>
      <c r="O702" s="71"/>
      <c r="P702" s="71"/>
      <c r="Q702" s="71"/>
      <c r="R702" s="71"/>
      <c r="S702" s="71"/>
      <c r="T702" s="71"/>
      <c r="U702" s="71"/>
      <c r="V702" s="71"/>
      <c r="W702" s="71"/>
      <c r="X702" s="71"/>
      <c r="Y702" s="71"/>
      <c r="Z702" s="71"/>
    </row>
    <row r="703" ht="15.75" customHeight="1">
      <c r="A703" s="72"/>
      <c r="B703" s="71"/>
      <c r="C703" s="71"/>
      <c r="D703" s="71"/>
      <c r="E703" s="71"/>
      <c r="F703" s="71"/>
      <c r="G703" s="59"/>
      <c r="H703" s="71"/>
      <c r="I703" s="71"/>
      <c r="J703" s="71"/>
      <c r="K703" s="71"/>
      <c r="L703" s="71"/>
      <c r="M703" s="71"/>
      <c r="N703" s="71"/>
      <c r="O703" s="71"/>
      <c r="P703" s="71"/>
      <c r="Q703" s="71"/>
      <c r="R703" s="71"/>
      <c r="S703" s="71"/>
      <c r="T703" s="71"/>
      <c r="U703" s="71"/>
      <c r="V703" s="71"/>
      <c r="W703" s="71"/>
      <c r="X703" s="71"/>
      <c r="Y703" s="71"/>
      <c r="Z703" s="71"/>
    </row>
    <row r="704" ht="15.75" customHeight="1">
      <c r="A704" s="72"/>
      <c r="B704" s="71"/>
      <c r="C704" s="71"/>
      <c r="D704" s="71"/>
      <c r="E704" s="71"/>
      <c r="F704" s="71"/>
      <c r="G704" s="59"/>
      <c r="H704" s="71"/>
      <c r="I704" s="71"/>
      <c r="J704" s="71"/>
      <c r="K704" s="71"/>
      <c r="L704" s="71"/>
      <c r="M704" s="71"/>
      <c r="N704" s="71"/>
      <c r="O704" s="71"/>
      <c r="P704" s="71"/>
      <c r="Q704" s="71"/>
      <c r="R704" s="71"/>
      <c r="S704" s="71"/>
      <c r="T704" s="71"/>
      <c r="U704" s="71"/>
      <c r="V704" s="71"/>
      <c r="W704" s="71"/>
      <c r="X704" s="71"/>
      <c r="Y704" s="71"/>
      <c r="Z704" s="71"/>
    </row>
    <row r="705" ht="15.75" customHeight="1">
      <c r="A705" s="72"/>
      <c r="B705" s="71"/>
      <c r="C705" s="71"/>
      <c r="D705" s="71"/>
      <c r="E705" s="71"/>
      <c r="F705" s="71"/>
      <c r="G705" s="59"/>
      <c r="H705" s="71"/>
      <c r="I705" s="71"/>
      <c r="J705" s="71"/>
      <c r="K705" s="71"/>
      <c r="L705" s="71"/>
      <c r="M705" s="71"/>
      <c r="N705" s="71"/>
      <c r="O705" s="71"/>
      <c r="P705" s="71"/>
      <c r="Q705" s="71"/>
      <c r="R705" s="71"/>
      <c r="S705" s="71"/>
      <c r="T705" s="71"/>
      <c r="U705" s="71"/>
      <c r="V705" s="71"/>
      <c r="W705" s="71"/>
      <c r="X705" s="71"/>
      <c r="Y705" s="71"/>
      <c r="Z705" s="71"/>
    </row>
    <row r="706" ht="15.75" customHeight="1">
      <c r="A706" s="72"/>
      <c r="B706" s="71"/>
      <c r="C706" s="71"/>
      <c r="D706" s="71"/>
      <c r="E706" s="71"/>
      <c r="F706" s="71"/>
      <c r="G706" s="59"/>
      <c r="H706" s="71"/>
      <c r="I706" s="71"/>
      <c r="J706" s="71"/>
      <c r="K706" s="71"/>
      <c r="L706" s="71"/>
      <c r="M706" s="71"/>
      <c r="N706" s="71"/>
      <c r="O706" s="71"/>
      <c r="P706" s="71"/>
      <c r="Q706" s="71"/>
      <c r="R706" s="71"/>
      <c r="S706" s="71"/>
      <c r="T706" s="71"/>
      <c r="U706" s="71"/>
      <c r="V706" s="71"/>
      <c r="W706" s="71"/>
      <c r="X706" s="71"/>
      <c r="Y706" s="71"/>
      <c r="Z706" s="71"/>
    </row>
    <row r="707" ht="15.75" customHeight="1">
      <c r="A707" s="72"/>
      <c r="B707" s="71"/>
      <c r="C707" s="71"/>
      <c r="D707" s="71"/>
      <c r="E707" s="71"/>
      <c r="F707" s="71"/>
      <c r="G707" s="59"/>
      <c r="H707" s="71"/>
      <c r="I707" s="71"/>
      <c r="J707" s="71"/>
      <c r="K707" s="71"/>
      <c r="L707" s="71"/>
      <c r="M707" s="71"/>
      <c r="N707" s="71"/>
      <c r="O707" s="71"/>
      <c r="P707" s="71"/>
      <c r="Q707" s="71"/>
      <c r="R707" s="71"/>
      <c r="S707" s="71"/>
      <c r="T707" s="71"/>
      <c r="U707" s="71"/>
      <c r="V707" s="71"/>
      <c r="W707" s="71"/>
      <c r="X707" s="71"/>
      <c r="Y707" s="71"/>
      <c r="Z707" s="71"/>
    </row>
    <row r="708" ht="15.75" customHeight="1">
      <c r="A708" s="72"/>
      <c r="B708" s="71"/>
      <c r="C708" s="71"/>
      <c r="D708" s="71"/>
      <c r="E708" s="71"/>
      <c r="F708" s="71"/>
      <c r="G708" s="59"/>
      <c r="H708" s="71"/>
      <c r="I708" s="71"/>
      <c r="J708" s="71"/>
      <c r="K708" s="71"/>
      <c r="L708" s="71"/>
      <c r="M708" s="71"/>
      <c r="N708" s="71"/>
      <c r="O708" s="71"/>
      <c r="P708" s="71"/>
      <c r="Q708" s="71"/>
      <c r="R708" s="71"/>
      <c r="S708" s="71"/>
      <c r="T708" s="71"/>
      <c r="U708" s="71"/>
      <c r="V708" s="71"/>
      <c r="W708" s="71"/>
      <c r="X708" s="71"/>
      <c r="Y708" s="71"/>
      <c r="Z708" s="71"/>
    </row>
    <row r="709" ht="15.75" customHeight="1">
      <c r="A709" s="72"/>
      <c r="B709" s="71"/>
      <c r="C709" s="71"/>
      <c r="D709" s="71"/>
      <c r="E709" s="71"/>
      <c r="F709" s="71"/>
      <c r="G709" s="59"/>
      <c r="H709" s="71"/>
      <c r="I709" s="71"/>
      <c r="J709" s="71"/>
      <c r="K709" s="71"/>
      <c r="L709" s="71"/>
      <c r="M709" s="71"/>
      <c r="N709" s="71"/>
      <c r="O709" s="71"/>
      <c r="P709" s="71"/>
      <c r="Q709" s="71"/>
      <c r="R709" s="71"/>
      <c r="S709" s="71"/>
      <c r="T709" s="71"/>
      <c r="U709" s="71"/>
      <c r="V709" s="71"/>
      <c r="W709" s="71"/>
      <c r="X709" s="71"/>
      <c r="Y709" s="71"/>
      <c r="Z709" s="71"/>
    </row>
    <row r="710" ht="15.75" customHeight="1">
      <c r="A710" s="72"/>
      <c r="B710" s="71"/>
      <c r="C710" s="71"/>
      <c r="D710" s="71"/>
      <c r="E710" s="71"/>
      <c r="F710" s="71"/>
      <c r="G710" s="59"/>
      <c r="H710" s="71"/>
      <c r="I710" s="71"/>
      <c r="J710" s="71"/>
      <c r="K710" s="71"/>
      <c r="L710" s="71"/>
      <c r="M710" s="71"/>
      <c r="N710" s="71"/>
      <c r="O710" s="71"/>
      <c r="P710" s="71"/>
      <c r="Q710" s="71"/>
      <c r="R710" s="71"/>
      <c r="S710" s="71"/>
      <c r="T710" s="71"/>
      <c r="U710" s="71"/>
      <c r="V710" s="71"/>
      <c r="W710" s="71"/>
      <c r="X710" s="71"/>
      <c r="Y710" s="71"/>
      <c r="Z710" s="71"/>
    </row>
    <row r="711" ht="15.75" customHeight="1">
      <c r="A711" s="72"/>
      <c r="B711" s="71"/>
      <c r="C711" s="71"/>
      <c r="D711" s="71"/>
      <c r="E711" s="71"/>
      <c r="F711" s="71"/>
      <c r="G711" s="59"/>
      <c r="H711" s="71"/>
      <c r="I711" s="71"/>
      <c r="J711" s="71"/>
      <c r="K711" s="71"/>
      <c r="L711" s="71"/>
      <c r="M711" s="71"/>
      <c r="N711" s="71"/>
      <c r="O711" s="71"/>
      <c r="P711" s="71"/>
      <c r="Q711" s="71"/>
      <c r="R711" s="71"/>
      <c r="S711" s="71"/>
      <c r="T711" s="71"/>
      <c r="U711" s="71"/>
      <c r="V711" s="71"/>
      <c r="W711" s="71"/>
      <c r="X711" s="71"/>
      <c r="Y711" s="71"/>
      <c r="Z711" s="71"/>
    </row>
    <row r="712" ht="15.75" customHeight="1">
      <c r="A712" s="72"/>
      <c r="B712" s="71"/>
      <c r="C712" s="71"/>
      <c r="D712" s="71"/>
      <c r="E712" s="71"/>
      <c r="F712" s="71"/>
      <c r="G712" s="59"/>
      <c r="H712" s="71"/>
      <c r="I712" s="71"/>
      <c r="J712" s="71"/>
      <c r="K712" s="71"/>
      <c r="L712" s="71"/>
      <c r="M712" s="71"/>
      <c r="N712" s="71"/>
      <c r="O712" s="71"/>
      <c r="P712" s="71"/>
      <c r="Q712" s="71"/>
      <c r="R712" s="71"/>
      <c r="S712" s="71"/>
      <c r="T712" s="71"/>
      <c r="U712" s="71"/>
      <c r="V712" s="71"/>
      <c r="W712" s="71"/>
      <c r="X712" s="71"/>
      <c r="Y712" s="71"/>
      <c r="Z712" s="71"/>
    </row>
    <row r="713" ht="15.75" customHeight="1">
      <c r="A713" s="72"/>
      <c r="B713" s="71"/>
      <c r="C713" s="71"/>
      <c r="D713" s="71"/>
      <c r="E713" s="71"/>
      <c r="F713" s="71"/>
      <c r="G713" s="59"/>
      <c r="H713" s="71"/>
      <c r="I713" s="71"/>
      <c r="J713" s="71"/>
      <c r="K713" s="71"/>
      <c r="L713" s="71"/>
      <c r="M713" s="71"/>
      <c r="N713" s="71"/>
      <c r="O713" s="71"/>
      <c r="P713" s="71"/>
      <c r="Q713" s="71"/>
      <c r="R713" s="71"/>
      <c r="S713" s="71"/>
      <c r="T713" s="71"/>
      <c r="U713" s="71"/>
      <c r="V713" s="71"/>
      <c r="W713" s="71"/>
      <c r="X713" s="71"/>
      <c r="Y713" s="71"/>
      <c r="Z713" s="71"/>
    </row>
    <row r="714" ht="15.75" customHeight="1">
      <c r="A714" s="72"/>
      <c r="B714" s="71"/>
      <c r="C714" s="71"/>
      <c r="D714" s="71"/>
      <c r="E714" s="71"/>
      <c r="F714" s="71"/>
      <c r="G714" s="59"/>
      <c r="H714" s="71"/>
      <c r="I714" s="71"/>
      <c r="J714" s="71"/>
      <c r="K714" s="71"/>
      <c r="L714" s="71"/>
      <c r="M714" s="71"/>
      <c r="N714" s="71"/>
      <c r="O714" s="71"/>
      <c r="P714" s="71"/>
      <c r="Q714" s="71"/>
      <c r="R714" s="71"/>
      <c r="S714" s="71"/>
      <c r="T714" s="71"/>
      <c r="U714" s="71"/>
      <c r="V714" s="71"/>
      <c r="W714" s="71"/>
      <c r="X714" s="71"/>
      <c r="Y714" s="71"/>
      <c r="Z714" s="71"/>
    </row>
    <row r="715" ht="15.75" customHeight="1">
      <c r="A715" s="72"/>
      <c r="B715" s="71"/>
      <c r="C715" s="71"/>
      <c r="D715" s="71"/>
      <c r="E715" s="71"/>
      <c r="F715" s="71"/>
      <c r="G715" s="59"/>
      <c r="H715" s="71"/>
      <c r="I715" s="71"/>
      <c r="J715" s="71"/>
      <c r="K715" s="71"/>
      <c r="L715" s="71"/>
      <c r="M715" s="71"/>
      <c r="N715" s="71"/>
      <c r="O715" s="71"/>
      <c r="P715" s="71"/>
      <c r="Q715" s="71"/>
      <c r="R715" s="71"/>
      <c r="S715" s="71"/>
      <c r="T715" s="71"/>
      <c r="U715" s="71"/>
      <c r="V715" s="71"/>
      <c r="W715" s="71"/>
      <c r="X715" s="71"/>
      <c r="Y715" s="71"/>
      <c r="Z715" s="71"/>
    </row>
    <row r="716" ht="15.75" customHeight="1">
      <c r="A716" s="72"/>
      <c r="B716" s="71"/>
      <c r="C716" s="71"/>
      <c r="D716" s="71"/>
      <c r="E716" s="71"/>
      <c r="F716" s="71"/>
      <c r="G716" s="59"/>
      <c r="H716" s="71"/>
      <c r="I716" s="71"/>
      <c r="J716" s="71"/>
      <c r="K716" s="71"/>
      <c r="L716" s="71"/>
      <c r="M716" s="71"/>
      <c r="N716" s="71"/>
      <c r="O716" s="71"/>
      <c r="P716" s="71"/>
      <c r="Q716" s="71"/>
      <c r="R716" s="71"/>
      <c r="S716" s="71"/>
      <c r="T716" s="71"/>
      <c r="U716" s="71"/>
      <c r="V716" s="71"/>
      <c r="W716" s="71"/>
      <c r="X716" s="71"/>
      <c r="Y716" s="71"/>
      <c r="Z716" s="71"/>
    </row>
    <row r="717" ht="15.75" customHeight="1">
      <c r="A717" s="72"/>
      <c r="B717" s="71"/>
      <c r="C717" s="71"/>
      <c r="D717" s="71"/>
      <c r="E717" s="71"/>
      <c r="F717" s="71"/>
      <c r="G717" s="59"/>
      <c r="H717" s="71"/>
      <c r="I717" s="71"/>
      <c r="J717" s="71"/>
      <c r="K717" s="71"/>
      <c r="L717" s="71"/>
      <c r="M717" s="71"/>
      <c r="N717" s="71"/>
      <c r="O717" s="71"/>
      <c r="P717" s="71"/>
      <c r="Q717" s="71"/>
      <c r="R717" s="71"/>
      <c r="S717" s="71"/>
      <c r="T717" s="71"/>
      <c r="U717" s="71"/>
      <c r="V717" s="71"/>
      <c r="W717" s="71"/>
      <c r="X717" s="71"/>
      <c r="Y717" s="71"/>
      <c r="Z717" s="71"/>
    </row>
    <row r="718" ht="15.75" customHeight="1">
      <c r="A718" s="72"/>
      <c r="B718" s="71"/>
      <c r="C718" s="71"/>
      <c r="D718" s="71"/>
      <c r="E718" s="71"/>
      <c r="F718" s="71"/>
      <c r="G718" s="59"/>
      <c r="H718" s="71"/>
      <c r="I718" s="71"/>
      <c r="J718" s="71"/>
      <c r="K718" s="71"/>
      <c r="L718" s="71"/>
      <c r="M718" s="71"/>
      <c r="N718" s="71"/>
      <c r="O718" s="71"/>
      <c r="P718" s="71"/>
      <c r="Q718" s="71"/>
      <c r="R718" s="71"/>
      <c r="S718" s="71"/>
      <c r="T718" s="71"/>
      <c r="U718" s="71"/>
      <c r="V718" s="71"/>
      <c r="W718" s="71"/>
      <c r="X718" s="71"/>
      <c r="Y718" s="71"/>
      <c r="Z718" s="71"/>
    </row>
    <row r="719" ht="15.75" customHeight="1">
      <c r="A719" s="72"/>
      <c r="B719" s="71"/>
      <c r="C719" s="71"/>
      <c r="D719" s="71"/>
      <c r="E719" s="71"/>
      <c r="F719" s="71"/>
      <c r="G719" s="59"/>
      <c r="H719" s="71"/>
      <c r="I719" s="71"/>
      <c r="J719" s="71"/>
      <c r="K719" s="71"/>
      <c r="L719" s="71"/>
      <c r="M719" s="71"/>
      <c r="N719" s="71"/>
      <c r="O719" s="71"/>
      <c r="P719" s="71"/>
      <c r="Q719" s="71"/>
      <c r="R719" s="71"/>
      <c r="S719" s="71"/>
      <c r="T719" s="71"/>
      <c r="U719" s="71"/>
      <c r="V719" s="71"/>
      <c r="W719" s="71"/>
      <c r="X719" s="71"/>
      <c r="Y719" s="71"/>
      <c r="Z719" s="71"/>
    </row>
    <row r="720" ht="15.75" customHeight="1">
      <c r="A720" s="72"/>
      <c r="B720" s="71"/>
      <c r="C720" s="71"/>
      <c r="D720" s="71"/>
      <c r="E720" s="71"/>
      <c r="F720" s="71"/>
      <c r="G720" s="59"/>
      <c r="H720" s="71"/>
      <c r="I720" s="71"/>
      <c r="J720" s="71"/>
      <c r="K720" s="71"/>
      <c r="L720" s="71"/>
      <c r="M720" s="71"/>
      <c r="N720" s="71"/>
      <c r="O720" s="71"/>
      <c r="P720" s="71"/>
      <c r="Q720" s="71"/>
      <c r="R720" s="71"/>
      <c r="S720" s="71"/>
      <c r="T720" s="71"/>
      <c r="U720" s="71"/>
      <c r="V720" s="71"/>
      <c r="W720" s="71"/>
      <c r="X720" s="71"/>
      <c r="Y720" s="71"/>
      <c r="Z720" s="71"/>
    </row>
    <row r="721" ht="15.75" customHeight="1">
      <c r="A721" s="72"/>
      <c r="B721" s="71"/>
      <c r="C721" s="71"/>
      <c r="D721" s="71"/>
      <c r="E721" s="71"/>
      <c r="F721" s="71"/>
      <c r="G721" s="59"/>
      <c r="H721" s="71"/>
      <c r="I721" s="71"/>
      <c r="J721" s="71"/>
      <c r="K721" s="71"/>
      <c r="L721" s="71"/>
      <c r="M721" s="71"/>
      <c r="N721" s="71"/>
      <c r="O721" s="71"/>
      <c r="P721" s="71"/>
      <c r="Q721" s="71"/>
      <c r="R721" s="71"/>
      <c r="S721" s="71"/>
      <c r="T721" s="71"/>
      <c r="U721" s="71"/>
      <c r="V721" s="71"/>
      <c r="W721" s="71"/>
      <c r="X721" s="71"/>
      <c r="Y721" s="71"/>
      <c r="Z721" s="71"/>
    </row>
    <row r="722" ht="15.75" customHeight="1">
      <c r="A722" s="72"/>
      <c r="B722" s="71"/>
      <c r="C722" s="71"/>
      <c r="D722" s="71"/>
      <c r="E722" s="71"/>
      <c r="F722" s="71"/>
      <c r="G722" s="59"/>
      <c r="H722" s="71"/>
      <c r="I722" s="71"/>
      <c r="J722" s="71"/>
      <c r="K722" s="71"/>
      <c r="L722" s="71"/>
      <c r="M722" s="71"/>
      <c r="N722" s="71"/>
      <c r="O722" s="71"/>
      <c r="P722" s="71"/>
      <c r="Q722" s="71"/>
      <c r="R722" s="71"/>
      <c r="S722" s="71"/>
      <c r="T722" s="71"/>
      <c r="U722" s="71"/>
      <c r="V722" s="71"/>
      <c r="W722" s="71"/>
      <c r="X722" s="71"/>
      <c r="Y722" s="71"/>
      <c r="Z722" s="71"/>
    </row>
    <row r="723" ht="15.75" customHeight="1">
      <c r="A723" s="72"/>
      <c r="B723" s="71"/>
      <c r="C723" s="71"/>
      <c r="D723" s="71"/>
      <c r="E723" s="71"/>
      <c r="F723" s="71"/>
      <c r="G723" s="59"/>
      <c r="H723" s="71"/>
      <c r="I723" s="71"/>
      <c r="J723" s="71"/>
      <c r="K723" s="71"/>
      <c r="L723" s="71"/>
      <c r="M723" s="71"/>
      <c r="N723" s="71"/>
      <c r="O723" s="71"/>
      <c r="P723" s="71"/>
      <c r="Q723" s="71"/>
      <c r="R723" s="71"/>
      <c r="S723" s="71"/>
      <c r="T723" s="71"/>
      <c r="U723" s="71"/>
      <c r="V723" s="71"/>
      <c r="W723" s="71"/>
      <c r="X723" s="71"/>
      <c r="Y723" s="71"/>
      <c r="Z723" s="71"/>
    </row>
    <row r="724" ht="15.75" customHeight="1">
      <c r="A724" s="72"/>
      <c r="B724" s="71"/>
      <c r="C724" s="71"/>
      <c r="D724" s="71"/>
      <c r="E724" s="71"/>
      <c r="F724" s="71"/>
      <c r="G724" s="59"/>
      <c r="H724" s="71"/>
      <c r="I724" s="71"/>
      <c r="J724" s="71"/>
      <c r="K724" s="71"/>
      <c r="L724" s="71"/>
      <c r="M724" s="71"/>
      <c r="N724" s="71"/>
      <c r="O724" s="71"/>
      <c r="P724" s="71"/>
      <c r="Q724" s="71"/>
      <c r="R724" s="71"/>
      <c r="S724" s="71"/>
      <c r="T724" s="71"/>
      <c r="U724" s="71"/>
      <c r="V724" s="71"/>
      <c r="W724" s="71"/>
      <c r="X724" s="71"/>
      <c r="Y724" s="71"/>
      <c r="Z724" s="71"/>
    </row>
    <row r="725" ht="15.75" customHeight="1">
      <c r="A725" s="72"/>
      <c r="B725" s="71"/>
      <c r="C725" s="71"/>
      <c r="D725" s="71"/>
      <c r="E725" s="71"/>
      <c r="F725" s="71"/>
      <c r="G725" s="59"/>
      <c r="H725" s="71"/>
      <c r="I725" s="71"/>
      <c r="J725" s="71"/>
      <c r="K725" s="71"/>
      <c r="L725" s="71"/>
      <c r="M725" s="71"/>
      <c r="N725" s="71"/>
      <c r="O725" s="71"/>
      <c r="P725" s="71"/>
      <c r="Q725" s="71"/>
      <c r="R725" s="71"/>
      <c r="S725" s="71"/>
      <c r="T725" s="71"/>
      <c r="U725" s="71"/>
      <c r="V725" s="71"/>
      <c r="W725" s="71"/>
      <c r="X725" s="71"/>
      <c r="Y725" s="71"/>
      <c r="Z725" s="71"/>
    </row>
    <row r="726" ht="15.75" customHeight="1">
      <c r="A726" s="72"/>
      <c r="B726" s="71"/>
      <c r="C726" s="71"/>
      <c r="D726" s="71"/>
      <c r="E726" s="71"/>
      <c r="F726" s="71"/>
      <c r="G726" s="59"/>
      <c r="H726" s="71"/>
      <c r="I726" s="71"/>
      <c r="J726" s="71"/>
      <c r="K726" s="71"/>
      <c r="L726" s="71"/>
      <c r="M726" s="71"/>
      <c r="N726" s="71"/>
      <c r="O726" s="71"/>
      <c r="P726" s="71"/>
      <c r="Q726" s="71"/>
      <c r="R726" s="71"/>
      <c r="S726" s="71"/>
      <c r="T726" s="71"/>
      <c r="U726" s="71"/>
      <c r="V726" s="71"/>
      <c r="W726" s="71"/>
      <c r="X726" s="71"/>
      <c r="Y726" s="71"/>
      <c r="Z726" s="71"/>
    </row>
    <row r="727" ht="15.75" customHeight="1">
      <c r="A727" s="72"/>
      <c r="B727" s="71"/>
      <c r="C727" s="71"/>
      <c r="D727" s="71"/>
      <c r="E727" s="71"/>
      <c r="F727" s="71"/>
      <c r="G727" s="59"/>
      <c r="H727" s="71"/>
      <c r="I727" s="71"/>
      <c r="J727" s="71"/>
      <c r="K727" s="71"/>
      <c r="L727" s="71"/>
      <c r="M727" s="71"/>
      <c r="N727" s="71"/>
      <c r="O727" s="71"/>
      <c r="P727" s="71"/>
      <c r="Q727" s="71"/>
      <c r="R727" s="71"/>
      <c r="S727" s="71"/>
      <c r="T727" s="71"/>
      <c r="U727" s="71"/>
      <c r="V727" s="71"/>
      <c r="W727" s="71"/>
      <c r="X727" s="71"/>
      <c r="Y727" s="71"/>
      <c r="Z727" s="71"/>
    </row>
    <row r="728" ht="15.75" customHeight="1">
      <c r="A728" s="72"/>
      <c r="B728" s="71"/>
      <c r="C728" s="71"/>
      <c r="D728" s="71"/>
      <c r="E728" s="71"/>
      <c r="F728" s="71"/>
      <c r="G728" s="59"/>
      <c r="H728" s="71"/>
      <c r="I728" s="71"/>
      <c r="J728" s="71"/>
      <c r="K728" s="71"/>
      <c r="L728" s="71"/>
      <c r="M728" s="71"/>
      <c r="N728" s="71"/>
      <c r="O728" s="71"/>
      <c r="P728" s="71"/>
      <c r="Q728" s="71"/>
      <c r="R728" s="71"/>
      <c r="S728" s="71"/>
      <c r="T728" s="71"/>
      <c r="U728" s="71"/>
      <c r="V728" s="71"/>
      <c r="W728" s="71"/>
      <c r="X728" s="71"/>
      <c r="Y728" s="71"/>
      <c r="Z728" s="71"/>
    </row>
    <row r="729" ht="15.75" customHeight="1">
      <c r="A729" s="72"/>
      <c r="B729" s="71"/>
      <c r="C729" s="71"/>
      <c r="D729" s="71"/>
      <c r="E729" s="71"/>
      <c r="F729" s="71"/>
      <c r="G729" s="59"/>
      <c r="H729" s="71"/>
      <c r="I729" s="71"/>
      <c r="J729" s="71"/>
      <c r="K729" s="71"/>
      <c r="L729" s="71"/>
      <c r="M729" s="71"/>
      <c r="N729" s="71"/>
      <c r="O729" s="71"/>
      <c r="P729" s="71"/>
      <c r="Q729" s="71"/>
      <c r="R729" s="71"/>
      <c r="S729" s="71"/>
      <c r="T729" s="71"/>
      <c r="U729" s="71"/>
      <c r="V729" s="71"/>
      <c r="W729" s="71"/>
      <c r="X729" s="71"/>
      <c r="Y729" s="71"/>
      <c r="Z729" s="71"/>
    </row>
    <row r="730" ht="15.75" customHeight="1">
      <c r="A730" s="72"/>
      <c r="B730" s="71"/>
      <c r="C730" s="71"/>
      <c r="D730" s="71"/>
      <c r="E730" s="71"/>
      <c r="F730" s="71"/>
      <c r="G730" s="59"/>
      <c r="H730" s="71"/>
      <c r="I730" s="71"/>
      <c r="J730" s="71"/>
      <c r="K730" s="71"/>
      <c r="L730" s="71"/>
      <c r="M730" s="71"/>
      <c r="N730" s="71"/>
      <c r="O730" s="71"/>
      <c r="P730" s="71"/>
      <c r="Q730" s="71"/>
      <c r="R730" s="71"/>
      <c r="S730" s="71"/>
      <c r="T730" s="71"/>
      <c r="U730" s="71"/>
      <c r="V730" s="71"/>
      <c r="W730" s="71"/>
      <c r="X730" s="71"/>
      <c r="Y730" s="71"/>
      <c r="Z730" s="71"/>
    </row>
    <row r="731" ht="15.75" customHeight="1">
      <c r="A731" s="72"/>
      <c r="B731" s="71"/>
      <c r="C731" s="71"/>
      <c r="D731" s="71"/>
      <c r="E731" s="71"/>
      <c r="F731" s="71"/>
      <c r="G731" s="59"/>
      <c r="H731" s="71"/>
      <c r="I731" s="71"/>
      <c r="J731" s="71"/>
      <c r="K731" s="71"/>
      <c r="L731" s="71"/>
      <c r="M731" s="71"/>
      <c r="N731" s="71"/>
      <c r="O731" s="71"/>
      <c r="P731" s="71"/>
      <c r="Q731" s="71"/>
      <c r="R731" s="71"/>
      <c r="S731" s="71"/>
      <c r="T731" s="71"/>
      <c r="U731" s="71"/>
      <c r="V731" s="71"/>
      <c r="W731" s="71"/>
      <c r="X731" s="71"/>
      <c r="Y731" s="71"/>
      <c r="Z731" s="71"/>
    </row>
    <row r="732" ht="15.75" customHeight="1">
      <c r="A732" s="72"/>
      <c r="B732" s="71"/>
      <c r="C732" s="71"/>
      <c r="D732" s="71"/>
      <c r="E732" s="71"/>
      <c r="F732" s="71"/>
      <c r="G732" s="59"/>
      <c r="H732" s="71"/>
      <c r="I732" s="71"/>
      <c r="J732" s="71"/>
      <c r="K732" s="71"/>
      <c r="L732" s="71"/>
      <c r="M732" s="71"/>
      <c r="N732" s="71"/>
      <c r="O732" s="71"/>
      <c r="P732" s="71"/>
      <c r="Q732" s="71"/>
      <c r="R732" s="71"/>
      <c r="S732" s="71"/>
      <c r="T732" s="71"/>
      <c r="U732" s="71"/>
      <c r="V732" s="71"/>
      <c r="W732" s="71"/>
      <c r="X732" s="71"/>
      <c r="Y732" s="71"/>
      <c r="Z732" s="71"/>
    </row>
    <row r="733" ht="15.75" customHeight="1">
      <c r="A733" s="72"/>
      <c r="B733" s="71"/>
      <c r="C733" s="71"/>
      <c r="D733" s="71"/>
      <c r="E733" s="71"/>
      <c r="F733" s="71"/>
      <c r="G733" s="59"/>
      <c r="H733" s="71"/>
      <c r="I733" s="71"/>
      <c r="J733" s="71"/>
      <c r="K733" s="71"/>
      <c r="L733" s="71"/>
      <c r="M733" s="71"/>
      <c r="N733" s="71"/>
      <c r="O733" s="71"/>
      <c r="P733" s="71"/>
      <c r="Q733" s="71"/>
      <c r="R733" s="71"/>
      <c r="S733" s="71"/>
      <c r="T733" s="71"/>
      <c r="U733" s="71"/>
      <c r="V733" s="71"/>
      <c r="W733" s="71"/>
      <c r="X733" s="71"/>
      <c r="Y733" s="71"/>
      <c r="Z733" s="71"/>
    </row>
    <row r="734" ht="15.75" customHeight="1">
      <c r="A734" s="72"/>
      <c r="B734" s="71"/>
      <c r="C734" s="71"/>
      <c r="D734" s="71"/>
      <c r="E734" s="71"/>
      <c r="F734" s="71"/>
      <c r="G734" s="59"/>
      <c r="H734" s="71"/>
      <c r="I734" s="71"/>
      <c r="J734" s="71"/>
      <c r="K734" s="71"/>
      <c r="L734" s="71"/>
      <c r="M734" s="71"/>
      <c r="N734" s="71"/>
      <c r="O734" s="71"/>
      <c r="P734" s="71"/>
      <c r="Q734" s="71"/>
      <c r="R734" s="71"/>
      <c r="S734" s="71"/>
      <c r="T734" s="71"/>
      <c r="U734" s="71"/>
      <c r="V734" s="71"/>
      <c r="W734" s="71"/>
      <c r="X734" s="71"/>
      <c r="Y734" s="71"/>
      <c r="Z734" s="71"/>
    </row>
    <row r="735" ht="15.75" customHeight="1">
      <c r="A735" s="72"/>
      <c r="B735" s="71"/>
      <c r="C735" s="71"/>
      <c r="D735" s="71"/>
      <c r="E735" s="71"/>
      <c r="F735" s="71"/>
      <c r="G735" s="59"/>
      <c r="H735" s="71"/>
      <c r="I735" s="71"/>
      <c r="J735" s="71"/>
      <c r="K735" s="71"/>
      <c r="L735" s="71"/>
      <c r="M735" s="71"/>
      <c r="N735" s="71"/>
      <c r="O735" s="71"/>
      <c r="P735" s="71"/>
      <c r="Q735" s="71"/>
      <c r="R735" s="71"/>
      <c r="S735" s="71"/>
      <c r="T735" s="71"/>
      <c r="U735" s="71"/>
      <c r="V735" s="71"/>
      <c r="W735" s="71"/>
      <c r="X735" s="71"/>
      <c r="Y735" s="71"/>
      <c r="Z735" s="71"/>
    </row>
    <row r="736" ht="15.75" customHeight="1">
      <c r="A736" s="72"/>
      <c r="B736" s="71"/>
      <c r="C736" s="71"/>
      <c r="D736" s="71"/>
      <c r="E736" s="71"/>
      <c r="F736" s="71"/>
      <c r="G736" s="59"/>
      <c r="H736" s="71"/>
      <c r="I736" s="71"/>
      <c r="J736" s="71"/>
      <c r="K736" s="71"/>
      <c r="L736" s="71"/>
      <c r="M736" s="71"/>
      <c r="N736" s="71"/>
      <c r="O736" s="71"/>
      <c r="P736" s="71"/>
      <c r="Q736" s="71"/>
      <c r="R736" s="71"/>
      <c r="S736" s="71"/>
      <c r="T736" s="71"/>
      <c r="U736" s="71"/>
      <c r="V736" s="71"/>
      <c r="W736" s="71"/>
      <c r="X736" s="71"/>
      <c r="Y736" s="71"/>
      <c r="Z736" s="71"/>
    </row>
    <row r="737" ht="15.75" customHeight="1">
      <c r="A737" s="72"/>
      <c r="B737" s="71"/>
      <c r="C737" s="71"/>
      <c r="D737" s="71"/>
      <c r="E737" s="71"/>
      <c r="F737" s="71"/>
      <c r="G737" s="59"/>
      <c r="H737" s="71"/>
      <c r="I737" s="71"/>
      <c r="J737" s="71"/>
      <c r="K737" s="71"/>
      <c r="L737" s="71"/>
      <c r="M737" s="71"/>
      <c r="N737" s="71"/>
      <c r="O737" s="71"/>
      <c r="P737" s="71"/>
      <c r="Q737" s="71"/>
      <c r="R737" s="71"/>
      <c r="S737" s="71"/>
      <c r="T737" s="71"/>
      <c r="U737" s="71"/>
      <c r="V737" s="71"/>
      <c r="W737" s="71"/>
      <c r="X737" s="71"/>
      <c r="Y737" s="71"/>
      <c r="Z737" s="71"/>
    </row>
    <row r="738" ht="15.75" customHeight="1">
      <c r="A738" s="72"/>
      <c r="B738" s="71"/>
      <c r="C738" s="71"/>
      <c r="D738" s="71"/>
      <c r="E738" s="71"/>
      <c r="F738" s="71"/>
      <c r="G738" s="59"/>
      <c r="H738" s="71"/>
      <c r="I738" s="71"/>
      <c r="J738" s="71"/>
      <c r="K738" s="71"/>
      <c r="L738" s="71"/>
      <c r="M738" s="71"/>
      <c r="N738" s="71"/>
      <c r="O738" s="71"/>
      <c r="P738" s="71"/>
      <c r="Q738" s="71"/>
      <c r="R738" s="71"/>
      <c r="S738" s="71"/>
      <c r="T738" s="71"/>
      <c r="U738" s="71"/>
      <c r="V738" s="71"/>
      <c r="W738" s="71"/>
      <c r="X738" s="71"/>
      <c r="Y738" s="71"/>
      <c r="Z738" s="71"/>
    </row>
    <row r="739" ht="15.75" customHeight="1">
      <c r="A739" s="72"/>
      <c r="B739" s="71"/>
      <c r="C739" s="71"/>
      <c r="D739" s="71"/>
      <c r="E739" s="71"/>
      <c r="F739" s="71"/>
      <c r="G739" s="59"/>
      <c r="H739" s="71"/>
      <c r="I739" s="71"/>
      <c r="J739" s="71"/>
      <c r="K739" s="71"/>
      <c r="L739" s="71"/>
      <c r="M739" s="71"/>
      <c r="N739" s="71"/>
      <c r="O739" s="71"/>
      <c r="P739" s="71"/>
      <c r="Q739" s="71"/>
      <c r="R739" s="71"/>
      <c r="S739" s="71"/>
      <c r="T739" s="71"/>
      <c r="U739" s="71"/>
      <c r="V739" s="71"/>
      <c r="W739" s="71"/>
      <c r="X739" s="71"/>
      <c r="Y739" s="71"/>
      <c r="Z739" s="71"/>
    </row>
    <row r="740" ht="15.75" customHeight="1">
      <c r="A740" s="72"/>
      <c r="B740" s="71"/>
      <c r="C740" s="71"/>
      <c r="D740" s="71"/>
      <c r="E740" s="71"/>
      <c r="F740" s="71"/>
      <c r="G740" s="59"/>
      <c r="H740" s="71"/>
      <c r="I740" s="71"/>
      <c r="J740" s="71"/>
      <c r="K740" s="71"/>
      <c r="L740" s="71"/>
      <c r="M740" s="71"/>
      <c r="N740" s="71"/>
      <c r="O740" s="71"/>
      <c r="P740" s="71"/>
      <c r="Q740" s="71"/>
      <c r="R740" s="71"/>
      <c r="S740" s="71"/>
      <c r="T740" s="71"/>
      <c r="U740" s="71"/>
      <c r="V740" s="71"/>
      <c r="W740" s="71"/>
      <c r="X740" s="71"/>
      <c r="Y740" s="71"/>
      <c r="Z740" s="71"/>
    </row>
    <row r="741" ht="15.75" customHeight="1">
      <c r="A741" s="72"/>
      <c r="B741" s="71"/>
      <c r="C741" s="71"/>
      <c r="D741" s="71"/>
      <c r="E741" s="71"/>
      <c r="F741" s="71"/>
      <c r="G741" s="59"/>
      <c r="H741" s="71"/>
      <c r="I741" s="71"/>
      <c r="J741" s="71"/>
      <c r="K741" s="71"/>
      <c r="L741" s="71"/>
      <c r="M741" s="71"/>
      <c r="N741" s="71"/>
      <c r="O741" s="71"/>
      <c r="P741" s="71"/>
      <c r="Q741" s="71"/>
      <c r="R741" s="71"/>
      <c r="S741" s="71"/>
      <c r="T741" s="71"/>
      <c r="U741" s="71"/>
      <c r="V741" s="71"/>
      <c r="W741" s="71"/>
      <c r="X741" s="71"/>
      <c r="Y741" s="71"/>
      <c r="Z741" s="71"/>
    </row>
    <row r="742" ht="15.75" customHeight="1">
      <c r="A742" s="72"/>
      <c r="B742" s="71"/>
      <c r="C742" s="71"/>
      <c r="D742" s="71"/>
      <c r="E742" s="71"/>
      <c r="F742" s="71"/>
      <c r="G742" s="59"/>
      <c r="H742" s="71"/>
      <c r="I742" s="71"/>
      <c r="J742" s="71"/>
      <c r="K742" s="71"/>
      <c r="L742" s="71"/>
      <c r="M742" s="71"/>
      <c r="N742" s="71"/>
      <c r="O742" s="71"/>
      <c r="P742" s="71"/>
      <c r="Q742" s="71"/>
      <c r="R742" s="71"/>
      <c r="S742" s="71"/>
      <c r="T742" s="71"/>
      <c r="U742" s="71"/>
      <c r="V742" s="71"/>
      <c r="W742" s="71"/>
      <c r="X742" s="71"/>
      <c r="Y742" s="71"/>
      <c r="Z742" s="71"/>
    </row>
    <row r="743" ht="15.75" customHeight="1">
      <c r="A743" s="72"/>
      <c r="B743" s="71"/>
      <c r="C743" s="71"/>
      <c r="D743" s="71"/>
      <c r="E743" s="71"/>
      <c r="F743" s="71"/>
      <c r="G743" s="59"/>
      <c r="H743" s="71"/>
      <c r="I743" s="71"/>
      <c r="J743" s="71"/>
      <c r="K743" s="71"/>
      <c r="L743" s="71"/>
      <c r="M743" s="71"/>
      <c r="N743" s="71"/>
      <c r="O743" s="71"/>
      <c r="P743" s="71"/>
      <c r="Q743" s="71"/>
      <c r="R743" s="71"/>
      <c r="S743" s="71"/>
      <c r="T743" s="71"/>
      <c r="U743" s="71"/>
      <c r="V743" s="71"/>
      <c r="W743" s="71"/>
      <c r="X743" s="71"/>
      <c r="Y743" s="71"/>
      <c r="Z743" s="71"/>
    </row>
    <row r="744" ht="15.75" customHeight="1">
      <c r="A744" s="72"/>
      <c r="B744" s="71"/>
      <c r="C744" s="71"/>
      <c r="D744" s="71"/>
      <c r="E744" s="71"/>
      <c r="F744" s="71"/>
      <c r="G744" s="59"/>
      <c r="H744" s="71"/>
      <c r="I744" s="71"/>
      <c r="J744" s="71"/>
      <c r="K744" s="71"/>
      <c r="L744" s="71"/>
      <c r="M744" s="71"/>
      <c r="N744" s="71"/>
      <c r="O744" s="71"/>
      <c r="P744" s="71"/>
      <c r="Q744" s="71"/>
      <c r="R744" s="71"/>
      <c r="S744" s="71"/>
      <c r="T744" s="71"/>
      <c r="U744" s="71"/>
      <c r="V744" s="71"/>
      <c r="W744" s="71"/>
      <c r="X744" s="71"/>
      <c r="Y744" s="71"/>
      <c r="Z744" s="71"/>
    </row>
    <row r="745" ht="15.75" customHeight="1">
      <c r="A745" s="72"/>
      <c r="B745" s="71"/>
      <c r="C745" s="71"/>
      <c r="D745" s="71"/>
      <c r="E745" s="71"/>
      <c r="F745" s="71"/>
      <c r="G745" s="59"/>
      <c r="H745" s="71"/>
      <c r="I745" s="71"/>
      <c r="J745" s="71"/>
      <c r="K745" s="71"/>
      <c r="L745" s="71"/>
      <c r="M745" s="71"/>
      <c r="N745" s="71"/>
      <c r="O745" s="71"/>
      <c r="P745" s="71"/>
      <c r="Q745" s="71"/>
      <c r="R745" s="71"/>
      <c r="S745" s="71"/>
      <c r="T745" s="71"/>
      <c r="U745" s="71"/>
      <c r="V745" s="71"/>
      <c r="W745" s="71"/>
      <c r="X745" s="71"/>
      <c r="Y745" s="71"/>
      <c r="Z745" s="71"/>
    </row>
    <row r="746" ht="15.75" customHeight="1">
      <c r="A746" s="72"/>
      <c r="B746" s="71"/>
      <c r="C746" s="71"/>
      <c r="D746" s="71"/>
      <c r="E746" s="71"/>
      <c r="F746" s="71"/>
      <c r="G746" s="59"/>
      <c r="H746" s="71"/>
      <c r="I746" s="71"/>
      <c r="J746" s="71"/>
      <c r="K746" s="71"/>
      <c r="L746" s="71"/>
      <c r="M746" s="71"/>
      <c r="N746" s="71"/>
      <c r="O746" s="71"/>
      <c r="P746" s="71"/>
      <c r="Q746" s="71"/>
      <c r="R746" s="71"/>
      <c r="S746" s="71"/>
      <c r="T746" s="71"/>
      <c r="U746" s="71"/>
      <c r="V746" s="71"/>
      <c r="W746" s="71"/>
      <c r="X746" s="71"/>
      <c r="Y746" s="71"/>
      <c r="Z746" s="71"/>
    </row>
    <row r="747" ht="15.75" customHeight="1">
      <c r="A747" s="72"/>
      <c r="B747" s="71"/>
      <c r="C747" s="71"/>
      <c r="D747" s="71"/>
      <c r="E747" s="71"/>
      <c r="F747" s="71"/>
      <c r="G747" s="59"/>
      <c r="H747" s="71"/>
      <c r="I747" s="71"/>
      <c r="J747" s="71"/>
      <c r="K747" s="71"/>
      <c r="L747" s="71"/>
      <c r="M747" s="71"/>
      <c r="N747" s="71"/>
      <c r="O747" s="71"/>
      <c r="P747" s="71"/>
      <c r="Q747" s="71"/>
      <c r="R747" s="71"/>
      <c r="S747" s="71"/>
      <c r="T747" s="71"/>
      <c r="U747" s="71"/>
      <c r="V747" s="71"/>
      <c r="W747" s="71"/>
      <c r="X747" s="71"/>
      <c r="Y747" s="71"/>
      <c r="Z747" s="71"/>
    </row>
    <row r="748" ht="15.75" customHeight="1">
      <c r="A748" s="72"/>
      <c r="B748" s="71"/>
      <c r="C748" s="71"/>
      <c r="D748" s="71"/>
      <c r="E748" s="71"/>
      <c r="F748" s="71"/>
      <c r="G748" s="59"/>
      <c r="H748" s="71"/>
      <c r="I748" s="71"/>
      <c r="J748" s="71"/>
      <c r="K748" s="71"/>
      <c r="L748" s="71"/>
      <c r="M748" s="71"/>
      <c r="N748" s="71"/>
      <c r="O748" s="71"/>
      <c r="P748" s="71"/>
      <c r="Q748" s="71"/>
      <c r="R748" s="71"/>
      <c r="S748" s="71"/>
      <c r="T748" s="71"/>
      <c r="U748" s="71"/>
      <c r="V748" s="71"/>
      <c r="W748" s="71"/>
      <c r="X748" s="71"/>
      <c r="Y748" s="71"/>
      <c r="Z748" s="71"/>
    </row>
    <row r="749" ht="15.75" customHeight="1">
      <c r="A749" s="72"/>
      <c r="B749" s="71"/>
      <c r="C749" s="71"/>
      <c r="D749" s="71"/>
      <c r="E749" s="71"/>
      <c r="F749" s="71"/>
      <c r="G749" s="59"/>
      <c r="H749" s="71"/>
      <c r="I749" s="71"/>
      <c r="J749" s="71"/>
      <c r="K749" s="71"/>
      <c r="L749" s="71"/>
      <c r="M749" s="71"/>
      <c r="N749" s="71"/>
      <c r="O749" s="71"/>
      <c r="P749" s="71"/>
      <c r="Q749" s="71"/>
      <c r="R749" s="71"/>
      <c r="S749" s="71"/>
      <c r="T749" s="71"/>
      <c r="U749" s="71"/>
      <c r="V749" s="71"/>
      <c r="W749" s="71"/>
      <c r="X749" s="71"/>
      <c r="Y749" s="71"/>
      <c r="Z749" s="71"/>
    </row>
    <row r="750" ht="15.75" customHeight="1">
      <c r="A750" s="72"/>
      <c r="B750" s="71"/>
      <c r="C750" s="71"/>
      <c r="D750" s="71"/>
      <c r="E750" s="71"/>
      <c r="F750" s="71"/>
      <c r="G750" s="59"/>
      <c r="H750" s="71"/>
      <c r="I750" s="71"/>
      <c r="J750" s="71"/>
      <c r="K750" s="71"/>
      <c r="L750" s="71"/>
      <c r="M750" s="71"/>
      <c r="N750" s="71"/>
      <c r="O750" s="71"/>
      <c r="P750" s="71"/>
      <c r="Q750" s="71"/>
      <c r="R750" s="71"/>
      <c r="S750" s="71"/>
      <c r="T750" s="71"/>
      <c r="U750" s="71"/>
      <c r="V750" s="71"/>
      <c r="W750" s="71"/>
      <c r="X750" s="71"/>
      <c r="Y750" s="71"/>
      <c r="Z750" s="71"/>
    </row>
    <row r="751" ht="15.75" customHeight="1">
      <c r="A751" s="72"/>
      <c r="B751" s="71"/>
      <c r="C751" s="71"/>
      <c r="D751" s="71"/>
      <c r="E751" s="71"/>
      <c r="F751" s="71"/>
      <c r="G751" s="59"/>
      <c r="H751" s="71"/>
      <c r="I751" s="71"/>
      <c r="J751" s="71"/>
      <c r="K751" s="71"/>
      <c r="L751" s="71"/>
      <c r="M751" s="71"/>
      <c r="N751" s="71"/>
      <c r="O751" s="71"/>
      <c r="P751" s="71"/>
      <c r="Q751" s="71"/>
      <c r="R751" s="71"/>
      <c r="S751" s="71"/>
      <c r="T751" s="71"/>
      <c r="U751" s="71"/>
      <c r="V751" s="71"/>
      <c r="W751" s="71"/>
      <c r="X751" s="71"/>
      <c r="Y751" s="71"/>
      <c r="Z751" s="71"/>
    </row>
    <row r="752" ht="15.75" customHeight="1">
      <c r="A752" s="72"/>
      <c r="B752" s="71"/>
      <c r="C752" s="71"/>
      <c r="D752" s="71"/>
      <c r="E752" s="71"/>
      <c r="F752" s="71"/>
      <c r="G752" s="59"/>
      <c r="H752" s="71"/>
      <c r="I752" s="71"/>
      <c r="J752" s="71"/>
      <c r="K752" s="71"/>
      <c r="L752" s="71"/>
      <c r="M752" s="71"/>
      <c r="N752" s="71"/>
      <c r="O752" s="71"/>
      <c r="P752" s="71"/>
      <c r="Q752" s="71"/>
      <c r="R752" s="71"/>
      <c r="S752" s="71"/>
      <c r="T752" s="71"/>
      <c r="U752" s="71"/>
      <c r="V752" s="71"/>
      <c r="W752" s="71"/>
      <c r="X752" s="71"/>
      <c r="Y752" s="71"/>
      <c r="Z752" s="71"/>
    </row>
    <row r="753" ht="15.75" customHeight="1">
      <c r="A753" s="72"/>
      <c r="B753" s="71"/>
      <c r="C753" s="71"/>
      <c r="D753" s="71"/>
      <c r="E753" s="71"/>
      <c r="F753" s="71"/>
      <c r="G753" s="59"/>
      <c r="H753" s="71"/>
      <c r="I753" s="71"/>
      <c r="J753" s="71"/>
      <c r="K753" s="71"/>
      <c r="L753" s="71"/>
      <c r="M753" s="71"/>
      <c r="N753" s="71"/>
      <c r="O753" s="71"/>
      <c r="P753" s="71"/>
      <c r="Q753" s="71"/>
      <c r="R753" s="71"/>
      <c r="S753" s="71"/>
      <c r="T753" s="71"/>
      <c r="U753" s="71"/>
      <c r="V753" s="71"/>
      <c r="W753" s="71"/>
      <c r="X753" s="71"/>
      <c r="Y753" s="71"/>
      <c r="Z753" s="71"/>
    </row>
    <row r="754" ht="15.75" customHeight="1">
      <c r="A754" s="72"/>
      <c r="B754" s="71"/>
      <c r="C754" s="71"/>
      <c r="D754" s="71"/>
      <c r="E754" s="71"/>
      <c r="F754" s="71"/>
      <c r="G754" s="59"/>
      <c r="H754" s="71"/>
      <c r="I754" s="71"/>
      <c r="J754" s="71"/>
      <c r="K754" s="71"/>
      <c r="L754" s="71"/>
      <c r="M754" s="71"/>
      <c r="N754" s="71"/>
      <c r="O754" s="71"/>
      <c r="P754" s="71"/>
      <c r="Q754" s="71"/>
      <c r="R754" s="71"/>
      <c r="S754" s="71"/>
      <c r="T754" s="71"/>
      <c r="U754" s="71"/>
      <c r="V754" s="71"/>
      <c r="W754" s="71"/>
      <c r="X754" s="71"/>
      <c r="Y754" s="71"/>
      <c r="Z754" s="71"/>
    </row>
    <row r="755" ht="15.75" customHeight="1">
      <c r="A755" s="72"/>
      <c r="B755" s="71"/>
      <c r="C755" s="71"/>
      <c r="D755" s="71"/>
      <c r="E755" s="71"/>
      <c r="F755" s="71"/>
      <c r="G755" s="59"/>
      <c r="H755" s="71"/>
      <c r="I755" s="71"/>
      <c r="J755" s="71"/>
      <c r="K755" s="71"/>
      <c r="L755" s="71"/>
      <c r="M755" s="71"/>
      <c r="N755" s="71"/>
      <c r="O755" s="71"/>
      <c r="P755" s="71"/>
      <c r="Q755" s="71"/>
      <c r="R755" s="71"/>
      <c r="S755" s="71"/>
      <c r="T755" s="71"/>
      <c r="U755" s="71"/>
      <c r="V755" s="71"/>
      <c r="W755" s="71"/>
      <c r="X755" s="71"/>
      <c r="Y755" s="71"/>
      <c r="Z755" s="71"/>
    </row>
    <row r="756" ht="15.75" customHeight="1">
      <c r="A756" s="72"/>
      <c r="B756" s="71"/>
      <c r="C756" s="71"/>
      <c r="D756" s="71"/>
      <c r="E756" s="71"/>
      <c r="F756" s="71"/>
      <c r="G756" s="59"/>
      <c r="H756" s="71"/>
      <c r="I756" s="71"/>
      <c r="J756" s="71"/>
      <c r="K756" s="71"/>
      <c r="L756" s="71"/>
      <c r="M756" s="71"/>
      <c r="N756" s="71"/>
      <c r="O756" s="71"/>
      <c r="P756" s="71"/>
      <c r="Q756" s="71"/>
      <c r="R756" s="71"/>
      <c r="S756" s="71"/>
      <c r="T756" s="71"/>
      <c r="U756" s="71"/>
      <c r="V756" s="71"/>
      <c r="W756" s="71"/>
      <c r="X756" s="71"/>
      <c r="Y756" s="71"/>
      <c r="Z756" s="71"/>
    </row>
    <row r="757" ht="15.75" customHeight="1">
      <c r="A757" s="72"/>
      <c r="B757" s="71"/>
      <c r="C757" s="71"/>
      <c r="D757" s="71"/>
      <c r="E757" s="71"/>
      <c r="F757" s="71"/>
      <c r="G757" s="59"/>
      <c r="H757" s="71"/>
      <c r="I757" s="71"/>
      <c r="J757" s="71"/>
      <c r="K757" s="71"/>
      <c r="L757" s="71"/>
      <c r="M757" s="71"/>
      <c r="N757" s="71"/>
      <c r="O757" s="71"/>
      <c r="P757" s="71"/>
      <c r="Q757" s="71"/>
      <c r="R757" s="71"/>
      <c r="S757" s="71"/>
      <c r="T757" s="71"/>
      <c r="U757" s="71"/>
      <c r="V757" s="71"/>
      <c r="W757" s="71"/>
      <c r="X757" s="71"/>
      <c r="Y757" s="71"/>
      <c r="Z757" s="71"/>
    </row>
    <row r="758" ht="15.75" customHeight="1">
      <c r="A758" s="72"/>
      <c r="B758" s="71"/>
      <c r="C758" s="71"/>
      <c r="D758" s="71"/>
      <c r="E758" s="71"/>
      <c r="F758" s="71"/>
      <c r="G758" s="59"/>
      <c r="H758" s="71"/>
      <c r="I758" s="71"/>
      <c r="J758" s="71"/>
      <c r="K758" s="71"/>
      <c r="L758" s="71"/>
      <c r="M758" s="71"/>
      <c r="N758" s="71"/>
      <c r="O758" s="71"/>
      <c r="P758" s="71"/>
      <c r="Q758" s="71"/>
      <c r="R758" s="71"/>
      <c r="S758" s="71"/>
      <c r="T758" s="71"/>
      <c r="U758" s="71"/>
      <c r="V758" s="71"/>
      <c r="W758" s="71"/>
      <c r="X758" s="71"/>
      <c r="Y758" s="71"/>
      <c r="Z758" s="71"/>
    </row>
    <row r="759" ht="15.75" customHeight="1">
      <c r="A759" s="72"/>
      <c r="B759" s="71"/>
      <c r="C759" s="71"/>
      <c r="D759" s="71"/>
      <c r="E759" s="71"/>
      <c r="F759" s="71"/>
      <c r="G759" s="59"/>
      <c r="H759" s="71"/>
      <c r="I759" s="71"/>
      <c r="J759" s="71"/>
      <c r="K759" s="71"/>
      <c r="L759" s="71"/>
      <c r="M759" s="71"/>
      <c r="N759" s="71"/>
      <c r="O759" s="71"/>
      <c r="P759" s="71"/>
      <c r="Q759" s="71"/>
      <c r="R759" s="71"/>
      <c r="S759" s="71"/>
      <c r="T759" s="71"/>
      <c r="U759" s="71"/>
      <c r="V759" s="71"/>
      <c r="W759" s="71"/>
      <c r="X759" s="71"/>
      <c r="Y759" s="71"/>
      <c r="Z759" s="71"/>
    </row>
    <row r="760" ht="15.75" customHeight="1">
      <c r="A760" s="72"/>
      <c r="B760" s="71"/>
      <c r="C760" s="71"/>
      <c r="D760" s="71"/>
      <c r="E760" s="71"/>
      <c r="F760" s="71"/>
      <c r="G760" s="59"/>
      <c r="H760" s="71"/>
      <c r="I760" s="71"/>
      <c r="J760" s="71"/>
      <c r="K760" s="71"/>
      <c r="L760" s="71"/>
      <c r="M760" s="71"/>
      <c r="N760" s="71"/>
      <c r="O760" s="71"/>
      <c r="P760" s="71"/>
      <c r="Q760" s="71"/>
      <c r="R760" s="71"/>
      <c r="S760" s="71"/>
      <c r="T760" s="71"/>
      <c r="U760" s="71"/>
      <c r="V760" s="71"/>
      <c r="W760" s="71"/>
      <c r="X760" s="71"/>
      <c r="Y760" s="71"/>
      <c r="Z760" s="71"/>
    </row>
    <row r="761" ht="15.75" customHeight="1">
      <c r="A761" s="72"/>
      <c r="B761" s="71"/>
      <c r="C761" s="71"/>
      <c r="D761" s="71"/>
      <c r="E761" s="71"/>
      <c r="F761" s="71"/>
      <c r="G761" s="59"/>
      <c r="H761" s="71"/>
      <c r="I761" s="71"/>
      <c r="J761" s="71"/>
      <c r="K761" s="71"/>
      <c r="L761" s="71"/>
      <c r="M761" s="71"/>
      <c r="N761" s="71"/>
      <c r="O761" s="71"/>
      <c r="P761" s="71"/>
      <c r="Q761" s="71"/>
      <c r="R761" s="71"/>
      <c r="S761" s="71"/>
      <c r="T761" s="71"/>
      <c r="U761" s="71"/>
      <c r="V761" s="71"/>
      <c r="W761" s="71"/>
      <c r="X761" s="71"/>
      <c r="Y761" s="71"/>
      <c r="Z761" s="71"/>
    </row>
    <row r="762" ht="15.75" customHeight="1">
      <c r="A762" s="72"/>
      <c r="B762" s="71"/>
      <c r="C762" s="71"/>
      <c r="D762" s="71"/>
      <c r="E762" s="71"/>
      <c r="F762" s="71"/>
      <c r="G762" s="59"/>
      <c r="H762" s="71"/>
      <c r="I762" s="71"/>
      <c r="J762" s="71"/>
      <c r="K762" s="71"/>
      <c r="L762" s="71"/>
      <c r="M762" s="71"/>
      <c r="N762" s="71"/>
      <c r="O762" s="71"/>
      <c r="P762" s="71"/>
      <c r="Q762" s="71"/>
      <c r="R762" s="71"/>
      <c r="S762" s="71"/>
      <c r="T762" s="71"/>
      <c r="U762" s="71"/>
      <c r="V762" s="71"/>
      <c r="W762" s="71"/>
      <c r="X762" s="71"/>
      <c r="Y762" s="71"/>
      <c r="Z762" s="71"/>
    </row>
    <row r="763" ht="15.75" customHeight="1">
      <c r="A763" s="72"/>
      <c r="B763" s="71"/>
      <c r="C763" s="71"/>
      <c r="D763" s="71"/>
      <c r="E763" s="71"/>
      <c r="F763" s="71"/>
      <c r="G763" s="59"/>
      <c r="H763" s="71"/>
      <c r="I763" s="71"/>
      <c r="J763" s="71"/>
      <c r="K763" s="71"/>
      <c r="L763" s="71"/>
      <c r="M763" s="71"/>
      <c r="N763" s="71"/>
      <c r="O763" s="71"/>
      <c r="P763" s="71"/>
      <c r="Q763" s="71"/>
      <c r="R763" s="71"/>
      <c r="S763" s="71"/>
      <c r="T763" s="71"/>
      <c r="U763" s="71"/>
      <c r="V763" s="71"/>
      <c r="W763" s="71"/>
      <c r="X763" s="71"/>
      <c r="Y763" s="71"/>
      <c r="Z763" s="71"/>
    </row>
    <row r="764" ht="15.75" customHeight="1">
      <c r="A764" s="72"/>
      <c r="B764" s="71"/>
      <c r="C764" s="71"/>
      <c r="D764" s="71"/>
      <c r="E764" s="71"/>
      <c r="F764" s="71"/>
      <c r="G764" s="59"/>
      <c r="H764" s="71"/>
      <c r="I764" s="71"/>
      <c r="J764" s="71"/>
      <c r="K764" s="71"/>
      <c r="L764" s="71"/>
      <c r="M764" s="71"/>
      <c r="N764" s="71"/>
      <c r="O764" s="71"/>
      <c r="P764" s="71"/>
      <c r="Q764" s="71"/>
      <c r="R764" s="71"/>
      <c r="S764" s="71"/>
      <c r="T764" s="71"/>
      <c r="U764" s="71"/>
      <c r="V764" s="71"/>
      <c r="W764" s="71"/>
      <c r="X764" s="71"/>
      <c r="Y764" s="71"/>
      <c r="Z764" s="71"/>
    </row>
    <row r="765" ht="15.75" customHeight="1">
      <c r="A765" s="72"/>
      <c r="B765" s="71"/>
      <c r="C765" s="71"/>
      <c r="D765" s="71"/>
      <c r="E765" s="71"/>
      <c r="F765" s="71"/>
      <c r="G765" s="59"/>
      <c r="H765" s="71"/>
      <c r="I765" s="71"/>
      <c r="J765" s="71"/>
      <c r="K765" s="71"/>
      <c r="L765" s="71"/>
      <c r="M765" s="71"/>
      <c r="N765" s="71"/>
      <c r="O765" s="71"/>
      <c r="P765" s="71"/>
      <c r="Q765" s="71"/>
      <c r="R765" s="71"/>
      <c r="S765" s="71"/>
      <c r="T765" s="71"/>
      <c r="U765" s="71"/>
      <c r="V765" s="71"/>
      <c r="W765" s="71"/>
      <c r="X765" s="71"/>
      <c r="Y765" s="71"/>
      <c r="Z765" s="71"/>
    </row>
    <row r="766" ht="15.75" customHeight="1">
      <c r="A766" s="72"/>
      <c r="B766" s="71"/>
      <c r="C766" s="71"/>
      <c r="D766" s="71"/>
      <c r="E766" s="71"/>
      <c r="F766" s="71"/>
      <c r="G766" s="59"/>
      <c r="H766" s="71"/>
      <c r="I766" s="71"/>
      <c r="J766" s="71"/>
      <c r="K766" s="71"/>
      <c r="L766" s="71"/>
      <c r="M766" s="71"/>
      <c r="N766" s="71"/>
      <c r="O766" s="71"/>
      <c r="P766" s="71"/>
      <c r="Q766" s="71"/>
      <c r="R766" s="71"/>
      <c r="S766" s="71"/>
      <c r="T766" s="71"/>
      <c r="U766" s="71"/>
      <c r="V766" s="71"/>
      <c r="W766" s="71"/>
      <c r="X766" s="71"/>
      <c r="Y766" s="71"/>
      <c r="Z766" s="71"/>
    </row>
    <row r="767" ht="15.75" customHeight="1">
      <c r="A767" s="72"/>
      <c r="B767" s="71"/>
      <c r="C767" s="71"/>
      <c r="D767" s="71"/>
      <c r="E767" s="71"/>
      <c r="F767" s="71"/>
      <c r="G767" s="59"/>
      <c r="H767" s="71"/>
      <c r="I767" s="71"/>
      <c r="J767" s="71"/>
      <c r="K767" s="71"/>
      <c r="L767" s="71"/>
      <c r="M767" s="71"/>
      <c r="N767" s="71"/>
      <c r="O767" s="71"/>
      <c r="P767" s="71"/>
      <c r="Q767" s="71"/>
      <c r="R767" s="71"/>
      <c r="S767" s="71"/>
      <c r="T767" s="71"/>
      <c r="U767" s="71"/>
      <c r="V767" s="71"/>
      <c r="W767" s="71"/>
      <c r="X767" s="71"/>
      <c r="Y767" s="71"/>
      <c r="Z767" s="71"/>
    </row>
    <row r="768" ht="15.75" customHeight="1">
      <c r="A768" s="72"/>
      <c r="B768" s="71"/>
      <c r="C768" s="71"/>
      <c r="D768" s="71"/>
      <c r="E768" s="71"/>
      <c r="F768" s="71"/>
      <c r="G768" s="59"/>
      <c r="H768" s="71"/>
      <c r="I768" s="71"/>
      <c r="J768" s="71"/>
      <c r="K768" s="71"/>
      <c r="L768" s="71"/>
      <c r="M768" s="71"/>
      <c r="N768" s="71"/>
      <c r="O768" s="71"/>
      <c r="P768" s="71"/>
      <c r="Q768" s="71"/>
      <c r="R768" s="71"/>
      <c r="S768" s="71"/>
      <c r="T768" s="71"/>
      <c r="U768" s="71"/>
      <c r="V768" s="71"/>
      <c r="W768" s="71"/>
      <c r="X768" s="71"/>
      <c r="Y768" s="71"/>
      <c r="Z768" s="71"/>
    </row>
    <row r="769" ht="15.75" customHeight="1">
      <c r="A769" s="72"/>
      <c r="B769" s="71"/>
      <c r="C769" s="71"/>
      <c r="D769" s="71"/>
      <c r="E769" s="71"/>
      <c r="F769" s="71"/>
      <c r="G769" s="59"/>
      <c r="H769" s="71"/>
      <c r="I769" s="71"/>
      <c r="J769" s="71"/>
      <c r="K769" s="71"/>
      <c r="L769" s="71"/>
      <c r="M769" s="71"/>
      <c r="N769" s="71"/>
      <c r="O769" s="71"/>
      <c r="P769" s="71"/>
      <c r="Q769" s="71"/>
      <c r="R769" s="71"/>
      <c r="S769" s="71"/>
      <c r="T769" s="71"/>
      <c r="U769" s="71"/>
      <c r="V769" s="71"/>
      <c r="W769" s="71"/>
      <c r="X769" s="71"/>
      <c r="Y769" s="71"/>
      <c r="Z769" s="71"/>
    </row>
    <row r="770" ht="15.75" customHeight="1">
      <c r="A770" s="72"/>
      <c r="B770" s="71"/>
      <c r="C770" s="71"/>
      <c r="D770" s="71"/>
      <c r="E770" s="71"/>
      <c r="F770" s="71"/>
      <c r="G770" s="59"/>
      <c r="H770" s="71"/>
      <c r="I770" s="71"/>
      <c r="J770" s="71"/>
      <c r="K770" s="71"/>
      <c r="L770" s="71"/>
      <c r="M770" s="71"/>
      <c r="N770" s="71"/>
      <c r="O770" s="71"/>
      <c r="P770" s="71"/>
      <c r="Q770" s="71"/>
      <c r="R770" s="71"/>
      <c r="S770" s="71"/>
      <c r="T770" s="71"/>
      <c r="U770" s="71"/>
      <c r="V770" s="71"/>
      <c r="W770" s="71"/>
      <c r="X770" s="71"/>
      <c r="Y770" s="71"/>
      <c r="Z770" s="71"/>
    </row>
    <row r="771" ht="15.75" customHeight="1">
      <c r="A771" s="72"/>
      <c r="B771" s="71"/>
      <c r="C771" s="71"/>
      <c r="D771" s="71"/>
      <c r="E771" s="71"/>
      <c r="F771" s="71"/>
      <c r="G771" s="59"/>
      <c r="H771" s="71"/>
      <c r="I771" s="71"/>
      <c r="J771" s="71"/>
      <c r="K771" s="71"/>
      <c r="L771" s="71"/>
      <c r="M771" s="71"/>
      <c r="N771" s="71"/>
      <c r="O771" s="71"/>
      <c r="P771" s="71"/>
      <c r="Q771" s="71"/>
      <c r="R771" s="71"/>
      <c r="S771" s="71"/>
      <c r="T771" s="71"/>
      <c r="U771" s="71"/>
      <c r="V771" s="71"/>
      <c r="W771" s="71"/>
      <c r="X771" s="71"/>
      <c r="Y771" s="71"/>
      <c r="Z771" s="71"/>
    </row>
    <row r="772" ht="15.75" customHeight="1">
      <c r="A772" s="72"/>
      <c r="B772" s="71"/>
      <c r="C772" s="71"/>
      <c r="D772" s="71"/>
      <c r="E772" s="71"/>
      <c r="F772" s="71"/>
      <c r="G772" s="59"/>
      <c r="H772" s="71"/>
      <c r="I772" s="71"/>
      <c r="J772" s="71"/>
      <c r="K772" s="71"/>
      <c r="L772" s="71"/>
      <c r="M772" s="71"/>
      <c r="N772" s="71"/>
      <c r="O772" s="71"/>
      <c r="P772" s="71"/>
      <c r="Q772" s="71"/>
      <c r="R772" s="71"/>
      <c r="S772" s="71"/>
      <c r="T772" s="71"/>
      <c r="U772" s="71"/>
      <c r="V772" s="71"/>
      <c r="W772" s="71"/>
      <c r="X772" s="71"/>
      <c r="Y772" s="71"/>
      <c r="Z772" s="71"/>
    </row>
    <row r="773" ht="15.75" customHeight="1">
      <c r="A773" s="72"/>
      <c r="B773" s="71"/>
      <c r="C773" s="71"/>
      <c r="D773" s="71"/>
      <c r="E773" s="71"/>
      <c r="F773" s="71"/>
      <c r="G773" s="59"/>
      <c r="H773" s="71"/>
      <c r="I773" s="71"/>
      <c r="J773" s="71"/>
      <c r="K773" s="71"/>
      <c r="L773" s="71"/>
      <c r="M773" s="71"/>
      <c r="N773" s="71"/>
      <c r="O773" s="71"/>
      <c r="P773" s="71"/>
      <c r="Q773" s="71"/>
      <c r="R773" s="71"/>
      <c r="S773" s="71"/>
      <c r="T773" s="71"/>
      <c r="U773" s="71"/>
      <c r="V773" s="71"/>
      <c r="W773" s="71"/>
      <c r="X773" s="71"/>
      <c r="Y773" s="71"/>
      <c r="Z773" s="71"/>
    </row>
    <row r="774" ht="15.75" customHeight="1">
      <c r="A774" s="72"/>
      <c r="B774" s="71"/>
      <c r="C774" s="71"/>
      <c r="D774" s="71"/>
      <c r="E774" s="71"/>
      <c r="F774" s="71"/>
      <c r="G774" s="59"/>
      <c r="H774" s="71"/>
      <c r="I774" s="71"/>
      <c r="J774" s="71"/>
      <c r="K774" s="71"/>
      <c r="L774" s="71"/>
      <c r="M774" s="71"/>
      <c r="N774" s="71"/>
      <c r="O774" s="71"/>
      <c r="P774" s="71"/>
      <c r="Q774" s="71"/>
      <c r="R774" s="71"/>
      <c r="S774" s="71"/>
      <c r="T774" s="71"/>
      <c r="U774" s="71"/>
      <c r="V774" s="71"/>
      <c r="W774" s="71"/>
      <c r="X774" s="71"/>
      <c r="Y774" s="71"/>
      <c r="Z774" s="71"/>
    </row>
    <row r="775" ht="15.75" customHeight="1">
      <c r="A775" s="72"/>
      <c r="B775" s="71"/>
      <c r="C775" s="71"/>
      <c r="D775" s="71"/>
      <c r="E775" s="71"/>
      <c r="F775" s="71"/>
      <c r="G775" s="59"/>
      <c r="H775" s="71"/>
      <c r="I775" s="71"/>
      <c r="J775" s="71"/>
      <c r="K775" s="71"/>
      <c r="L775" s="71"/>
      <c r="M775" s="71"/>
      <c r="N775" s="71"/>
      <c r="O775" s="71"/>
      <c r="P775" s="71"/>
      <c r="Q775" s="71"/>
      <c r="R775" s="71"/>
      <c r="S775" s="71"/>
      <c r="T775" s="71"/>
      <c r="U775" s="71"/>
      <c r="V775" s="71"/>
      <c r="W775" s="71"/>
      <c r="X775" s="71"/>
      <c r="Y775" s="71"/>
      <c r="Z775" s="71"/>
    </row>
    <row r="776" ht="15.75" customHeight="1">
      <c r="A776" s="72"/>
      <c r="B776" s="71"/>
      <c r="C776" s="71"/>
      <c r="D776" s="71"/>
      <c r="E776" s="71"/>
      <c r="F776" s="71"/>
      <c r="G776" s="59"/>
      <c r="H776" s="71"/>
      <c r="I776" s="71"/>
      <c r="J776" s="71"/>
      <c r="K776" s="71"/>
      <c r="L776" s="71"/>
      <c r="M776" s="71"/>
      <c r="N776" s="71"/>
      <c r="O776" s="71"/>
      <c r="P776" s="71"/>
      <c r="Q776" s="71"/>
      <c r="R776" s="71"/>
      <c r="S776" s="71"/>
      <c r="T776" s="71"/>
      <c r="U776" s="71"/>
      <c r="V776" s="71"/>
      <c r="W776" s="71"/>
      <c r="X776" s="71"/>
      <c r="Y776" s="71"/>
      <c r="Z776" s="71"/>
    </row>
    <row r="777" ht="15.75" customHeight="1">
      <c r="A777" s="72"/>
      <c r="B777" s="71"/>
      <c r="C777" s="71"/>
      <c r="D777" s="71"/>
      <c r="E777" s="71"/>
      <c r="F777" s="71"/>
      <c r="G777" s="59"/>
      <c r="H777" s="71"/>
      <c r="I777" s="71"/>
      <c r="J777" s="71"/>
      <c r="K777" s="71"/>
      <c r="L777" s="71"/>
      <c r="M777" s="71"/>
      <c r="N777" s="71"/>
      <c r="O777" s="71"/>
      <c r="P777" s="71"/>
      <c r="Q777" s="71"/>
      <c r="R777" s="71"/>
      <c r="S777" s="71"/>
      <c r="T777" s="71"/>
      <c r="U777" s="71"/>
      <c r="V777" s="71"/>
      <c r="W777" s="71"/>
      <c r="X777" s="71"/>
      <c r="Y777" s="71"/>
      <c r="Z777" s="71"/>
    </row>
    <row r="778" ht="15.75" customHeight="1">
      <c r="A778" s="72"/>
      <c r="B778" s="71"/>
      <c r="C778" s="71"/>
      <c r="D778" s="71"/>
      <c r="E778" s="71"/>
      <c r="F778" s="71"/>
      <c r="G778" s="59"/>
      <c r="H778" s="71"/>
      <c r="I778" s="71"/>
      <c r="J778" s="71"/>
      <c r="K778" s="71"/>
      <c r="L778" s="71"/>
      <c r="M778" s="71"/>
      <c r="N778" s="71"/>
      <c r="O778" s="71"/>
      <c r="P778" s="71"/>
      <c r="Q778" s="71"/>
      <c r="R778" s="71"/>
      <c r="S778" s="71"/>
      <c r="T778" s="71"/>
      <c r="U778" s="71"/>
      <c r="V778" s="71"/>
      <c r="W778" s="71"/>
      <c r="X778" s="71"/>
      <c r="Y778" s="71"/>
      <c r="Z778" s="71"/>
    </row>
    <row r="779" ht="15.75" customHeight="1">
      <c r="A779" s="72"/>
      <c r="B779" s="71"/>
      <c r="C779" s="71"/>
      <c r="D779" s="71"/>
      <c r="E779" s="71"/>
      <c r="F779" s="71"/>
      <c r="G779" s="59"/>
      <c r="H779" s="71"/>
      <c r="I779" s="71"/>
      <c r="J779" s="71"/>
      <c r="K779" s="71"/>
      <c r="L779" s="71"/>
      <c r="M779" s="71"/>
      <c r="N779" s="71"/>
      <c r="O779" s="71"/>
      <c r="P779" s="71"/>
      <c r="Q779" s="71"/>
      <c r="R779" s="71"/>
      <c r="S779" s="71"/>
      <c r="T779" s="71"/>
      <c r="U779" s="71"/>
      <c r="V779" s="71"/>
      <c r="W779" s="71"/>
      <c r="X779" s="71"/>
      <c r="Y779" s="71"/>
      <c r="Z779" s="71"/>
    </row>
    <row r="780" ht="15.75" customHeight="1">
      <c r="A780" s="72"/>
      <c r="B780" s="71"/>
      <c r="C780" s="71"/>
      <c r="D780" s="71"/>
      <c r="E780" s="71"/>
      <c r="F780" s="71"/>
      <c r="G780" s="59"/>
      <c r="H780" s="71"/>
      <c r="I780" s="71"/>
      <c r="J780" s="71"/>
      <c r="K780" s="71"/>
      <c r="L780" s="71"/>
      <c r="M780" s="71"/>
      <c r="N780" s="71"/>
      <c r="O780" s="71"/>
      <c r="P780" s="71"/>
      <c r="Q780" s="71"/>
      <c r="R780" s="71"/>
      <c r="S780" s="71"/>
      <c r="T780" s="71"/>
      <c r="U780" s="71"/>
      <c r="V780" s="71"/>
      <c r="W780" s="71"/>
      <c r="X780" s="71"/>
      <c r="Y780" s="71"/>
      <c r="Z780" s="71"/>
    </row>
    <row r="781" ht="15.75" customHeight="1">
      <c r="A781" s="72"/>
      <c r="B781" s="71"/>
      <c r="C781" s="71"/>
      <c r="D781" s="71"/>
      <c r="E781" s="71"/>
      <c r="F781" s="71"/>
      <c r="G781" s="59"/>
      <c r="H781" s="71"/>
      <c r="I781" s="71"/>
      <c r="J781" s="71"/>
      <c r="K781" s="71"/>
      <c r="L781" s="71"/>
      <c r="M781" s="71"/>
      <c r="N781" s="71"/>
      <c r="O781" s="71"/>
      <c r="P781" s="71"/>
      <c r="Q781" s="71"/>
      <c r="R781" s="71"/>
      <c r="S781" s="71"/>
      <c r="T781" s="71"/>
      <c r="U781" s="71"/>
      <c r="V781" s="71"/>
      <c r="W781" s="71"/>
      <c r="X781" s="71"/>
      <c r="Y781" s="71"/>
      <c r="Z781" s="71"/>
    </row>
    <row r="782" ht="15.75" customHeight="1">
      <c r="A782" s="72"/>
      <c r="B782" s="71"/>
      <c r="C782" s="71"/>
      <c r="D782" s="71"/>
      <c r="E782" s="71"/>
      <c r="F782" s="71"/>
      <c r="G782" s="59"/>
      <c r="H782" s="71"/>
      <c r="I782" s="71"/>
      <c r="J782" s="71"/>
      <c r="K782" s="71"/>
      <c r="L782" s="71"/>
      <c r="M782" s="71"/>
      <c r="N782" s="71"/>
      <c r="O782" s="71"/>
      <c r="P782" s="71"/>
      <c r="Q782" s="71"/>
      <c r="R782" s="71"/>
      <c r="S782" s="71"/>
      <c r="T782" s="71"/>
      <c r="U782" s="71"/>
      <c r="V782" s="71"/>
      <c r="W782" s="71"/>
      <c r="X782" s="71"/>
      <c r="Y782" s="71"/>
      <c r="Z782" s="71"/>
    </row>
    <row r="783" ht="15.75" customHeight="1">
      <c r="A783" s="72"/>
      <c r="B783" s="71"/>
      <c r="C783" s="71"/>
      <c r="D783" s="71"/>
      <c r="E783" s="71"/>
      <c r="F783" s="71"/>
      <c r="G783" s="59"/>
      <c r="H783" s="71"/>
      <c r="I783" s="71"/>
      <c r="J783" s="71"/>
      <c r="K783" s="71"/>
      <c r="L783" s="71"/>
      <c r="M783" s="71"/>
      <c r="N783" s="71"/>
      <c r="O783" s="71"/>
      <c r="P783" s="71"/>
      <c r="Q783" s="71"/>
      <c r="R783" s="71"/>
      <c r="S783" s="71"/>
      <c r="T783" s="71"/>
      <c r="U783" s="71"/>
      <c r="V783" s="71"/>
      <c r="W783" s="71"/>
      <c r="X783" s="71"/>
      <c r="Y783" s="71"/>
      <c r="Z783" s="71"/>
    </row>
    <row r="784" ht="15.75" customHeight="1">
      <c r="A784" s="72"/>
      <c r="B784" s="71"/>
      <c r="C784" s="71"/>
      <c r="D784" s="71"/>
      <c r="E784" s="71"/>
      <c r="F784" s="71"/>
      <c r="G784" s="59"/>
      <c r="H784" s="71"/>
      <c r="I784" s="71"/>
      <c r="J784" s="71"/>
      <c r="K784" s="71"/>
      <c r="L784" s="71"/>
      <c r="M784" s="71"/>
      <c r="N784" s="71"/>
      <c r="O784" s="71"/>
      <c r="P784" s="71"/>
      <c r="Q784" s="71"/>
      <c r="R784" s="71"/>
      <c r="S784" s="71"/>
      <c r="T784" s="71"/>
      <c r="U784" s="71"/>
      <c r="V784" s="71"/>
      <c r="W784" s="71"/>
      <c r="X784" s="71"/>
      <c r="Y784" s="71"/>
      <c r="Z784" s="71"/>
    </row>
    <row r="785" ht="15.75" customHeight="1">
      <c r="A785" s="72"/>
      <c r="B785" s="71"/>
      <c r="C785" s="71"/>
      <c r="D785" s="71"/>
      <c r="E785" s="71"/>
      <c r="F785" s="71"/>
      <c r="G785" s="59"/>
      <c r="H785" s="71"/>
      <c r="I785" s="71"/>
      <c r="J785" s="71"/>
      <c r="K785" s="71"/>
      <c r="L785" s="71"/>
      <c r="M785" s="71"/>
      <c r="N785" s="71"/>
      <c r="O785" s="71"/>
      <c r="P785" s="71"/>
      <c r="Q785" s="71"/>
      <c r="R785" s="71"/>
      <c r="S785" s="71"/>
      <c r="T785" s="71"/>
      <c r="U785" s="71"/>
      <c r="V785" s="71"/>
      <c r="W785" s="71"/>
      <c r="X785" s="71"/>
      <c r="Y785" s="71"/>
      <c r="Z785" s="71"/>
    </row>
    <row r="786" ht="15.75" customHeight="1">
      <c r="A786" s="72"/>
      <c r="B786" s="71"/>
      <c r="C786" s="71"/>
      <c r="D786" s="71"/>
      <c r="E786" s="71"/>
      <c r="F786" s="71"/>
      <c r="G786" s="59"/>
      <c r="H786" s="71"/>
      <c r="I786" s="71"/>
      <c r="J786" s="71"/>
      <c r="K786" s="71"/>
      <c r="L786" s="71"/>
      <c r="M786" s="71"/>
      <c r="N786" s="71"/>
      <c r="O786" s="71"/>
      <c r="P786" s="71"/>
      <c r="Q786" s="71"/>
      <c r="R786" s="71"/>
      <c r="S786" s="71"/>
      <c r="T786" s="71"/>
      <c r="U786" s="71"/>
      <c r="V786" s="71"/>
      <c r="W786" s="71"/>
      <c r="X786" s="71"/>
      <c r="Y786" s="71"/>
      <c r="Z786" s="71"/>
    </row>
    <row r="787" ht="15.75" customHeight="1">
      <c r="A787" s="72"/>
      <c r="B787" s="71"/>
      <c r="C787" s="71"/>
      <c r="D787" s="71"/>
      <c r="E787" s="71"/>
      <c r="F787" s="71"/>
      <c r="G787" s="59"/>
      <c r="H787" s="71"/>
      <c r="I787" s="71"/>
      <c r="J787" s="71"/>
      <c r="K787" s="71"/>
      <c r="L787" s="71"/>
      <c r="M787" s="71"/>
      <c r="N787" s="71"/>
      <c r="O787" s="71"/>
      <c r="P787" s="71"/>
      <c r="Q787" s="71"/>
      <c r="R787" s="71"/>
      <c r="S787" s="71"/>
      <c r="T787" s="71"/>
      <c r="U787" s="71"/>
      <c r="V787" s="71"/>
      <c r="W787" s="71"/>
      <c r="X787" s="71"/>
      <c r="Y787" s="71"/>
      <c r="Z787" s="71"/>
    </row>
    <row r="788" ht="15.75" customHeight="1">
      <c r="A788" s="72"/>
      <c r="B788" s="71"/>
      <c r="C788" s="71"/>
      <c r="D788" s="71"/>
      <c r="E788" s="71"/>
      <c r="F788" s="71"/>
      <c r="G788" s="59"/>
      <c r="H788" s="71"/>
      <c r="I788" s="71"/>
      <c r="J788" s="71"/>
      <c r="K788" s="71"/>
      <c r="L788" s="71"/>
      <c r="M788" s="71"/>
      <c r="N788" s="71"/>
      <c r="O788" s="71"/>
      <c r="P788" s="71"/>
      <c r="Q788" s="71"/>
      <c r="R788" s="71"/>
      <c r="S788" s="71"/>
      <c r="T788" s="71"/>
      <c r="U788" s="71"/>
      <c r="V788" s="71"/>
      <c r="W788" s="71"/>
      <c r="X788" s="71"/>
      <c r="Y788" s="71"/>
      <c r="Z788" s="71"/>
    </row>
    <row r="789" ht="15.75" customHeight="1">
      <c r="A789" s="72"/>
      <c r="B789" s="71"/>
      <c r="C789" s="71"/>
      <c r="D789" s="71"/>
      <c r="E789" s="71"/>
      <c r="F789" s="71"/>
      <c r="G789" s="59"/>
      <c r="H789" s="71"/>
      <c r="I789" s="71"/>
      <c r="J789" s="71"/>
      <c r="K789" s="71"/>
      <c r="L789" s="71"/>
      <c r="M789" s="71"/>
      <c r="N789" s="71"/>
      <c r="O789" s="71"/>
      <c r="P789" s="71"/>
      <c r="Q789" s="71"/>
      <c r="R789" s="71"/>
      <c r="S789" s="71"/>
      <c r="T789" s="71"/>
      <c r="U789" s="71"/>
      <c r="V789" s="71"/>
      <c r="W789" s="71"/>
      <c r="X789" s="71"/>
      <c r="Y789" s="71"/>
      <c r="Z789" s="71"/>
    </row>
    <row r="790" ht="15.75" customHeight="1">
      <c r="A790" s="72"/>
      <c r="B790" s="71"/>
      <c r="C790" s="71"/>
      <c r="D790" s="71"/>
      <c r="E790" s="71"/>
      <c r="F790" s="71"/>
      <c r="G790" s="59"/>
      <c r="H790" s="71"/>
      <c r="I790" s="71"/>
      <c r="J790" s="71"/>
      <c r="K790" s="71"/>
      <c r="L790" s="71"/>
      <c r="M790" s="71"/>
      <c r="N790" s="71"/>
      <c r="O790" s="71"/>
      <c r="P790" s="71"/>
      <c r="Q790" s="71"/>
      <c r="R790" s="71"/>
      <c r="S790" s="71"/>
      <c r="T790" s="71"/>
      <c r="U790" s="71"/>
      <c r="V790" s="71"/>
      <c r="W790" s="71"/>
      <c r="X790" s="71"/>
      <c r="Y790" s="71"/>
      <c r="Z790" s="71"/>
    </row>
    <row r="791" ht="15.75" customHeight="1">
      <c r="A791" s="72"/>
      <c r="B791" s="71"/>
      <c r="C791" s="71"/>
      <c r="D791" s="71"/>
      <c r="E791" s="71"/>
      <c r="F791" s="71"/>
      <c r="G791" s="59"/>
      <c r="H791" s="71"/>
      <c r="I791" s="71"/>
      <c r="J791" s="71"/>
      <c r="K791" s="71"/>
      <c r="L791" s="71"/>
      <c r="M791" s="71"/>
      <c r="N791" s="71"/>
      <c r="O791" s="71"/>
      <c r="P791" s="71"/>
      <c r="Q791" s="71"/>
      <c r="R791" s="71"/>
      <c r="S791" s="71"/>
      <c r="T791" s="71"/>
      <c r="U791" s="71"/>
      <c r="V791" s="71"/>
      <c r="W791" s="71"/>
      <c r="X791" s="71"/>
      <c r="Y791" s="71"/>
      <c r="Z791" s="71"/>
    </row>
    <row r="792" ht="15.75" customHeight="1">
      <c r="A792" s="72"/>
      <c r="B792" s="71"/>
      <c r="C792" s="71"/>
      <c r="D792" s="71"/>
      <c r="E792" s="71"/>
      <c r="F792" s="71"/>
      <c r="G792" s="59"/>
      <c r="H792" s="71"/>
      <c r="I792" s="71"/>
      <c r="J792" s="71"/>
      <c r="K792" s="71"/>
      <c r="L792" s="71"/>
      <c r="M792" s="71"/>
      <c r="N792" s="71"/>
      <c r="O792" s="71"/>
      <c r="P792" s="71"/>
      <c r="Q792" s="71"/>
      <c r="R792" s="71"/>
      <c r="S792" s="71"/>
      <c r="T792" s="71"/>
      <c r="U792" s="71"/>
      <c r="V792" s="71"/>
      <c r="W792" s="71"/>
      <c r="X792" s="71"/>
      <c r="Y792" s="71"/>
      <c r="Z792" s="71"/>
    </row>
    <row r="793" ht="15.75" customHeight="1">
      <c r="A793" s="72"/>
      <c r="B793" s="71"/>
      <c r="C793" s="71"/>
      <c r="D793" s="71"/>
      <c r="E793" s="71"/>
      <c r="F793" s="71"/>
      <c r="G793" s="59"/>
      <c r="H793" s="71"/>
      <c r="I793" s="71"/>
      <c r="J793" s="71"/>
      <c r="K793" s="71"/>
      <c r="L793" s="71"/>
      <c r="M793" s="71"/>
      <c r="N793" s="71"/>
      <c r="O793" s="71"/>
      <c r="P793" s="71"/>
      <c r="Q793" s="71"/>
      <c r="R793" s="71"/>
      <c r="S793" s="71"/>
      <c r="T793" s="71"/>
      <c r="U793" s="71"/>
      <c r="V793" s="71"/>
      <c r="W793" s="71"/>
      <c r="X793" s="71"/>
      <c r="Y793" s="71"/>
      <c r="Z793" s="71"/>
    </row>
    <row r="794" ht="15.75" customHeight="1">
      <c r="A794" s="72"/>
      <c r="B794" s="71"/>
      <c r="C794" s="71"/>
      <c r="D794" s="71"/>
      <c r="E794" s="71"/>
      <c r="F794" s="71"/>
      <c r="G794" s="59"/>
      <c r="H794" s="71"/>
      <c r="I794" s="71"/>
      <c r="J794" s="71"/>
      <c r="K794" s="71"/>
      <c r="L794" s="71"/>
      <c r="M794" s="71"/>
      <c r="N794" s="71"/>
      <c r="O794" s="71"/>
      <c r="P794" s="71"/>
      <c r="Q794" s="71"/>
      <c r="R794" s="71"/>
      <c r="S794" s="71"/>
      <c r="T794" s="71"/>
      <c r="U794" s="71"/>
      <c r="V794" s="71"/>
      <c r="W794" s="71"/>
      <c r="X794" s="71"/>
      <c r="Y794" s="71"/>
      <c r="Z794" s="71"/>
    </row>
    <row r="795" ht="15.75" customHeight="1">
      <c r="A795" s="72"/>
      <c r="B795" s="71"/>
      <c r="C795" s="71"/>
      <c r="D795" s="71"/>
      <c r="E795" s="71"/>
      <c r="F795" s="71"/>
      <c r="G795" s="59"/>
      <c r="H795" s="71"/>
      <c r="I795" s="71"/>
      <c r="J795" s="71"/>
      <c r="K795" s="71"/>
      <c r="L795" s="71"/>
      <c r="M795" s="71"/>
      <c r="N795" s="71"/>
      <c r="O795" s="71"/>
      <c r="P795" s="71"/>
      <c r="Q795" s="71"/>
      <c r="R795" s="71"/>
      <c r="S795" s="71"/>
      <c r="T795" s="71"/>
      <c r="U795" s="71"/>
      <c r="V795" s="71"/>
      <c r="W795" s="71"/>
      <c r="X795" s="71"/>
      <c r="Y795" s="71"/>
      <c r="Z795" s="71"/>
    </row>
    <row r="796" ht="15.75" customHeight="1">
      <c r="A796" s="72"/>
      <c r="B796" s="71"/>
      <c r="C796" s="71"/>
      <c r="D796" s="71"/>
      <c r="E796" s="71"/>
      <c r="F796" s="71"/>
      <c r="G796" s="59"/>
      <c r="H796" s="71"/>
      <c r="I796" s="71"/>
      <c r="J796" s="71"/>
      <c r="K796" s="71"/>
      <c r="L796" s="71"/>
      <c r="M796" s="71"/>
      <c r="N796" s="71"/>
      <c r="O796" s="71"/>
      <c r="P796" s="71"/>
      <c r="Q796" s="71"/>
      <c r="R796" s="71"/>
      <c r="S796" s="71"/>
      <c r="T796" s="71"/>
      <c r="U796" s="71"/>
      <c r="V796" s="71"/>
      <c r="W796" s="71"/>
      <c r="X796" s="71"/>
      <c r="Y796" s="71"/>
      <c r="Z796" s="71"/>
    </row>
    <row r="797" ht="15.75" customHeight="1">
      <c r="A797" s="72"/>
      <c r="B797" s="71"/>
      <c r="C797" s="71"/>
      <c r="D797" s="71"/>
      <c r="E797" s="71"/>
      <c r="F797" s="71"/>
      <c r="G797" s="59"/>
      <c r="H797" s="71"/>
      <c r="I797" s="71"/>
      <c r="J797" s="71"/>
      <c r="K797" s="71"/>
      <c r="L797" s="71"/>
      <c r="M797" s="71"/>
      <c r="N797" s="71"/>
      <c r="O797" s="71"/>
      <c r="P797" s="71"/>
      <c r="Q797" s="71"/>
      <c r="R797" s="71"/>
      <c r="S797" s="71"/>
      <c r="T797" s="71"/>
      <c r="U797" s="71"/>
      <c r="V797" s="71"/>
      <c r="W797" s="71"/>
      <c r="X797" s="71"/>
      <c r="Y797" s="71"/>
      <c r="Z797" s="71"/>
    </row>
    <row r="798" ht="15.75" customHeight="1">
      <c r="A798" s="72"/>
      <c r="B798" s="71"/>
      <c r="C798" s="71"/>
      <c r="D798" s="71"/>
      <c r="E798" s="71"/>
      <c r="F798" s="71"/>
      <c r="G798" s="59"/>
      <c r="H798" s="71"/>
      <c r="I798" s="71"/>
      <c r="J798" s="71"/>
      <c r="K798" s="71"/>
      <c r="L798" s="71"/>
      <c r="M798" s="71"/>
      <c r="N798" s="71"/>
      <c r="O798" s="71"/>
      <c r="P798" s="71"/>
      <c r="Q798" s="71"/>
      <c r="R798" s="71"/>
      <c r="S798" s="71"/>
      <c r="T798" s="71"/>
      <c r="U798" s="71"/>
      <c r="V798" s="71"/>
      <c r="W798" s="71"/>
      <c r="X798" s="71"/>
      <c r="Y798" s="71"/>
      <c r="Z798" s="71"/>
    </row>
    <row r="799" ht="15.75" customHeight="1">
      <c r="A799" s="72"/>
      <c r="B799" s="71"/>
      <c r="C799" s="71"/>
      <c r="D799" s="71"/>
      <c r="E799" s="71"/>
      <c r="F799" s="71"/>
      <c r="G799" s="59"/>
      <c r="H799" s="71"/>
      <c r="I799" s="71"/>
      <c r="J799" s="71"/>
      <c r="K799" s="71"/>
      <c r="L799" s="71"/>
      <c r="M799" s="71"/>
      <c r="N799" s="71"/>
      <c r="O799" s="71"/>
      <c r="P799" s="71"/>
      <c r="Q799" s="71"/>
      <c r="R799" s="71"/>
      <c r="S799" s="71"/>
      <c r="T799" s="71"/>
      <c r="U799" s="71"/>
      <c r="V799" s="71"/>
      <c r="W799" s="71"/>
      <c r="X799" s="71"/>
      <c r="Y799" s="71"/>
      <c r="Z799" s="71"/>
    </row>
    <row r="800" ht="15.75" customHeight="1">
      <c r="A800" s="72"/>
      <c r="B800" s="71"/>
      <c r="C800" s="71"/>
      <c r="D800" s="71"/>
      <c r="E800" s="71"/>
      <c r="F800" s="71"/>
      <c r="G800" s="59"/>
      <c r="H800" s="71"/>
      <c r="I800" s="71"/>
      <c r="J800" s="71"/>
      <c r="K800" s="71"/>
      <c r="L800" s="71"/>
      <c r="M800" s="71"/>
      <c r="N800" s="71"/>
      <c r="O800" s="71"/>
      <c r="P800" s="71"/>
      <c r="Q800" s="71"/>
      <c r="R800" s="71"/>
      <c r="S800" s="71"/>
      <c r="T800" s="71"/>
      <c r="U800" s="71"/>
      <c r="V800" s="71"/>
      <c r="W800" s="71"/>
      <c r="X800" s="71"/>
      <c r="Y800" s="71"/>
      <c r="Z800" s="71"/>
    </row>
    <row r="801" ht="15.75" customHeight="1">
      <c r="A801" s="72"/>
      <c r="B801" s="71"/>
      <c r="C801" s="71"/>
      <c r="D801" s="71"/>
      <c r="E801" s="71"/>
      <c r="F801" s="71"/>
      <c r="G801" s="59"/>
      <c r="H801" s="71"/>
      <c r="I801" s="71"/>
      <c r="J801" s="71"/>
      <c r="K801" s="71"/>
      <c r="L801" s="71"/>
      <c r="M801" s="71"/>
      <c r="N801" s="71"/>
      <c r="O801" s="71"/>
      <c r="P801" s="71"/>
      <c r="Q801" s="71"/>
      <c r="R801" s="71"/>
      <c r="S801" s="71"/>
      <c r="T801" s="71"/>
      <c r="U801" s="71"/>
      <c r="V801" s="71"/>
      <c r="W801" s="71"/>
      <c r="X801" s="71"/>
      <c r="Y801" s="71"/>
      <c r="Z801" s="71"/>
    </row>
    <row r="802" ht="15.75" customHeight="1">
      <c r="A802" s="72"/>
      <c r="B802" s="71"/>
      <c r="C802" s="71"/>
      <c r="D802" s="71"/>
      <c r="E802" s="71"/>
      <c r="F802" s="71"/>
      <c r="G802" s="59"/>
      <c r="H802" s="71"/>
      <c r="I802" s="71"/>
      <c r="J802" s="71"/>
      <c r="K802" s="71"/>
      <c r="L802" s="71"/>
      <c r="M802" s="71"/>
      <c r="N802" s="71"/>
      <c r="O802" s="71"/>
      <c r="P802" s="71"/>
      <c r="Q802" s="71"/>
      <c r="R802" s="71"/>
      <c r="S802" s="71"/>
      <c r="T802" s="71"/>
      <c r="U802" s="71"/>
      <c r="V802" s="71"/>
      <c r="W802" s="71"/>
      <c r="X802" s="71"/>
      <c r="Y802" s="71"/>
      <c r="Z802" s="71"/>
    </row>
    <row r="803" ht="15.75" customHeight="1">
      <c r="A803" s="72"/>
      <c r="B803" s="71"/>
      <c r="C803" s="71"/>
      <c r="D803" s="71"/>
      <c r="E803" s="71"/>
      <c r="F803" s="71"/>
      <c r="G803" s="59"/>
      <c r="H803" s="71"/>
      <c r="I803" s="71"/>
      <c r="J803" s="71"/>
      <c r="K803" s="71"/>
      <c r="L803" s="71"/>
      <c r="M803" s="71"/>
      <c r="N803" s="71"/>
      <c r="O803" s="71"/>
      <c r="P803" s="71"/>
      <c r="Q803" s="71"/>
      <c r="R803" s="71"/>
      <c r="S803" s="71"/>
      <c r="T803" s="71"/>
      <c r="U803" s="71"/>
      <c r="V803" s="71"/>
      <c r="W803" s="71"/>
      <c r="X803" s="71"/>
      <c r="Y803" s="71"/>
      <c r="Z803" s="71"/>
    </row>
    <row r="804" ht="15.75" customHeight="1">
      <c r="A804" s="72"/>
      <c r="B804" s="71"/>
      <c r="C804" s="71"/>
      <c r="D804" s="71"/>
      <c r="E804" s="71"/>
      <c r="F804" s="71"/>
      <c r="G804" s="59"/>
      <c r="H804" s="71"/>
      <c r="I804" s="71"/>
      <c r="J804" s="71"/>
      <c r="K804" s="71"/>
      <c r="L804" s="71"/>
      <c r="M804" s="71"/>
      <c r="N804" s="71"/>
      <c r="O804" s="71"/>
      <c r="P804" s="71"/>
      <c r="Q804" s="71"/>
      <c r="R804" s="71"/>
      <c r="S804" s="71"/>
      <c r="T804" s="71"/>
      <c r="U804" s="71"/>
      <c r="V804" s="71"/>
      <c r="W804" s="71"/>
      <c r="X804" s="71"/>
      <c r="Y804" s="71"/>
      <c r="Z804" s="71"/>
    </row>
    <row r="805" ht="15.75" customHeight="1">
      <c r="A805" s="72"/>
      <c r="B805" s="71"/>
      <c r="C805" s="71"/>
      <c r="D805" s="71"/>
      <c r="E805" s="71"/>
      <c r="F805" s="71"/>
      <c r="G805" s="59"/>
      <c r="H805" s="71"/>
      <c r="I805" s="71"/>
      <c r="J805" s="71"/>
      <c r="K805" s="71"/>
      <c r="L805" s="71"/>
      <c r="M805" s="71"/>
      <c r="N805" s="71"/>
      <c r="O805" s="71"/>
      <c r="P805" s="71"/>
      <c r="Q805" s="71"/>
      <c r="R805" s="71"/>
      <c r="S805" s="71"/>
      <c r="T805" s="71"/>
      <c r="U805" s="71"/>
      <c r="V805" s="71"/>
      <c r="W805" s="71"/>
      <c r="X805" s="71"/>
      <c r="Y805" s="71"/>
      <c r="Z805" s="71"/>
    </row>
    <row r="806" ht="15.75" customHeight="1">
      <c r="A806" s="72"/>
      <c r="B806" s="71"/>
      <c r="C806" s="71"/>
      <c r="D806" s="71"/>
      <c r="E806" s="71"/>
      <c r="F806" s="71"/>
      <c r="G806" s="59"/>
      <c r="H806" s="71"/>
      <c r="I806" s="71"/>
      <c r="J806" s="71"/>
      <c r="K806" s="71"/>
      <c r="L806" s="71"/>
      <c r="M806" s="71"/>
      <c r="N806" s="71"/>
      <c r="O806" s="71"/>
      <c r="P806" s="71"/>
      <c r="Q806" s="71"/>
      <c r="R806" s="71"/>
      <c r="S806" s="71"/>
      <c r="T806" s="71"/>
      <c r="U806" s="71"/>
      <c r="V806" s="71"/>
      <c r="W806" s="71"/>
      <c r="X806" s="71"/>
      <c r="Y806" s="71"/>
      <c r="Z806" s="71"/>
    </row>
    <row r="807" ht="15.75" customHeight="1">
      <c r="A807" s="72"/>
      <c r="B807" s="71"/>
      <c r="C807" s="71"/>
      <c r="D807" s="71"/>
      <c r="E807" s="71"/>
      <c r="F807" s="71"/>
      <c r="G807" s="59"/>
      <c r="H807" s="71"/>
      <c r="I807" s="71"/>
      <c r="J807" s="71"/>
      <c r="K807" s="71"/>
      <c r="L807" s="71"/>
      <c r="M807" s="71"/>
      <c r="N807" s="71"/>
      <c r="O807" s="71"/>
      <c r="P807" s="71"/>
      <c r="Q807" s="71"/>
      <c r="R807" s="71"/>
      <c r="S807" s="71"/>
      <c r="T807" s="71"/>
      <c r="U807" s="71"/>
      <c r="V807" s="71"/>
      <c r="W807" s="71"/>
      <c r="X807" s="71"/>
      <c r="Y807" s="71"/>
      <c r="Z807" s="71"/>
    </row>
    <row r="808" ht="15.75" customHeight="1">
      <c r="A808" s="72"/>
      <c r="B808" s="71"/>
      <c r="C808" s="71"/>
      <c r="D808" s="71"/>
      <c r="E808" s="71"/>
      <c r="F808" s="71"/>
      <c r="G808" s="59"/>
      <c r="H808" s="71"/>
      <c r="I808" s="71"/>
      <c r="J808" s="71"/>
      <c r="K808" s="71"/>
      <c r="L808" s="71"/>
      <c r="M808" s="71"/>
      <c r="N808" s="71"/>
      <c r="O808" s="71"/>
      <c r="P808" s="71"/>
      <c r="Q808" s="71"/>
      <c r="R808" s="71"/>
      <c r="S808" s="71"/>
      <c r="T808" s="71"/>
      <c r="U808" s="71"/>
      <c r="V808" s="71"/>
      <c r="W808" s="71"/>
      <c r="X808" s="71"/>
      <c r="Y808" s="71"/>
      <c r="Z808" s="71"/>
    </row>
    <row r="809" ht="15.75" customHeight="1">
      <c r="A809" s="72"/>
      <c r="B809" s="71"/>
      <c r="C809" s="71"/>
      <c r="D809" s="71"/>
      <c r="E809" s="71"/>
      <c r="F809" s="71"/>
      <c r="G809" s="59"/>
      <c r="H809" s="71"/>
      <c r="I809" s="71"/>
      <c r="J809" s="71"/>
      <c r="K809" s="71"/>
      <c r="L809" s="71"/>
      <c r="M809" s="71"/>
      <c r="N809" s="71"/>
      <c r="O809" s="71"/>
      <c r="P809" s="71"/>
      <c r="Q809" s="71"/>
      <c r="R809" s="71"/>
      <c r="S809" s="71"/>
      <c r="T809" s="71"/>
      <c r="U809" s="71"/>
      <c r="V809" s="71"/>
      <c r="W809" s="71"/>
      <c r="X809" s="71"/>
      <c r="Y809" s="71"/>
      <c r="Z809" s="71"/>
    </row>
    <row r="810" ht="15.75" customHeight="1">
      <c r="A810" s="72"/>
      <c r="B810" s="71"/>
      <c r="C810" s="71"/>
      <c r="D810" s="71"/>
      <c r="E810" s="71"/>
      <c r="F810" s="71"/>
      <c r="G810" s="59"/>
      <c r="H810" s="71"/>
      <c r="I810" s="71"/>
      <c r="J810" s="71"/>
      <c r="K810" s="71"/>
      <c r="L810" s="71"/>
      <c r="M810" s="71"/>
      <c r="N810" s="71"/>
      <c r="O810" s="71"/>
      <c r="P810" s="71"/>
      <c r="Q810" s="71"/>
      <c r="R810" s="71"/>
      <c r="S810" s="71"/>
      <c r="T810" s="71"/>
      <c r="U810" s="71"/>
      <c r="V810" s="71"/>
      <c r="W810" s="71"/>
      <c r="X810" s="71"/>
      <c r="Y810" s="71"/>
      <c r="Z810" s="71"/>
    </row>
    <row r="811" ht="15.75" customHeight="1">
      <c r="A811" s="72"/>
      <c r="B811" s="71"/>
      <c r="C811" s="71"/>
      <c r="D811" s="71"/>
      <c r="E811" s="71"/>
      <c r="F811" s="71"/>
      <c r="G811" s="59"/>
      <c r="H811" s="71"/>
      <c r="I811" s="71"/>
      <c r="J811" s="71"/>
      <c r="K811" s="71"/>
      <c r="L811" s="71"/>
      <c r="M811" s="71"/>
      <c r="N811" s="71"/>
      <c r="O811" s="71"/>
      <c r="P811" s="71"/>
      <c r="Q811" s="71"/>
      <c r="R811" s="71"/>
      <c r="S811" s="71"/>
      <c r="T811" s="71"/>
      <c r="U811" s="71"/>
      <c r="V811" s="71"/>
      <c r="W811" s="71"/>
      <c r="X811" s="71"/>
      <c r="Y811" s="71"/>
      <c r="Z811" s="71"/>
    </row>
    <row r="812" ht="15.75" customHeight="1">
      <c r="A812" s="72"/>
      <c r="B812" s="71"/>
      <c r="C812" s="71"/>
      <c r="D812" s="71"/>
      <c r="E812" s="71"/>
      <c r="F812" s="71"/>
      <c r="G812" s="59"/>
      <c r="H812" s="71"/>
      <c r="I812" s="71"/>
      <c r="J812" s="71"/>
      <c r="K812" s="71"/>
      <c r="L812" s="71"/>
      <c r="M812" s="71"/>
      <c r="N812" s="71"/>
      <c r="O812" s="71"/>
      <c r="P812" s="71"/>
      <c r="Q812" s="71"/>
      <c r="R812" s="71"/>
      <c r="S812" s="71"/>
      <c r="T812" s="71"/>
      <c r="U812" s="71"/>
      <c r="V812" s="71"/>
      <c r="W812" s="71"/>
      <c r="X812" s="71"/>
      <c r="Y812" s="71"/>
      <c r="Z812" s="71"/>
    </row>
    <row r="813" ht="15.75" customHeight="1">
      <c r="A813" s="72"/>
      <c r="B813" s="71"/>
      <c r="C813" s="71"/>
      <c r="D813" s="71"/>
      <c r="E813" s="71"/>
      <c r="F813" s="71"/>
      <c r="G813" s="59"/>
      <c r="H813" s="71"/>
      <c r="I813" s="71"/>
      <c r="J813" s="71"/>
      <c r="K813" s="71"/>
      <c r="L813" s="71"/>
      <c r="M813" s="71"/>
      <c r="N813" s="71"/>
      <c r="O813" s="71"/>
      <c r="P813" s="71"/>
      <c r="Q813" s="71"/>
      <c r="R813" s="71"/>
      <c r="S813" s="71"/>
      <c r="T813" s="71"/>
      <c r="U813" s="71"/>
      <c r="V813" s="71"/>
      <c r="W813" s="71"/>
      <c r="X813" s="71"/>
      <c r="Y813" s="71"/>
      <c r="Z813" s="71"/>
    </row>
    <row r="814" ht="15.75" customHeight="1">
      <c r="A814" s="72"/>
      <c r="B814" s="71"/>
      <c r="C814" s="71"/>
      <c r="D814" s="71"/>
      <c r="E814" s="71"/>
      <c r="F814" s="71"/>
      <c r="G814" s="59"/>
      <c r="H814" s="71"/>
      <c r="I814" s="71"/>
      <c r="J814" s="71"/>
      <c r="K814" s="71"/>
      <c r="L814" s="71"/>
      <c r="M814" s="71"/>
      <c r="N814" s="71"/>
      <c r="O814" s="71"/>
      <c r="P814" s="71"/>
      <c r="Q814" s="71"/>
      <c r="R814" s="71"/>
      <c r="S814" s="71"/>
      <c r="T814" s="71"/>
      <c r="U814" s="71"/>
      <c r="V814" s="71"/>
      <c r="W814" s="71"/>
      <c r="X814" s="71"/>
      <c r="Y814" s="71"/>
      <c r="Z814" s="71"/>
    </row>
    <row r="815" ht="15.75" customHeight="1">
      <c r="A815" s="72"/>
      <c r="B815" s="71"/>
      <c r="C815" s="71"/>
      <c r="D815" s="71"/>
      <c r="E815" s="71"/>
      <c r="F815" s="71"/>
      <c r="G815" s="59"/>
      <c r="H815" s="71"/>
      <c r="I815" s="71"/>
      <c r="J815" s="71"/>
      <c r="K815" s="71"/>
      <c r="L815" s="71"/>
      <c r="M815" s="71"/>
      <c r="N815" s="71"/>
      <c r="O815" s="71"/>
      <c r="P815" s="71"/>
      <c r="Q815" s="71"/>
      <c r="R815" s="71"/>
      <c r="S815" s="71"/>
      <c r="T815" s="71"/>
      <c r="U815" s="71"/>
      <c r="V815" s="71"/>
      <c r="W815" s="71"/>
      <c r="X815" s="71"/>
      <c r="Y815" s="71"/>
      <c r="Z815" s="71"/>
    </row>
    <row r="816" ht="15.75" customHeight="1">
      <c r="A816" s="72"/>
      <c r="B816" s="71"/>
      <c r="C816" s="71"/>
      <c r="D816" s="71"/>
      <c r="E816" s="71"/>
      <c r="F816" s="71"/>
      <c r="G816" s="59"/>
      <c r="H816" s="71"/>
      <c r="I816" s="71"/>
      <c r="J816" s="71"/>
      <c r="K816" s="71"/>
      <c r="L816" s="71"/>
      <c r="M816" s="71"/>
      <c r="N816" s="71"/>
      <c r="O816" s="71"/>
      <c r="P816" s="71"/>
      <c r="Q816" s="71"/>
      <c r="R816" s="71"/>
      <c r="S816" s="71"/>
      <c r="T816" s="71"/>
      <c r="U816" s="71"/>
      <c r="V816" s="71"/>
      <c r="W816" s="71"/>
      <c r="X816" s="71"/>
      <c r="Y816" s="71"/>
      <c r="Z816" s="71"/>
    </row>
    <row r="817" ht="15.75" customHeight="1">
      <c r="A817" s="72"/>
      <c r="B817" s="71"/>
      <c r="C817" s="71"/>
      <c r="D817" s="71"/>
      <c r="E817" s="71"/>
      <c r="F817" s="71"/>
      <c r="G817" s="59"/>
      <c r="H817" s="71"/>
      <c r="I817" s="71"/>
      <c r="J817" s="71"/>
      <c r="K817" s="71"/>
      <c r="L817" s="71"/>
      <c r="M817" s="71"/>
      <c r="N817" s="71"/>
      <c r="O817" s="71"/>
      <c r="P817" s="71"/>
      <c r="Q817" s="71"/>
      <c r="R817" s="71"/>
      <c r="S817" s="71"/>
      <c r="T817" s="71"/>
      <c r="U817" s="71"/>
      <c r="V817" s="71"/>
      <c r="W817" s="71"/>
      <c r="X817" s="71"/>
      <c r="Y817" s="71"/>
      <c r="Z817" s="71"/>
    </row>
    <row r="818" ht="15.75" customHeight="1">
      <c r="A818" s="72"/>
      <c r="B818" s="71"/>
      <c r="C818" s="71"/>
      <c r="D818" s="71"/>
      <c r="E818" s="71"/>
      <c r="F818" s="71"/>
      <c r="G818" s="59"/>
      <c r="H818" s="71"/>
      <c r="I818" s="71"/>
      <c r="J818" s="71"/>
      <c r="K818" s="71"/>
      <c r="L818" s="71"/>
      <c r="M818" s="71"/>
      <c r="N818" s="71"/>
      <c r="O818" s="71"/>
      <c r="P818" s="71"/>
      <c r="Q818" s="71"/>
      <c r="R818" s="71"/>
      <c r="S818" s="71"/>
      <c r="T818" s="71"/>
      <c r="U818" s="71"/>
      <c r="V818" s="71"/>
      <c r="W818" s="71"/>
      <c r="X818" s="71"/>
      <c r="Y818" s="71"/>
      <c r="Z818" s="71"/>
    </row>
    <row r="819" ht="15.75" customHeight="1">
      <c r="A819" s="72"/>
      <c r="B819" s="71"/>
      <c r="C819" s="71"/>
      <c r="D819" s="71"/>
      <c r="E819" s="71"/>
      <c r="F819" s="71"/>
      <c r="G819" s="59"/>
      <c r="H819" s="71"/>
      <c r="I819" s="71"/>
      <c r="J819" s="71"/>
      <c r="K819" s="71"/>
      <c r="L819" s="71"/>
      <c r="M819" s="71"/>
      <c r="N819" s="71"/>
      <c r="O819" s="71"/>
      <c r="P819" s="71"/>
      <c r="Q819" s="71"/>
      <c r="R819" s="71"/>
      <c r="S819" s="71"/>
      <c r="T819" s="71"/>
      <c r="U819" s="71"/>
      <c r="V819" s="71"/>
      <c r="W819" s="71"/>
      <c r="X819" s="71"/>
      <c r="Y819" s="71"/>
      <c r="Z819" s="71"/>
    </row>
    <row r="820" ht="15.75" customHeight="1">
      <c r="A820" s="72"/>
      <c r="B820" s="71"/>
      <c r="C820" s="71"/>
      <c r="D820" s="71"/>
      <c r="E820" s="71"/>
      <c r="F820" s="71"/>
      <c r="G820" s="59"/>
      <c r="H820" s="71"/>
      <c r="I820" s="71"/>
      <c r="J820" s="71"/>
      <c r="K820" s="71"/>
      <c r="L820" s="71"/>
      <c r="M820" s="71"/>
      <c r="N820" s="71"/>
      <c r="O820" s="71"/>
      <c r="P820" s="71"/>
      <c r="Q820" s="71"/>
      <c r="R820" s="71"/>
      <c r="S820" s="71"/>
      <c r="T820" s="71"/>
      <c r="U820" s="71"/>
      <c r="V820" s="71"/>
      <c r="W820" s="71"/>
      <c r="X820" s="71"/>
      <c r="Y820" s="71"/>
      <c r="Z820" s="71"/>
    </row>
    <row r="821" ht="15.75" customHeight="1">
      <c r="A821" s="72"/>
      <c r="B821" s="71"/>
      <c r="C821" s="71"/>
      <c r="D821" s="71"/>
      <c r="E821" s="71"/>
      <c r="F821" s="71"/>
      <c r="G821" s="59"/>
      <c r="H821" s="71"/>
      <c r="I821" s="71"/>
      <c r="J821" s="71"/>
      <c r="K821" s="71"/>
      <c r="L821" s="71"/>
      <c r="M821" s="71"/>
      <c r="N821" s="71"/>
      <c r="O821" s="71"/>
      <c r="P821" s="71"/>
      <c r="Q821" s="71"/>
      <c r="R821" s="71"/>
      <c r="S821" s="71"/>
      <c r="T821" s="71"/>
      <c r="U821" s="71"/>
      <c r="V821" s="71"/>
      <c r="W821" s="71"/>
      <c r="X821" s="71"/>
      <c r="Y821" s="71"/>
      <c r="Z821" s="71"/>
    </row>
    <row r="822" ht="15.75" customHeight="1">
      <c r="A822" s="72"/>
      <c r="B822" s="71"/>
      <c r="C822" s="71"/>
      <c r="D822" s="71"/>
      <c r="E822" s="71"/>
      <c r="F822" s="71"/>
      <c r="G822" s="59"/>
      <c r="H822" s="71"/>
      <c r="I822" s="71"/>
      <c r="J822" s="71"/>
      <c r="K822" s="71"/>
      <c r="L822" s="71"/>
      <c r="M822" s="71"/>
      <c r="N822" s="71"/>
      <c r="O822" s="71"/>
      <c r="P822" s="71"/>
      <c r="Q822" s="71"/>
      <c r="R822" s="71"/>
      <c r="S822" s="71"/>
      <c r="T822" s="71"/>
      <c r="U822" s="71"/>
      <c r="V822" s="71"/>
      <c r="W822" s="71"/>
      <c r="X822" s="71"/>
      <c r="Y822" s="71"/>
      <c r="Z822" s="71"/>
    </row>
    <row r="823" ht="15.75" customHeight="1">
      <c r="A823" s="72"/>
      <c r="B823" s="71"/>
      <c r="C823" s="71"/>
      <c r="D823" s="71"/>
      <c r="E823" s="71"/>
      <c r="F823" s="71"/>
      <c r="G823" s="59"/>
      <c r="H823" s="71"/>
      <c r="I823" s="71"/>
      <c r="J823" s="71"/>
      <c r="K823" s="71"/>
      <c r="L823" s="71"/>
      <c r="M823" s="71"/>
      <c r="N823" s="71"/>
      <c r="O823" s="71"/>
      <c r="P823" s="71"/>
      <c r="Q823" s="71"/>
      <c r="R823" s="71"/>
      <c r="S823" s="71"/>
      <c r="T823" s="71"/>
      <c r="U823" s="71"/>
      <c r="V823" s="71"/>
      <c r="W823" s="71"/>
      <c r="X823" s="71"/>
      <c r="Y823" s="71"/>
      <c r="Z823" s="71"/>
    </row>
    <row r="824" ht="15.75" customHeight="1">
      <c r="A824" s="72"/>
      <c r="B824" s="71"/>
      <c r="C824" s="71"/>
      <c r="D824" s="71"/>
      <c r="E824" s="71"/>
      <c r="F824" s="71"/>
      <c r="G824" s="59"/>
      <c r="H824" s="71"/>
      <c r="I824" s="71"/>
      <c r="J824" s="71"/>
      <c r="K824" s="71"/>
      <c r="L824" s="71"/>
      <c r="M824" s="71"/>
      <c r="N824" s="71"/>
      <c r="O824" s="71"/>
      <c r="P824" s="71"/>
      <c r="Q824" s="71"/>
      <c r="R824" s="71"/>
      <c r="S824" s="71"/>
      <c r="T824" s="71"/>
      <c r="U824" s="71"/>
      <c r="V824" s="71"/>
      <c r="W824" s="71"/>
      <c r="X824" s="71"/>
      <c r="Y824" s="71"/>
      <c r="Z824" s="71"/>
    </row>
    <row r="825" ht="15.75" customHeight="1">
      <c r="A825" s="72"/>
      <c r="B825" s="71"/>
      <c r="C825" s="71"/>
      <c r="D825" s="71"/>
      <c r="E825" s="71"/>
      <c r="F825" s="71"/>
      <c r="G825" s="59"/>
      <c r="H825" s="71"/>
      <c r="I825" s="71"/>
      <c r="J825" s="71"/>
      <c r="K825" s="71"/>
      <c r="L825" s="71"/>
      <c r="M825" s="71"/>
      <c r="N825" s="71"/>
      <c r="O825" s="71"/>
      <c r="P825" s="71"/>
      <c r="Q825" s="71"/>
      <c r="R825" s="71"/>
      <c r="S825" s="71"/>
      <c r="T825" s="71"/>
      <c r="U825" s="71"/>
      <c r="V825" s="71"/>
      <c r="W825" s="71"/>
      <c r="X825" s="71"/>
      <c r="Y825" s="71"/>
      <c r="Z825" s="71"/>
    </row>
    <row r="826" ht="15.75" customHeight="1">
      <c r="A826" s="72"/>
      <c r="B826" s="71"/>
      <c r="C826" s="71"/>
      <c r="D826" s="71"/>
      <c r="E826" s="71"/>
      <c r="F826" s="71"/>
      <c r="G826" s="59"/>
      <c r="H826" s="71"/>
      <c r="I826" s="71"/>
      <c r="J826" s="71"/>
      <c r="K826" s="71"/>
      <c r="L826" s="71"/>
      <c r="M826" s="71"/>
      <c r="N826" s="71"/>
      <c r="O826" s="71"/>
      <c r="P826" s="71"/>
      <c r="Q826" s="71"/>
      <c r="R826" s="71"/>
      <c r="S826" s="71"/>
      <c r="T826" s="71"/>
      <c r="U826" s="71"/>
      <c r="V826" s="71"/>
      <c r="W826" s="71"/>
      <c r="X826" s="71"/>
      <c r="Y826" s="71"/>
      <c r="Z826" s="71"/>
    </row>
    <row r="827" ht="15.75" customHeight="1">
      <c r="A827" s="72"/>
      <c r="B827" s="71"/>
      <c r="C827" s="71"/>
      <c r="D827" s="71"/>
      <c r="E827" s="71"/>
      <c r="F827" s="71"/>
      <c r="G827" s="59"/>
      <c r="H827" s="71"/>
      <c r="I827" s="71"/>
      <c r="J827" s="71"/>
      <c r="K827" s="71"/>
      <c r="L827" s="71"/>
      <c r="M827" s="71"/>
      <c r="N827" s="71"/>
      <c r="O827" s="71"/>
      <c r="P827" s="71"/>
      <c r="Q827" s="71"/>
      <c r="R827" s="71"/>
      <c r="S827" s="71"/>
      <c r="T827" s="71"/>
      <c r="U827" s="71"/>
      <c r="V827" s="71"/>
      <c r="W827" s="71"/>
      <c r="X827" s="71"/>
      <c r="Y827" s="71"/>
      <c r="Z827" s="71"/>
    </row>
    <row r="828" ht="15.75" customHeight="1">
      <c r="A828" s="72"/>
      <c r="B828" s="71"/>
      <c r="C828" s="71"/>
      <c r="D828" s="71"/>
      <c r="E828" s="71"/>
      <c r="F828" s="71"/>
      <c r="G828" s="59"/>
      <c r="H828" s="71"/>
      <c r="I828" s="71"/>
      <c r="J828" s="71"/>
      <c r="K828" s="71"/>
      <c r="L828" s="71"/>
      <c r="M828" s="71"/>
      <c r="N828" s="71"/>
      <c r="O828" s="71"/>
      <c r="P828" s="71"/>
      <c r="Q828" s="71"/>
      <c r="R828" s="71"/>
      <c r="S828" s="71"/>
      <c r="T828" s="71"/>
      <c r="U828" s="71"/>
      <c r="V828" s="71"/>
      <c r="W828" s="71"/>
      <c r="X828" s="71"/>
      <c r="Y828" s="71"/>
      <c r="Z828" s="71"/>
    </row>
    <row r="829" ht="15.75" customHeight="1">
      <c r="A829" s="72"/>
      <c r="B829" s="71"/>
      <c r="C829" s="71"/>
      <c r="D829" s="71"/>
      <c r="E829" s="71"/>
      <c r="F829" s="71"/>
      <c r="G829" s="59"/>
      <c r="H829" s="71"/>
      <c r="I829" s="71"/>
      <c r="J829" s="71"/>
      <c r="K829" s="71"/>
      <c r="L829" s="71"/>
      <c r="M829" s="71"/>
      <c r="N829" s="71"/>
      <c r="O829" s="71"/>
      <c r="P829" s="71"/>
      <c r="Q829" s="71"/>
      <c r="R829" s="71"/>
      <c r="S829" s="71"/>
      <c r="T829" s="71"/>
      <c r="U829" s="71"/>
      <c r="V829" s="71"/>
      <c r="W829" s="71"/>
      <c r="X829" s="71"/>
      <c r="Y829" s="71"/>
      <c r="Z829" s="71"/>
    </row>
    <row r="830" ht="15.75" customHeight="1">
      <c r="A830" s="72"/>
      <c r="B830" s="71"/>
      <c r="C830" s="71"/>
      <c r="D830" s="71"/>
      <c r="E830" s="71"/>
      <c r="F830" s="71"/>
      <c r="G830" s="59"/>
      <c r="H830" s="71"/>
      <c r="I830" s="71"/>
      <c r="J830" s="71"/>
      <c r="K830" s="71"/>
      <c r="L830" s="71"/>
      <c r="M830" s="71"/>
      <c r="N830" s="71"/>
      <c r="O830" s="71"/>
      <c r="P830" s="71"/>
      <c r="Q830" s="71"/>
      <c r="R830" s="71"/>
      <c r="S830" s="71"/>
      <c r="T830" s="71"/>
      <c r="U830" s="71"/>
      <c r="V830" s="71"/>
      <c r="W830" s="71"/>
      <c r="X830" s="71"/>
      <c r="Y830" s="71"/>
      <c r="Z830" s="71"/>
    </row>
    <row r="831" ht="15.75" customHeight="1">
      <c r="A831" s="72"/>
      <c r="B831" s="71"/>
      <c r="C831" s="71"/>
      <c r="D831" s="71"/>
      <c r="E831" s="71"/>
      <c r="F831" s="71"/>
      <c r="G831" s="59"/>
      <c r="H831" s="71"/>
      <c r="I831" s="71"/>
      <c r="J831" s="71"/>
      <c r="K831" s="71"/>
      <c r="L831" s="71"/>
      <c r="M831" s="71"/>
      <c r="N831" s="71"/>
      <c r="O831" s="71"/>
      <c r="P831" s="71"/>
      <c r="Q831" s="71"/>
      <c r="R831" s="71"/>
      <c r="S831" s="71"/>
      <c r="T831" s="71"/>
      <c r="U831" s="71"/>
      <c r="V831" s="71"/>
      <c r="W831" s="71"/>
      <c r="X831" s="71"/>
      <c r="Y831" s="71"/>
      <c r="Z831" s="71"/>
    </row>
    <row r="832" ht="15.75" customHeight="1">
      <c r="A832" s="72"/>
      <c r="B832" s="71"/>
      <c r="C832" s="71"/>
      <c r="D832" s="71"/>
      <c r="E832" s="71"/>
      <c r="F832" s="71"/>
      <c r="G832" s="59"/>
      <c r="H832" s="71"/>
      <c r="I832" s="71"/>
      <c r="J832" s="71"/>
      <c r="K832" s="71"/>
      <c r="L832" s="71"/>
      <c r="M832" s="71"/>
      <c r="N832" s="71"/>
      <c r="O832" s="71"/>
      <c r="P832" s="71"/>
      <c r="Q832" s="71"/>
      <c r="R832" s="71"/>
      <c r="S832" s="71"/>
      <c r="T832" s="71"/>
      <c r="U832" s="71"/>
      <c r="V832" s="71"/>
      <c r="W832" s="71"/>
      <c r="X832" s="71"/>
      <c r="Y832" s="71"/>
      <c r="Z832" s="71"/>
    </row>
    <row r="833" ht="15.75" customHeight="1">
      <c r="A833" s="72"/>
      <c r="B833" s="71"/>
      <c r="C833" s="71"/>
      <c r="D833" s="71"/>
      <c r="E833" s="71"/>
      <c r="F833" s="71"/>
      <c r="G833" s="59"/>
      <c r="H833" s="71"/>
      <c r="I833" s="71"/>
      <c r="J833" s="71"/>
      <c r="K833" s="71"/>
      <c r="L833" s="71"/>
      <c r="M833" s="71"/>
      <c r="N833" s="71"/>
      <c r="O833" s="71"/>
      <c r="P833" s="71"/>
      <c r="Q833" s="71"/>
      <c r="R833" s="71"/>
      <c r="S833" s="71"/>
      <c r="T833" s="71"/>
      <c r="U833" s="71"/>
      <c r="V833" s="71"/>
      <c r="W833" s="71"/>
      <c r="X833" s="71"/>
      <c r="Y833" s="71"/>
      <c r="Z833" s="71"/>
    </row>
    <row r="834" ht="15.75" customHeight="1">
      <c r="A834" s="72"/>
      <c r="B834" s="71"/>
      <c r="C834" s="71"/>
      <c r="D834" s="71"/>
      <c r="E834" s="71"/>
      <c r="F834" s="71"/>
      <c r="G834" s="59"/>
      <c r="H834" s="71"/>
      <c r="I834" s="71"/>
      <c r="J834" s="71"/>
      <c r="K834" s="71"/>
      <c r="L834" s="71"/>
      <c r="M834" s="71"/>
      <c r="N834" s="71"/>
      <c r="O834" s="71"/>
      <c r="P834" s="71"/>
      <c r="Q834" s="71"/>
      <c r="R834" s="71"/>
      <c r="S834" s="71"/>
      <c r="T834" s="71"/>
      <c r="U834" s="71"/>
      <c r="V834" s="71"/>
      <c r="W834" s="71"/>
      <c r="X834" s="71"/>
      <c r="Y834" s="71"/>
      <c r="Z834" s="71"/>
    </row>
    <row r="835" ht="15.75" customHeight="1">
      <c r="A835" s="72"/>
      <c r="B835" s="71"/>
      <c r="C835" s="71"/>
      <c r="D835" s="71"/>
      <c r="E835" s="71"/>
      <c r="F835" s="71"/>
      <c r="G835" s="59"/>
      <c r="H835" s="71"/>
      <c r="I835" s="71"/>
      <c r="J835" s="71"/>
      <c r="K835" s="71"/>
      <c r="L835" s="71"/>
      <c r="M835" s="71"/>
      <c r="N835" s="71"/>
      <c r="O835" s="71"/>
      <c r="P835" s="71"/>
      <c r="Q835" s="71"/>
      <c r="R835" s="71"/>
      <c r="S835" s="71"/>
      <c r="T835" s="71"/>
      <c r="U835" s="71"/>
      <c r="V835" s="71"/>
      <c r="W835" s="71"/>
      <c r="X835" s="71"/>
      <c r="Y835" s="71"/>
      <c r="Z835" s="71"/>
    </row>
    <row r="836" ht="15.75" customHeight="1">
      <c r="A836" s="72"/>
      <c r="B836" s="71"/>
      <c r="C836" s="71"/>
      <c r="D836" s="71"/>
      <c r="E836" s="71"/>
      <c r="F836" s="71"/>
      <c r="G836" s="59"/>
      <c r="H836" s="71"/>
      <c r="I836" s="71"/>
      <c r="J836" s="71"/>
      <c r="K836" s="71"/>
      <c r="L836" s="71"/>
      <c r="M836" s="71"/>
      <c r="N836" s="71"/>
      <c r="O836" s="71"/>
      <c r="P836" s="71"/>
      <c r="Q836" s="71"/>
      <c r="R836" s="71"/>
      <c r="S836" s="71"/>
      <c r="T836" s="71"/>
      <c r="U836" s="71"/>
      <c r="V836" s="71"/>
      <c r="W836" s="71"/>
      <c r="X836" s="71"/>
      <c r="Y836" s="71"/>
      <c r="Z836" s="71"/>
    </row>
    <row r="837" ht="15.75" customHeight="1">
      <c r="A837" s="72"/>
      <c r="B837" s="71"/>
      <c r="C837" s="71"/>
      <c r="D837" s="71"/>
      <c r="E837" s="71"/>
      <c r="F837" s="71"/>
      <c r="G837" s="59"/>
      <c r="H837" s="71"/>
      <c r="I837" s="71"/>
      <c r="J837" s="71"/>
      <c r="K837" s="71"/>
      <c r="L837" s="71"/>
      <c r="M837" s="71"/>
      <c r="N837" s="71"/>
      <c r="O837" s="71"/>
      <c r="P837" s="71"/>
      <c r="Q837" s="71"/>
      <c r="R837" s="71"/>
      <c r="S837" s="71"/>
      <c r="T837" s="71"/>
      <c r="U837" s="71"/>
      <c r="V837" s="71"/>
      <c r="W837" s="71"/>
      <c r="X837" s="71"/>
      <c r="Y837" s="71"/>
      <c r="Z837" s="71"/>
    </row>
    <row r="838" ht="15.75" customHeight="1">
      <c r="A838" s="72"/>
      <c r="B838" s="71"/>
      <c r="C838" s="71"/>
      <c r="D838" s="71"/>
      <c r="E838" s="71"/>
      <c r="F838" s="71"/>
      <c r="G838" s="59"/>
      <c r="H838" s="71"/>
      <c r="I838" s="71"/>
      <c r="J838" s="71"/>
      <c r="K838" s="71"/>
      <c r="L838" s="71"/>
      <c r="M838" s="71"/>
      <c r="N838" s="71"/>
      <c r="O838" s="71"/>
      <c r="P838" s="71"/>
      <c r="Q838" s="71"/>
      <c r="R838" s="71"/>
      <c r="S838" s="71"/>
      <c r="T838" s="71"/>
      <c r="U838" s="71"/>
      <c r="V838" s="71"/>
      <c r="W838" s="71"/>
      <c r="X838" s="71"/>
      <c r="Y838" s="71"/>
      <c r="Z838" s="71"/>
    </row>
    <row r="839" ht="15.75" customHeight="1">
      <c r="A839" s="72"/>
      <c r="B839" s="71"/>
      <c r="C839" s="71"/>
      <c r="D839" s="71"/>
      <c r="E839" s="71"/>
      <c r="F839" s="71"/>
      <c r="G839" s="59"/>
      <c r="H839" s="71"/>
      <c r="I839" s="71"/>
      <c r="J839" s="71"/>
      <c r="K839" s="71"/>
      <c r="L839" s="71"/>
      <c r="M839" s="71"/>
      <c r="N839" s="71"/>
      <c r="O839" s="71"/>
      <c r="P839" s="71"/>
      <c r="Q839" s="71"/>
      <c r="R839" s="71"/>
      <c r="S839" s="71"/>
      <c r="T839" s="71"/>
      <c r="U839" s="71"/>
      <c r="V839" s="71"/>
      <c r="W839" s="71"/>
      <c r="X839" s="71"/>
      <c r="Y839" s="71"/>
      <c r="Z839" s="71"/>
    </row>
    <row r="840" ht="15.75" customHeight="1">
      <c r="A840" s="72"/>
      <c r="B840" s="71"/>
      <c r="C840" s="71"/>
      <c r="D840" s="71"/>
      <c r="E840" s="71"/>
      <c r="F840" s="71"/>
      <c r="G840" s="59"/>
      <c r="H840" s="71"/>
      <c r="I840" s="71"/>
      <c r="J840" s="71"/>
      <c r="K840" s="71"/>
      <c r="L840" s="71"/>
      <c r="M840" s="71"/>
      <c r="N840" s="71"/>
      <c r="O840" s="71"/>
      <c r="P840" s="71"/>
      <c r="Q840" s="71"/>
      <c r="R840" s="71"/>
      <c r="S840" s="71"/>
      <c r="T840" s="71"/>
      <c r="U840" s="71"/>
      <c r="V840" s="71"/>
      <c r="W840" s="71"/>
      <c r="X840" s="71"/>
      <c r="Y840" s="71"/>
      <c r="Z840" s="71"/>
    </row>
    <row r="841" ht="15.75" customHeight="1">
      <c r="A841" s="72"/>
      <c r="B841" s="71"/>
      <c r="C841" s="71"/>
      <c r="D841" s="71"/>
      <c r="E841" s="71"/>
      <c r="F841" s="71"/>
      <c r="G841" s="59"/>
      <c r="H841" s="71"/>
      <c r="I841" s="71"/>
      <c r="J841" s="71"/>
      <c r="K841" s="71"/>
      <c r="L841" s="71"/>
      <c r="M841" s="71"/>
      <c r="N841" s="71"/>
      <c r="O841" s="71"/>
      <c r="P841" s="71"/>
      <c r="Q841" s="71"/>
      <c r="R841" s="71"/>
      <c r="S841" s="71"/>
      <c r="T841" s="71"/>
      <c r="U841" s="71"/>
      <c r="V841" s="71"/>
      <c r="W841" s="71"/>
      <c r="X841" s="71"/>
      <c r="Y841" s="71"/>
      <c r="Z841" s="71"/>
    </row>
    <row r="842" ht="15.75" customHeight="1">
      <c r="A842" s="72"/>
      <c r="B842" s="71"/>
      <c r="C842" s="71"/>
      <c r="D842" s="71"/>
      <c r="E842" s="71"/>
      <c r="F842" s="71"/>
      <c r="G842" s="59"/>
      <c r="H842" s="71"/>
      <c r="I842" s="71"/>
      <c r="J842" s="71"/>
      <c r="K842" s="71"/>
      <c r="L842" s="71"/>
      <c r="M842" s="71"/>
      <c r="N842" s="71"/>
      <c r="O842" s="71"/>
      <c r="P842" s="71"/>
      <c r="Q842" s="71"/>
      <c r="R842" s="71"/>
      <c r="S842" s="71"/>
      <c r="T842" s="71"/>
      <c r="U842" s="71"/>
      <c r="V842" s="71"/>
      <c r="W842" s="71"/>
      <c r="X842" s="71"/>
      <c r="Y842" s="71"/>
      <c r="Z842" s="71"/>
    </row>
    <row r="843" ht="15.75" customHeight="1">
      <c r="A843" s="72"/>
      <c r="B843" s="71"/>
      <c r="C843" s="71"/>
      <c r="D843" s="71"/>
      <c r="E843" s="71"/>
      <c r="F843" s="71"/>
      <c r="G843" s="59"/>
      <c r="H843" s="71"/>
      <c r="I843" s="71"/>
      <c r="J843" s="71"/>
      <c r="K843" s="71"/>
      <c r="L843" s="71"/>
      <c r="M843" s="71"/>
      <c r="N843" s="71"/>
      <c r="O843" s="71"/>
      <c r="P843" s="71"/>
      <c r="Q843" s="71"/>
      <c r="R843" s="71"/>
      <c r="S843" s="71"/>
      <c r="T843" s="71"/>
      <c r="U843" s="71"/>
      <c r="V843" s="71"/>
      <c r="W843" s="71"/>
      <c r="X843" s="71"/>
      <c r="Y843" s="71"/>
      <c r="Z843" s="71"/>
    </row>
    <row r="844" ht="15.75" customHeight="1">
      <c r="A844" s="72"/>
      <c r="B844" s="71"/>
      <c r="C844" s="71"/>
      <c r="D844" s="71"/>
      <c r="E844" s="71"/>
      <c r="F844" s="71"/>
      <c r="G844" s="59"/>
      <c r="H844" s="71"/>
      <c r="I844" s="71"/>
      <c r="J844" s="71"/>
      <c r="K844" s="71"/>
      <c r="L844" s="71"/>
      <c r="M844" s="71"/>
      <c r="N844" s="71"/>
      <c r="O844" s="71"/>
      <c r="P844" s="71"/>
      <c r="Q844" s="71"/>
      <c r="R844" s="71"/>
      <c r="S844" s="71"/>
      <c r="T844" s="71"/>
      <c r="U844" s="71"/>
      <c r="V844" s="71"/>
      <c r="W844" s="71"/>
      <c r="X844" s="71"/>
      <c r="Y844" s="71"/>
      <c r="Z844" s="71"/>
    </row>
    <row r="845" ht="15.75" customHeight="1">
      <c r="A845" s="72"/>
      <c r="B845" s="71"/>
      <c r="C845" s="71"/>
      <c r="D845" s="71"/>
      <c r="E845" s="71"/>
      <c r="F845" s="71"/>
      <c r="G845" s="59"/>
      <c r="H845" s="71"/>
      <c r="I845" s="71"/>
      <c r="J845" s="71"/>
      <c r="K845" s="71"/>
      <c r="L845" s="71"/>
      <c r="M845" s="71"/>
      <c r="N845" s="71"/>
      <c r="O845" s="71"/>
      <c r="P845" s="71"/>
      <c r="Q845" s="71"/>
      <c r="R845" s="71"/>
      <c r="S845" s="71"/>
      <c r="T845" s="71"/>
      <c r="U845" s="71"/>
      <c r="V845" s="71"/>
      <c r="W845" s="71"/>
      <c r="X845" s="71"/>
      <c r="Y845" s="71"/>
      <c r="Z845" s="71"/>
    </row>
    <row r="846" ht="15.75" customHeight="1">
      <c r="A846" s="72"/>
      <c r="B846" s="71"/>
      <c r="C846" s="71"/>
      <c r="D846" s="71"/>
      <c r="E846" s="71"/>
      <c r="F846" s="71"/>
      <c r="G846" s="59"/>
      <c r="H846" s="71"/>
      <c r="I846" s="71"/>
      <c r="J846" s="71"/>
      <c r="K846" s="71"/>
      <c r="L846" s="71"/>
      <c r="M846" s="71"/>
      <c r="N846" s="71"/>
      <c r="O846" s="71"/>
      <c r="P846" s="71"/>
      <c r="Q846" s="71"/>
      <c r="R846" s="71"/>
      <c r="S846" s="71"/>
      <c r="T846" s="71"/>
      <c r="U846" s="71"/>
      <c r="V846" s="71"/>
      <c r="W846" s="71"/>
      <c r="X846" s="71"/>
      <c r="Y846" s="71"/>
      <c r="Z846" s="71"/>
    </row>
    <row r="847" ht="15.75" customHeight="1">
      <c r="A847" s="72"/>
      <c r="B847" s="71"/>
      <c r="C847" s="71"/>
      <c r="D847" s="71"/>
      <c r="E847" s="71"/>
      <c r="F847" s="71"/>
      <c r="G847" s="59"/>
      <c r="H847" s="71"/>
      <c r="I847" s="71"/>
      <c r="J847" s="71"/>
      <c r="K847" s="71"/>
      <c r="L847" s="71"/>
      <c r="M847" s="71"/>
      <c r="N847" s="71"/>
      <c r="O847" s="71"/>
      <c r="P847" s="71"/>
      <c r="Q847" s="71"/>
      <c r="R847" s="71"/>
      <c r="S847" s="71"/>
      <c r="T847" s="71"/>
      <c r="U847" s="71"/>
      <c r="V847" s="71"/>
      <c r="W847" s="71"/>
      <c r="X847" s="71"/>
      <c r="Y847" s="71"/>
      <c r="Z847" s="71"/>
    </row>
    <row r="848" ht="15.75" customHeight="1">
      <c r="A848" s="72"/>
      <c r="B848" s="71"/>
      <c r="C848" s="71"/>
      <c r="D848" s="71"/>
      <c r="E848" s="71"/>
      <c r="F848" s="71"/>
      <c r="G848" s="59"/>
      <c r="H848" s="71"/>
      <c r="I848" s="71"/>
      <c r="J848" s="71"/>
      <c r="K848" s="71"/>
      <c r="L848" s="71"/>
      <c r="M848" s="71"/>
      <c r="N848" s="71"/>
      <c r="O848" s="71"/>
      <c r="P848" s="71"/>
      <c r="Q848" s="71"/>
      <c r="R848" s="71"/>
      <c r="S848" s="71"/>
      <c r="T848" s="71"/>
      <c r="U848" s="71"/>
      <c r="V848" s="71"/>
      <c r="W848" s="71"/>
      <c r="X848" s="71"/>
      <c r="Y848" s="71"/>
      <c r="Z848" s="71"/>
    </row>
    <row r="849" ht="15.75" customHeight="1">
      <c r="A849" s="72"/>
      <c r="B849" s="71"/>
      <c r="C849" s="71"/>
      <c r="D849" s="71"/>
      <c r="E849" s="71"/>
      <c r="F849" s="71"/>
      <c r="G849" s="59"/>
      <c r="H849" s="71"/>
      <c r="I849" s="71"/>
      <c r="J849" s="71"/>
      <c r="K849" s="71"/>
      <c r="L849" s="71"/>
      <c r="M849" s="71"/>
      <c r="N849" s="71"/>
      <c r="O849" s="71"/>
      <c r="P849" s="71"/>
      <c r="Q849" s="71"/>
      <c r="R849" s="71"/>
      <c r="S849" s="71"/>
      <c r="T849" s="71"/>
      <c r="U849" s="71"/>
      <c r="V849" s="71"/>
      <c r="W849" s="71"/>
      <c r="X849" s="71"/>
      <c r="Y849" s="71"/>
      <c r="Z849" s="71"/>
    </row>
    <row r="850" ht="15.75" customHeight="1">
      <c r="A850" s="72"/>
      <c r="B850" s="71"/>
      <c r="C850" s="71"/>
      <c r="D850" s="71"/>
      <c r="E850" s="71"/>
      <c r="F850" s="71"/>
      <c r="G850" s="59"/>
      <c r="H850" s="71"/>
      <c r="I850" s="71"/>
      <c r="J850" s="71"/>
      <c r="K850" s="71"/>
      <c r="L850" s="71"/>
      <c r="M850" s="71"/>
      <c r="N850" s="71"/>
      <c r="O850" s="71"/>
      <c r="P850" s="71"/>
      <c r="Q850" s="71"/>
      <c r="R850" s="71"/>
      <c r="S850" s="71"/>
      <c r="T850" s="71"/>
      <c r="U850" s="71"/>
      <c r="V850" s="71"/>
      <c r="W850" s="71"/>
      <c r="X850" s="71"/>
      <c r="Y850" s="71"/>
      <c r="Z850" s="71"/>
    </row>
    <row r="851" ht="15.75" customHeight="1">
      <c r="A851" s="72"/>
      <c r="B851" s="71"/>
      <c r="C851" s="71"/>
      <c r="D851" s="71"/>
      <c r="E851" s="71"/>
      <c r="F851" s="71"/>
      <c r="G851" s="59"/>
      <c r="H851" s="71"/>
      <c r="I851" s="71"/>
      <c r="J851" s="71"/>
      <c r="K851" s="71"/>
      <c r="L851" s="71"/>
      <c r="M851" s="71"/>
      <c r="N851" s="71"/>
      <c r="O851" s="71"/>
      <c r="P851" s="71"/>
      <c r="Q851" s="71"/>
      <c r="R851" s="71"/>
      <c r="S851" s="71"/>
      <c r="T851" s="71"/>
      <c r="U851" s="71"/>
      <c r="V851" s="71"/>
      <c r="W851" s="71"/>
      <c r="X851" s="71"/>
      <c r="Y851" s="71"/>
      <c r="Z851" s="71"/>
    </row>
    <row r="852" ht="15.75" customHeight="1">
      <c r="A852" s="72"/>
      <c r="B852" s="71"/>
      <c r="C852" s="71"/>
      <c r="D852" s="71"/>
      <c r="E852" s="71"/>
      <c r="F852" s="71"/>
      <c r="G852" s="59"/>
      <c r="H852" s="71"/>
      <c r="I852" s="71"/>
      <c r="J852" s="71"/>
      <c r="K852" s="71"/>
      <c r="L852" s="71"/>
      <c r="M852" s="71"/>
      <c r="N852" s="71"/>
      <c r="O852" s="71"/>
      <c r="P852" s="71"/>
      <c r="Q852" s="71"/>
      <c r="R852" s="71"/>
      <c r="S852" s="71"/>
      <c r="T852" s="71"/>
      <c r="U852" s="71"/>
      <c r="V852" s="71"/>
      <c r="W852" s="71"/>
      <c r="X852" s="71"/>
      <c r="Y852" s="71"/>
      <c r="Z852" s="71"/>
    </row>
    <row r="853" ht="15.75" customHeight="1">
      <c r="A853" s="72"/>
      <c r="B853" s="71"/>
      <c r="C853" s="71"/>
      <c r="D853" s="71"/>
      <c r="E853" s="71"/>
      <c r="F853" s="71"/>
      <c r="G853" s="59"/>
      <c r="H853" s="71"/>
      <c r="I853" s="71"/>
      <c r="J853" s="71"/>
      <c r="K853" s="71"/>
      <c r="L853" s="71"/>
      <c r="M853" s="71"/>
      <c r="N853" s="71"/>
      <c r="O853" s="71"/>
      <c r="P853" s="71"/>
      <c r="Q853" s="71"/>
      <c r="R853" s="71"/>
      <c r="S853" s="71"/>
      <c r="T853" s="71"/>
      <c r="U853" s="71"/>
      <c r="V853" s="71"/>
      <c r="W853" s="71"/>
      <c r="X853" s="71"/>
      <c r="Y853" s="71"/>
      <c r="Z853" s="71"/>
    </row>
    <row r="854" ht="15.75" customHeight="1">
      <c r="A854" s="72"/>
      <c r="B854" s="71"/>
      <c r="C854" s="71"/>
      <c r="D854" s="71"/>
      <c r="E854" s="71"/>
      <c r="F854" s="71"/>
      <c r="G854" s="59"/>
      <c r="H854" s="71"/>
      <c r="I854" s="71"/>
      <c r="J854" s="71"/>
      <c r="K854" s="71"/>
      <c r="L854" s="71"/>
      <c r="M854" s="71"/>
      <c r="N854" s="71"/>
      <c r="O854" s="71"/>
      <c r="P854" s="71"/>
      <c r="Q854" s="71"/>
      <c r="R854" s="71"/>
      <c r="S854" s="71"/>
      <c r="T854" s="71"/>
      <c r="U854" s="71"/>
      <c r="V854" s="71"/>
      <c r="W854" s="71"/>
      <c r="X854" s="71"/>
      <c r="Y854" s="71"/>
      <c r="Z854" s="71"/>
    </row>
    <row r="855" ht="15.75" customHeight="1">
      <c r="A855" s="72"/>
      <c r="B855" s="71"/>
      <c r="C855" s="71"/>
      <c r="D855" s="71"/>
      <c r="E855" s="71"/>
      <c r="F855" s="71"/>
      <c r="G855" s="59"/>
      <c r="H855" s="71"/>
      <c r="I855" s="71"/>
      <c r="J855" s="71"/>
      <c r="K855" s="71"/>
      <c r="L855" s="71"/>
      <c r="M855" s="71"/>
      <c r="N855" s="71"/>
      <c r="O855" s="71"/>
      <c r="P855" s="71"/>
      <c r="Q855" s="71"/>
      <c r="R855" s="71"/>
      <c r="S855" s="71"/>
      <c r="T855" s="71"/>
      <c r="U855" s="71"/>
      <c r="V855" s="71"/>
      <c r="W855" s="71"/>
      <c r="X855" s="71"/>
      <c r="Y855" s="71"/>
      <c r="Z855" s="71"/>
    </row>
    <row r="856" ht="15.75" customHeight="1">
      <c r="A856" s="72"/>
      <c r="B856" s="71"/>
      <c r="C856" s="71"/>
      <c r="D856" s="71"/>
      <c r="E856" s="71"/>
      <c r="F856" s="71"/>
      <c r="G856" s="59"/>
      <c r="H856" s="71"/>
      <c r="I856" s="71"/>
      <c r="J856" s="71"/>
      <c r="K856" s="71"/>
      <c r="L856" s="71"/>
      <c r="M856" s="71"/>
      <c r="N856" s="71"/>
      <c r="O856" s="71"/>
      <c r="P856" s="71"/>
      <c r="Q856" s="71"/>
      <c r="R856" s="71"/>
      <c r="S856" s="71"/>
      <c r="T856" s="71"/>
      <c r="U856" s="71"/>
      <c r="V856" s="71"/>
      <c r="W856" s="71"/>
      <c r="X856" s="71"/>
      <c r="Y856" s="71"/>
      <c r="Z856" s="71"/>
    </row>
    <row r="857" ht="15.75" customHeight="1">
      <c r="A857" s="72"/>
      <c r="B857" s="71"/>
      <c r="C857" s="71"/>
      <c r="D857" s="71"/>
      <c r="E857" s="71"/>
      <c r="F857" s="71"/>
      <c r="G857" s="59"/>
      <c r="H857" s="71"/>
      <c r="I857" s="71"/>
      <c r="J857" s="71"/>
      <c r="K857" s="71"/>
      <c r="L857" s="71"/>
      <c r="M857" s="71"/>
      <c r="N857" s="71"/>
      <c r="O857" s="71"/>
      <c r="P857" s="71"/>
      <c r="Q857" s="71"/>
      <c r="R857" s="71"/>
      <c r="S857" s="71"/>
      <c r="T857" s="71"/>
      <c r="U857" s="71"/>
      <c r="V857" s="71"/>
      <c r="W857" s="71"/>
      <c r="X857" s="71"/>
      <c r="Y857" s="71"/>
      <c r="Z857" s="71"/>
    </row>
    <row r="858" ht="15.75" customHeight="1">
      <c r="A858" s="72"/>
      <c r="B858" s="71"/>
      <c r="C858" s="71"/>
      <c r="D858" s="71"/>
      <c r="E858" s="71"/>
      <c r="F858" s="71"/>
      <c r="G858" s="59"/>
      <c r="H858" s="71"/>
      <c r="I858" s="71"/>
      <c r="J858" s="71"/>
      <c r="K858" s="71"/>
      <c r="L858" s="71"/>
      <c r="M858" s="71"/>
      <c r="N858" s="71"/>
      <c r="O858" s="71"/>
      <c r="P858" s="71"/>
      <c r="Q858" s="71"/>
      <c r="R858" s="71"/>
      <c r="S858" s="71"/>
      <c r="T858" s="71"/>
      <c r="U858" s="71"/>
      <c r="V858" s="71"/>
      <c r="W858" s="71"/>
      <c r="X858" s="71"/>
      <c r="Y858" s="71"/>
      <c r="Z858" s="71"/>
    </row>
    <row r="859" ht="15.75" customHeight="1">
      <c r="A859" s="72"/>
      <c r="B859" s="71"/>
      <c r="C859" s="71"/>
      <c r="D859" s="71"/>
      <c r="E859" s="71"/>
      <c r="F859" s="71"/>
      <c r="G859" s="59"/>
      <c r="H859" s="71"/>
      <c r="I859" s="71"/>
      <c r="J859" s="71"/>
      <c r="K859" s="71"/>
      <c r="L859" s="71"/>
      <c r="M859" s="71"/>
      <c r="N859" s="71"/>
      <c r="O859" s="71"/>
      <c r="P859" s="71"/>
      <c r="Q859" s="71"/>
      <c r="R859" s="71"/>
      <c r="S859" s="71"/>
      <c r="T859" s="71"/>
      <c r="U859" s="71"/>
      <c r="V859" s="71"/>
      <c r="W859" s="71"/>
      <c r="X859" s="71"/>
      <c r="Y859" s="71"/>
      <c r="Z859" s="71"/>
    </row>
    <row r="860" ht="15.75" customHeight="1">
      <c r="A860" s="72"/>
      <c r="B860" s="71"/>
      <c r="C860" s="71"/>
      <c r="D860" s="71"/>
      <c r="E860" s="71"/>
      <c r="F860" s="71"/>
      <c r="G860" s="59"/>
      <c r="H860" s="71"/>
      <c r="I860" s="71"/>
      <c r="J860" s="71"/>
      <c r="K860" s="71"/>
      <c r="L860" s="71"/>
      <c r="M860" s="71"/>
      <c r="N860" s="71"/>
      <c r="O860" s="71"/>
      <c r="P860" s="71"/>
      <c r="Q860" s="71"/>
      <c r="R860" s="71"/>
      <c r="S860" s="71"/>
      <c r="T860" s="71"/>
      <c r="U860" s="71"/>
      <c r="V860" s="71"/>
      <c r="W860" s="71"/>
      <c r="X860" s="71"/>
      <c r="Y860" s="71"/>
      <c r="Z860" s="71"/>
    </row>
    <row r="861" ht="15.75" customHeight="1">
      <c r="A861" s="72"/>
      <c r="B861" s="71"/>
      <c r="C861" s="71"/>
      <c r="D861" s="71"/>
      <c r="E861" s="71"/>
      <c r="F861" s="71"/>
      <c r="G861" s="59"/>
      <c r="H861" s="71"/>
      <c r="I861" s="71"/>
      <c r="J861" s="71"/>
      <c r="K861" s="71"/>
      <c r="L861" s="71"/>
      <c r="M861" s="71"/>
      <c r="N861" s="71"/>
      <c r="O861" s="71"/>
      <c r="P861" s="71"/>
      <c r="Q861" s="71"/>
      <c r="R861" s="71"/>
      <c r="S861" s="71"/>
      <c r="T861" s="71"/>
      <c r="U861" s="71"/>
      <c r="V861" s="71"/>
      <c r="W861" s="71"/>
      <c r="X861" s="71"/>
      <c r="Y861" s="71"/>
      <c r="Z861" s="71"/>
    </row>
    <row r="862" ht="15.75" customHeight="1">
      <c r="A862" s="72"/>
      <c r="B862" s="71"/>
      <c r="C862" s="71"/>
      <c r="D862" s="71"/>
      <c r="E862" s="71"/>
      <c r="F862" s="71"/>
      <c r="G862" s="59"/>
      <c r="H862" s="71"/>
      <c r="I862" s="71"/>
      <c r="J862" s="71"/>
      <c r="K862" s="71"/>
      <c r="L862" s="71"/>
      <c r="M862" s="71"/>
      <c r="N862" s="71"/>
      <c r="O862" s="71"/>
      <c r="P862" s="71"/>
      <c r="Q862" s="71"/>
      <c r="R862" s="71"/>
      <c r="S862" s="71"/>
      <c r="T862" s="71"/>
      <c r="U862" s="71"/>
      <c r="V862" s="71"/>
      <c r="W862" s="71"/>
      <c r="X862" s="71"/>
      <c r="Y862" s="71"/>
      <c r="Z862" s="71"/>
    </row>
    <row r="863" ht="15.75" customHeight="1">
      <c r="A863" s="72"/>
      <c r="B863" s="71"/>
      <c r="C863" s="71"/>
      <c r="D863" s="71"/>
      <c r="E863" s="71"/>
      <c r="F863" s="71"/>
      <c r="G863" s="59"/>
      <c r="H863" s="71"/>
      <c r="I863" s="71"/>
      <c r="J863" s="71"/>
      <c r="K863" s="71"/>
      <c r="L863" s="71"/>
      <c r="M863" s="71"/>
      <c r="N863" s="71"/>
      <c r="O863" s="71"/>
      <c r="P863" s="71"/>
      <c r="Q863" s="71"/>
      <c r="R863" s="71"/>
      <c r="S863" s="71"/>
      <c r="T863" s="71"/>
      <c r="U863" s="71"/>
      <c r="V863" s="71"/>
      <c r="W863" s="71"/>
      <c r="X863" s="71"/>
      <c r="Y863" s="71"/>
      <c r="Z863" s="71"/>
    </row>
    <row r="864" ht="15.75" customHeight="1">
      <c r="A864" s="72"/>
      <c r="B864" s="71"/>
      <c r="C864" s="71"/>
      <c r="D864" s="71"/>
      <c r="E864" s="71"/>
      <c r="F864" s="71"/>
      <c r="G864" s="59"/>
      <c r="H864" s="71"/>
      <c r="I864" s="71"/>
      <c r="J864" s="71"/>
      <c r="K864" s="71"/>
      <c r="L864" s="71"/>
      <c r="M864" s="71"/>
      <c r="N864" s="71"/>
      <c r="O864" s="71"/>
      <c r="P864" s="71"/>
      <c r="Q864" s="71"/>
      <c r="R864" s="71"/>
      <c r="S864" s="71"/>
      <c r="T864" s="71"/>
      <c r="U864" s="71"/>
      <c r="V864" s="71"/>
      <c r="W864" s="71"/>
      <c r="X864" s="71"/>
      <c r="Y864" s="71"/>
      <c r="Z864" s="71"/>
    </row>
    <row r="865" ht="15.75" customHeight="1">
      <c r="A865" s="72"/>
      <c r="B865" s="71"/>
      <c r="C865" s="71"/>
      <c r="D865" s="71"/>
      <c r="E865" s="71"/>
      <c r="F865" s="71"/>
      <c r="G865" s="59"/>
      <c r="H865" s="71"/>
      <c r="I865" s="71"/>
      <c r="J865" s="71"/>
      <c r="K865" s="71"/>
      <c r="L865" s="71"/>
      <c r="M865" s="71"/>
      <c r="N865" s="71"/>
      <c r="O865" s="71"/>
      <c r="P865" s="71"/>
      <c r="Q865" s="71"/>
      <c r="R865" s="71"/>
      <c r="S865" s="71"/>
      <c r="T865" s="71"/>
      <c r="U865" s="71"/>
      <c r="V865" s="71"/>
      <c r="W865" s="71"/>
      <c r="X865" s="71"/>
      <c r="Y865" s="71"/>
      <c r="Z865" s="71"/>
    </row>
    <row r="866" ht="15.75" customHeight="1">
      <c r="A866" s="72"/>
      <c r="B866" s="71"/>
      <c r="C866" s="71"/>
      <c r="D866" s="71"/>
      <c r="E866" s="71"/>
      <c r="F866" s="71"/>
      <c r="G866" s="59"/>
      <c r="H866" s="71"/>
      <c r="I866" s="71"/>
      <c r="J866" s="71"/>
      <c r="K866" s="71"/>
      <c r="L866" s="71"/>
      <c r="M866" s="71"/>
      <c r="N866" s="71"/>
      <c r="O866" s="71"/>
      <c r="P866" s="71"/>
      <c r="Q866" s="71"/>
      <c r="R866" s="71"/>
      <c r="S866" s="71"/>
      <c r="T866" s="71"/>
      <c r="U866" s="71"/>
      <c r="V866" s="71"/>
      <c r="W866" s="71"/>
      <c r="X866" s="71"/>
      <c r="Y866" s="71"/>
      <c r="Z866" s="71"/>
    </row>
    <row r="867" ht="15.75" customHeight="1">
      <c r="A867" s="72"/>
      <c r="B867" s="71"/>
      <c r="C867" s="71"/>
      <c r="D867" s="71"/>
      <c r="E867" s="71"/>
      <c r="F867" s="71"/>
      <c r="G867" s="59"/>
      <c r="H867" s="71"/>
      <c r="I867" s="71"/>
      <c r="J867" s="71"/>
      <c r="K867" s="71"/>
      <c r="L867" s="71"/>
      <c r="M867" s="71"/>
      <c r="N867" s="71"/>
      <c r="O867" s="71"/>
      <c r="P867" s="71"/>
      <c r="Q867" s="71"/>
      <c r="R867" s="71"/>
      <c r="S867" s="71"/>
      <c r="T867" s="71"/>
      <c r="U867" s="71"/>
      <c r="V867" s="71"/>
      <c r="W867" s="71"/>
      <c r="X867" s="71"/>
      <c r="Y867" s="71"/>
      <c r="Z867" s="71"/>
    </row>
    <row r="868" ht="15.75" customHeight="1">
      <c r="A868" s="72"/>
      <c r="B868" s="71"/>
      <c r="C868" s="71"/>
      <c r="D868" s="71"/>
      <c r="E868" s="71"/>
      <c r="F868" s="71"/>
      <c r="G868" s="59"/>
      <c r="H868" s="71"/>
      <c r="I868" s="71"/>
      <c r="J868" s="71"/>
      <c r="K868" s="71"/>
      <c r="L868" s="71"/>
      <c r="M868" s="71"/>
      <c r="N868" s="71"/>
      <c r="O868" s="71"/>
      <c r="P868" s="71"/>
      <c r="Q868" s="71"/>
      <c r="R868" s="71"/>
      <c r="S868" s="71"/>
      <c r="T868" s="71"/>
      <c r="U868" s="71"/>
      <c r="V868" s="71"/>
      <c r="W868" s="71"/>
      <c r="X868" s="71"/>
      <c r="Y868" s="71"/>
      <c r="Z868" s="71"/>
    </row>
    <row r="869" ht="15.75" customHeight="1">
      <c r="A869" s="72"/>
      <c r="B869" s="71"/>
      <c r="C869" s="71"/>
      <c r="D869" s="71"/>
      <c r="E869" s="71"/>
      <c r="F869" s="71"/>
      <c r="G869" s="59"/>
      <c r="H869" s="71"/>
      <c r="I869" s="71"/>
      <c r="J869" s="71"/>
      <c r="K869" s="71"/>
      <c r="L869" s="71"/>
      <c r="M869" s="71"/>
      <c r="N869" s="71"/>
      <c r="O869" s="71"/>
      <c r="P869" s="71"/>
      <c r="Q869" s="71"/>
      <c r="R869" s="71"/>
      <c r="S869" s="71"/>
      <c r="T869" s="71"/>
      <c r="U869" s="71"/>
      <c r="V869" s="71"/>
      <c r="W869" s="71"/>
      <c r="X869" s="71"/>
      <c r="Y869" s="71"/>
      <c r="Z869" s="71"/>
    </row>
    <row r="870" ht="15.75" customHeight="1">
      <c r="A870" s="72"/>
      <c r="B870" s="71"/>
      <c r="C870" s="71"/>
      <c r="D870" s="71"/>
      <c r="E870" s="71"/>
      <c r="F870" s="71"/>
      <c r="G870" s="59"/>
      <c r="H870" s="71"/>
      <c r="I870" s="71"/>
      <c r="J870" s="71"/>
      <c r="K870" s="71"/>
      <c r="L870" s="71"/>
      <c r="M870" s="71"/>
      <c r="N870" s="71"/>
      <c r="O870" s="71"/>
      <c r="P870" s="71"/>
      <c r="Q870" s="71"/>
      <c r="R870" s="71"/>
      <c r="S870" s="71"/>
      <c r="T870" s="71"/>
      <c r="U870" s="71"/>
      <c r="V870" s="71"/>
      <c r="W870" s="71"/>
      <c r="X870" s="71"/>
      <c r="Y870" s="71"/>
      <c r="Z870" s="71"/>
    </row>
    <row r="871" ht="15.75" customHeight="1">
      <c r="A871" s="72"/>
      <c r="B871" s="71"/>
      <c r="C871" s="71"/>
      <c r="D871" s="71"/>
      <c r="E871" s="71"/>
      <c r="F871" s="71"/>
      <c r="G871" s="59"/>
      <c r="H871" s="71"/>
      <c r="I871" s="71"/>
      <c r="J871" s="71"/>
      <c r="K871" s="71"/>
      <c r="L871" s="71"/>
      <c r="M871" s="71"/>
      <c r="N871" s="71"/>
      <c r="O871" s="71"/>
      <c r="P871" s="71"/>
      <c r="Q871" s="71"/>
      <c r="R871" s="71"/>
      <c r="S871" s="71"/>
      <c r="T871" s="71"/>
      <c r="U871" s="71"/>
      <c r="V871" s="71"/>
      <c r="W871" s="71"/>
      <c r="X871" s="71"/>
      <c r="Y871" s="71"/>
      <c r="Z871" s="71"/>
    </row>
    <row r="872" ht="15.75" customHeight="1">
      <c r="A872" s="72"/>
      <c r="B872" s="71"/>
      <c r="C872" s="71"/>
      <c r="D872" s="71"/>
      <c r="E872" s="71"/>
      <c r="F872" s="71"/>
      <c r="G872" s="59"/>
      <c r="H872" s="71"/>
      <c r="I872" s="71"/>
      <c r="J872" s="71"/>
      <c r="K872" s="71"/>
      <c r="L872" s="71"/>
      <c r="M872" s="71"/>
      <c r="N872" s="71"/>
      <c r="O872" s="71"/>
      <c r="P872" s="71"/>
      <c r="Q872" s="71"/>
      <c r="R872" s="71"/>
      <c r="S872" s="71"/>
      <c r="T872" s="71"/>
      <c r="U872" s="71"/>
      <c r="V872" s="71"/>
      <c r="W872" s="71"/>
      <c r="X872" s="71"/>
      <c r="Y872" s="71"/>
      <c r="Z872" s="71"/>
    </row>
    <row r="873" ht="15.75" customHeight="1">
      <c r="A873" s="72"/>
      <c r="B873" s="71"/>
      <c r="C873" s="71"/>
      <c r="D873" s="71"/>
      <c r="E873" s="71"/>
      <c r="F873" s="71"/>
      <c r="G873" s="59"/>
      <c r="H873" s="71"/>
      <c r="I873" s="71"/>
      <c r="J873" s="71"/>
      <c r="K873" s="71"/>
      <c r="L873" s="71"/>
      <c r="M873" s="71"/>
      <c r="N873" s="71"/>
      <c r="O873" s="71"/>
      <c r="P873" s="71"/>
      <c r="Q873" s="71"/>
      <c r="R873" s="71"/>
      <c r="S873" s="71"/>
      <c r="T873" s="71"/>
      <c r="U873" s="71"/>
      <c r="V873" s="71"/>
      <c r="W873" s="71"/>
      <c r="X873" s="71"/>
      <c r="Y873" s="71"/>
      <c r="Z873" s="71"/>
    </row>
    <row r="874" ht="15.75" customHeight="1">
      <c r="A874" s="72"/>
      <c r="B874" s="71"/>
      <c r="C874" s="71"/>
      <c r="D874" s="71"/>
      <c r="E874" s="71"/>
      <c r="F874" s="71"/>
      <c r="G874" s="59"/>
      <c r="H874" s="71"/>
      <c r="I874" s="71"/>
      <c r="J874" s="71"/>
      <c r="K874" s="71"/>
      <c r="L874" s="71"/>
      <c r="M874" s="71"/>
      <c r="N874" s="71"/>
      <c r="O874" s="71"/>
      <c r="P874" s="71"/>
      <c r="Q874" s="71"/>
      <c r="R874" s="71"/>
      <c r="S874" s="71"/>
      <c r="T874" s="71"/>
      <c r="U874" s="71"/>
      <c r="V874" s="71"/>
      <c r="W874" s="71"/>
      <c r="X874" s="71"/>
      <c r="Y874" s="71"/>
      <c r="Z874" s="71"/>
    </row>
    <row r="875" ht="15.75" customHeight="1">
      <c r="A875" s="72"/>
      <c r="B875" s="71"/>
      <c r="C875" s="71"/>
      <c r="D875" s="71"/>
      <c r="E875" s="71"/>
      <c r="F875" s="71"/>
      <c r="G875" s="59"/>
      <c r="H875" s="71"/>
      <c r="I875" s="71"/>
      <c r="J875" s="71"/>
      <c r="K875" s="71"/>
      <c r="L875" s="71"/>
      <c r="M875" s="71"/>
      <c r="N875" s="71"/>
      <c r="O875" s="71"/>
      <c r="P875" s="71"/>
      <c r="Q875" s="71"/>
      <c r="R875" s="71"/>
      <c r="S875" s="71"/>
      <c r="T875" s="71"/>
      <c r="U875" s="71"/>
      <c r="V875" s="71"/>
      <c r="W875" s="71"/>
      <c r="X875" s="71"/>
      <c r="Y875" s="71"/>
      <c r="Z875" s="71"/>
    </row>
    <row r="876" ht="15.75" customHeight="1">
      <c r="A876" s="72"/>
      <c r="B876" s="71"/>
      <c r="C876" s="71"/>
      <c r="D876" s="71"/>
      <c r="E876" s="71"/>
      <c r="F876" s="71"/>
      <c r="G876" s="59"/>
      <c r="H876" s="71"/>
      <c r="I876" s="71"/>
      <c r="J876" s="71"/>
      <c r="K876" s="71"/>
      <c r="L876" s="71"/>
      <c r="M876" s="71"/>
      <c r="N876" s="71"/>
      <c r="O876" s="71"/>
      <c r="P876" s="71"/>
      <c r="Q876" s="71"/>
      <c r="R876" s="71"/>
      <c r="S876" s="71"/>
      <c r="T876" s="71"/>
      <c r="U876" s="71"/>
      <c r="V876" s="71"/>
      <c r="W876" s="71"/>
      <c r="X876" s="71"/>
      <c r="Y876" s="71"/>
      <c r="Z876" s="71"/>
    </row>
    <row r="877" ht="15.75" customHeight="1">
      <c r="A877" s="72"/>
      <c r="B877" s="71"/>
      <c r="C877" s="71"/>
      <c r="D877" s="71"/>
      <c r="E877" s="71"/>
      <c r="F877" s="71"/>
      <c r="G877" s="59"/>
      <c r="H877" s="71"/>
      <c r="I877" s="71"/>
      <c r="J877" s="71"/>
      <c r="K877" s="71"/>
      <c r="L877" s="71"/>
      <c r="M877" s="71"/>
      <c r="N877" s="71"/>
      <c r="O877" s="71"/>
      <c r="P877" s="71"/>
      <c r="Q877" s="71"/>
      <c r="R877" s="71"/>
      <c r="S877" s="71"/>
      <c r="T877" s="71"/>
      <c r="U877" s="71"/>
      <c r="V877" s="71"/>
      <c r="W877" s="71"/>
      <c r="X877" s="71"/>
      <c r="Y877" s="71"/>
      <c r="Z877" s="71"/>
    </row>
    <row r="878" ht="15.75" customHeight="1">
      <c r="A878" s="72"/>
      <c r="B878" s="71"/>
      <c r="C878" s="71"/>
      <c r="D878" s="71"/>
      <c r="E878" s="71"/>
      <c r="F878" s="71"/>
      <c r="G878" s="59"/>
      <c r="H878" s="71"/>
      <c r="I878" s="71"/>
      <c r="J878" s="71"/>
      <c r="K878" s="71"/>
      <c r="L878" s="71"/>
      <c r="M878" s="71"/>
      <c r="N878" s="71"/>
      <c r="O878" s="71"/>
      <c r="P878" s="71"/>
      <c r="Q878" s="71"/>
      <c r="R878" s="71"/>
      <c r="S878" s="71"/>
      <c r="T878" s="71"/>
      <c r="U878" s="71"/>
      <c r="V878" s="71"/>
      <c r="W878" s="71"/>
      <c r="X878" s="71"/>
      <c r="Y878" s="71"/>
      <c r="Z878" s="71"/>
    </row>
    <row r="879" ht="15.75" customHeight="1">
      <c r="A879" s="72"/>
      <c r="B879" s="71"/>
      <c r="C879" s="71"/>
      <c r="D879" s="71"/>
      <c r="E879" s="71"/>
      <c r="F879" s="71"/>
      <c r="G879" s="59"/>
      <c r="H879" s="71"/>
      <c r="I879" s="71"/>
      <c r="J879" s="71"/>
      <c r="K879" s="71"/>
      <c r="L879" s="71"/>
      <c r="M879" s="71"/>
      <c r="N879" s="71"/>
      <c r="O879" s="71"/>
      <c r="P879" s="71"/>
      <c r="Q879" s="71"/>
      <c r="R879" s="71"/>
      <c r="S879" s="71"/>
      <c r="T879" s="71"/>
      <c r="U879" s="71"/>
      <c r="V879" s="71"/>
      <c r="W879" s="71"/>
      <c r="X879" s="71"/>
      <c r="Y879" s="71"/>
      <c r="Z879" s="71"/>
    </row>
    <row r="880" ht="15.75" customHeight="1">
      <c r="A880" s="72"/>
      <c r="B880" s="71"/>
      <c r="C880" s="71"/>
      <c r="D880" s="71"/>
      <c r="E880" s="71"/>
      <c r="F880" s="71"/>
      <c r="G880" s="59"/>
      <c r="H880" s="71"/>
      <c r="I880" s="71"/>
      <c r="J880" s="71"/>
      <c r="K880" s="71"/>
      <c r="L880" s="71"/>
      <c r="M880" s="71"/>
      <c r="N880" s="71"/>
      <c r="O880" s="71"/>
      <c r="P880" s="71"/>
      <c r="Q880" s="71"/>
      <c r="R880" s="71"/>
      <c r="S880" s="71"/>
      <c r="T880" s="71"/>
      <c r="U880" s="71"/>
      <c r="V880" s="71"/>
      <c r="W880" s="71"/>
      <c r="X880" s="71"/>
      <c r="Y880" s="71"/>
      <c r="Z880" s="71"/>
    </row>
    <row r="881" ht="15.75" customHeight="1">
      <c r="A881" s="72"/>
      <c r="B881" s="71"/>
      <c r="C881" s="71"/>
      <c r="D881" s="71"/>
      <c r="E881" s="71"/>
      <c r="F881" s="71"/>
      <c r="G881" s="59"/>
      <c r="H881" s="71"/>
      <c r="I881" s="71"/>
      <c r="J881" s="71"/>
      <c r="K881" s="71"/>
      <c r="L881" s="71"/>
      <c r="M881" s="71"/>
      <c r="N881" s="71"/>
      <c r="O881" s="71"/>
      <c r="P881" s="71"/>
      <c r="Q881" s="71"/>
      <c r="R881" s="71"/>
      <c r="S881" s="71"/>
      <c r="T881" s="71"/>
      <c r="U881" s="71"/>
      <c r="V881" s="71"/>
      <c r="W881" s="71"/>
      <c r="X881" s="71"/>
      <c r="Y881" s="71"/>
      <c r="Z881" s="71"/>
    </row>
    <row r="882" ht="15.75" customHeight="1">
      <c r="A882" s="72"/>
      <c r="B882" s="71"/>
      <c r="C882" s="71"/>
      <c r="D882" s="71"/>
      <c r="E882" s="71"/>
      <c r="F882" s="71"/>
      <c r="G882" s="59"/>
      <c r="H882" s="71"/>
      <c r="I882" s="71"/>
      <c r="J882" s="71"/>
      <c r="K882" s="71"/>
      <c r="L882" s="71"/>
      <c r="M882" s="71"/>
      <c r="N882" s="71"/>
      <c r="O882" s="71"/>
      <c r="P882" s="71"/>
      <c r="Q882" s="71"/>
      <c r="R882" s="71"/>
      <c r="S882" s="71"/>
      <c r="T882" s="71"/>
      <c r="U882" s="71"/>
      <c r="V882" s="71"/>
      <c r="W882" s="71"/>
      <c r="X882" s="71"/>
      <c r="Y882" s="71"/>
      <c r="Z882" s="71"/>
    </row>
    <row r="883" ht="15.75" customHeight="1">
      <c r="A883" s="72"/>
      <c r="B883" s="71"/>
      <c r="C883" s="71"/>
      <c r="D883" s="71"/>
      <c r="E883" s="71"/>
      <c r="F883" s="71"/>
      <c r="G883" s="59"/>
      <c r="H883" s="71"/>
      <c r="I883" s="71"/>
      <c r="J883" s="71"/>
      <c r="K883" s="71"/>
      <c r="L883" s="71"/>
      <c r="M883" s="71"/>
      <c r="N883" s="71"/>
      <c r="O883" s="71"/>
      <c r="P883" s="71"/>
      <c r="Q883" s="71"/>
      <c r="R883" s="71"/>
      <c r="S883" s="71"/>
      <c r="T883" s="71"/>
      <c r="U883" s="71"/>
      <c r="V883" s="71"/>
      <c r="W883" s="71"/>
      <c r="X883" s="71"/>
      <c r="Y883" s="71"/>
      <c r="Z883" s="71"/>
    </row>
    <row r="884" ht="15.75" customHeight="1">
      <c r="A884" s="72"/>
      <c r="B884" s="71"/>
      <c r="C884" s="71"/>
      <c r="D884" s="71"/>
      <c r="E884" s="71"/>
      <c r="F884" s="71"/>
      <c r="G884" s="59"/>
      <c r="H884" s="71"/>
      <c r="I884" s="71"/>
      <c r="J884" s="71"/>
      <c r="K884" s="71"/>
      <c r="L884" s="71"/>
      <c r="M884" s="71"/>
      <c r="N884" s="71"/>
      <c r="O884" s="71"/>
      <c r="P884" s="71"/>
      <c r="Q884" s="71"/>
      <c r="R884" s="71"/>
      <c r="S884" s="71"/>
      <c r="T884" s="71"/>
      <c r="U884" s="71"/>
      <c r="V884" s="71"/>
      <c r="W884" s="71"/>
      <c r="X884" s="71"/>
      <c r="Y884" s="71"/>
      <c r="Z884" s="71"/>
    </row>
    <row r="885" ht="15.75" customHeight="1">
      <c r="A885" s="72"/>
      <c r="B885" s="71"/>
      <c r="C885" s="71"/>
      <c r="D885" s="71"/>
      <c r="E885" s="71"/>
      <c r="F885" s="71"/>
      <c r="G885" s="59"/>
      <c r="H885" s="71"/>
      <c r="I885" s="71"/>
      <c r="J885" s="71"/>
      <c r="K885" s="71"/>
      <c r="L885" s="71"/>
      <c r="M885" s="71"/>
      <c r="N885" s="71"/>
      <c r="O885" s="71"/>
      <c r="P885" s="71"/>
      <c r="Q885" s="71"/>
      <c r="R885" s="71"/>
      <c r="S885" s="71"/>
      <c r="T885" s="71"/>
      <c r="U885" s="71"/>
      <c r="V885" s="71"/>
      <c r="W885" s="71"/>
      <c r="X885" s="71"/>
      <c r="Y885" s="71"/>
      <c r="Z885" s="71"/>
    </row>
    <row r="886" ht="15.75" customHeight="1">
      <c r="A886" s="72"/>
      <c r="B886" s="71"/>
      <c r="C886" s="71"/>
      <c r="D886" s="71"/>
      <c r="E886" s="71"/>
      <c r="F886" s="71"/>
      <c r="G886" s="59"/>
      <c r="H886" s="71"/>
      <c r="I886" s="71"/>
      <c r="J886" s="71"/>
      <c r="K886" s="71"/>
      <c r="L886" s="71"/>
      <c r="M886" s="71"/>
      <c r="N886" s="71"/>
      <c r="O886" s="71"/>
      <c r="P886" s="71"/>
      <c r="Q886" s="71"/>
      <c r="R886" s="71"/>
      <c r="S886" s="71"/>
      <c r="T886" s="71"/>
      <c r="U886" s="71"/>
      <c r="V886" s="71"/>
      <c r="W886" s="71"/>
      <c r="X886" s="71"/>
      <c r="Y886" s="71"/>
      <c r="Z886" s="71"/>
    </row>
    <row r="887" ht="15.75" customHeight="1">
      <c r="A887" s="72"/>
      <c r="B887" s="71"/>
      <c r="C887" s="71"/>
      <c r="D887" s="71"/>
      <c r="E887" s="71"/>
      <c r="F887" s="71"/>
      <c r="G887" s="59"/>
      <c r="H887" s="71"/>
      <c r="I887" s="71"/>
      <c r="J887" s="71"/>
      <c r="K887" s="71"/>
      <c r="L887" s="71"/>
      <c r="M887" s="71"/>
      <c r="N887" s="71"/>
      <c r="O887" s="71"/>
      <c r="P887" s="71"/>
      <c r="Q887" s="71"/>
      <c r="R887" s="71"/>
      <c r="S887" s="71"/>
      <c r="T887" s="71"/>
      <c r="U887" s="71"/>
      <c r="V887" s="71"/>
      <c r="W887" s="71"/>
      <c r="X887" s="71"/>
      <c r="Y887" s="71"/>
      <c r="Z887" s="71"/>
    </row>
    <row r="888" ht="15.75" customHeight="1">
      <c r="A888" s="72"/>
      <c r="B888" s="71"/>
      <c r="C888" s="71"/>
      <c r="D888" s="71"/>
      <c r="E888" s="71"/>
      <c r="F888" s="71"/>
      <c r="G888" s="59"/>
      <c r="H888" s="71"/>
      <c r="I888" s="71"/>
      <c r="J888" s="71"/>
      <c r="K888" s="71"/>
      <c r="L888" s="71"/>
      <c r="M888" s="71"/>
      <c r="N888" s="71"/>
      <c r="O888" s="71"/>
      <c r="P888" s="71"/>
      <c r="Q888" s="71"/>
      <c r="R888" s="71"/>
      <c r="S888" s="71"/>
      <c r="T888" s="71"/>
      <c r="U888" s="71"/>
      <c r="V888" s="71"/>
      <c r="W888" s="71"/>
      <c r="X888" s="71"/>
      <c r="Y888" s="71"/>
      <c r="Z888" s="71"/>
    </row>
    <row r="889" ht="15.75" customHeight="1">
      <c r="A889" s="72"/>
      <c r="B889" s="71"/>
      <c r="C889" s="71"/>
      <c r="D889" s="71"/>
      <c r="E889" s="71"/>
      <c r="F889" s="71"/>
      <c r="G889" s="59"/>
      <c r="H889" s="71"/>
      <c r="I889" s="71"/>
      <c r="J889" s="71"/>
      <c r="K889" s="71"/>
      <c r="L889" s="71"/>
      <c r="M889" s="71"/>
      <c r="N889" s="71"/>
      <c r="O889" s="71"/>
      <c r="P889" s="71"/>
      <c r="Q889" s="71"/>
      <c r="R889" s="71"/>
      <c r="S889" s="71"/>
      <c r="T889" s="71"/>
      <c r="U889" s="71"/>
      <c r="V889" s="71"/>
      <c r="W889" s="71"/>
      <c r="X889" s="71"/>
      <c r="Y889" s="71"/>
      <c r="Z889" s="71"/>
    </row>
    <row r="890" ht="15.75" customHeight="1">
      <c r="A890" s="72"/>
      <c r="B890" s="71"/>
      <c r="C890" s="71"/>
      <c r="D890" s="71"/>
      <c r="E890" s="71"/>
      <c r="F890" s="71"/>
      <c r="G890" s="59"/>
      <c r="H890" s="71"/>
      <c r="I890" s="71"/>
      <c r="J890" s="71"/>
      <c r="K890" s="71"/>
      <c r="L890" s="71"/>
      <c r="M890" s="71"/>
      <c r="N890" s="71"/>
      <c r="O890" s="71"/>
      <c r="P890" s="71"/>
      <c r="Q890" s="71"/>
      <c r="R890" s="71"/>
      <c r="S890" s="71"/>
      <c r="T890" s="71"/>
      <c r="U890" s="71"/>
      <c r="V890" s="71"/>
      <c r="W890" s="71"/>
      <c r="X890" s="71"/>
      <c r="Y890" s="71"/>
      <c r="Z890" s="71"/>
    </row>
    <row r="891" ht="15.75" customHeight="1">
      <c r="A891" s="72"/>
      <c r="B891" s="71"/>
      <c r="C891" s="71"/>
      <c r="D891" s="71"/>
      <c r="E891" s="71"/>
      <c r="F891" s="71"/>
      <c r="G891" s="59"/>
      <c r="H891" s="71"/>
      <c r="I891" s="71"/>
      <c r="J891" s="71"/>
      <c r="K891" s="71"/>
      <c r="L891" s="71"/>
      <c r="M891" s="71"/>
      <c r="N891" s="71"/>
      <c r="O891" s="71"/>
      <c r="P891" s="71"/>
      <c r="Q891" s="71"/>
      <c r="R891" s="71"/>
      <c r="S891" s="71"/>
      <c r="T891" s="71"/>
      <c r="U891" s="71"/>
      <c r="V891" s="71"/>
      <c r="W891" s="71"/>
      <c r="X891" s="71"/>
      <c r="Y891" s="71"/>
      <c r="Z891" s="71"/>
    </row>
    <row r="892" ht="15.75" customHeight="1">
      <c r="A892" s="72"/>
      <c r="B892" s="71"/>
      <c r="C892" s="71"/>
      <c r="D892" s="71"/>
      <c r="E892" s="71"/>
      <c r="F892" s="71"/>
      <c r="G892" s="59"/>
      <c r="H892" s="71"/>
      <c r="I892" s="71"/>
      <c r="J892" s="71"/>
      <c r="K892" s="71"/>
      <c r="L892" s="71"/>
      <c r="M892" s="71"/>
      <c r="N892" s="71"/>
      <c r="O892" s="71"/>
      <c r="P892" s="71"/>
      <c r="Q892" s="71"/>
      <c r="R892" s="71"/>
      <c r="S892" s="71"/>
      <c r="T892" s="71"/>
      <c r="U892" s="71"/>
      <c r="V892" s="71"/>
      <c r="W892" s="71"/>
      <c r="X892" s="71"/>
      <c r="Y892" s="71"/>
      <c r="Z892" s="71"/>
    </row>
    <row r="893" ht="15.75" customHeight="1">
      <c r="A893" s="72"/>
      <c r="B893" s="71"/>
      <c r="C893" s="71"/>
      <c r="D893" s="71"/>
      <c r="E893" s="71"/>
      <c r="F893" s="71"/>
      <c r="G893" s="59"/>
      <c r="H893" s="71"/>
      <c r="I893" s="71"/>
      <c r="J893" s="71"/>
      <c r="K893" s="71"/>
      <c r="L893" s="71"/>
      <c r="M893" s="71"/>
      <c r="N893" s="71"/>
      <c r="O893" s="71"/>
      <c r="P893" s="71"/>
      <c r="Q893" s="71"/>
      <c r="R893" s="71"/>
      <c r="S893" s="71"/>
      <c r="T893" s="71"/>
      <c r="U893" s="71"/>
      <c r="V893" s="71"/>
      <c r="W893" s="71"/>
      <c r="X893" s="71"/>
      <c r="Y893" s="71"/>
      <c r="Z893" s="71"/>
    </row>
    <row r="894" ht="15.75" customHeight="1">
      <c r="A894" s="72"/>
      <c r="B894" s="71"/>
      <c r="C894" s="71"/>
      <c r="D894" s="71"/>
      <c r="E894" s="71"/>
      <c r="F894" s="71"/>
      <c r="G894" s="59"/>
      <c r="H894" s="71"/>
      <c r="I894" s="71"/>
      <c r="J894" s="71"/>
      <c r="K894" s="71"/>
      <c r="L894" s="71"/>
      <c r="M894" s="71"/>
      <c r="N894" s="71"/>
      <c r="O894" s="71"/>
      <c r="P894" s="71"/>
      <c r="Q894" s="71"/>
      <c r="R894" s="71"/>
      <c r="S894" s="71"/>
      <c r="T894" s="71"/>
      <c r="U894" s="71"/>
      <c r="V894" s="71"/>
      <c r="W894" s="71"/>
      <c r="X894" s="71"/>
      <c r="Y894" s="71"/>
      <c r="Z894" s="71"/>
    </row>
    <row r="895" ht="15.75" customHeight="1">
      <c r="A895" s="72"/>
      <c r="B895" s="71"/>
      <c r="C895" s="71"/>
      <c r="D895" s="71"/>
      <c r="E895" s="71"/>
      <c r="F895" s="71"/>
      <c r="G895" s="59"/>
      <c r="H895" s="71"/>
      <c r="I895" s="71"/>
      <c r="J895" s="71"/>
      <c r="K895" s="71"/>
      <c r="L895" s="71"/>
      <c r="M895" s="71"/>
      <c r="N895" s="71"/>
      <c r="O895" s="71"/>
      <c r="P895" s="71"/>
      <c r="Q895" s="71"/>
      <c r="R895" s="71"/>
      <c r="S895" s="71"/>
      <c r="T895" s="71"/>
      <c r="U895" s="71"/>
      <c r="V895" s="71"/>
      <c r="W895" s="71"/>
      <c r="X895" s="71"/>
      <c r="Y895" s="71"/>
      <c r="Z895" s="71"/>
    </row>
    <row r="896" ht="15.75" customHeight="1">
      <c r="A896" s="72"/>
      <c r="B896" s="71"/>
      <c r="C896" s="71"/>
      <c r="D896" s="71"/>
      <c r="E896" s="71"/>
      <c r="F896" s="71"/>
      <c r="G896" s="59"/>
      <c r="H896" s="71"/>
      <c r="I896" s="71"/>
      <c r="J896" s="71"/>
      <c r="K896" s="71"/>
      <c r="L896" s="71"/>
      <c r="M896" s="71"/>
      <c r="N896" s="71"/>
      <c r="O896" s="71"/>
      <c r="P896" s="71"/>
      <c r="Q896" s="71"/>
      <c r="R896" s="71"/>
      <c r="S896" s="71"/>
      <c r="T896" s="71"/>
      <c r="U896" s="71"/>
      <c r="V896" s="71"/>
      <c r="W896" s="71"/>
      <c r="X896" s="71"/>
      <c r="Y896" s="71"/>
      <c r="Z896" s="71"/>
    </row>
    <row r="897" ht="15.75" customHeight="1">
      <c r="A897" s="72"/>
      <c r="B897" s="71"/>
      <c r="C897" s="71"/>
      <c r="D897" s="71"/>
      <c r="E897" s="71"/>
      <c r="F897" s="71"/>
      <c r="G897" s="59"/>
      <c r="H897" s="71"/>
      <c r="I897" s="71"/>
      <c r="J897" s="71"/>
      <c r="K897" s="71"/>
      <c r="L897" s="71"/>
      <c r="M897" s="71"/>
      <c r="N897" s="71"/>
      <c r="O897" s="71"/>
      <c r="P897" s="71"/>
      <c r="Q897" s="71"/>
      <c r="R897" s="71"/>
      <c r="S897" s="71"/>
      <c r="T897" s="71"/>
      <c r="U897" s="71"/>
      <c r="V897" s="71"/>
      <c r="W897" s="71"/>
      <c r="X897" s="71"/>
      <c r="Y897" s="71"/>
      <c r="Z897" s="71"/>
    </row>
    <row r="898" ht="15.75" customHeight="1">
      <c r="A898" s="72"/>
      <c r="B898" s="71"/>
      <c r="C898" s="71"/>
      <c r="D898" s="71"/>
      <c r="E898" s="71"/>
      <c r="F898" s="71"/>
      <c r="G898" s="59"/>
      <c r="H898" s="71"/>
      <c r="I898" s="71"/>
      <c r="J898" s="71"/>
      <c r="K898" s="71"/>
      <c r="L898" s="71"/>
      <c r="M898" s="71"/>
      <c r="N898" s="71"/>
      <c r="O898" s="71"/>
      <c r="P898" s="71"/>
      <c r="Q898" s="71"/>
      <c r="R898" s="71"/>
      <c r="S898" s="71"/>
      <c r="T898" s="71"/>
      <c r="U898" s="71"/>
      <c r="V898" s="71"/>
      <c r="W898" s="71"/>
      <c r="X898" s="71"/>
      <c r="Y898" s="71"/>
      <c r="Z898" s="71"/>
    </row>
    <row r="899" ht="15.75" customHeight="1">
      <c r="A899" s="72"/>
      <c r="B899" s="71"/>
      <c r="C899" s="71"/>
      <c r="D899" s="71"/>
      <c r="E899" s="71"/>
      <c r="F899" s="71"/>
      <c r="G899" s="59"/>
      <c r="H899" s="71"/>
      <c r="I899" s="71"/>
      <c r="J899" s="71"/>
      <c r="K899" s="71"/>
      <c r="L899" s="71"/>
      <c r="M899" s="71"/>
      <c r="N899" s="71"/>
      <c r="O899" s="71"/>
      <c r="P899" s="71"/>
      <c r="Q899" s="71"/>
      <c r="R899" s="71"/>
      <c r="S899" s="71"/>
      <c r="T899" s="71"/>
      <c r="U899" s="71"/>
      <c r="V899" s="71"/>
      <c r="W899" s="71"/>
      <c r="X899" s="71"/>
      <c r="Y899" s="71"/>
      <c r="Z899" s="71"/>
    </row>
    <row r="900" ht="15.75" customHeight="1">
      <c r="A900" s="72"/>
      <c r="B900" s="71"/>
      <c r="C900" s="71"/>
      <c r="D900" s="71"/>
      <c r="E900" s="71"/>
      <c r="F900" s="71"/>
      <c r="G900" s="59"/>
      <c r="H900" s="71"/>
      <c r="I900" s="71"/>
      <c r="J900" s="71"/>
      <c r="K900" s="71"/>
      <c r="L900" s="71"/>
      <c r="M900" s="71"/>
      <c r="N900" s="71"/>
      <c r="O900" s="71"/>
      <c r="P900" s="71"/>
      <c r="Q900" s="71"/>
      <c r="R900" s="71"/>
      <c r="S900" s="71"/>
      <c r="T900" s="71"/>
      <c r="U900" s="71"/>
      <c r="V900" s="71"/>
      <c r="W900" s="71"/>
      <c r="X900" s="71"/>
      <c r="Y900" s="71"/>
      <c r="Z900" s="71"/>
    </row>
    <row r="901" ht="15.75" customHeight="1">
      <c r="A901" s="72"/>
      <c r="B901" s="71"/>
      <c r="C901" s="71"/>
      <c r="D901" s="71"/>
      <c r="E901" s="71"/>
      <c r="F901" s="71"/>
      <c r="G901" s="59"/>
      <c r="H901" s="71"/>
      <c r="I901" s="71"/>
      <c r="J901" s="71"/>
      <c r="K901" s="71"/>
      <c r="L901" s="71"/>
      <c r="M901" s="71"/>
      <c r="N901" s="71"/>
      <c r="O901" s="71"/>
      <c r="P901" s="71"/>
      <c r="Q901" s="71"/>
      <c r="R901" s="71"/>
      <c r="S901" s="71"/>
      <c r="T901" s="71"/>
      <c r="U901" s="71"/>
      <c r="V901" s="71"/>
      <c r="W901" s="71"/>
      <c r="X901" s="71"/>
      <c r="Y901" s="71"/>
      <c r="Z901" s="71"/>
    </row>
    <row r="902" ht="15.75" customHeight="1">
      <c r="A902" s="72"/>
      <c r="B902" s="71"/>
      <c r="C902" s="71"/>
      <c r="D902" s="71"/>
      <c r="E902" s="71"/>
      <c r="F902" s="71"/>
      <c r="G902" s="59"/>
      <c r="H902" s="71"/>
      <c r="I902" s="71"/>
      <c r="J902" s="71"/>
      <c r="K902" s="71"/>
      <c r="L902" s="71"/>
      <c r="M902" s="71"/>
      <c r="N902" s="71"/>
      <c r="O902" s="71"/>
      <c r="P902" s="71"/>
      <c r="Q902" s="71"/>
      <c r="R902" s="71"/>
      <c r="S902" s="71"/>
      <c r="T902" s="71"/>
      <c r="U902" s="71"/>
      <c r="V902" s="71"/>
      <c r="W902" s="71"/>
      <c r="X902" s="71"/>
      <c r="Y902" s="71"/>
      <c r="Z902" s="71"/>
    </row>
    <row r="903" ht="15.75" customHeight="1">
      <c r="A903" s="72"/>
      <c r="B903" s="71"/>
      <c r="C903" s="71"/>
      <c r="D903" s="71"/>
      <c r="E903" s="71"/>
      <c r="F903" s="71"/>
      <c r="G903" s="59"/>
      <c r="H903" s="71"/>
      <c r="I903" s="71"/>
      <c r="J903" s="71"/>
      <c r="K903" s="71"/>
      <c r="L903" s="71"/>
      <c r="M903" s="71"/>
      <c r="N903" s="71"/>
      <c r="O903" s="71"/>
      <c r="P903" s="71"/>
      <c r="Q903" s="71"/>
      <c r="R903" s="71"/>
      <c r="S903" s="71"/>
      <c r="T903" s="71"/>
      <c r="U903" s="71"/>
      <c r="V903" s="71"/>
      <c r="W903" s="71"/>
      <c r="X903" s="71"/>
      <c r="Y903" s="71"/>
      <c r="Z903" s="71"/>
    </row>
    <row r="904" ht="15.75" customHeight="1">
      <c r="A904" s="72"/>
      <c r="B904" s="71"/>
      <c r="C904" s="71"/>
      <c r="D904" s="71"/>
      <c r="E904" s="71"/>
      <c r="F904" s="71"/>
      <c r="G904" s="59"/>
      <c r="H904" s="71"/>
      <c r="I904" s="71"/>
      <c r="J904" s="71"/>
      <c r="K904" s="71"/>
      <c r="L904" s="71"/>
      <c r="M904" s="71"/>
      <c r="N904" s="71"/>
      <c r="O904" s="71"/>
      <c r="P904" s="71"/>
      <c r="Q904" s="71"/>
      <c r="R904" s="71"/>
      <c r="S904" s="71"/>
      <c r="T904" s="71"/>
      <c r="U904" s="71"/>
      <c r="V904" s="71"/>
      <c r="W904" s="71"/>
      <c r="X904" s="71"/>
      <c r="Y904" s="71"/>
      <c r="Z904" s="71"/>
    </row>
    <row r="905" ht="15.75" customHeight="1">
      <c r="A905" s="72"/>
      <c r="B905" s="71"/>
      <c r="C905" s="71"/>
      <c r="D905" s="71"/>
      <c r="E905" s="71"/>
      <c r="F905" s="71"/>
      <c r="G905" s="59"/>
      <c r="H905" s="71"/>
      <c r="I905" s="71"/>
      <c r="J905" s="71"/>
      <c r="K905" s="71"/>
      <c r="L905" s="71"/>
      <c r="M905" s="71"/>
      <c r="N905" s="71"/>
      <c r="O905" s="71"/>
      <c r="P905" s="71"/>
      <c r="Q905" s="71"/>
      <c r="R905" s="71"/>
      <c r="S905" s="71"/>
      <c r="T905" s="71"/>
      <c r="U905" s="71"/>
      <c r="V905" s="71"/>
      <c r="W905" s="71"/>
      <c r="X905" s="71"/>
      <c r="Y905" s="71"/>
      <c r="Z905" s="71"/>
    </row>
    <row r="906" ht="15.75" customHeight="1">
      <c r="A906" s="72"/>
      <c r="B906" s="71"/>
      <c r="C906" s="71"/>
      <c r="D906" s="71"/>
      <c r="E906" s="71"/>
      <c r="F906" s="71"/>
      <c r="G906" s="59"/>
      <c r="H906" s="71"/>
      <c r="I906" s="71"/>
      <c r="J906" s="71"/>
      <c r="K906" s="71"/>
      <c r="L906" s="71"/>
      <c r="M906" s="71"/>
      <c r="N906" s="71"/>
      <c r="O906" s="71"/>
      <c r="P906" s="71"/>
      <c r="Q906" s="71"/>
      <c r="R906" s="71"/>
      <c r="S906" s="71"/>
      <c r="T906" s="71"/>
      <c r="U906" s="71"/>
      <c r="V906" s="71"/>
      <c r="W906" s="71"/>
      <c r="X906" s="71"/>
      <c r="Y906" s="71"/>
      <c r="Z906" s="71"/>
    </row>
    <row r="907" ht="15.75" customHeight="1">
      <c r="A907" s="72"/>
      <c r="B907" s="71"/>
      <c r="C907" s="71"/>
      <c r="D907" s="71"/>
      <c r="E907" s="71"/>
      <c r="F907" s="71"/>
      <c r="G907" s="59"/>
      <c r="H907" s="71"/>
      <c r="I907" s="71"/>
      <c r="J907" s="71"/>
      <c r="K907" s="71"/>
      <c r="L907" s="71"/>
      <c r="M907" s="71"/>
      <c r="N907" s="71"/>
      <c r="O907" s="71"/>
      <c r="P907" s="71"/>
      <c r="Q907" s="71"/>
      <c r="R907" s="71"/>
      <c r="S907" s="71"/>
      <c r="T907" s="71"/>
      <c r="U907" s="71"/>
      <c r="V907" s="71"/>
      <c r="W907" s="71"/>
      <c r="X907" s="71"/>
      <c r="Y907" s="71"/>
      <c r="Z907" s="71"/>
    </row>
    <row r="908" ht="15.75" customHeight="1">
      <c r="A908" s="72"/>
      <c r="B908" s="71"/>
      <c r="C908" s="71"/>
      <c r="D908" s="71"/>
      <c r="E908" s="71"/>
      <c r="F908" s="71"/>
      <c r="G908" s="59"/>
      <c r="H908" s="71"/>
      <c r="I908" s="71"/>
      <c r="J908" s="71"/>
      <c r="K908" s="71"/>
      <c r="L908" s="71"/>
      <c r="M908" s="71"/>
      <c r="N908" s="71"/>
      <c r="O908" s="71"/>
      <c r="P908" s="71"/>
      <c r="Q908" s="71"/>
      <c r="R908" s="71"/>
      <c r="S908" s="71"/>
      <c r="T908" s="71"/>
      <c r="U908" s="71"/>
      <c r="V908" s="71"/>
      <c r="W908" s="71"/>
      <c r="X908" s="71"/>
      <c r="Y908" s="71"/>
      <c r="Z908" s="71"/>
    </row>
    <row r="909" ht="15.75" customHeight="1">
      <c r="A909" s="72"/>
      <c r="B909" s="71"/>
      <c r="C909" s="71"/>
      <c r="D909" s="71"/>
      <c r="E909" s="71"/>
      <c r="F909" s="71"/>
      <c r="G909" s="59"/>
      <c r="H909" s="71"/>
      <c r="I909" s="71"/>
      <c r="J909" s="71"/>
      <c r="K909" s="71"/>
      <c r="L909" s="71"/>
      <c r="M909" s="71"/>
      <c r="N909" s="71"/>
      <c r="O909" s="71"/>
      <c r="P909" s="71"/>
      <c r="Q909" s="71"/>
      <c r="R909" s="71"/>
      <c r="S909" s="71"/>
      <c r="T909" s="71"/>
      <c r="U909" s="71"/>
      <c r="V909" s="71"/>
      <c r="W909" s="71"/>
      <c r="X909" s="71"/>
      <c r="Y909" s="71"/>
      <c r="Z909" s="71"/>
    </row>
    <row r="910" ht="15.75" customHeight="1">
      <c r="A910" s="72"/>
      <c r="B910" s="71"/>
      <c r="C910" s="71"/>
      <c r="D910" s="71"/>
      <c r="E910" s="71"/>
      <c r="F910" s="71"/>
      <c r="G910" s="59"/>
      <c r="H910" s="71"/>
      <c r="I910" s="71"/>
      <c r="J910" s="71"/>
      <c r="K910" s="71"/>
      <c r="L910" s="71"/>
      <c r="M910" s="71"/>
      <c r="N910" s="71"/>
      <c r="O910" s="71"/>
      <c r="P910" s="71"/>
      <c r="Q910" s="71"/>
      <c r="R910" s="71"/>
      <c r="S910" s="71"/>
      <c r="T910" s="71"/>
      <c r="U910" s="71"/>
      <c r="V910" s="71"/>
      <c r="W910" s="71"/>
      <c r="X910" s="71"/>
      <c r="Y910" s="71"/>
      <c r="Z910" s="71"/>
    </row>
    <row r="911" ht="15.75" customHeight="1">
      <c r="A911" s="72"/>
      <c r="B911" s="71"/>
      <c r="C911" s="71"/>
      <c r="D911" s="71"/>
      <c r="E911" s="71"/>
      <c r="F911" s="71"/>
      <c r="G911" s="59"/>
      <c r="H911" s="71"/>
      <c r="I911" s="71"/>
      <c r="J911" s="71"/>
      <c r="K911" s="71"/>
      <c r="L911" s="71"/>
      <c r="M911" s="71"/>
      <c r="N911" s="71"/>
      <c r="O911" s="71"/>
      <c r="P911" s="71"/>
      <c r="Q911" s="71"/>
      <c r="R911" s="71"/>
      <c r="S911" s="71"/>
      <c r="T911" s="71"/>
      <c r="U911" s="71"/>
      <c r="V911" s="71"/>
      <c r="W911" s="71"/>
      <c r="X911" s="71"/>
      <c r="Y911" s="71"/>
      <c r="Z911" s="71"/>
    </row>
    <row r="912" ht="15.75" customHeight="1">
      <c r="A912" s="72"/>
      <c r="B912" s="71"/>
      <c r="C912" s="71"/>
      <c r="D912" s="71"/>
      <c r="E912" s="71"/>
      <c r="F912" s="71"/>
      <c r="G912" s="59"/>
      <c r="H912" s="71"/>
      <c r="I912" s="71"/>
      <c r="J912" s="71"/>
      <c r="K912" s="71"/>
      <c r="L912" s="71"/>
      <c r="M912" s="71"/>
      <c r="N912" s="71"/>
      <c r="O912" s="71"/>
      <c r="P912" s="71"/>
      <c r="Q912" s="71"/>
      <c r="R912" s="71"/>
      <c r="S912" s="71"/>
      <c r="T912" s="71"/>
      <c r="U912" s="71"/>
      <c r="V912" s="71"/>
      <c r="W912" s="71"/>
      <c r="X912" s="71"/>
      <c r="Y912" s="71"/>
      <c r="Z912" s="71"/>
    </row>
    <row r="913" ht="15.75" customHeight="1">
      <c r="A913" s="72"/>
      <c r="B913" s="71"/>
      <c r="C913" s="71"/>
      <c r="D913" s="71"/>
      <c r="E913" s="71"/>
      <c r="F913" s="71"/>
      <c r="G913" s="59"/>
      <c r="H913" s="71"/>
      <c r="I913" s="71"/>
      <c r="J913" s="71"/>
      <c r="K913" s="71"/>
      <c r="L913" s="71"/>
      <c r="M913" s="71"/>
      <c r="N913" s="71"/>
      <c r="O913" s="71"/>
      <c r="P913" s="71"/>
      <c r="Q913" s="71"/>
      <c r="R913" s="71"/>
      <c r="S913" s="71"/>
      <c r="T913" s="71"/>
      <c r="U913" s="71"/>
      <c r="V913" s="71"/>
      <c r="W913" s="71"/>
      <c r="X913" s="71"/>
      <c r="Y913" s="71"/>
      <c r="Z913" s="71"/>
    </row>
    <row r="914" ht="15.75" customHeight="1">
      <c r="A914" s="72"/>
      <c r="B914" s="71"/>
      <c r="C914" s="71"/>
      <c r="D914" s="71"/>
      <c r="E914" s="71"/>
      <c r="F914" s="71"/>
      <c r="G914" s="59"/>
      <c r="H914" s="71"/>
      <c r="I914" s="71"/>
      <c r="J914" s="71"/>
      <c r="K914" s="71"/>
      <c r="L914" s="71"/>
      <c r="M914" s="71"/>
      <c r="N914" s="71"/>
      <c r="O914" s="71"/>
      <c r="P914" s="71"/>
      <c r="Q914" s="71"/>
      <c r="R914" s="71"/>
      <c r="S914" s="71"/>
      <c r="T914" s="71"/>
      <c r="U914" s="71"/>
      <c r="V914" s="71"/>
      <c r="W914" s="71"/>
      <c r="X914" s="71"/>
      <c r="Y914" s="71"/>
      <c r="Z914" s="71"/>
    </row>
    <row r="915" ht="15.75" customHeight="1">
      <c r="A915" s="72"/>
      <c r="B915" s="71"/>
      <c r="C915" s="71"/>
      <c r="D915" s="71"/>
      <c r="E915" s="71"/>
      <c r="F915" s="71"/>
      <c r="G915" s="59"/>
      <c r="H915" s="71"/>
      <c r="I915" s="71"/>
      <c r="J915" s="71"/>
      <c r="K915" s="71"/>
      <c r="L915" s="71"/>
      <c r="M915" s="71"/>
      <c r="N915" s="71"/>
      <c r="O915" s="71"/>
      <c r="P915" s="71"/>
      <c r="Q915" s="71"/>
      <c r="R915" s="71"/>
      <c r="S915" s="71"/>
      <c r="T915" s="71"/>
      <c r="U915" s="71"/>
      <c r="V915" s="71"/>
      <c r="W915" s="71"/>
      <c r="X915" s="71"/>
      <c r="Y915" s="71"/>
      <c r="Z915" s="71"/>
    </row>
    <row r="916" ht="15.75" customHeight="1">
      <c r="A916" s="72"/>
      <c r="B916" s="71"/>
      <c r="C916" s="71"/>
      <c r="D916" s="71"/>
      <c r="E916" s="71"/>
      <c r="F916" s="71"/>
      <c r="G916" s="59"/>
      <c r="H916" s="71"/>
      <c r="I916" s="71"/>
      <c r="J916" s="71"/>
      <c r="K916" s="71"/>
      <c r="L916" s="71"/>
      <c r="M916" s="71"/>
      <c r="N916" s="71"/>
      <c r="O916" s="71"/>
      <c r="P916" s="71"/>
      <c r="Q916" s="71"/>
      <c r="R916" s="71"/>
      <c r="S916" s="71"/>
      <c r="T916" s="71"/>
      <c r="U916" s="71"/>
      <c r="V916" s="71"/>
      <c r="W916" s="71"/>
      <c r="X916" s="71"/>
      <c r="Y916" s="71"/>
      <c r="Z916" s="71"/>
    </row>
    <row r="917" ht="15.75" customHeight="1">
      <c r="A917" s="72"/>
      <c r="B917" s="71"/>
      <c r="C917" s="71"/>
      <c r="D917" s="71"/>
      <c r="E917" s="71"/>
      <c r="F917" s="71"/>
      <c r="G917" s="59"/>
      <c r="H917" s="71"/>
      <c r="I917" s="71"/>
      <c r="J917" s="71"/>
      <c r="K917" s="71"/>
      <c r="L917" s="71"/>
      <c r="M917" s="71"/>
      <c r="N917" s="71"/>
      <c r="O917" s="71"/>
      <c r="P917" s="71"/>
      <c r="Q917" s="71"/>
      <c r="R917" s="71"/>
      <c r="S917" s="71"/>
      <c r="T917" s="71"/>
      <c r="U917" s="71"/>
      <c r="V917" s="71"/>
      <c r="W917" s="71"/>
      <c r="X917" s="71"/>
      <c r="Y917" s="71"/>
      <c r="Z917" s="71"/>
    </row>
    <row r="918" ht="15.75" customHeight="1">
      <c r="A918" s="72"/>
      <c r="B918" s="71"/>
      <c r="C918" s="71"/>
      <c r="D918" s="71"/>
      <c r="E918" s="71"/>
      <c r="F918" s="71"/>
      <c r="G918" s="59"/>
      <c r="H918" s="71"/>
      <c r="I918" s="71"/>
      <c r="J918" s="71"/>
      <c r="K918" s="71"/>
      <c r="L918" s="71"/>
      <c r="M918" s="71"/>
      <c r="N918" s="71"/>
      <c r="O918" s="71"/>
      <c r="P918" s="71"/>
      <c r="Q918" s="71"/>
      <c r="R918" s="71"/>
      <c r="S918" s="71"/>
      <c r="T918" s="71"/>
      <c r="U918" s="71"/>
      <c r="V918" s="71"/>
      <c r="W918" s="71"/>
      <c r="X918" s="71"/>
      <c r="Y918" s="71"/>
      <c r="Z918" s="71"/>
    </row>
    <row r="919" ht="15.75" customHeight="1">
      <c r="A919" s="72"/>
      <c r="B919" s="71"/>
      <c r="C919" s="71"/>
      <c r="D919" s="71"/>
      <c r="E919" s="71"/>
      <c r="F919" s="71"/>
      <c r="G919" s="59"/>
      <c r="H919" s="71"/>
      <c r="I919" s="71"/>
      <c r="J919" s="71"/>
      <c r="K919" s="71"/>
      <c r="L919" s="71"/>
      <c r="M919" s="71"/>
      <c r="N919" s="71"/>
      <c r="O919" s="71"/>
      <c r="P919" s="71"/>
      <c r="Q919" s="71"/>
      <c r="R919" s="71"/>
      <c r="S919" s="71"/>
      <c r="T919" s="71"/>
      <c r="U919" s="71"/>
      <c r="V919" s="71"/>
      <c r="W919" s="71"/>
      <c r="X919" s="71"/>
      <c r="Y919" s="71"/>
      <c r="Z919" s="71"/>
    </row>
    <row r="920" ht="15.75" customHeight="1">
      <c r="A920" s="72"/>
      <c r="B920" s="71"/>
      <c r="C920" s="71"/>
      <c r="D920" s="71"/>
      <c r="E920" s="71"/>
      <c r="F920" s="71"/>
      <c r="G920" s="59"/>
      <c r="H920" s="71"/>
      <c r="I920" s="71"/>
      <c r="J920" s="71"/>
      <c r="K920" s="71"/>
      <c r="L920" s="71"/>
      <c r="M920" s="71"/>
      <c r="N920" s="71"/>
      <c r="O920" s="71"/>
      <c r="P920" s="71"/>
      <c r="Q920" s="71"/>
      <c r="R920" s="71"/>
      <c r="S920" s="71"/>
      <c r="T920" s="71"/>
      <c r="U920" s="71"/>
      <c r="V920" s="71"/>
      <c r="W920" s="71"/>
      <c r="X920" s="71"/>
      <c r="Y920" s="71"/>
      <c r="Z920" s="71"/>
    </row>
    <row r="921" ht="15.75" customHeight="1">
      <c r="A921" s="72"/>
      <c r="B921" s="71"/>
      <c r="C921" s="71"/>
      <c r="D921" s="71"/>
      <c r="E921" s="71"/>
      <c r="F921" s="71"/>
      <c r="G921" s="59"/>
      <c r="H921" s="71"/>
      <c r="I921" s="71"/>
      <c r="J921" s="71"/>
      <c r="K921" s="71"/>
      <c r="L921" s="71"/>
      <c r="M921" s="71"/>
      <c r="N921" s="71"/>
      <c r="O921" s="71"/>
      <c r="P921" s="71"/>
      <c r="Q921" s="71"/>
      <c r="R921" s="71"/>
      <c r="S921" s="71"/>
      <c r="T921" s="71"/>
      <c r="U921" s="71"/>
      <c r="V921" s="71"/>
      <c r="W921" s="71"/>
      <c r="X921" s="71"/>
      <c r="Y921" s="71"/>
      <c r="Z921" s="71"/>
    </row>
    <row r="922" ht="15.75" customHeight="1">
      <c r="A922" s="72"/>
      <c r="B922" s="71"/>
      <c r="C922" s="71"/>
      <c r="D922" s="71"/>
      <c r="E922" s="71"/>
      <c r="F922" s="71"/>
      <c r="G922" s="59"/>
      <c r="H922" s="71"/>
      <c r="I922" s="71"/>
      <c r="J922" s="71"/>
      <c r="K922" s="71"/>
      <c r="L922" s="71"/>
      <c r="M922" s="71"/>
      <c r="N922" s="71"/>
      <c r="O922" s="71"/>
      <c r="P922" s="71"/>
      <c r="Q922" s="71"/>
      <c r="R922" s="71"/>
      <c r="S922" s="71"/>
      <c r="T922" s="71"/>
      <c r="U922" s="71"/>
      <c r="V922" s="71"/>
      <c r="W922" s="71"/>
      <c r="X922" s="71"/>
      <c r="Y922" s="71"/>
      <c r="Z922" s="71"/>
    </row>
    <row r="923" ht="15.75" customHeight="1">
      <c r="A923" s="72"/>
      <c r="B923" s="71"/>
      <c r="C923" s="71"/>
      <c r="D923" s="71"/>
      <c r="E923" s="71"/>
      <c r="F923" s="71"/>
      <c r="G923" s="59"/>
      <c r="H923" s="71"/>
      <c r="I923" s="71"/>
      <c r="J923" s="71"/>
      <c r="K923" s="71"/>
      <c r="L923" s="71"/>
      <c r="M923" s="71"/>
      <c r="N923" s="71"/>
      <c r="O923" s="71"/>
      <c r="P923" s="71"/>
      <c r="Q923" s="71"/>
      <c r="R923" s="71"/>
      <c r="S923" s="71"/>
      <c r="T923" s="71"/>
      <c r="U923" s="71"/>
      <c r="V923" s="71"/>
      <c r="W923" s="71"/>
      <c r="X923" s="71"/>
      <c r="Y923" s="71"/>
      <c r="Z923" s="71"/>
    </row>
    <row r="924" ht="15.75" customHeight="1">
      <c r="A924" s="72"/>
      <c r="B924" s="71"/>
      <c r="C924" s="71"/>
      <c r="D924" s="71"/>
      <c r="E924" s="71"/>
      <c r="F924" s="71"/>
      <c r="G924" s="59"/>
      <c r="H924" s="71"/>
      <c r="I924" s="71"/>
      <c r="J924" s="71"/>
      <c r="K924" s="71"/>
      <c r="L924" s="71"/>
      <c r="M924" s="71"/>
      <c r="N924" s="71"/>
      <c r="O924" s="71"/>
      <c r="P924" s="71"/>
      <c r="Q924" s="71"/>
      <c r="R924" s="71"/>
      <c r="S924" s="71"/>
      <c r="T924" s="71"/>
      <c r="U924" s="71"/>
      <c r="V924" s="71"/>
      <c r="W924" s="71"/>
      <c r="X924" s="71"/>
      <c r="Y924" s="71"/>
      <c r="Z924" s="71"/>
    </row>
    <row r="925" ht="15.75" customHeight="1">
      <c r="A925" s="72"/>
      <c r="B925" s="71"/>
      <c r="C925" s="71"/>
      <c r="D925" s="71"/>
      <c r="E925" s="71"/>
      <c r="F925" s="71"/>
      <c r="G925" s="59"/>
      <c r="H925" s="71"/>
      <c r="I925" s="71"/>
      <c r="J925" s="71"/>
      <c r="K925" s="71"/>
      <c r="L925" s="71"/>
      <c r="M925" s="71"/>
      <c r="N925" s="71"/>
      <c r="O925" s="71"/>
      <c r="P925" s="71"/>
      <c r="Q925" s="71"/>
      <c r="R925" s="71"/>
      <c r="S925" s="71"/>
      <c r="T925" s="71"/>
      <c r="U925" s="71"/>
      <c r="V925" s="71"/>
      <c r="W925" s="71"/>
      <c r="X925" s="71"/>
      <c r="Y925" s="71"/>
      <c r="Z925" s="71"/>
    </row>
    <row r="926" ht="15.75" customHeight="1">
      <c r="A926" s="72"/>
      <c r="B926" s="71"/>
      <c r="C926" s="71"/>
      <c r="D926" s="71"/>
      <c r="E926" s="71"/>
      <c r="F926" s="71"/>
      <c r="G926" s="59"/>
      <c r="H926" s="71"/>
      <c r="I926" s="71"/>
      <c r="J926" s="71"/>
      <c r="K926" s="71"/>
      <c r="L926" s="71"/>
      <c r="M926" s="71"/>
      <c r="N926" s="71"/>
      <c r="O926" s="71"/>
      <c r="P926" s="71"/>
      <c r="Q926" s="71"/>
      <c r="R926" s="71"/>
      <c r="S926" s="71"/>
      <c r="T926" s="71"/>
      <c r="U926" s="71"/>
      <c r="V926" s="71"/>
      <c r="W926" s="71"/>
      <c r="X926" s="71"/>
      <c r="Y926" s="71"/>
      <c r="Z926" s="71"/>
    </row>
    <row r="927" ht="15.75" customHeight="1">
      <c r="A927" s="72"/>
      <c r="B927" s="71"/>
      <c r="C927" s="71"/>
      <c r="D927" s="71"/>
      <c r="E927" s="71"/>
      <c r="F927" s="71"/>
      <c r="G927" s="59"/>
      <c r="H927" s="71"/>
      <c r="I927" s="71"/>
      <c r="J927" s="71"/>
      <c r="K927" s="71"/>
      <c r="L927" s="71"/>
      <c r="M927" s="71"/>
      <c r="N927" s="71"/>
      <c r="O927" s="71"/>
      <c r="P927" s="71"/>
      <c r="Q927" s="71"/>
      <c r="R927" s="71"/>
      <c r="S927" s="71"/>
      <c r="T927" s="71"/>
      <c r="U927" s="71"/>
      <c r="V927" s="71"/>
      <c r="W927" s="71"/>
      <c r="X927" s="71"/>
      <c r="Y927" s="71"/>
      <c r="Z927" s="71"/>
    </row>
    <row r="928" ht="15.75" customHeight="1">
      <c r="A928" s="72"/>
      <c r="B928" s="71"/>
      <c r="C928" s="71"/>
      <c r="D928" s="71"/>
      <c r="E928" s="71"/>
      <c r="F928" s="71"/>
      <c r="G928" s="59"/>
      <c r="H928" s="71"/>
      <c r="I928" s="71"/>
      <c r="J928" s="71"/>
      <c r="K928" s="71"/>
      <c r="L928" s="71"/>
      <c r="M928" s="71"/>
      <c r="N928" s="71"/>
      <c r="O928" s="71"/>
      <c r="P928" s="71"/>
      <c r="Q928" s="71"/>
      <c r="R928" s="71"/>
      <c r="S928" s="71"/>
      <c r="T928" s="71"/>
      <c r="U928" s="71"/>
      <c r="V928" s="71"/>
      <c r="W928" s="71"/>
      <c r="X928" s="71"/>
      <c r="Y928" s="71"/>
      <c r="Z928" s="71"/>
    </row>
    <row r="929" ht="15.75" customHeight="1">
      <c r="A929" s="72"/>
      <c r="B929" s="71"/>
      <c r="C929" s="71"/>
      <c r="D929" s="71"/>
      <c r="E929" s="71"/>
      <c r="F929" s="71"/>
      <c r="G929" s="59"/>
      <c r="H929" s="71"/>
      <c r="I929" s="71"/>
      <c r="J929" s="71"/>
      <c r="K929" s="71"/>
      <c r="L929" s="71"/>
      <c r="M929" s="71"/>
      <c r="N929" s="71"/>
      <c r="O929" s="71"/>
      <c r="P929" s="71"/>
      <c r="Q929" s="71"/>
      <c r="R929" s="71"/>
      <c r="S929" s="71"/>
      <c r="T929" s="71"/>
      <c r="U929" s="71"/>
      <c r="V929" s="71"/>
      <c r="W929" s="71"/>
      <c r="X929" s="71"/>
      <c r="Y929" s="71"/>
      <c r="Z929" s="71"/>
    </row>
    <row r="930" ht="15.75" customHeight="1">
      <c r="A930" s="72"/>
      <c r="B930" s="71"/>
      <c r="C930" s="71"/>
      <c r="D930" s="71"/>
      <c r="E930" s="71"/>
      <c r="F930" s="71"/>
      <c r="G930" s="59"/>
      <c r="H930" s="71"/>
      <c r="I930" s="71"/>
      <c r="J930" s="71"/>
      <c r="K930" s="71"/>
      <c r="L930" s="71"/>
      <c r="M930" s="71"/>
      <c r="N930" s="71"/>
      <c r="O930" s="71"/>
      <c r="P930" s="71"/>
      <c r="Q930" s="71"/>
      <c r="R930" s="71"/>
      <c r="S930" s="71"/>
      <c r="T930" s="71"/>
      <c r="U930" s="71"/>
      <c r="V930" s="71"/>
      <c r="W930" s="71"/>
      <c r="X930" s="71"/>
      <c r="Y930" s="71"/>
      <c r="Z930" s="71"/>
    </row>
    <row r="931" ht="15.75" customHeight="1">
      <c r="A931" s="72"/>
      <c r="B931" s="71"/>
      <c r="C931" s="71"/>
      <c r="D931" s="71"/>
      <c r="E931" s="71"/>
      <c r="F931" s="71"/>
      <c r="G931" s="59"/>
      <c r="H931" s="71"/>
      <c r="I931" s="71"/>
      <c r="J931" s="71"/>
      <c r="K931" s="71"/>
      <c r="L931" s="71"/>
      <c r="M931" s="71"/>
      <c r="N931" s="71"/>
      <c r="O931" s="71"/>
      <c r="P931" s="71"/>
      <c r="Q931" s="71"/>
      <c r="R931" s="71"/>
      <c r="S931" s="71"/>
      <c r="T931" s="71"/>
      <c r="U931" s="71"/>
      <c r="V931" s="71"/>
      <c r="W931" s="71"/>
      <c r="X931" s="71"/>
      <c r="Y931" s="71"/>
      <c r="Z931" s="71"/>
    </row>
    <row r="932" ht="15.75" customHeight="1">
      <c r="A932" s="72"/>
      <c r="B932" s="71"/>
      <c r="C932" s="71"/>
      <c r="D932" s="71"/>
      <c r="E932" s="71"/>
      <c r="F932" s="71"/>
      <c r="G932" s="59"/>
      <c r="H932" s="71"/>
      <c r="I932" s="71"/>
      <c r="J932" s="71"/>
      <c r="K932" s="71"/>
      <c r="L932" s="71"/>
      <c r="M932" s="71"/>
      <c r="N932" s="71"/>
      <c r="O932" s="71"/>
      <c r="P932" s="71"/>
      <c r="Q932" s="71"/>
      <c r="R932" s="71"/>
      <c r="S932" s="71"/>
      <c r="T932" s="71"/>
      <c r="U932" s="71"/>
      <c r="V932" s="71"/>
      <c r="W932" s="71"/>
      <c r="X932" s="71"/>
      <c r="Y932" s="71"/>
      <c r="Z932" s="71"/>
    </row>
    <row r="933" ht="15.75" customHeight="1">
      <c r="A933" s="72"/>
      <c r="B933" s="71"/>
      <c r="C933" s="71"/>
      <c r="D933" s="71"/>
      <c r="E933" s="71"/>
      <c r="F933" s="71"/>
      <c r="G933" s="59"/>
      <c r="H933" s="71"/>
      <c r="I933" s="71"/>
      <c r="J933" s="71"/>
      <c r="K933" s="71"/>
      <c r="L933" s="71"/>
      <c r="M933" s="71"/>
      <c r="N933" s="71"/>
      <c r="O933" s="71"/>
      <c r="P933" s="71"/>
      <c r="Q933" s="71"/>
      <c r="R933" s="71"/>
      <c r="S933" s="71"/>
      <c r="T933" s="71"/>
      <c r="U933" s="71"/>
      <c r="V933" s="71"/>
      <c r="W933" s="71"/>
      <c r="X933" s="71"/>
      <c r="Y933" s="71"/>
      <c r="Z933" s="71"/>
    </row>
    <row r="934" ht="15.75" customHeight="1">
      <c r="A934" s="72"/>
      <c r="B934" s="71"/>
      <c r="C934" s="71"/>
      <c r="D934" s="71"/>
      <c r="E934" s="71"/>
      <c r="F934" s="71"/>
      <c r="G934" s="59"/>
      <c r="H934" s="71"/>
      <c r="I934" s="71"/>
      <c r="J934" s="71"/>
      <c r="K934" s="71"/>
      <c r="L934" s="71"/>
      <c r="M934" s="71"/>
      <c r="N934" s="71"/>
      <c r="O934" s="71"/>
      <c r="P934" s="71"/>
      <c r="Q934" s="71"/>
      <c r="R934" s="71"/>
      <c r="S934" s="71"/>
      <c r="T934" s="71"/>
      <c r="U934" s="71"/>
      <c r="V934" s="71"/>
      <c r="W934" s="71"/>
      <c r="X934" s="71"/>
      <c r="Y934" s="71"/>
      <c r="Z934" s="71"/>
    </row>
    <row r="935" ht="15.75" customHeight="1">
      <c r="A935" s="72"/>
      <c r="B935" s="71"/>
      <c r="C935" s="71"/>
      <c r="D935" s="71"/>
      <c r="E935" s="71"/>
      <c r="F935" s="71"/>
      <c r="G935" s="59"/>
      <c r="H935" s="71"/>
      <c r="I935" s="71"/>
      <c r="J935" s="71"/>
      <c r="K935" s="71"/>
      <c r="L935" s="71"/>
      <c r="M935" s="71"/>
      <c r="N935" s="71"/>
      <c r="O935" s="71"/>
      <c r="P935" s="71"/>
      <c r="Q935" s="71"/>
      <c r="R935" s="71"/>
      <c r="S935" s="71"/>
      <c r="T935" s="71"/>
      <c r="U935" s="71"/>
      <c r="V935" s="71"/>
      <c r="W935" s="71"/>
      <c r="X935" s="71"/>
      <c r="Y935" s="71"/>
      <c r="Z935" s="71"/>
    </row>
    <row r="936" ht="15.75" customHeight="1">
      <c r="A936" s="72"/>
      <c r="B936" s="71"/>
      <c r="C936" s="71"/>
      <c r="D936" s="71"/>
      <c r="E936" s="71"/>
      <c r="F936" s="71"/>
      <c r="G936" s="59"/>
      <c r="H936" s="71"/>
      <c r="I936" s="71"/>
      <c r="J936" s="71"/>
      <c r="K936" s="71"/>
      <c r="L936" s="71"/>
      <c r="M936" s="71"/>
      <c r="N936" s="71"/>
      <c r="O936" s="71"/>
      <c r="P936" s="71"/>
      <c r="Q936" s="71"/>
      <c r="R936" s="71"/>
      <c r="S936" s="71"/>
      <c r="T936" s="71"/>
      <c r="U936" s="71"/>
      <c r="V936" s="71"/>
      <c r="W936" s="71"/>
      <c r="X936" s="71"/>
      <c r="Y936" s="71"/>
      <c r="Z936" s="71"/>
    </row>
    <row r="937" ht="15.75" customHeight="1">
      <c r="A937" s="72"/>
      <c r="B937" s="71"/>
      <c r="C937" s="71"/>
      <c r="D937" s="71"/>
      <c r="E937" s="71"/>
      <c r="F937" s="71"/>
      <c r="G937" s="59"/>
      <c r="H937" s="71"/>
      <c r="I937" s="71"/>
      <c r="J937" s="71"/>
      <c r="K937" s="71"/>
      <c r="L937" s="71"/>
      <c r="M937" s="71"/>
      <c r="N937" s="71"/>
      <c r="O937" s="71"/>
      <c r="P937" s="71"/>
      <c r="Q937" s="71"/>
      <c r="R937" s="71"/>
      <c r="S937" s="71"/>
      <c r="T937" s="71"/>
      <c r="U937" s="71"/>
      <c r="V937" s="71"/>
      <c r="W937" s="71"/>
      <c r="X937" s="71"/>
      <c r="Y937" s="71"/>
      <c r="Z937" s="71"/>
    </row>
    <row r="938" ht="15.75" customHeight="1">
      <c r="A938" s="72"/>
      <c r="B938" s="71"/>
      <c r="C938" s="71"/>
      <c r="D938" s="71"/>
      <c r="E938" s="71"/>
      <c r="F938" s="71"/>
      <c r="G938" s="59"/>
      <c r="H938" s="71"/>
      <c r="I938" s="71"/>
      <c r="J938" s="71"/>
      <c r="K938" s="71"/>
      <c r="L938" s="71"/>
      <c r="M938" s="71"/>
      <c r="N938" s="71"/>
      <c r="O938" s="71"/>
      <c r="P938" s="71"/>
      <c r="Q938" s="71"/>
      <c r="R938" s="71"/>
      <c r="S938" s="71"/>
      <c r="T938" s="71"/>
      <c r="U938" s="71"/>
      <c r="V938" s="71"/>
      <c r="W938" s="71"/>
      <c r="X938" s="71"/>
      <c r="Y938" s="71"/>
      <c r="Z938" s="71"/>
    </row>
    <row r="939" ht="15.75" customHeight="1">
      <c r="A939" s="72"/>
      <c r="B939" s="71"/>
      <c r="C939" s="71"/>
      <c r="D939" s="71"/>
      <c r="E939" s="71"/>
      <c r="F939" s="71"/>
      <c r="G939" s="59"/>
      <c r="H939" s="71"/>
      <c r="I939" s="71"/>
      <c r="J939" s="71"/>
      <c r="K939" s="71"/>
      <c r="L939" s="71"/>
      <c r="M939" s="71"/>
      <c r="N939" s="71"/>
      <c r="O939" s="71"/>
      <c r="P939" s="71"/>
      <c r="Q939" s="71"/>
      <c r="R939" s="71"/>
      <c r="S939" s="71"/>
      <c r="T939" s="71"/>
      <c r="U939" s="71"/>
      <c r="V939" s="71"/>
      <c r="W939" s="71"/>
      <c r="X939" s="71"/>
      <c r="Y939" s="71"/>
      <c r="Z939" s="71"/>
    </row>
    <row r="940" ht="15.75" customHeight="1">
      <c r="A940" s="72"/>
      <c r="B940" s="71"/>
      <c r="C940" s="71"/>
      <c r="D940" s="71"/>
      <c r="E940" s="71"/>
      <c r="F940" s="71"/>
      <c r="G940" s="59"/>
      <c r="H940" s="71"/>
      <c r="I940" s="71"/>
      <c r="J940" s="71"/>
      <c r="K940" s="71"/>
      <c r="L940" s="71"/>
      <c r="M940" s="71"/>
      <c r="N940" s="71"/>
      <c r="O940" s="71"/>
      <c r="P940" s="71"/>
      <c r="Q940" s="71"/>
      <c r="R940" s="71"/>
      <c r="S940" s="71"/>
      <c r="T940" s="71"/>
      <c r="U940" s="71"/>
      <c r="V940" s="71"/>
      <c r="W940" s="71"/>
      <c r="X940" s="71"/>
      <c r="Y940" s="71"/>
      <c r="Z940" s="71"/>
    </row>
    <row r="941" ht="15.75" customHeight="1">
      <c r="A941" s="72"/>
      <c r="B941" s="71"/>
      <c r="C941" s="71"/>
      <c r="D941" s="71"/>
      <c r="E941" s="71"/>
      <c r="F941" s="71"/>
      <c r="G941" s="59"/>
      <c r="H941" s="71"/>
      <c r="I941" s="71"/>
      <c r="J941" s="71"/>
      <c r="K941" s="71"/>
      <c r="L941" s="71"/>
      <c r="M941" s="71"/>
      <c r="N941" s="71"/>
      <c r="O941" s="71"/>
      <c r="P941" s="71"/>
      <c r="Q941" s="71"/>
      <c r="R941" s="71"/>
      <c r="S941" s="71"/>
      <c r="T941" s="71"/>
      <c r="U941" s="71"/>
      <c r="V941" s="71"/>
      <c r="W941" s="71"/>
      <c r="X941" s="71"/>
      <c r="Y941" s="71"/>
      <c r="Z941" s="71"/>
    </row>
    <row r="942" ht="15.75" customHeight="1">
      <c r="A942" s="72"/>
      <c r="B942" s="71"/>
      <c r="C942" s="71"/>
      <c r="D942" s="71"/>
      <c r="E942" s="71"/>
      <c r="F942" s="71"/>
      <c r="G942" s="59"/>
      <c r="H942" s="71"/>
      <c r="I942" s="71"/>
      <c r="J942" s="71"/>
      <c r="K942" s="71"/>
      <c r="L942" s="71"/>
      <c r="M942" s="71"/>
      <c r="N942" s="71"/>
      <c r="O942" s="71"/>
      <c r="P942" s="71"/>
      <c r="Q942" s="71"/>
      <c r="R942" s="71"/>
      <c r="S942" s="71"/>
      <c r="T942" s="71"/>
      <c r="U942" s="71"/>
      <c r="V942" s="71"/>
      <c r="W942" s="71"/>
      <c r="X942" s="71"/>
      <c r="Y942" s="71"/>
      <c r="Z942" s="71"/>
    </row>
    <row r="943" ht="15.75" customHeight="1">
      <c r="A943" s="72"/>
      <c r="B943" s="71"/>
      <c r="C943" s="71"/>
      <c r="D943" s="71"/>
      <c r="E943" s="71"/>
      <c r="F943" s="71"/>
      <c r="G943" s="59"/>
      <c r="H943" s="71"/>
      <c r="I943" s="71"/>
      <c r="J943" s="71"/>
      <c r="K943" s="71"/>
      <c r="L943" s="71"/>
      <c r="M943" s="71"/>
      <c r="N943" s="71"/>
      <c r="O943" s="71"/>
      <c r="P943" s="71"/>
      <c r="Q943" s="71"/>
      <c r="R943" s="71"/>
      <c r="S943" s="71"/>
      <c r="T943" s="71"/>
      <c r="U943" s="71"/>
      <c r="V943" s="71"/>
      <c r="W943" s="71"/>
      <c r="X943" s="71"/>
      <c r="Y943" s="71"/>
      <c r="Z943" s="71"/>
    </row>
    <row r="944" ht="15.75" customHeight="1">
      <c r="A944" s="72"/>
      <c r="B944" s="71"/>
      <c r="C944" s="71"/>
      <c r="D944" s="71"/>
      <c r="E944" s="71"/>
      <c r="F944" s="71"/>
      <c r="G944" s="59"/>
      <c r="H944" s="71"/>
      <c r="I944" s="71"/>
      <c r="J944" s="71"/>
      <c r="K944" s="71"/>
      <c r="L944" s="71"/>
      <c r="M944" s="71"/>
      <c r="N944" s="71"/>
      <c r="O944" s="71"/>
      <c r="P944" s="71"/>
      <c r="Q944" s="71"/>
      <c r="R944" s="71"/>
      <c r="S944" s="71"/>
      <c r="T944" s="71"/>
      <c r="U944" s="71"/>
      <c r="V944" s="71"/>
      <c r="W944" s="71"/>
      <c r="X944" s="71"/>
      <c r="Y944" s="71"/>
      <c r="Z944" s="71"/>
    </row>
    <row r="945" ht="15.75" customHeight="1">
      <c r="A945" s="72"/>
      <c r="B945" s="71"/>
      <c r="C945" s="71"/>
      <c r="D945" s="71"/>
      <c r="E945" s="71"/>
      <c r="F945" s="71"/>
      <c r="G945" s="59"/>
      <c r="H945" s="71"/>
      <c r="I945" s="71"/>
      <c r="J945" s="71"/>
      <c r="K945" s="71"/>
      <c r="L945" s="71"/>
      <c r="M945" s="71"/>
      <c r="N945" s="71"/>
      <c r="O945" s="71"/>
      <c r="P945" s="71"/>
      <c r="Q945" s="71"/>
      <c r="R945" s="71"/>
      <c r="S945" s="71"/>
      <c r="T945" s="71"/>
      <c r="U945" s="71"/>
      <c r="V945" s="71"/>
      <c r="W945" s="71"/>
      <c r="X945" s="71"/>
      <c r="Y945" s="71"/>
      <c r="Z945" s="71"/>
    </row>
    <row r="946" ht="15.75" customHeight="1">
      <c r="A946" s="72"/>
      <c r="B946" s="71"/>
      <c r="C946" s="71"/>
      <c r="D946" s="71"/>
      <c r="E946" s="71"/>
      <c r="F946" s="71"/>
      <c r="G946" s="59"/>
      <c r="H946" s="71"/>
      <c r="I946" s="71"/>
      <c r="J946" s="71"/>
      <c r="K946" s="71"/>
      <c r="L946" s="71"/>
      <c r="M946" s="71"/>
      <c r="N946" s="71"/>
      <c r="O946" s="71"/>
      <c r="P946" s="71"/>
      <c r="Q946" s="71"/>
      <c r="R946" s="71"/>
      <c r="S946" s="71"/>
      <c r="T946" s="71"/>
      <c r="U946" s="71"/>
      <c r="V946" s="71"/>
      <c r="W946" s="71"/>
      <c r="X946" s="71"/>
      <c r="Y946" s="71"/>
      <c r="Z946" s="71"/>
    </row>
    <row r="947" ht="15.75" customHeight="1">
      <c r="A947" s="72"/>
      <c r="B947" s="71"/>
      <c r="C947" s="71"/>
      <c r="D947" s="71"/>
      <c r="E947" s="71"/>
      <c r="F947" s="71"/>
      <c r="G947" s="59"/>
      <c r="H947" s="71"/>
      <c r="I947" s="71"/>
      <c r="J947" s="71"/>
      <c r="K947" s="71"/>
      <c r="L947" s="71"/>
      <c r="M947" s="71"/>
      <c r="N947" s="71"/>
      <c r="O947" s="71"/>
      <c r="P947" s="71"/>
      <c r="Q947" s="71"/>
      <c r="R947" s="71"/>
      <c r="S947" s="71"/>
      <c r="T947" s="71"/>
      <c r="U947" s="71"/>
      <c r="V947" s="71"/>
      <c r="W947" s="71"/>
      <c r="X947" s="71"/>
      <c r="Y947" s="71"/>
      <c r="Z947" s="71"/>
    </row>
    <row r="948" ht="15.75" customHeight="1">
      <c r="A948" s="72"/>
      <c r="B948" s="71"/>
      <c r="C948" s="71"/>
      <c r="D948" s="71"/>
      <c r="E948" s="71"/>
      <c r="F948" s="71"/>
      <c r="G948" s="59"/>
      <c r="H948" s="71"/>
      <c r="I948" s="71"/>
      <c r="J948" s="71"/>
      <c r="K948" s="71"/>
      <c r="L948" s="71"/>
      <c r="M948" s="71"/>
      <c r="N948" s="71"/>
      <c r="O948" s="71"/>
      <c r="P948" s="71"/>
      <c r="Q948" s="71"/>
      <c r="R948" s="71"/>
      <c r="S948" s="71"/>
      <c r="T948" s="71"/>
      <c r="U948" s="71"/>
      <c r="V948" s="71"/>
      <c r="W948" s="71"/>
      <c r="X948" s="71"/>
      <c r="Y948" s="71"/>
      <c r="Z948" s="71"/>
    </row>
    <row r="949" ht="15.75" customHeight="1">
      <c r="A949" s="72"/>
      <c r="B949" s="71"/>
      <c r="C949" s="71"/>
      <c r="D949" s="71"/>
      <c r="E949" s="71"/>
      <c r="F949" s="71"/>
      <c r="G949" s="59"/>
      <c r="H949" s="71"/>
      <c r="I949" s="71"/>
      <c r="J949" s="71"/>
      <c r="K949" s="71"/>
      <c r="L949" s="71"/>
      <c r="M949" s="71"/>
      <c r="N949" s="71"/>
      <c r="O949" s="71"/>
      <c r="P949" s="71"/>
      <c r="Q949" s="71"/>
      <c r="R949" s="71"/>
      <c r="S949" s="71"/>
      <c r="T949" s="71"/>
      <c r="U949" s="71"/>
      <c r="V949" s="71"/>
      <c r="W949" s="71"/>
      <c r="X949" s="71"/>
      <c r="Y949" s="71"/>
      <c r="Z949" s="71"/>
    </row>
    <row r="950" ht="15.75" customHeight="1">
      <c r="A950" s="72"/>
      <c r="B950" s="71"/>
      <c r="C950" s="71"/>
      <c r="D950" s="71"/>
      <c r="E950" s="71"/>
      <c r="F950" s="71"/>
      <c r="G950" s="59"/>
      <c r="H950" s="71"/>
      <c r="I950" s="71"/>
      <c r="J950" s="71"/>
      <c r="K950" s="71"/>
      <c r="L950" s="71"/>
      <c r="M950" s="71"/>
      <c r="N950" s="71"/>
      <c r="O950" s="71"/>
      <c r="P950" s="71"/>
      <c r="Q950" s="71"/>
      <c r="R950" s="71"/>
      <c r="S950" s="71"/>
      <c r="T950" s="71"/>
      <c r="U950" s="71"/>
      <c r="V950" s="71"/>
      <c r="W950" s="71"/>
      <c r="X950" s="71"/>
      <c r="Y950" s="71"/>
      <c r="Z950" s="71"/>
    </row>
    <row r="951" ht="15.75" customHeight="1">
      <c r="A951" s="72"/>
      <c r="B951" s="71"/>
      <c r="C951" s="71"/>
      <c r="D951" s="71"/>
      <c r="E951" s="71"/>
      <c r="F951" s="71"/>
      <c r="G951" s="59"/>
      <c r="H951" s="71"/>
      <c r="I951" s="71"/>
      <c r="J951" s="71"/>
      <c r="K951" s="71"/>
      <c r="L951" s="71"/>
      <c r="M951" s="71"/>
      <c r="N951" s="71"/>
      <c r="O951" s="71"/>
      <c r="P951" s="71"/>
      <c r="Q951" s="71"/>
      <c r="R951" s="71"/>
      <c r="S951" s="71"/>
      <c r="T951" s="71"/>
      <c r="U951" s="71"/>
      <c r="V951" s="71"/>
      <c r="W951" s="71"/>
      <c r="X951" s="71"/>
      <c r="Y951" s="71"/>
      <c r="Z951" s="71"/>
    </row>
    <row r="952" ht="15.75" customHeight="1">
      <c r="A952" s="72"/>
      <c r="B952" s="71"/>
      <c r="C952" s="71"/>
      <c r="D952" s="71"/>
      <c r="E952" s="71"/>
      <c r="F952" s="71"/>
      <c r="G952" s="59"/>
      <c r="H952" s="71"/>
      <c r="I952" s="71"/>
      <c r="J952" s="71"/>
      <c r="K952" s="71"/>
      <c r="L952" s="71"/>
      <c r="M952" s="71"/>
      <c r="N952" s="71"/>
      <c r="O952" s="71"/>
      <c r="P952" s="71"/>
      <c r="Q952" s="71"/>
      <c r="R952" s="71"/>
      <c r="S952" s="71"/>
      <c r="T952" s="71"/>
      <c r="U952" s="71"/>
      <c r="V952" s="71"/>
      <c r="W952" s="71"/>
      <c r="X952" s="71"/>
      <c r="Y952" s="71"/>
      <c r="Z952" s="71"/>
    </row>
    <row r="953" ht="15.75" customHeight="1">
      <c r="A953" s="72"/>
      <c r="B953" s="71"/>
      <c r="C953" s="71"/>
      <c r="D953" s="71"/>
      <c r="E953" s="71"/>
      <c r="F953" s="71"/>
      <c r="G953" s="59"/>
      <c r="H953" s="71"/>
      <c r="I953" s="71"/>
      <c r="J953" s="71"/>
      <c r="K953" s="71"/>
      <c r="L953" s="71"/>
      <c r="M953" s="71"/>
      <c r="N953" s="71"/>
      <c r="O953" s="71"/>
      <c r="P953" s="71"/>
      <c r="Q953" s="71"/>
      <c r="R953" s="71"/>
      <c r="S953" s="71"/>
      <c r="T953" s="71"/>
      <c r="U953" s="71"/>
      <c r="V953" s="71"/>
      <c r="W953" s="71"/>
      <c r="X953" s="71"/>
      <c r="Y953" s="71"/>
      <c r="Z953" s="71"/>
    </row>
    <row r="954" ht="15.75" customHeight="1">
      <c r="A954" s="72"/>
      <c r="B954" s="71"/>
      <c r="C954" s="71"/>
      <c r="D954" s="71"/>
      <c r="E954" s="71"/>
      <c r="F954" s="71"/>
      <c r="G954" s="59"/>
      <c r="H954" s="71"/>
      <c r="I954" s="71"/>
      <c r="J954" s="71"/>
      <c r="K954" s="71"/>
      <c r="L954" s="71"/>
      <c r="M954" s="71"/>
      <c r="N954" s="71"/>
      <c r="O954" s="71"/>
      <c r="P954" s="71"/>
      <c r="Q954" s="71"/>
      <c r="R954" s="71"/>
      <c r="S954" s="71"/>
      <c r="T954" s="71"/>
      <c r="U954" s="71"/>
      <c r="V954" s="71"/>
      <c r="W954" s="71"/>
      <c r="X954" s="71"/>
      <c r="Y954" s="71"/>
      <c r="Z954" s="71"/>
    </row>
    <row r="955" ht="15.75" customHeight="1">
      <c r="A955" s="72"/>
      <c r="B955" s="71"/>
      <c r="C955" s="71"/>
      <c r="D955" s="71"/>
      <c r="E955" s="71"/>
      <c r="F955" s="71"/>
      <c r="G955" s="59"/>
      <c r="H955" s="71"/>
      <c r="I955" s="71"/>
      <c r="J955" s="71"/>
      <c r="K955" s="71"/>
      <c r="L955" s="71"/>
      <c r="M955" s="71"/>
      <c r="N955" s="71"/>
      <c r="O955" s="71"/>
      <c r="P955" s="71"/>
      <c r="Q955" s="71"/>
      <c r="R955" s="71"/>
      <c r="S955" s="71"/>
      <c r="T955" s="71"/>
      <c r="U955" s="71"/>
      <c r="V955" s="71"/>
      <c r="W955" s="71"/>
      <c r="X955" s="71"/>
      <c r="Y955" s="71"/>
      <c r="Z955" s="71"/>
    </row>
    <row r="956" ht="15.75" customHeight="1">
      <c r="A956" s="72"/>
      <c r="B956" s="71"/>
      <c r="C956" s="71"/>
      <c r="D956" s="71"/>
      <c r="E956" s="71"/>
      <c r="F956" s="71"/>
      <c r="G956" s="59"/>
      <c r="H956" s="71"/>
      <c r="I956" s="71"/>
      <c r="J956" s="71"/>
      <c r="K956" s="71"/>
      <c r="L956" s="71"/>
      <c r="M956" s="71"/>
      <c r="N956" s="71"/>
      <c r="O956" s="71"/>
      <c r="P956" s="71"/>
      <c r="Q956" s="71"/>
      <c r="R956" s="71"/>
      <c r="S956" s="71"/>
      <c r="T956" s="71"/>
      <c r="U956" s="71"/>
      <c r="V956" s="71"/>
      <c r="W956" s="71"/>
      <c r="X956" s="71"/>
      <c r="Y956" s="71"/>
      <c r="Z956" s="71"/>
    </row>
    <row r="957" ht="15.75" customHeight="1">
      <c r="A957" s="72"/>
      <c r="B957" s="71"/>
      <c r="C957" s="71"/>
      <c r="D957" s="71"/>
      <c r="E957" s="71"/>
      <c r="F957" s="71"/>
      <c r="G957" s="59"/>
      <c r="H957" s="71"/>
      <c r="I957" s="71"/>
      <c r="J957" s="71"/>
      <c r="K957" s="71"/>
      <c r="L957" s="71"/>
      <c r="M957" s="71"/>
      <c r="N957" s="71"/>
      <c r="O957" s="71"/>
      <c r="P957" s="71"/>
      <c r="Q957" s="71"/>
      <c r="R957" s="71"/>
      <c r="S957" s="71"/>
      <c r="T957" s="71"/>
      <c r="U957" s="71"/>
      <c r="V957" s="71"/>
      <c r="W957" s="71"/>
      <c r="X957" s="71"/>
      <c r="Y957" s="71"/>
      <c r="Z957" s="71"/>
    </row>
    <row r="958" ht="15.75" customHeight="1">
      <c r="A958" s="72"/>
      <c r="B958" s="71"/>
      <c r="C958" s="71"/>
      <c r="D958" s="71"/>
      <c r="E958" s="71"/>
      <c r="F958" s="71"/>
      <c r="G958" s="59"/>
      <c r="H958" s="71"/>
      <c r="I958" s="71"/>
      <c r="J958" s="71"/>
      <c r="K958" s="71"/>
      <c r="L958" s="71"/>
      <c r="M958" s="71"/>
      <c r="N958" s="71"/>
      <c r="O958" s="71"/>
      <c r="P958" s="71"/>
      <c r="Q958" s="71"/>
      <c r="R958" s="71"/>
      <c r="S958" s="71"/>
      <c r="T958" s="71"/>
      <c r="U958" s="71"/>
      <c r="V958" s="71"/>
      <c r="W958" s="71"/>
      <c r="X958" s="71"/>
      <c r="Y958" s="71"/>
      <c r="Z958" s="71"/>
    </row>
    <row r="959" ht="15.75" customHeight="1">
      <c r="A959" s="72"/>
      <c r="B959" s="71"/>
      <c r="C959" s="71"/>
      <c r="D959" s="71"/>
      <c r="E959" s="71"/>
      <c r="F959" s="71"/>
      <c r="G959" s="59"/>
      <c r="H959" s="71"/>
      <c r="I959" s="71"/>
      <c r="J959" s="71"/>
      <c r="K959" s="71"/>
      <c r="L959" s="71"/>
      <c r="M959" s="71"/>
      <c r="N959" s="71"/>
      <c r="O959" s="71"/>
      <c r="P959" s="71"/>
      <c r="Q959" s="71"/>
      <c r="R959" s="71"/>
      <c r="S959" s="71"/>
      <c r="T959" s="71"/>
      <c r="U959" s="71"/>
      <c r="V959" s="71"/>
      <c r="W959" s="71"/>
      <c r="X959" s="71"/>
      <c r="Y959" s="71"/>
      <c r="Z959" s="71"/>
    </row>
    <row r="960" ht="15.75" customHeight="1">
      <c r="A960" s="72"/>
      <c r="B960" s="71"/>
      <c r="C960" s="71"/>
      <c r="D960" s="71"/>
      <c r="E960" s="71"/>
      <c r="F960" s="71"/>
      <c r="G960" s="59"/>
      <c r="H960" s="71"/>
      <c r="I960" s="71"/>
      <c r="J960" s="71"/>
      <c r="K960" s="71"/>
      <c r="L960" s="71"/>
      <c r="M960" s="71"/>
      <c r="N960" s="71"/>
      <c r="O960" s="71"/>
      <c r="P960" s="71"/>
      <c r="Q960" s="71"/>
      <c r="R960" s="71"/>
      <c r="S960" s="71"/>
      <c r="T960" s="71"/>
      <c r="U960" s="71"/>
      <c r="V960" s="71"/>
      <c r="W960" s="71"/>
      <c r="X960" s="71"/>
      <c r="Y960" s="71"/>
      <c r="Z960" s="71"/>
    </row>
    <row r="961" ht="15.75" customHeight="1">
      <c r="A961" s="72"/>
      <c r="B961" s="71"/>
      <c r="C961" s="71"/>
      <c r="D961" s="71"/>
      <c r="E961" s="71"/>
      <c r="F961" s="71"/>
      <c r="G961" s="59"/>
      <c r="H961" s="71"/>
      <c r="I961" s="71"/>
      <c r="J961" s="71"/>
      <c r="K961" s="71"/>
      <c r="L961" s="71"/>
      <c r="M961" s="71"/>
      <c r="N961" s="71"/>
      <c r="O961" s="71"/>
      <c r="P961" s="71"/>
      <c r="Q961" s="71"/>
      <c r="R961" s="71"/>
      <c r="S961" s="71"/>
      <c r="T961" s="71"/>
      <c r="U961" s="71"/>
      <c r="V961" s="71"/>
      <c r="W961" s="71"/>
      <c r="X961" s="71"/>
      <c r="Y961" s="71"/>
      <c r="Z961" s="71"/>
    </row>
    <row r="962" ht="15.75" customHeight="1">
      <c r="A962" s="72"/>
      <c r="B962" s="71"/>
      <c r="C962" s="71"/>
      <c r="D962" s="71"/>
      <c r="E962" s="71"/>
      <c r="F962" s="71"/>
      <c r="G962" s="59"/>
      <c r="H962" s="71"/>
      <c r="I962" s="71"/>
      <c r="J962" s="71"/>
      <c r="K962" s="71"/>
      <c r="L962" s="71"/>
      <c r="M962" s="71"/>
      <c r="N962" s="71"/>
      <c r="O962" s="71"/>
      <c r="P962" s="71"/>
      <c r="Q962" s="71"/>
      <c r="R962" s="71"/>
      <c r="S962" s="71"/>
      <c r="T962" s="71"/>
      <c r="U962" s="71"/>
      <c r="V962" s="71"/>
      <c r="W962" s="71"/>
      <c r="X962" s="71"/>
      <c r="Y962" s="71"/>
      <c r="Z962" s="71"/>
    </row>
    <row r="963" ht="15.75" customHeight="1">
      <c r="A963" s="72"/>
      <c r="B963" s="71"/>
      <c r="C963" s="71"/>
      <c r="D963" s="71"/>
      <c r="E963" s="71"/>
      <c r="F963" s="71"/>
      <c r="G963" s="59"/>
      <c r="H963" s="71"/>
      <c r="I963" s="71"/>
      <c r="J963" s="71"/>
      <c r="K963" s="71"/>
      <c r="L963" s="71"/>
      <c r="M963" s="71"/>
      <c r="N963" s="71"/>
      <c r="O963" s="71"/>
      <c r="P963" s="71"/>
      <c r="Q963" s="71"/>
      <c r="R963" s="71"/>
      <c r="S963" s="71"/>
      <c r="T963" s="71"/>
      <c r="U963" s="71"/>
      <c r="V963" s="71"/>
      <c r="W963" s="71"/>
      <c r="X963" s="71"/>
      <c r="Y963" s="71"/>
      <c r="Z963" s="71"/>
    </row>
    <row r="964" ht="15.75" customHeight="1">
      <c r="A964" s="72"/>
      <c r="B964" s="71"/>
      <c r="C964" s="71"/>
      <c r="D964" s="71"/>
      <c r="E964" s="71"/>
      <c r="F964" s="71"/>
      <c r="G964" s="59"/>
      <c r="H964" s="71"/>
      <c r="I964" s="71"/>
      <c r="J964" s="71"/>
      <c r="K964" s="71"/>
      <c r="L964" s="71"/>
      <c r="M964" s="71"/>
      <c r="N964" s="71"/>
      <c r="O964" s="71"/>
      <c r="P964" s="71"/>
      <c r="Q964" s="71"/>
      <c r="R964" s="71"/>
      <c r="S964" s="71"/>
      <c r="T964" s="71"/>
      <c r="U964" s="71"/>
      <c r="V964" s="71"/>
      <c r="W964" s="71"/>
      <c r="X964" s="71"/>
      <c r="Y964" s="71"/>
      <c r="Z964" s="71"/>
    </row>
    <row r="965" ht="15.75" customHeight="1">
      <c r="A965" s="72"/>
      <c r="B965" s="71"/>
      <c r="C965" s="71"/>
      <c r="D965" s="71"/>
      <c r="E965" s="71"/>
      <c r="F965" s="71"/>
      <c r="G965" s="59"/>
      <c r="H965" s="71"/>
      <c r="I965" s="71"/>
      <c r="J965" s="71"/>
      <c r="K965" s="71"/>
      <c r="L965" s="71"/>
      <c r="M965" s="71"/>
      <c r="N965" s="71"/>
      <c r="O965" s="71"/>
      <c r="P965" s="71"/>
      <c r="Q965" s="71"/>
      <c r="R965" s="71"/>
      <c r="S965" s="71"/>
      <c r="T965" s="71"/>
      <c r="U965" s="71"/>
      <c r="V965" s="71"/>
      <c r="W965" s="71"/>
      <c r="X965" s="71"/>
      <c r="Y965" s="71"/>
      <c r="Z965" s="71"/>
    </row>
    <row r="966" ht="15.75" customHeight="1">
      <c r="A966" s="72"/>
      <c r="B966" s="71"/>
      <c r="C966" s="71"/>
      <c r="D966" s="71"/>
      <c r="E966" s="71"/>
      <c r="F966" s="71"/>
      <c r="G966" s="59"/>
      <c r="H966" s="71"/>
      <c r="I966" s="71"/>
      <c r="J966" s="71"/>
      <c r="K966" s="71"/>
      <c r="L966" s="71"/>
      <c r="M966" s="71"/>
      <c r="N966" s="71"/>
      <c r="O966" s="71"/>
      <c r="P966" s="71"/>
      <c r="Q966" s="71"/>
      <c r="R966" s="71"/>
      <c r="S966" s="71"/>
      <c r="T966" s="71"/>
      <c r="U966" s="71"/>
      <c r="V966" s="71"/>
      <c r="W966" s="71"/>
      <c r="X966" s="71"/>
      <c r="Y966" s="71"/>
      <c r="Z966" s="71"/>
    </row>
    <row r="967" ht="15.75" customHeight="1">
      <c r="A967" s="72"/>
      <c r="B967" s="71"/>
      <c r="C967" s="71"/>
      <c r="D967" s="71"/>
      <c r="E967" s="71"/>
      <c r="F967" s="71"/>
      <c r="G967" s="59"/>
      <c r="H967" s="71"/>
      <c r="I967" s="71"/>
      <c r="J967" s="71"/>
      <c r="K967" s="71"/>
      <c r="L967" s="71"/>
      <c r="M967" s="71"/>
      <c r="N967" s="71"/>
      <c r="O967" s="71"/>
      <c r="P967" s="71"/>
      <c r="Q967" s="71"/>
      <c r="R967" s="71"/>
      <c r="S967" s="71"/>
      <c r="T967" s="71"/>
      <c r="U967" s="71"/>
      <c r="V967" s="71"/>
      <c r="W967" s="71"/>
      <c r="X967" s="71"/>
      <c r="Y967" s="71"/>
      <c r="Z967" s="71"/>
    </row>
    <row r="968" ht="15.75" customHeight="1">
      <c r="A968" s="72"/>
      <c r="B968" s="71"/>
      <c r="C968" s="71"/>
      <c r="D968" s="71"/>
      <c r="E968" s="71"/>
      <c r="F968" s="71"/>
      <c r="G968" s="59"/>
      <c r="H968" s="71"/>
      <c r="I968" s="71"/>
      <c r="J968" s="71"/>
      <c r="K968" s="71"/>
      <c r="L968" s="71"/>
      <c r="M968" s="71"/>
      <c r="N968" s="71"/>
      <c r="O968" s="71"/>
      <c r="P968" s="71"/>
      <c r="Q968" s="71"/>
      <c r="R968" s="71"/>
      <c r="S968" s="71"/>
      <c r="T968" s="71"/>
      <c r="U968" s="71"/>
      <c r="V968" s="71"/>
      <c r="W968" s="71"/>
      <c r="X968" s="71"/>
      <c r="Y968" s="71"/>
      <c r="Z968" s="71"/>
    </row>
    <row r="969" ht="15.75" customHeight="1">
      <c r="A969" s="72"/>
      <c r="B969" s="71"/>
      <c r="C969" s="71"/>
      <c r="D969" s="71"/>
      <c r="E969" s="71"/>
      <c r="F969" s="71"/>
      <c r="G969" s="59"/>
      <c r="H969" s="71"/>
      <c r="I969" s="71"/>
      <c r="J969" s="71"/>
      <c r="K969" s="71"/>
      <c r="L969" s="71"/>
      <c r="M969" s="71"/>
      <c r="N969" s="71"/>
      <c r="O969" s="71"/>
      <c r="P969" s="71"/>
      <c r="Q969" s="71"/>
      <c r="R969" s="71"/>
      <c r="S969" s="71"/>
      <c r="T969" s="71"/>
      <c r="U969" s="71"/>
      <c r="V969" s="71"/>
      <c r="W969" s="71"/>
      <c r="X969" s="71"/>
      <c r="Y969" s="71"/>
      <c r="Z969" s="71"/>
    </row>
    <row r="970" ht="15.75" customHeight="1">
      <c r="A970" s="72"/>
      <c r="B970" s="71"/>
      <c r="C970" s="71"/>
      <c r="D970" s="71"/>
      <c r="E970" s="71"/>
      <c r="F970" s="71"/>
      <c r="G970" s="59"/>
      <c r="H970" s="71"/>
      <c r="I970" s="71"/>
      <c r="J970" s="71"/>
      <c r="K970" s="71"/>
      <c r="L970" s="71"/>
      <c r="M970" s="71"/>
      <c r="N970" s="71"/>
      <c r="O970" s="71"/>
      <c r="P970" s="71"/>
      <c r="Q970" s="71"/>
      <c r="R970" s="71"/>
      <c r="S970" s="71"/>
      <c r="T970" s="71"/>
      <c r="U970" s="71"/>
      <c r="V970" s="71"/>
      <c r="W970" s="71"/>
      <c r="X970" s="71"/>
      <c r="Y970" s="71"/>
      <c r="Z970" s="71"/>
    </row>
    <row r="971" ht="15.75" customHeight="1">
      <c r="A971" s="72"/>
      <c r="B971" s="71"/>
      <c r="C971" s="71"/>
      <c r="D971" s="71"/>
      <c r="E971" s="71"/>
      <c r="F971" s="71"/>
      <c r="G971" s="59"/>
      <c r="H971" s="71"/>
      <c r="I971" s="71"/>
      <c r="J971" s="71"/>
      <c r="K971" s="71"/>
      <c r="L971" s="71"/>
      <c r="M971" s="71"/>
      <c r="N971" s="71"/>
      <c r="O971" s="71"/>
      <c r="P971" s="71"/>
      <c r="Q971" s="71"/>
      <c r="R971" s="71"/>
      <c r="S971" s="71"/>
      <c r="T971" s="71"/>
      <c r="U971" s="71"/>
      <c r="V971" s="71"/>
      <c r="W971" s="71"/>
      <c r="X971" s="71"/>
      <c r="Y971" s="71"/>
      <c r="Z971" s="71"/>
    </row>
    <row r="972" ht="15.75" customHeight="1">
      <c r="A972" s="72"/>
      <c r="B972" s="71"/>
      <c r="C972" s="71"/>
      <c r="D972" s="71"/>
      <c r="E972" s="71"/>
      <c r="F972" s="71"/>
      <c r="G972" s="59"/>
      <c r="H972" s="71"/>
      <c r="I972" s="71"/>
      <c r="J972" s="71"/>
      <c r="K972" s="71"/>
      <c r="L972" s="71"/>
      <c r="M972" s="71"/>
      <c r="N972" s="71"/>
      <c r="O972" s="71"/>
      <c r="P972" s="71"/>
      <c r="Q972" s="71"/>
      <c r="R972" s="71"/>
      <c r="S972" s="71"/>
      <c r="T972" s="71"/>
      <c r="U972" s="71"/>
      <c r="V972" s="71"/>
      <c r="W972" s="71"/>
      <c r="X972" s="71"/>
      <c r="Y972" s="71"/>
      <c r="Z972" s="71"/>
    </row>
    <row r="973" ht="15.75" customHeight="1">
      <c r="A973" s="72"/>
      <c r="B973" s="71"/>
      <c r="C973" s="71"/>
      <c r="D973" s="71"/>
      <c r="E973" s="71"/>
      <c r="F973" s="71"/>
      <c r="G973" s="59"/>
      <c r="H973" s="71"/>
      <c r="I973" s="71"/>
      <c r="J973" s="71"/>
      <c r="K973" s="71"/>
      <c r="L973" s="71"/>
      <c r="M973" s="71"/>
      <c r="N973" s="71"/>
      <c r="O973" s="71"/>
      <c r="P973" s="71"/>
      <c r="Q973" s="71"/>
      <c r="R973" s="71"/>
      <c r="S973" s="71"/>
      <c r="T973" s="71"/>
      <c r="U973" s="71"/>
      <c r="V973" s="71"/>
      <c r="W973" s="71"/>
      <c r="X973" s="71"/>
      <c r="Y973" s="71"/>
      <c r="Z973" s="71"/>
    </row>
    <row r="974" ht="15.75" customHeight="1">
      <c r="A974" s="72"/>
      <c r="B974" s="71"/>
      <c r="C974" s="71"/>
      <c r="D974" s="71"/>
      <c r="E974" s="71"/>
      <c r="F974" s="71"/>
      <c r="G974" s="59"/>
      <c r="H974" s="71"/>
      <c r="I974" s="71"/>
      <c r="J974" s="71"/>
      <c r="K974" s="71"/>
      <c r="L974" s="71"/>
      <c r="M974" s="71"/>
      <c r="N974" s="71"/>
      <c r="O974" s="71"/>
      <c r="P974" s="71"/>
      <c r="Q974" s="71"/>
      <c r="R974" s="71"/>
      <c r="S974" s="71"/>
      <c r="T974" s="71"/>
      <c r="U974" s="71"/>
      <c r="V974" s="71"/>
      <c r="W974" s="71"/>
      <c r="X974" s="71"/>
      <c r="Y974" s="71"/>
      <c r="Z974" s="71"/>
    </row>
    <row r="975" ht="15.75" customHeight="1">
      <c r="A975" s="72"/>
      <c r="B975" s="71"/>
      <c r="C975" s="71"/>
      <c r="D975" s="71"/>
      <c r="E975" s="71"/>
      <c r="F975" s="71"/>
      <c r="G975" s="59"/>
      <c r="H975" s="71"/>
      <c r="I975" s="71"/>
      <c r="J975" s="71"/>
      <c r="K975" s="71"/>
      <c r="L975" s="71"/>
      <c r="M975" s="71"/>
      <c r="N975" s="71"/>
      <c r="O975" s="71"/>
      <c r="P975" s="71"/>
      <c r="Q975" s="71"/>
      <c r="R975" s="71"/>
      <c r="S975" s="71"/>
      <c r="T975" s="71"/>
      <c r="U975" s="71"/>
      <c r="V975" s="71"/>
      <c r="W975" s="71"/>
      <c r="X975" s="71"/>
      <c r="Y975" s="71"/>
      <c r="Z975" s="71"/>
    </row>
    <row r="976" ht="15.75" customHeight="1">
      <c r="A976" s="72"/>
      <c r="B976" s="71"/>
      <c r="C976" s="71"/>
      <c r="D976" s="71"/>
      <c r="E976" s="71"/>
      <c r="F976" s="71"/>
      <c r="G976" s="59"/>
      <c r="H976" s="71"/>
      <c r="I976" s="71"/>
      <c r="J976" s="71"/>
      <c r="K976" s="71"/>
      <c r="L976" s="71"/>
      <c r="M976" s="71"/>
      <c r="N976" s="71"/>
      <c r="O976" s="71"/>
      <c r="P976" s="71"/>
      <c r="Q976" s="71"/>
      <c r="R976" s="71"/>
      <c r="S976" s="71"/>
      <c r="T976" s="71"/>
      <c r="U976" s="71"/>
      <c r="V976" s="71"/>
      <c r="W976" s="71"/>
      <c r="X976" s="71"/>
      <c r="Y976" s="71"/>
      <c r="Z976" s="71"/>
    </row>
    <row r="977" ht="15.75" customHeight="1">
      <c r="A977" s="72"/>
      <c r="B977" s="71"/>
      <c r="C977" s="71"/>
      <c r="D977" s="71"/>
      <c r="E977" s="71"/>
      <c r="F977" s="71"/>
      <c r="G977" s="59"/>
      <c r="H977" s="71"/>
      <c r="I977" s="71"/>
      <c r="J977" s="71"/>
      <c r="K977" s="71"/>
      <c r="L977" s="71"/>
      <c r="M977" s="71"/>
      <c r="N977" s="71"/>
      <c r="O977" s="71"/>
      <c r="P977" s="71"/>
      <c r="Q977" s="71"/>
      <c r="R977" s="71"/>
      <c r="S977" s="71"/>
      <c r="T977" s="71"/>
      <c r="U977" s="71"/>
      <c r="V977" s="71"/>
      <c r="W977" s="71"/>
      <c r="X977" s="71"/>
      <c r="Y977" s="71"/>
      <c r="Z977" s="71"/>
    </row>
    <row r="978" ht="15.75" customHeight="1">
      <c r="A978" s="72"/>
      <c r="B978" s="71"/>
      <c r="C978" s="71"/>
      <c r="D978" s="71"/>
      <c r="E978" s="71"/>
      <c r="F978" s="71"/>
      <c r="G978" s="59"/>
      <c r="H978" s="71"/>
      <c r="I978" s="71"/>
      <c r="J978" s="71"/>
      <c r="K978" s="71"/>
      <c r="L978" s="71"/>
      <c r="M978" s="71"/>
      <c r="N978" s="71"/>
      <c r="O978" s="71"/>
      <c r="P978" s="71"/>
      <c r="Q978" s="71"/>
      <c r="R978" s="71"/>
      <c r="S978" s="71"/>
      <c r="T978" s="71"/>
      <c r="U978" s="71"/>
      <c r="V978" s="71"/>
      <c r="W978" s="71"/>
      <c r="X978" s="71"/>
      <c r="Y978" s="71"/>
      <c r="Z978" s="71"/>
    </row>
    <row r="979" ht="15.75" customHeight="1">
      <c r="A979" s="72"/>
      <c r="B979" s="71"/>
      <c r="C979" s="71"/>
      <c r="D979" s="71"/>
      <c r="E979" s="71"/>
      <c r="F979" s="71"/>
      <c r="G979" s="59"/>
      <c r="H979" s="71"/>
      <c r="I979" s="71"/>
      <c r="J979" s="71"/>
      <c r="K979" s="71"/>
      <c r="L979" s="71"/>
      <c r="M979" s="71"/>
      <c r="N979" s="71"/>
      <c r="O979" s="71"/>
      <c r="P979" s="71"/>
      <c r="Q979" s="71"/>
      <c r="R979" s="71"/>
      <c r="S979" s="71"/>
      <c r="T979" s="71"/>
      <c r="U979" s="71"/>
      <c r="V979" s="71"/>
      <c r="W979" s="71"/>
      <c r="X979" s="71"/>
      <c r="Y979" s="71"/>
      <c r="Z979" s="71"/>
    </row>
    <row r="980" ht="15.75" customHeight="1">
      <c r="A980" s="72"/>
      <c r="B980" s="71"/>
      <c r="C980" s="71"/>
      <c r="D980" s="71"/>
      <c r="E980" s="71"/>
      <c r="F980" s="71"/>
      <c r="G980" s="59"/>
      <c r="H980" s="71"/>
      <c r="I980" s="71"/>
      <c r="J980" s="71"/>
      <c r="K980" s="71"/>
      <c r="L980" s="71"/>
      <c r="M980" s="71"/>
      <c r="N980" s="71"/>
      <c r="O980" s="71"/>
      <c r="P980" s="71"/>
      <c r="Q980" s="71"/>
      <c r="R980" s="71"/>
      <c r="S980" s="71"/>
      <c r="T980" s="71"/>
      <c r="U980" s="71"/>
      <c r="V980" s="71"/>
      <c r="W980" s="71"/>
      <c r="X980" s="71"/>
      <c r="Y980" s="71"/>
      <c r="Z980" s="71"/>
    </row>
    <row r="981" ht="15.75" customHeight="1">
      <c r="A981" s="72"/>
      <c r="B981" s="71"/>
      <c r="C981" s="71"/>
      <c r="D981" s="71"/>
      <c r="E981" s="71"/>
      <c r="F981" s="71"/>
      <c r="G981" s="59"/>
      <c r="H981" s="71"/>
      <c r="I981" s="71"/>
      <c r="J981" s="71"/>
      <c r="K981" s="71"/>
      <c r="L981" s="71"/>
      <c r="M981" s="71"/>
      <c r="N981" s="71"/>
      <c r="O981" s="71"/>
      <c r="P981" s="71"/>
      <c r="Q981" s="71"/>
      <c r="R981" s="71"/>
      <c r="S981" s="71"/>
      <c r="T981" s="71"/>
      <c r="U981" s="71"/>
      <c r="V981" s="71"/>
      <c r="W981" s="71"/>
      <c r="X981" s="71"/>
      <c r="Y981" s="71"/>
      <c r="Z981" s="71"/>
    </row>
    <row r="982" ht="15.75" customHeight="1">
      <c r="A982" s="72"/>
      <c r="B982" s="71"/>
      <c r="C982" s="71"/>
      <c r="D982" s="71"/>
      <c r="E982" s="71"/>
      <c r="F982" s="71"/>
      <c r="G982" s="59"/>
      <c r="H982" s="71"/>
      <c r="I982" s="71"/>
      <c r="J982" s="71"/>
      <c r="K982" s="71"/>
      <c r="L982" s="71"/>
      <c r="M982" s="71"/>
      <c r="N982" s="71"/>
      <c r="O982" s="71"/>
      <c r="P982" s="71"/>
      <c r="Q982" s="71"/>
      <c r="R982" s="71"/>
      <c r="S982" s="71"/>
      <c r="T982" s="71"/>
      <c r="U982" s="71"/>
      <c r="V982" s="71"/>
      <c r="W982" s="71"/>
      <c r="X982" s="71"/>
      <c r="Y982" s="71"/>
      <c r="Z982" s="71"/>
    </row>
    <row r="983" ht="15.75" customHeight="1">
      <c r="A983" s="72"/>
      <c r="B983" s="71"/>
      <c r="C983" s="71"/>
      <c r="D983" s="71"/>
      <c r="E983" s="71"/>
      <c r="F983" s="71"/>
      <c r="G983" s="59"/>
      <c r="H983" s="71"/>
      <c r="I983" s="71"/>
      <c r="J983" s="71"/>
      <c r="K983" s="71"/>
      <c r="L983" s="71"/>
      <c r="M983" s="71"/>
      <c r="N983" s="71"/>
      <c r="O983" s="71"/>
      <c r="P983" s="71"/>
      <c r="Q983" s="71"/>
      <c r="R983" s="71"/>
      <c r="S983" s="71"/>
      <c r="T983" s="71"/>
      <c r="U983" s="71"/>
      <c r="V983" s="71"/>
      <c r="W983" s="71"/>
      <c r="X983" s="71"/>
      <c r="Y983" s="71"/>
      <c r="Z983" s="71"/>
    </row>
    <row r="984" ht="15.75" customHeight="1">
      <c r="A984" s="72"/>
      <c r="B984" s="71"/>
      <c r="C984" s="71"/>
      <c r="D984" s="71"/>
      <c r="E984" s="71"/>
      <c r="F984" s="71"/>
      <c r="G984" s="59"/>
      <c r="H984" s="71"/>
      <c r="I984" s="71"/>
      <c r="J984" s="71"/>
      <c r="K984" s="71"/>
      <c r="L984" s="71"/>
      <c r="M984" s="71"/>
      <c r="N984" s="71"/>
      <c r="O984" s="71"/>
      <c r="P984" s="71"/>
      <c r="Q984" s="71"/>
      <c r="R984" s="71"/>
      <c r="S984" s="71"/>
      <c r="T984" s="71"/>
      <c r="U984" s="71"/>
      <c r="V984" s="71"/>
      <c r="W984" s="71"/>
      <c r="X984" s="71"/>
      <c r="Y984" s="71"/>
      <c r="Z984" s="71"/>
    </row>
    <row r="985" ht="15.75" customHeight="1">
      <c r="A985" s="72"/>
      <c r="B985" s="71"/>
      <c r="C985" s="71"/>
      <c r="D985" s="71"/>
      <c r="E985" s="71"/>
      <c r="F985" s="71"/>
      <c r="G985" s="59"/>
      <c r="H985" s="71"/>
      <c r="I985" s="71"/>
      <c r="J985" s="71"/>
      <c r="K985" s="71"/>
      <c r="L985" s="71"/>
      <c r="M985" s="71"/>
      <c r="N985" s="71"/>
      <c r="O985" s="71"/>
      <c r="P985" s="71"/>
      <c r="Q985" s="71"/>
      <c r="R985" s="71"/>
      <c r="S985" s="71"/>
      <c r="T985" s="71"/>
      <c r="U985" s="71"/>
      <c r="V985" s="71"/>
      <c r="W985" s="71"/>
      <c r="X985" s="71"/>
      <c r="Y985" s="71"/>
      <c r="Z985" s="71"/>
    </row>
    <row r="986" ht="15.75" customHeight="1">
      <c r="A986" s="72"/>
      <c r="B986" s="71"/>
      <c r="C986" s="71"/>
      <c r="D986" s="71"/>
      <c r="E986" s="71"/>
      <c r="F986" s="71"/>
      <c r="G986" s="59"/>
      <c r="H986" s="71"/>
      <c r="I986" s="71"/>
      <c r="J986" s="71"/>
      <c r="K986" s="71"/>
      <c r="L986" s="71"/>
      <c r="M986" s="71"/>
      <c r="N986" s="71"/>
      <c r="O986" s="71"/>
      <c r="P986" s="71"/>
      <c r="Q986" s="71"/>
      <c r="R986" s="71"/>
      <c r="S986" s="71"/>
      <c r="T986" s="71"/>
      <c r="U986" s="71"/>
      <c r="V986" s="71"/>
      <c r="W986" s="71"/>
      <c r="X986" s="71"/>
      <c r="Y986" s="71"/>
      <c r="Z986" s="71"/>
    </row>
    <row r="987" ht="15.75" customHeight="1">
      <c r="A987" s="72"/>
      <c r="B987" s="71"/>
      <c r="C987" s="71"/>
      <c r="D987" s="71"/>
      <c r="E987" s="71"/>
      <c r="F987" s="71"/>
      <c r="G987" s="59"/>
      <c r="H987" s="71"/>
      <c r="I987" s="71"/>
      <c r="J987" s="71"/>
      <c r="K987" s="71"/>
      <c r="L987" s="71"/>
      <c r="M987" s="71"/>
      <c r="N987" s="71"/>
      <c r="O987" s="71"/>
      <c r="P987" s="71"/>
      <c r="Q987" s="71"/>
      <c r="R987" s="71"/>
      <c r="S987" s="71"/>
      <c r="T987" s="71"/>
      <c r="U987" s="71"/>
      <c r="V987" s="71"/>
      <c r="W987" s="71"/>
      <c r="X987" s="71"/>
      <c r="Y987" s="71"/>
      <c r="Z987" s="71"/>
    </row>
    <row r="988" ht="15.75" customHeight="1">
      <c r="A988" s="72"/>
      <c r="B988" s="71"/>
      <c r="C988" s="71"/>
      <c r="D988" s="71"/>
      <c r="E988" s="71"/>
      <c r="F988" s="71"/>
      <c r="G988" s="59"/>
      <c r="H988" s="71"/>
      <c r="I988" s="71"/>
      <c r="J988" s="71"/>
      <c r="K988" s="71"/>
      <c r="L988" s="71"/>
      <c r="M988" s="71"/>
      <c r="N988" s="71"/>
      <c r="O988" s="71"/>
      <c r="P988" s="71"/>
      <c r="Q988" s="71"/>
      <c r="R988" s="71"/>
      <c r="S988" s="71"/>
      <c r="T988" s="71"/>
      <c r="U988" s="71"/>
      <c r="V988" s="71"/>
      <c r="W988" s="71"/>
      <c r="X988" s="71"/>
      <c r="Y988" s="71"/>
      <c r="Z988" s="71"/>
    </row>
    <row r="989" ht="15.75" customHeight="1">
      <c r="A989" s="72"/>
      <c r="B989" s="71"/>
      <c r="C989" s="71"/>
      <c r="D989" s="71"/>
      <c r="E989" s="71"/>
      <c r="F989" s="71"/>
      <c r="G989" s="59"/>
      <c r="H989" s="71"/>
      <c r="I989" s="71"/>
      <c r="J989" s="71"/>
      <c r="K989" s="71"/>
      <c r="L989" s="71"/>
      <c r="M989" s="71"/>
      <c r="N989" s="71"/>
      <c r="O989" s="71"/>
      <c r="P989" s="71"/>
      <c r="Q989" s="71"/>
      <c r="R989" s="71"/>
      <c r="S989" s="71"/>
      <c r="T989" s="71"/>
      <c r="U989" s="71"/>
      <c r="V989" s="71"/>
      <c r="W989" s="71"/>
      <c r="X989" s="71"/>
      <c r="Y989" s="71"/>
      <c r="Z989" s="71"/>
    </row>
    <row r="990" ht="15.75" customHeight="1">
      <c r="A990" s="72"/>
      <c r="B990" s="71"/>
      <c r="C990" s="71"/>
      <c r="D990" s="71"/>
      <c r="E990" s="71"/>
      <c r="F990" s="71"/>
      <c r="G990" s="59"/>
      <c r="H990" s="71"/>
      <c r="I990" s="71"/>
      <c r="J990" s="71"/>
      <c r="K990" s="71"/>
      <c r="L990" s="71"/>
      <c r="M990" s="71"/>
      <c r="N990" s="71"/>
      <c r="O990" s="71"/>
      <c r="P990" s="71"/>
      <c r="Q990" s="71"/>
      <c r="R990" s="71"/>
      <c r="S990" s="71"/>
      <c r="T990" s="71"/>
      <c r="U990" s="71"/>
      <c r="V990" s="71"/>
      <c r="W990" s="71"/>
      <c r="X990" s="71"/>
      <c r="Y990" s="71"/>
      <c r="Z990" s="71"/>
    </row>
    <row r="991" ht="15.75" customHeight="1">
      <c r="A991" s="72"/>
      <c r="B991" s="71"/>
      <c r="C991" s="71"/>
      <c r="D991" s="71"/>
      <c r="E991" s="71"/>
      <c r="F991" s="71"/>
      <c r="G991" s="59"/>
      <c r="H991" s="71"/>
      <c r="I991" s="71"/>
      <c r="J991" s="71"/>
      <c r="K991" s="71"/>
      <c r="L991" s="71"/>
      <c r="M991" s="71"/>
      <c r="N991" s="71"/>
      <c r="O991" s="71"/>
      <c r="P991" s="71"/>
      <c r="Q991" s="71"/>
      <c r="R991" s="71"/>
      <c r="S991" s="71"/>
      <c r="T991" s="71"/>
      <c r="U991" s="71"/>
      <c r="V991" s="71"/>
      <c r="W991" s="71"/>
      <c r="X991" s="71"/>
      <c r="Y991" s="71"/>
      <c r="Z991" s="71"/>
    </row>
    <row r="992" ht="15.75" customHeight="1">
      <c r="A992" s="72"/>
      <c r="B992" s="71"/>
      <c r="C992" s="71"/>
      <c r="D992" s="71"/>
      <c r="E992" s="71"/>
      <c r="F992" s="71"/>
      <c r="G992" s="59"/>
      <c r="H992" s="71"/>
      <c r="I992" s="71"/>
      <c r="J992" s="71"/>
      <c r="K992" s="71"/>
      <c r="L992" s="71"/>
      <c r="M992" s="71"/>
      <c r="N992" s="71"/>
      <c r="O992" s="71"/>
      <c r="P992" s="71"/>
      <c r="Q992" s="71"/>
      <c r="R992" s="71"/>
      <c r="S992" s="71"/>
      <c r="T992" s="71"/>
      <c r="U992" s="71"/>
      <c r="V992" s="71"/>
      <c r="W992" s="71"/>
      <c r="X992" s="71"/>
      <c r="Y992" s="71"/>
      <c r="Z992" s="71"/>
    </row>
    <row r="993" ht="15.75" customHeight="1">
      <c r="A993" s="72"/>
      <c r="B993" s="71"/>
      <c r="C993" s="71"/>
      <c r="D993" s="71"/>
      <c r="E993" s="71"/>
      <c r="F993" s="71"/>
      <c r="G993" s="59"/>
      <c r="H993" s="71"/>
      <c r="I993" s="71"/>
      <c r="J993" s="71"/>
      <c r="K993" s="71"/>
      <c r="L993" s="71"/>
      <c r="M993" s="71"/>
      <c r="N993" s="71"/>
      <c r="O993" s="71"/>
      <c r="P993" s="71"/>
      <c r="Q993" s="71"/>
      <c r="R993" s="71"/>
      <c r="S993" s="71"/>
      <c r="T993" s="71"/>
      <c r="U993" s="71"/>
      <c r="V993" s="71"/>
      <c r="W993" s="71"/>
      <c r="X993" s="71"/>
      <c r="Y993" s="71"/>
      <c r="Z993" s="71"/>
    </row>
    <row r="994" ht="15.75" customHeight="1">
      <c r="A994" s="72"/>
      <c r="B994" s="71"/>
      <c r="C994" s="71"/>
      <c r="D994" s="71"/>
      <c r="E994" s="71"/>
      <c r="F994" s="71"/>
      <c r="G994" s="59"/>
      <c r="H994" s="71"/>
      <c r="I994" s="71"/>
      <c r="J994" s="71"/>
      <c r="K994" s="71"/>
      <c r="L994" s="71"/>
      <c r="M994" s="71"/>
      <c r="N994" s="71"/>
      <c r="O994" s="71"/>
      <c r="P994" s="71"/>
      <c r="Q994" s="71"/>
      <c r="R994" s="71"/>
      <c r="S994" s="71"/>
      <c r="T994" s="71"/>
      <c r="U994" s="71"/>
      <c r="V994" s="71"/>
      <c r="W994" s="71"/>
      <c r="X994" s="71"/>
      <c r="Y994" s="71"/>
      <c r="Z994" s="71"/>
    </row>
    <row r="995" ht="15.75" customHeight="1">
      <c r="A995" s="72"/>
      <c r="B995" s="71"/>
      <c r="C995" s="71"/>
      <c r="D995" s="71"/>
      <c r="E995" s="71"/>
      <c r="F995" s="71"/>
      <c r="G995" s="59"/>
      <c r="H995" s="71"/>
      <c r="I995" s="71"/>
      <c r="J995" s="71"/>
      <c r="K995" s="71"/>
      <c r="L995" s="71"/>
      <c r="M995" s="71"/>
      <c r="N995" s="71"/>
      <c r="O995" s="71"/>
      <c r="P995" s="71"/>
      <c r="Q995" s="71"/>
      <c r="R995" s="71"/>
      <c r="S995" s="71"/>
      <c r="T995" s="71"/>
      <c r="U995" s="71"/>
      <c r="V995" s="71"/>
      <c r="W995" s="71"/>
      <c r="X995" s="71"/>
      <c r="Y995" s="71"/>
      <c r="Z995" s="71"/>
    </row>
    <row r="996" ht="15.75" customHeight="1">
      <c r="A996" s="72"/>
      <c r="B996" s="71"/>
      <c r="C996" s="71"/>
      <c r="D996" s="71"/>
      <c r="E996" s="71"/>
      <c r="F996" s="71"/>
      <c r="G996" s="59"/>
      <c r="H996" s="71"/>
      <c r="I996" s="71"/>
      <c r="J996" s="71"/>
      <c r="K996" s="71"/>
      <c r="L996" s="71"/>
      <c r="M996" s="71"/>
      <c r="N996" s="71"/>
      <c r="O996" s="71"/>
      <c r="P996" s="71"/>
      <c r="Q996" s="71"/>
      <c r="R996" s="71"/>
      <c r="S996" s="71"/>
      <c r="T996" s="71"/>
      <c r="U996" s="71"/>
      <c r="V996" s="71"/>
      <c r="W996" s="71"/>
      <c r="X996" s="71"/>
      <c r="Y996" s="71"/>
      <c r="Z996" s="71"/>
    </row>
    <row r="997" ht="15.75" customHeight="1">
      <c r="A997" s="72"/>
      <c r="B997" s="71"/>
      <c r="C997" s="71"/>
      <c r="D997" s="71"/>
      <c r="E997" s="71"/>
      <c r="F997" s="71"/>
      <c r="G997" s="59"/>
      <c r="H997" s="71"/>
      <c r="I997" s="71"/>
      <c r="J997" s="71"/>
      <c r="K997" s="71"/>
      <c r="L997" s="71"/>
      <c r="M997" s="71"/>
      <c r="N997" s="71"/>
      <c r="O997" s="71"/>
      <c r="P997" s="71"/>
      <c r="Q997" s="71"/>
      <c r="R997" s="71"/>
      <c r="S997" s="71"/>
      <c r="T997" s="71"/>
      <c r="U997" s="71"/>
      <c r="V997" s="71"/>
      <c r="W997" s="71"/>
      <c r="X997" s="71"/>
      <c r="Y997" s="71"/>
      <c r="Z997" s="71"/>
    </row>
    <row r="998" ht="15.75" customHeight="1">
      <c r="A998" s="72"/>
      <c r="B998" s="71"/>
      <c r="C998" s="71"/>
      <c r="D998" s="71"/>
      <c r="E998" s="71"/>
      <c r="F998" s="71"/>
      <c r="G998" s="59"/>
      <c r="H998" s="71"/>
      <c r="I998" s="71"/>
      <c r="J998" s="71"/>
      <c r="K998" s="71"/>
      <c r="L998" s="71"/>
      <c r="M998" s="71"/>
      <c r="N998" s="71"/>
      <c r="O998" s="71"/>
      <c r="P998" s="71"/>
      <c r="Q998" s="71"/>
      <c r="R998" s="71"/>
      <c r="S998" s="71"/>
      <c r="T998" s="71"/>
      <c r="U998" s="71"/>
      <c r="V998" s="71"/>
      <c r="W998" s="71"/>
      <c r="X998" s="71"/>
      <c r="Y998" s="71"/>
      <c r="Z998" s="71"/>
    </row>
    <row r="999" ht="15.75" customHeight="1">
      <c r="A999" s="72"/>
      <c r="B999" s="71"/>
      <c r="C999" s="71"/>
      <c r="D999" s="71"/>
      <c r="E999" s="71"/>
      <c r="F999" s="71"/>
      <c r="G999" s="59"/>
      <c r="H999" s="71"/>
      <c r="I999" s="71"/>
      <c r="J999" s="71"/>
      <c r="K999" s="71"/>
      <c r="L999" s="71"/>
      <c r="M999" s="71"/>
      <c r="N999" s="71"/>
      <c r="O999" s="71"/>
      <c r="P999" s="71"/>
      <c r="Q999" s="71"/>
      <c r="R999" s="71"/>
      <c r="S999" s="71"/>
      <c r="T999" s="71"/>
      <c r="U999" s="71"/>
      <c r="V999" s="71"/>
      <c r="W999" s="71"/>
      <c r="X999" s="71"/>
      <c r="Y999" s="71"/>
      <c r="Z999" s="71"/>
    </row>
    <row r="1000" ht="15.75" customHeight="1">
      <c r="A1000" s="72"/>
      <c r="B1000" s="71"/>
      <c r="C1000" s="71"/>
      <c r="D1000" s="71"/>
      <c r="E1000" s="71"/>
      <c r="F1000" s="71"/>
      <c r="G1000" s="59"/>
      <c r="H1000" s="71"/>
      <c r="I1000" s="71"/>
      <c r="J1000" s="71"/>
      <c r="K1000" s="71"/>
      <c r="L1000" s="71"/>
      <c r="M1000" s="71"/>
      <c r="N1000" s="71"/>
      <c r="O1000" s="71"/>
      <c r="P1000" s="71"/>
      <c r="Q1000" s="71"/>
      <c r="R1000" s="71"/>
      <c r="S1000" s="71"/>
      <c r="T1000" s="71"/>
      <c r="U1000" s="71"/>
      <c r="V1000" s="71"/>
      <c r="W1000" s="71"/>
      <c r="X1000" s="71"/>
      <c r="Y1000" s="71"/>
      <c r="Z1000" s="71"/>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min="1" max="1" width="16.38"/>
    <col customWidth="1" min="2" max="2" width="17.13"/>
    <col customWidth="1" min="9" max="9" width="13.38"/>
    <col customWidth="1" min="10" max="10" width="14.63"/>
    <col customWidth="1" min="18" max="18" width="24.75"/>
  </cols>
  <sheetData>
    <row r="1">
      <c r="A1" s="97" t="str">
        <f>IFERROR(__xludf.DUMMYFUNCTION("QUERY(IMPORTRANGE(""1-seb4pl5nnF2UuiVY4rhDXe7BjW579paFRMaAGY_pJc"",""1) Lista MA!A:q""),""SELECT * WHERE Col1 IS NOT NULL"")"),"#REF!")</f>
        <v>#REF!</v>
      </c>
      <c r="B1" s="97"/>
      <c r="C1" s="97"/>
      <c r="D1" s="97"/>
      <c r="E1" s="97"/>
      <c r="F1" s="97"/>
      <c r="G1" s="97"/>
      <c r="H1" s="97"/>
      <c r="I1" s="97"/>
      <c r="J1" s="97"/>
      <c r="K1" s="97"/>
      <c r="L1" s="97"/>
      <c r="M1" s="97"/>
      <c r="N1" s="97"/>
      <c r="O1" s="97"/>
      <c r="P1" s="97"/>
      <c r="Q1" s="97"/>
      <c r="R1" s="98" t="s">
        <v>233</v>
      </c>
    </row>
    <row r="2">
      <c r="A2" s="99"/>
      <c r="B2" s="99"/>
      <c r="C2" s="99"/>
      <c r="D2" s="99"/>
      <c r="E2" s="99"/>
      <c r="F2" s="99"/>
      <c r="G2" s="99"/>
      <c r="H2" s="99"/>
      <c r="I2" s="99"/>
      <c r="J2" s="99"/>
      <c r="K2" s="99"/>
      <c r="L2" s="99"/>
      <c r="M2" s="99"/>
      <c r="N2" s="99"/>
      <c r="O2" s="99"/>
      <c r="P2" s="99"/>
      <c r="Q2" s="99"/>
      <c r="R2" s="99" t="str">
        <f>IFERROR(__xludf.DUMMYFUNCTION("QUERY({'1) Multas coercitivas'!B$4:U1000}, ""SELECT Col1 WHERE Col20 = 'SI'"")"),"MULTA COERCITIVA - 1/CÓDIGO DE EXPEDIENTE INVÁLIDO")</f>
        <v>MULTA COERCITIVA - 1/CÓDIGO DE EXPEDIENTE INVÁLIDO</v>
      </c>
    </row>
    <row r="3">
      <c r="A3" s="99"/>
      <c r="B3" s="99"/>
      <c r="C3" s="99"/>
      <c r="D3" s="99"/>
      <c r="E3" s="99"/>
      <c r="F3" s="99"/>
      <c r="G3" s="99"/>
      <c r="H3" s="99"/>
      <c r="I3" s="99"/>
      <c r="J3" s="99"/>
      <c r="K3" s="99"/>
      <c r="L3" s="99"/>
      <c r="M3" s="99"/>
      <c r="N3" s="99"/>
      <c r="O3" s="99"/>
      <c r="P3" s="99"/>
      <c r="Q3" s="99"/>
      <c r="R3" s="99" t="str">
        <f>IFERROR(__xludf.DUMMYFUNCTION("""COMPUTED_VALUE"""),"MULTA COERCITIVA - 2/CÓDIGO DE EXPEDIENTE INVÁLIDO")</f>
        <v>MULTA COERCITIVA - 2/CÓDIGO DE EXPEDIENTE INVÁLIDO</v>
      </c>
    </row>
    <row r="4">
      <c r="A4" s="99"/>
      <c r="B4" s="99"/>
      <c r="C4" s="99"/>
      <c r="D4" s="99"/>
      <c r="E4" s="99"/>
      <c r="F4" s="99"/>
      <c r="G4" s="99"/>
      <c r="H4" s="99"/>
      <c r="I4" s="99"/>
      <c r="J4" s="99"/>
      <c r="K4" s="99"/>
      <c r="L4" s="99"/>
      <c r="M4" s="99"/>
      <c r="N4" s="99"/>
      <c r="O4" s="99"/>
      <c r="P4" s="99"/>
      <c r="Q4" s="99"/>
      <c r="R4" s="99" t="str">
        <f>IFERROR(__xludf.DUMMYFUNCTION("""COMPUTED_VALUE"""),"MULTA COERCITIVA - 2/CÓDIGO DE EXPEDIENTE INVÁLIDO")</f>
        <v>MULTA COERCITIVA - 2/CÓDIGO DE EXPEDIENTE INVÁLIDO</v>
      </c>
    </row>
    <row r="5">
      <c r="A5" s="99"/>
      <c r="B5" s="99"/>
      <c r="C5" s="99"/>
      <c r="D5" s="99"/>
      <c r="E5" s="99"/>
      <c r="F5" s="99"/>
      <c r="G5" s="99"/>
      <c r="H5" s="99"/>
      <c r="I5" s="99"/>
      <c r="J5" s="99"/>
      <c r="K5" s="99"/>
      <c r="L5" s="99"/>
      <c r="M5" s="99"/>
      <c r="N5" s="99"/>
      <c r="O5" s="99"/>
      <c r="P5" s="99"/>
      <c r="Q5" s="99"/>
      <c r="R5" s="99" t="str">
        <f>IFERROR(__xludf.DUMMYFUNCTION("""COMPUTED_VALUE"""),"MULTA COERCITIVA - 3/CÓDIGO DE EXPEDIENTE INVÁLIDO")</f>
        <v>MULTA COERCITIVA - 3/CÓDIGO DE EXPEDIENTE INVÁLIDO</v>
      </c>
    </row>
    <row r="6">
      <c r="A6" s="99"/>
      <c r="B6" s="99"/>
      <c r="C6" s="99"/>
      <c r="D6" s="99"/>
      <c r="E6" s="99"/>
      <c r="F6" s="99"/>
      <c r="G6" s="99"/>
      <c r="H6" s="99"/>
      <c r="I6" s="99"/>
      <c r="J6" s="99"/>
      <c r="K6" s="99"/>
      <c r="L6" s="99"/>
      <c r="M6" s="99"/>
      <c r="N6" s="99"/>
      <c r="O6" s="99"/>
      <c r="P6" s="99"/>
      <c r="Q6" s="99"/>
      <c r="R6" s="99" t="str">
        <f>IFERROR(__xludf.DUMMYFUNCTION("""COMPUTED_VALUE"""),"MULTA COERCITIVA - 4/CÓDIGO DE EXPEDIENTE INVÁLIDO")</f>
        <v>MULTA COERCITIVA - 4/CÓDIGO DE EXPEDIENTE INVÁLIDO</v>
      </c>
    </row>
    <row r="7">
      <c r="A7" s="99"/>
      <c r="B7" s="99"/>
      <c r="C7" s="99"/>
      <c r="D7" s="99"/>
      <c r="E7" s="99"/>
      <c r="F7" s="99"/>
      <c r="G7" s="99"/>
      <c r="H7" s="99"/>
      <c r="I7" s="99"/>
      <c r="J7" s="99"/>
      <c r="K7" s="99"/>
      <c r="L7" s="99"/>
      <c r="M7" s="99"/>
      <c r="N7" s="99"/>
      <c r="O7" s="99"/>
      <c r="P7" s="99"/>
      <c r="Q7" s="99"/>
      <c r="R7" s="99" t="str">
        <f>IFERROR(__xludf.DUMMYFUNCTION("""COMPUTED_VALUE"""),"MULTA COERCITIVA - 5/CÓDIGO DE EXPEDIENTE INVÁLIDO")</f>
        <v>MULTA COERCITIVA - 5/CÓDIGO DE EXPEDIENTE INVÁLIDO</v>
      </c>
    </row>
    <row r="8">
      <c r="A8" s="99"/>
      <c r="B8" s="99"/>
      <c r="C8" s="99"/>
      <c r="D8" s="99"/>
      <c r="E8" s="99"/>
      <c r="F8" s="99"/>
      <c r="G8" s="99"/>
      <c r="H8" s="99"/>
      <c r="I8" s="99"/>
      <c r="J8" s="99"/>
      <c r="K8" s="99"/>
      <c r="L8" s="99"/>
      <c r="M8" s="99"/>
      <c r="N8" s="99"/>
      <c r="O8" s="99"/>
      <c r="P8" s="99"/>
      <c r="Q8" s="99"/>
      <c r="R8" s="99" t="str">
        <f>IFERROR(__xludf.DUMMYFUNCTION("""COMPUTED_VALUE"""),"MULTA COERCITIVA - 5/CÓDIGO DE EXPEDIENTE INVÁLIDO")</f>
        <v>MULTA COERCITIVA - 5/CÓDIGO DE EXPEDIENTE INVÁLIDO</v>
      </c>
    </row>
    <row r="9">
      <c r="A9" s="99"/>
      <c r="B9" s="99"/>
      <c r="C9" s="99"/>
      <c r="D9" s="99"/>
      <c r="E9" s="99"/>
      <c r="F9" s="99"/>
      <c r="G9" s="99"/>
      <c r="H9" s="99"/>
      <c r="I9" s="99"/>
      <c r="J9" s="99"/>
      <c r="K9" s="99"/>
      <c r="L9" s="99"/>
      <c r="M9" s="99"/>
      <c r="N9" s="99"/>
      <c r="O9" s="99"/>
      <c r="P9" s="99"/>
      <c r="Q9" s="99"/>
      <c r="R9" s="99" t="str">
        <f>IFERROR(__xludf.DUMMYFUNCTION("""COMPUTED_VALUE"""),"MULTA COERCITIVA - 6/CÓDIGO DE EXPEDIENTE INVÁLIDO")</f>
        <v>MULTA COERCITIVA - 6/CÓDIGO DE EXPEDIENTE INVÁLIDO</v>
      </c>
    </row>
    <row r="10">
      <c r="A10" s="99"/>
      <c r="B10" s="99"/>
      <c r="C10" s="99"/>
      <c r="D10" s="99"/>
      <c r="E10" s="99"/>
      <c r="F10" s="99"/>
      <c r="G10" s="99"/>
      <c r="H10" s="99"/>
      <c r="I10" s="99"/>
      <c r="J10" s="99"/>
      <c r="K10" s="99"/>
      <c r="L10" s="99"/>
      <c r="M10" s="99"/>
      <c r="N10" s="99"/>
      <c r="O10" s="99"/>
      <c r="P10" s="99"/>
      <c r="Q10" s="99"/>
      <c r="R10" s="99" t="str">
        <f>IFERROR(__xludf.DUMMYFUNCTION("""COMPUTED_VALUE"""),"MULTA COERCITIVA - 7/CÓDIGO DE EXPEDIENTE INVÁLIDO")</f>
        <v>MULTA COERCITIVA - 7/CÓDIGO DE EXPEDIENTE INVÁLIDO</v>
      </c>
    </row>
    <row r="11">
      <c r="A11" s="99"/>
      <c r="B11" s="99"/>
      <c r="C11" s="99"/>
      <c r="D11" s="99"/>
      <c r="E11" s="99"/>
      <c r="F11" s="99"/>
      <c r="G11" s="99"/>
      <c r="H11" s="99"/>
      <c r="I11" s="99"/>
      <c r="J11" s="99"/>
      <c r="K11" s="99"/>
      <c r="L11" s="99"/>
      <c r="M11" s="99"/>
      <c r="N11" s="99"/>
      <c r="O11" s="99"/>
      <c r="P11" s="99"/>
      <c r="Q11" s="99"/>
      <c r="R11" s="99" t="str">
        <f>IFERROR(__xludf.DUMMYFUNCTION("""COMPUTED_VALUE"""),"MULTA COERCITIVA - 8/CÓDIGO DE EXPEDIENTE INVÁLIDO")</f>
        <v>MULTA COERCITIVA - 8/CÓDIGO DE EXPEDIENTE INVÁLIDO</v>
      </c>
    </row>
    <row r="12">
      <c r="A12" s="99"/>
      <c r="B12" s="99"/>
      <c r="C12" s="99"/>
      <c r="D12" s="99"/>
      <c r="E12" s="99"/>
      <c r="F12" s="99"/>
      <c r="G12" s="99"/>
      <c r="H12" s="99"/>
      <c r="I12" s="99"/>
      <c r="J12" s="99"/>
      <c r="K12" s="99"/>
      <c r="L12" s="99"/>
      <c r="M12" s="99"/>
      <c r="N12" s="99"/>
      <c r="O12" s="99"/>
      <c r="P12" s="99"/>
      <c r="Q12" s="99"/>
      <c r="R12" s="99" t="str">
        <f>IFERROR(__xludf.DUMMYFUNCTION("""COMPUTED_VALUE"""),"MULTA COERCITIVA - 9/CÓDIGO DE EXPEDIENTE INVÁLIDO")</f>
        <v>MULTA COERCITIVA - 9/CÓDIGO DE EXPEDIENTE INVÁLIDO</v>
      </c>
    </row>
    <row r="13">
      <c r="A13" s="99"/>
      <c r="B13" s="99"/>
      <c r="C13" s="99"/>
      <c r="D13" s="99"/>
      <c r="E13" s="99"/>
      <c r="F13" s="99"/>
      <c r="G13" s="99"/>
      <c r="H13" s="99"/>
      <c r="I13" s="99"/>
      <c r="J13" s="99"/>
      <c r="K13" s="99"/>
      <c r="L13" s="99"/>
      <c r="M13" s="99"/>
      <c r="N13" s="99"/>
      <c r="O13" s="99"/>
      <c r="P13" s="99"/>
      <c r="Q13" s="99"/>
      <c r="R13" s="99" t="str">
        <f>IFERROR(__xludf.DUMMYFUNCTION("""COMPUTED_VALUE"""),"MULTA COERCITIVA - 9/CÓDIGO DE EXPEDIENTE INVÁLIDO")</f>
        <v>MULTA COERCITIVA - 9/CÓDIGO DE EXPEDIENTE INVÁLIDO</v>
      </c>
    </row>
    <row r="14">
      <c r="A14" s="99"/>
      <c r="B14" s="99"/>
      <c r="C14" s="99"/>
      <c r="D14" s="99"/>
      <c r="E14" s="99"/>
      <c r="F14" s="99"/>
      <c r="G14" s="99"/>
      <c r="H14" s="99"/>
      <c r="I14" s="99"/>
      <c r="J14" s="99"/>
      <c r="K14" s="99"/>
      <c r="L14" s="99"/>
      <c r="M14" s="99"/>
      <c r="N14" s="99"/>
      <c r="O14" s="99"/>
      <c r="P14" s="99"/>
      <c r="Q14" s="99"/>
      <c r="R14" s="99" t="str">
        <f>IFERROR(__xludf.DUMMYFUNCTION("""COMPUTED_VALUE"""),"MULTA COERCITIVA - 9/CÓDIGO DE EXPEDIENTE INVÁLIDO")</f>
        <v>MULTA COERCITIVA - 9/CÓDIGO DE EXPEDIENTE INVÁLIDO</v>
      </c>
    </row>
    <row r="15">
      <c r="A15" s="99"/>
      <c r="B15" s="99"/>
      <c r="C15" s="99"/>
      <c r="D15" s="99"/>
      <c r="E15" s="99"/>
      <c r="F15" s="99"/>
      <c r="G15" s="99"/>
      <c r="H15" s="99"/>
      <c r="I15" s="99"/>
      <c r="J15" s="99"/>
      <c r="K15" s="99"/>
      <c r="L15" s="99"/>
      <c r="M15" s="99"/>
      <c r="N15" s="99"/>
      <c r="O15" s="99"/>
      <c r="P15" s="99"/>
      <c r="Q15" s="99"/>
      <c r="R15" s="99" t="str">
        <f>IFERROR(__xludf.DUMMYFUNCTION("""COMPUTED_VALUE"""),"MULTA COERCITIVA - 10/CÓDIGO DE EXPEDIENTE INVÁLIDO")</f>
        <v>MULTA COERCITIVA - 10/CÓDIGO DE EXPEDIENTE INVÁLIDO</v>
      </c>
    </row>
    <row r="16">
      <c r="A16" s="99"/>
      <c r="B16" s="99"/>
      <c r="C16" s="99"/>
      <c r="D16" s="99"/>
      <c r="E16" s="99"/>
      <c r="F16" s="99"/>
      <c r="G16" s="99"/>
      <c r="H16" s="99"/>
      <c r="I16" s="99"/>
      <c r="J16" s="99"/>
      <c r="K16" s="99"/>
      <c r="L16" s="99"/>
      <c r="M16" s="99"/>
      <c r="N16" s="99"/>
      <c r="O16" s="99"/>
      <c r="P16" s="99"/>
      <c r="Q16" s="99"/>
      <c r="R16" s="99" t="str">
        <f>IFERROR(__xludf.DUMMYFUNCTION("""COMPUTED_VALUE"""),"MULTA COERCITIVA - 10/CÓDIGO DE EXPEDIENTE INVÁLIDO")</f>
        <v>MULTA COERCITIVA - 10/CÓDIGO DE EXPEDIENTE INVÁLIDO</v>
      </c>
    </row>
    <row r="17">
      <c r="A17" s="99"/>
      <c r="B17" s="99"/>
      <c r="C17" s="99"/>
      <c r="D17" s="99"/>
      <c r="E17" s="99"/>
      <c r="F17" s="99"/>
      <c r="G17" s="99"/>
      <c r="H17" s="99"/>
      <c r="I17" s="99"/>
      <c r="J17" s="99"/>
      <c r="K17" s="99"/>
      <c r="L17" s="99"/>
      <c r="M17" s="99"/>
      <c r="N17" s="99"/>
      <c r="O17" s="99"/>
      <c r="P17" s="99"/>
      <c r="Q17" s="99"/>
      <c r="R17" s="99" t="str">
        <f>IFERROR(__xludf.DUMMYFUNCTION("""COMPUTED_VALUE"""),"MULTA COERCITIVA - 11/CÓDIGO DE EXPEDIENTE INVÁLIDO")</f>
        <v>MULTA COERCITIVA - 11/CÓDIGO DE EXPEDIENTE INVÁLIDO</v>
      </c>
    </row>
    <row r="18">
      <c r="A18" s="99"/>
      <c r="B18" s="99"/>
      <c r="C18" s="99"/>
      <c r="D18" s="99"/>
      <c r="E18" s="99"/>
      <c r="F18" s="99"/>
      <c r="G18" s="99"/>
      <c r="H18" s="99"/>
      <c r="I18" s="99"/>
      <c r="J18" s="99"/>
      <c r="K18" s="99"/>
      <c r="L18" s="99"/>
      <c r="M18" s="99"/>
      <c r="N18" s="99"/>
      <c r="O18" s="99"/>
      <c r="P18" s="99"/>
      <c r="Q18" s="99"/>
      <c r="R18" s="99"/>
    </row>
    <row r="19">
      <c r="A19" s="99"/>
      <c r="B19" s="99"/>
      <c r="C19" s="99"/>
      <c r="D19" s="99"/>
      <c r="E19" s="99"/>
      <c r="F19" s="99"/>
      <c r="G19" s="99"/>
      <c r="H19" s="99"/>
      <c r="I19" s="99"/>
      <c r="J19" s="99"/>
      <c r="K19" s="99"/>
      <c r="L19" s="99"/>
      <c r="M19" s="99"/>
      <c r="N19" s="99"/>
      <c r="O19" s="99"/>
      <c r="P19" s="99"/>
      <c r="Q19" s="99"/>
      <c r="R19" s="99"/>
    </row>
    <row r="20">
      <c r="A20" s="99"/>
      <c r="B20" s="99"/>
      <c r="C20" s="99"/>
      <c r="D20" s="99"/>
      <c r="E20" s="99"/>
      <c r="F20" s="99"/>
      <c r="G20" s="99"/>
      <c r="H20" s="99"/>
      <c r="I20" s="99"/>
      <c r="J20" s="99"/>
      <c r="K20" s="99"/>
      <c r="L20" s="99"/>
      <c r="M20" s="99"/>
      <c r="N20" s="99"/>
      <c r="O20" s="99"/>
      <c r="P20" s="99"/>
      <c r="Q20" s="99"/>
      <c r="R20" s="99"/>
    </row>
    <row r="21">
      <c r="A21" s="99"/>
      <c r="B21" s="99"/>
      <c r="C21" s="99"/>
      <c r="D21" s="99"/>
      <c r="E21" s="99"/>
      <c r="F21" s="99"/>
      <c r="G21" s="99"/>
      <c r="H21" s="99"/>
      <c r="I21" s="99"/>
      <c r="J21" s="99"/>
      <c r="K21" s="99"/>
      <c r="L21" s="99"/>
      <c r="M21" s="99"/>
      <c r="N21" s="99"/>
      <c r="O21" s="99"/>
      <c r="P21" s="99"/>
      <c r="Q21" s="99"/>
      <c r="R21" s="99"/>
    </row>
    <row r="22">
      <c r="A22" s="99"/>
      <c r="B22" s="99"/>
      <c r="C22" s="99"/>
      <c r="D22" s="99"/>
      <c r="E22" s="99"/>
      <c r="F22" s="99"/>
      <c r="G22" s="99"/>
      <c r="H22" s="99"/>
      <c r="I22" s="99"/>
      <c r="J22" s="99"/>
      <c r="K22" s="99"/>
      <c r="L22" s="99"/>
      <c r="M22" s="99"/>
      <c r="N22" s="99"/>
      <c r="O22" s="99"/>
      <c r="P22" s="99"/>
      <c r="Q22" s="99"/>
      <c r="R22" s="99"/>
    </row>
    <row r="23">
      <c r="A23" s="99"/>
      <c r="B23" s="99"/>
      <c r="C23" s="99"/>
      <c r="D23" s="99"/>
      <c r="E23" s="99"/>
      <c r="F23" s="99"/>
      <c r="G23" s="99"/>
      <c r="H23" s="99"/>
      <c r="I23" s="99"/>
      <c r="J23" s="99"/>
      <c r="K23" s="99"/>
      <c r="L23" s="99"/>
      <c r="M23" s="99"/>
      <c r="N23" s="99"/>
      <c r="O23" s="99"/>
      <c r="P23" s="99"/>
      <c r="Q23" s="99"/>
      <c r="R23" s="99"/>
    </row>
    <row r="24">
      <c r="A24" s="99"/>
      <c r="B24" s="99"/>
      <c r="C24" s="99"/>
      <c r="D24" s="99"/>
      <c r="E24" s="99"/>
      <c r="F24" s="99"/>
      <c r="G24" s="99"/>
      <c r="H24" s="99"/>
      <c r="I24" s="99"/>
      <c r="J24" s="99"/>
      <c r="K24" s="99"/>
      <c r="L24" s="99"/>
      <c r="M24" s="99"/>
      <c r="N24" s="99"/>
      <c r="O24" s="99"/>
      <c r="P24" s="99"/>
      <c r="Q24" s="99"/>
      <c r="R24" s="99"/>
    </row>
    <row r="25">
      <c r="A25" s="99"/>
      <c r="B25" s="99"/>
      <c r="C25" s="99"/>
      <c r="D25" s="99"/>
      <c r="E25" s="99"/>
      <c r="F25" s="99"/>
      <c r="G25" s="99"/>
      <c r="H25" s="99"/>
      <c r="I25" s="99"/>
      <c r="J25" s="99"/>
      <c r="K25" s="99"/>
      <c r="L25" s="99"/>
      <c r="M25" s="99"/>
      <c r="N25" s="99"/>
      <c r="O25" s="99"/>
      <c r="P25" s="99"/>
      <c r="Q25" s="99"/>
      <c r="R25" s="99"/>
    </row>
    <row r="26">
      <c r="A26" s="99"/>
      <c r="B26" s="99"/>
      <c r="C26" s="99"/>
      <c r="D26" s="99"/>
      <c r="E26" s="99"/>
      <c r="F26" s="99"/>
      <c r="G26" s="99"/>
      <c r="H26" s="99"/>
      <c r="I26" s="99"/>
      <c r="J26" s="99"/>
      <c r="K26" s="99"/>
      <c r="L26" s="99"/>
      <c r="M26" s="99"/>
      <c r="N26" s="99"/>
      <c r="O26" s="99"/>
      <c r="P26" s="99"/>
      <c r="Q26" s="99"/>
      <c r="R26" s="99"/>
    </row>
    <row r="27">
      <c r="A27" s="99"/>
      <c r="B27" s="99"/>
      <c r="C27" s="99"/>
      <c r="D27" s="99"/>
      <c r="E27" s="99"/>
      <c r="F27" s="99"/>
      <c r="G27" s="99"/>
      <c r="H27" s="99"/>
      <c r="I27" s="99"/>
      <c r="J27" s="99"/>
      <c r="K27" s="99"/>
      <c r="L27" s="99"/>
      <c r="M27" s="99"/>
      <c r="N27" s="99"/>
      <c r="O27" s="99"/>
      <c r="P27" s="99"/>
      <c r="Q27" s="99"/>
      <c r="R27" s="99"/>
    </row>
    <row r="28">
      <c r="A28" s="99"/>
      <c r="B28" s="99"/>
      <c r="C28" s="99"/>
      <c r="D28" s="99"/>
      <c r="E28" s="99"/>
      <c r="F28" s="99"/>
      <c r="G28" s="99"/>
      <c r="H28" s="99"/>
      <c r="I28" s="99"/>
      <c r="J28" s="99"/>
      <c r="K28" s="99"/>
      <c r="L28" s="99"/>
      <c r="M28" s="99"/>
      <c r="N28" s="99"/>
      <c r="O28" s="99"/>
      <c r="P28" s="99"/>
      <c r="Q28" s="99"/>
      <c r="R28" s="99"/>
    </row>
    <row r="29">
      <c r="A29" s="99"/>
      <c r="B29" s="99"/>
      <c r="C29" s="99"/>
      <c r="D29" s="99"/>
      <c r="E29" s="99"/>
      <c r="F29" s="99"/>
      <c r="G29" s="99"/>
      <c r="H29" s="99"/>
      <c r="I29" s="99"/>
      <c r="J29" s="99"/>
      <c r="K29" s="99"/>
      <c r="L29" s="99"/>
      <c r="M29" s="99"/>
      <c r="N29" s="99"/>
      <c r="O29" s="99"/>
      <c r="P29" s="99"/>
      <c r="Q29" s="99"/>
      <c r="R29" s="99"/>
    </row>
    <row r="30">
      <c r="A30" s="99"/>
      <c r="B30" s="99"/>
      <c r="C30" s="99"/>
      <c r="D30" s="99"/>
      <c r="E30" s="99"/>
      <c r="F30" s="99"/>
      <c r="G30" s="99"/>
      <c r="H30" s="99"/>
      <c r="I30" s="99"/>
      <c r="J30" s="99"/>
      <c r="K30" s="99"/>
      <c r="L30" s="99"/>
      <c r="M30" s="99"/>
      <c r="N30" s="99"/>
      <c r="O30" s="99"/>
      <c r="P30" s="99"/>
      <c r="Q30" s="99"/>
      <c r="R30" s="99"/>
    </row>
    <row r="31">
      <c r="A31" s="99"/>
      <c r="B31" s="99"/>
      <c r="C31" s="99"/>
      <c r="D31" s="99"/>
      <c r="E31" s="99"/>
      <c r="F31" s="99"/>
      <c r="G31" s="99"/>
      <c r="H31" s="99"/>
      <c r="I31" s="99"/>
      <c r="J31" s="99"/>
      <c r="K31" s="99"/>
      <c r="L31" s="99"/>
      <c r="M31" s="99"/>
      <c r="N31" s="99"/>
      <c r="O31" s="99"/>
      <c r="P31" s="99"/>
      <c r="Q31" s="99"/>
      <c r="R31" s="99"/>
    </row>
    <row r="32">
      <c r="A32" s="99"/>
      <c r="B32" s="99"/>
      <c r="C32" s="99"/>
      <c r="D32" s="99"/>
      <c r="E32" s="99"/>
      <c r="F32" s="99"/>
      <c r="G32" s="99"/>
      <c r="H32" s="99"/>
      <c r="I32" s="99"/>
      <c r="J32" s="99"/>
      <c r="K32" s="99"/>
      <c r="L32" s="99"/>
      <c r="M32" s="99"/>
      <c r="N32" s="99"/>
      <c r="O32" s="99"/>
      <c r="P32" s="99"/>
      <c r="Q32" s="99"/>
      <c r="R32" s="99"/>
    </row>
    <row r="33">
      <c r="A33" s="99"/>
      <c r="B33" s="99"/>
      <c r="C33" s="99"/>
      <c r="D33" s="99"/>
      <c r="E33" s="99"/>
      <c r="F33" s="99"/>
      <c r="G33" s="99"/>
      <c r="H33" s="99"/>
      <c r="I33" s="99"/>
      <c r="J33" s="99"/>
      <c r="K33" s="99"/>
      <c r="L33" s="99"/>
      <c r="M33" s="99"/>
      <c r="N33" s="99"/>
      <c r="O33" s="99"/>
      <c r="P33" s="99"/>
      <c r="Q33" s="99"/>
      <c r="R33" s="99"/>
    </row>
    <row r="34">
      <c r="A34" s="99"/>
      <c r="B34" s="99"/>
      <c r="C34" s="99"/>
      <c r="D34" s="99"/>
      <c r="E34" s="99"/>
      <c r="F34" s="99"/>
      <c r="G34" s="99"/>
      <c r="H34" s="99"/>
      <c r="I34" s="99"/>
      <c r="J34" s="99"/>
      <c r="K34" s="99"/>
      <c r="L34" s="99"/>
      <c r="M34" s="99"/>
      <c r="N34" s="99"/>
      <c r="O34" s="99"/>
      <c r="P34" s="99"/>
      <c r="Q34" s="99"/>
      <c r="R34" s="99"/>
    </row>
    <row r="35">
      <c r="A35" s="99"/>
      <c r="B35" s="99"/>
      <c r="C35" s="99"/>
      <c r="D35" s="99"/>
      <c r="E35" s="99"/>
      <c r="F35" s="99"/>
      <c r="G35" s="99"/>
      <c r="H35" s="99"/>
      <c r="I35" s="99"/>
      <c r="J35" s="99"/>
      <c r="K35" s="99"/>
      <c r="L35" s="99"/>
      <c r="M35" s="99"/>
      <c r="N35" s="99"/>
      <c r="O35" s="99"/>
      <c r="P35" s="99"/>
      <c r="Q35" s="99"/>
      <c r="R35" s="99"/>
    </row>
    <row r="36">
      <c r="A36" s="99"/>
      <c r="B36" s="99"/>
      <c r="C36" s="99"/>
      <c r="D36" s="99"/>
      <c r="E36" s="99"/>
      <c r="F36" s="99"/>
      <c r="G36" s="99"/>
      <c r="H36" s="99"/>
      <c r="I36" s="99"/>
      <c r="J36" s="99"/>
      <c r="K36" s="99"/>
      <c r="L36" s="99"/>
      <c r="M36" s="99"/>
      <c r="N36" s="99"/>
      <c r="O36" s="99"/>
      <c r="P36" s="99"/>
      <c r="Q36" s="99"/>
      <c r="R36" s="99"/>
    </row>
    <row r="37">
      <c r="A37" s="99"/>
      <c r="B37" s="99"/>
      <c r="C37" s="99"/>
      <c r="D37" s="99"/>
      <c r="E37" s="99"/>
      <c r="F37" s="99"/>
      <c r="G37" s="99"/>
      <c r="H37" s="99"/>
      <c r="I37" s="99"/>
      <c r="J37" s="99"/>
      <c r="K37" s="99"/>
      <c r="L37" s="99"/>
      <c r="M37" s="99"/>
      <c r="N37" s="99"/>
      <c r="O37" s="99"/>
      <c r="P37" s="99"/>
      <c r="Q37" s="99"/>
      <c r="R37" s="99"/>
    </row>
    <row r="38">
      <c r="A38" s="99"/>
      <c r="B38" s="99"/>
      <c r="C38" s="99"/>
      <c r="D38" s="99"/>
      <c r="E38" s="99"/>
      <c r="F38" s="99"/>
      <c r="G38" s="99"/>
      <c r="H38" s="99"/>
      <c r="I38" s="99"/>
      <c r="J38" s="99"/>
      <c r="K38" s="99"/>
      <c r="L38" s="99"/>
      <c r="M38" s="99"/>
      <c r="N38" s="99"/>
      <c r="O38" s="99"/>
      <c r="P38" s="99"/>
      <c r="Q38" s="99"/>
      <c r="R38" s="99"/>
    </row>
    <row r="39">
      <c r="A39" s="99"/>
      <c r="B39" s="99"/>
      <c r="C39" s="99"/>
      <c r="D39" s="99"/>
      <c r="E39" s="99"/>
      <c r="F39" s="99"/>
      <c r="G39" s="99"/>
      <c r="H39" s="99"/>
      <c r="I39" s="99"/>
      <c r="J39" s="99"/>
      <c r="K39" s="99"/>
      <c r="L39" s="99"/>
      <c r="M39" s="99"/>
      <c r="N39" s="99"/>
      <c r="O39" s="99"/>
      <c r="P39" s="99"/>
      <c r="Q39" s="99"/>
      <c r="R39" s="99"/>
    </row>
    <row r="40">
      <c r="A40" s="99"/>
      <c r="B40" s="99"/>
      <c r="C40" s="99"/>
      <c r="D40" s="99"/>
      <c r="E40" s="99"/>
      <c r="F40" s="99"/>
      <c r="G40" s="99"/>
      <c r="H40" s="99"/>
      <c r="I40" s="99"/>
      <c r="J40" s="99"/>
      <c r="K40" s="99"/>
      <c r="L40" s="99"/>
      <c r="M40" s="99"/>
      <c r="N40" s="99"/>
      <c r="O40" s="99"/>
      <c r="P40" s="99"/>
      <c r="Q40" s="99"/>
      <c r="R40" s="99"/>
    </row>
    <row r="41">
      <c r="A41" s="99"/>
      <c r="B41" s="99"/>
      <c r="C41" s="99"/>
      <c r="D41" s="99"/>
      <c r="E41" s="99"/>
      <c r="F41" s="99"/>
      <c r="G41" s="99"/>
      <c r="H41" s="99"/>
      <c r="I41" s="99"/>
      <c r="J41" s="99"/>
      <c r="K41" s="99"/>
      <c r="L41" s="99"/>
      <c r="M41" s="99"/>
      <c r="N41" s="99"/>
      <c r="O41" s="99"/>
      <c r="P41" s="99"/>
      <c r="Q41" s="99"/>
      <c r="R41" s="99"/>
    </row>
    <row r="42">
      <c r="A42" s="99"/>
      <c r="B42" s="99"/>
      <c r="C42" s="99"/>
      <c r="D42" s="99"/>
      <c r="E42" s="99"/>
      <c r="F42" s="99"/>
      <c r="G42" s="99"/>
      <c r="H42" s="99"/>
      <c r="I42" s="99"/>
      <c r="J42" s="99"/>
      <c r="K42" s="99"/>
      <c r="L42" s="99"/>
      <c r="M42" s="99"/>
      <c r="N42" s="99"/>
      <c r="O42" s="99"/>
      <c r="P42" s="99"/>
      <c r="Q42" s="99"/>
      <c r="R42" s="99"/>
    </row>
    <row r="43">
      <c r="A43" s="99"/>
      <c r="B43" s="99"/>
      <c r="C43" s="99"/>
      <c r="D43" s="99"/>
      <c r="E43" s="99"/>
      <c r="F43" s="99"/>
      <c r="G43" s="99"/>
      <c r="H43" s="99"/>
      <c r="I43" s="99"/>
      <c r="J43" s="99"/>
      <c r="K43" s="99"/>
      <c r="L43" s="99"/>
      <c r="M43" s="99"/>
      <c r="N43" s="99"/>
      <c r="O43" s="99"/>
      <c r="P43" s="99"/>
      <c r="Q43" s="99"/>
      <c r="R43" s="99"/>
    </row>
    <row r="44">
      <c r="A44" s="99"/>
      <c r="B44" s="99"/>
      <c r="C44" s="99"/>
      <c r="D44" s="99"/>
      <c r="E44" s="99"/>
      <c r="F44" s="99"/>
      <c r="G44" s="99"/>
      <c r="H44" s="99"/>
      <c r="I44" s="99"/>
      <c r="J44" s="99"/>
      <c r="K44" s="99"/>
      <c r="L44" s="99"/>
      <c r="M44" s="99"/>
      <c r="N44" s="99"/>
      <c r="O44" s="99"/>
      <c r="P44" s="99"/>
      <c r="Q44" s="99"/>
      <c r="R44" s="99"/>
    </row>
    <row r="45">
      <c r="A45" s="99"/>
      <c r="B45" s="99"/>
      <c r="C45" s="99"/>
      <c r="D45" s="99"/>
      <c r="E45" s="99"/>
      <c r="F45" s="99"/>
      <c r="G45" s="99"/>
      <c r="H45" s="99"/>
      <c r="I45" s="99"/>
      <c r="J45" s="99"/>
      <c r="K45" s="99"/>
      <c r="L45" s="99"/>
      <c r="M45" s="99"/>
      <c r="N45" s="99"/>
      <c r="O45" s="99"/>
      <c r="P45" s="99"/>
      <c r="Q45" s="99"/>
      <c r="R45" s="99"/>
    </row>
    <row r="46">
      <c r="A46" s="99"/>
      <c r="B46" s="99"/>
      <c r="C46" s="99"/>
      <c r="D46" s="99"/>
      <c r="E46" s="99"/>
      <c r="F46" s="99"/>
      <c r="G46" s="99"/>
      <c r="H46" s="99"/>
      <c r="I46" s="99"/>
      <c r="J46" s="99"/>
      <c r="K46" s="99"/>
      <c r="L46" s="99"/>
      <c r="M46" s="99"/>
      <c r="N46" s="99"/>
      <c r="O46" s="99"/>
      <c r="P46" s="99"/>
      <c r="Q46" s="99"/>
      <c r="R46" s="99"/>
    </row>
    <row r="47">
      <c r="A47" s="99"/>
      <c r="B47" s="99"/>
      <c r="C47" s="99"/>
      <c r="D47" s="99"/>
      <c r="E47" s="99"/>
      <c r="F47" s="99"/>
      <c r="G47" s="99"/>
      <c r="H47" s="99"/>
      <c r="I47" s="99"/>
      <c r="J47" s="99"/>
      <c r="K47" s="99"/>
      <c r="L47" s="99"/>
      <c r="M47" s="99"/>
      <c r="N47" s="99"/>
      <c r="O47" s="99"/>
      <c r="P47" s="99"/>
      <c r="Q47" s="99"/>
      <c r="R47" s="99"/>
    </row>
    <row r="48">
      <c r="A48" s="99"/>
      <c r="B48" s="99"/>
      <c r="C48" s="99"/>
      <c r="D48" s="99"/>
      <c r="E48" s="99"/>
      <c r="F48" s="99"/>
      <c r="G48" s="99"/>
      <c r="H48" s="99"/>
      <c r="I48" s="99"/>
      <c r="J48" s="99"/>
      <c r="K48" s="99"/>
      <c r="L48" s="99"/>
      <c r="M48" s="99"/>
      <c r="N48" s="99"/>
      <c r="O48" s="99"/>
      <c r="P48" s="99"/>
      <c r="Q48" s="99"/>
      <c r="R48" s="99"/>
    </row>
    <row r="49">
      <c r="A49" s="99"/>
      <c r="B49" s="99"/>
      <c r="C49" s="99"/>
      <c r="D49" s="99"/>
      <c r="E49" s="99"/>
      <c r="F49" s="99"/>
      <c r="G49" s="99"/>
      <c r="H49" s="99"/>
      <c r="I49" s="99"/>
      <c r="J49" s="99"/>
      <c r="K49" s="99"/>
      <c r="L49" s="99"/>
      <c r="M49" s="99"/>
      <c r="N49" s="99"/>
      <c r="O49" s="99"/>
      <c r="P49" s="99"/>
      <c r="Q49" s="99"/>
      <c r="R49" s="99"/>
    </row>
    <row r="50">
      <c r="A50" s="99"/>
      <c r="B50" s="99"/>
      <c r="C50" s="99"/>
      <c r="D50" s="99"/>
      <c r="E50" s="99"/>
      <c r="F50" s="99"/>
      <c r="G50" s="99"/>
      <c r="H50" s="99"/>
      <c r="I50" s="99"/>
      <c r="J50" s="99"/>
      <c r="K50" s="99"/>
      <c r="L50" s="99"/>
      <c r="M50" s="99"/>
      <c r="N50" s="99"/>
      <c r="O50" s="99"/>
      <c r="P50" s="99"/>
      <c r="Q50" s="99"/>
      <c r="R50" s="99"/>
    </row>
    <row r="51">
      <c r="A51" s="99"/>
      <c r="B51" s="99"/>
      <c r="C51" s="99"/>
      <c r="D51" s="99"/>
      <c r="E51" s="99"/>
      <c r="F51" s="99"/>
      <c r="G51" s="99"/>
      <c r="H51" s="99"/>
      <c r="I51" s="99"/>
      <c r="J51" s="99"/>
      <c r="K51" s="99"/>
      <c r="L51" s="99"/>
      <c r="M51" s="99"/>
      <c r="N51" s="99"/>
      <c r="O51" s="99"/>
      <c r="P51" s="99"/>
      <c r="Q51" s="99"/>
      <c r="R51" s="99"/>
    </row>
    <row r="52">
      <c r="A52" s="99"/>
      <c r="B52" s="99"/>
      <c r="C52" s="99"/>
      <c r="D52" s="99"/>
      <c r="E52" s="99"/>
      <c r="F52" s="99"/>
      <c r="G52" s="99"/>
      <c r="H52" s="99"/>
      <c r="I52" s="99"/>
      <c r="J52" s="99"/>
      <c r="K52" s="99"/>
      <c r="L52" s="99"/>
      <c r="M52" s="99"/>
      <c r="N52" s="99"/>
      <c r="O52" s="99"/>
      <c r="P52" s="99"/>
      <c r="Q52" s="99"/>
      <c r="R52" s="99"/>
    </row>
    <row r="53">
      <c r="A53" s="99"/>
      <c r="B53" s="99"/>
      <c r="C53" s="99"/>
      <c r="D53" s="99"/>
      <c r="E53" s="99"/>
      <c r="F53" s="99"/>
      <c r="G53" s="99"/>
      <c r="H53" s="99"/>
      <c r="I53" s="99"/>
      <c r="J53" s="99"/>
      <c r="K53" s="99"/>
      <c r="L53" s="99"/>
      <c r="M53" s="99"/>
      <c r="N53" s="99"/>
      <c r="O53" s="99"/>
      <c r="P53" s="99"/>
      <c r="Q53" s="99"/>
      <c r="R53" s="99"/>
    </row>
    <row r="54">
      <c r="A54" s="99"/>
      <c r="B54" s="99"/>
      <c r="C54" s="99"/>
      <c r="D54" s="99"/>
      <c r="E54" s="99"/>
      <c r="F54" s="99"/>
      <c r="G54" s="99"/>
      <c r="H54" s="99"/>
      <c r="I54" s="99"/>
      <c r="J54" s="99"/>
      <c r="K54" s="99"/>
      <c r="L54" s="99"/>
      <c r="M54" s="99"/>
      <c r="N54" s="99"/>
      <c r="O54" s="99"/>
      <c r="P54" s="99"/>
      <c r="Q54" s="99"/>
      <c r="R54" s="99"/>
    </row>
    <row r="55">
      <c r="A55" s="99"/>
      <c r="B55" s="99"/>
      <c r="C55" s="99"/>
      <c r="D55" s="99"/>
      <c r="E55" s="99"/>
      <c r="F55" s="99"/>
      <c r="G55" s="99"/>
      <c r="H55" s="99"/>
      <c r="I55" s="99"/>
      <c r="J55" s="99"/>
      <c r="K55" s="99"/>
      <c r="L55" s="99"/>
      <c r="M55" s="99"/>
      <c r="N55" s="99"/>
      <c r="O55" s="99"/>
      <c r="P55" s="99"/>
      <c r="Q55" s="99"/>
      <c r="R55" s="99"/>
    </row>
    <row r="56">
      <c r="A56" s="99"/>
      <c r="B56" s="99"/>
      <c r="C56" s="99"/>
      <c r="D56" s="99"/>
      <c r="E56" s="99"/>
      <c r="F56" s="99"/>
      <c r="G56" s="99"/>
      <c r="H56" s="99"/>
      <c r="I56" s="99"/>
      <c r="J56" s="99"/>
      <c r="K56" s="99"/>
      <c r="L56" s="99"/>
      <c r="M56" s="99"/>
      <c r="N56" s="99"/>
      <c r="O56" s="99"/>
      <c r="P56" s="99"/>
      <c r="Q56" s="99"/>
      <c r="R56" s="99"/>
    </row>
    <row r="57">
      <c r="A57" s="99"/>
      <c r="B57" s="99"/>
      <c r="C57" s="99"/>
      <c r="D57" s="99"/>
      <c r="E57" s="99"/>
      <c r="F57" s="99"/>
      <c r="G57" s="99"/>
      <c r="H57" s="99"/>
      <c r="I57" s="99"/>
      <c r="J57" s="99"/>
      <c r="K57" s="99"/>
      <c r="L57" s="99"/>
      <c r="M57" s="99"/>
      <c r="N57" s="99"/>
      <c r="O57" s="99"/>
      <c r="P57" s="99"/>
      <c r="Q57" s="99"/>
      <c r="R57" s="99"/>
    </row>
    <row r="58">
      <c r="A58" s="99"/>
      <c r="B58" s="99"/>
      <c r="C58" s="99"/>
      <c r="D58" s="99"/>
      <c r="E58" s="99"/>
      <c r="F58" s="99"/>
      <c r="G58" s="99"/>
      <c r="H58" s="99"/>
      <c r="I58" s="99"/>
      <c r="J58" s="99"/>
      <c r="K58" s="99"/>
      <c r="L58" s="99"/>
      <c r="M58" s="99"/>
      <c r="N58" s="99"/>
      <c r="O58" s="99"/>
      <c r="P58" s="99"/>
      <c r="Q58" s="99"/>
      <c r="R58" s="99"/>
    </row>
    <row r="59">
      <c r="A59" s="99"/>
      <c r="B59" s="99"/>
      <c r="C59" s="99"/>
      <c r="D59" s="99"/>
      <c r="E59" s="99"/>
      <c r="F59" s="99"/>
      <c r="G59" s="99"/>
      <c r="H59" s="99"/>
      <c r="I59" s="99"/>
      <c r="J59" s="99"/>
      <c r="K59" s="99"/>
      <c r="L59" s="99"/>
      <c r="M59" s="99"/>
      <c r="N59" s="99"/>
      <c r="O59" s="99"/>
      <c r="P59" s="99"/>
      <c r="Q59" s="99"/>
      <c r="R59" s="99"/>
    </row>
    <row r="60">
      <c r="A60" s="99"/>
      <c r="B60" s="99"/>
      <c r="C60" s="99"/>
      <c r="D60" s="99"/>
      <c r="E60" s="99"/>
      <c r="F60" s="99"/>
      <c r="G60" s="99"/>
      <c r="H60" s="99"/>
      <c r="I60" s="99"/>
      <c r="J60" s="99"/>
      <c r="K60" s="99"/>
      <c r="L60" s="99"/>
      <c r="M60" s="99"/>
      <c r="N60" s="99"/>
      <c r="O60" s="99"/>
      <c r="P60" s="99"/>
      <c r="Q60" s="99"/>
      <c r="R60" s="99"/>
    </row>
    <row r="61">
      <c r="A61" s="99"/>
      <c r="B61" s="99"/>
      <c r="C61" s="99"/>
      <c r="D61" s="99"/>
      <c r="E61" s="99"/>
      <c r="F61" s="99"/>
      <c r="G61" s="99"/>
      <c r="H61" s="99"/>
      <c r="I61" s="99"/>
      <c r="J61" s="99"/>
      <c r="K61" s="99"/>
      <c r="L61" s="99"/>
      <c r="M61" s="99"/>
      <c r="N61" s="99"/>
      <c r="O61" s="99"/>
      <c r="P61" s="99"/>
      <c r="Q61" s="99"/>
      <c r="R61" s="99"/>
    </row>
    <row r="62">
      <c r="A62" s="99"/>
      <c r="B62" s="99"/>
      <c r="C62" s="99"/>
      <c r="D62" s="99"/>
      <c r="E62" s="99"/>
      <c r="F62" s="99"/>
      <c r="G62" s="99"/>
      <c r="H62" s="99"/>
      <c r="I62" s="99"/>
      <c r="J62" s="99"/>
      <c r="K62" s="99"/>
      <c r="L62" s="99"/>
      <c r="M62" s="99"/>
      <c r="N62" s="99"/>
      <c r="O62" s="99"/>
      <c r="P62" s="99"/>
      <c r="Q62" s="99"/>
      <c r="R62" s="99"/>
    </row>
    <row r="63">
      <c r="A63" s="99"/>
      <c r="B63" s="99"/>
      <c r="C63" s="99"/>
      <c r="D63" s="99"/>
      <c r="E63" s="99"/>
      <c r="F63" s="99"/>
      <c r="G63" s="99"/>
      <c r="H63" s="99"/>
      <c r="I63" s="99"/>
      <c r="J63" s="99"/>
      <c r="K63" s="99"/>
      <c r="L63" s="99"/>
      <c r="M63" s="99"/>
      <c r="N63" s="99"/>
      <c r="O63" s="99"/>
      <c r="P63" s="99"/>
      <c r="Q63" s="99"/>
      <c r="R63" s="99"/>
    </row>
    <row r="64">
      <c r="A64" s="99"/>
      <c r="B64" s="99"/>
      <c r="C64" s="99"/>
      <c r="D64" s="99"/>
      <c r="E64" s="99"/>
      <c r="F64" s="99"/>
      <c r="G64" s="99"/>
      <c r="H64" s="99"/>
      <c r="I64" s="99"/>
      <c r="J64" s="99"/>
      <c r="K64" s="99"/>
      <c r="L64" s="99"/>
      <c r="M64" s="99"/>
      <c r="N64" s="99"/>
      <c r="O64" s="99"/>
      <c r="P64" s="99"/>
      <c r="Q64" s="99"/>
      <c r="R64" s="99"/>
    </row>
    <row r="65">
      <c r="A65" s="99"/>
      <c r="B65" s="99"/>
      <c r="C65" s="99"/>
      <c r="D65" s="99"/>
      <c r="E65" s="99"/>
      <c r="F65" s="99"/>
      <c r="G65" s="99"/>
      <c r="H65" s="99"/>
      <c r="I65" s="99"/>
      <c r="J65" s="99"/>
      <c r="K65" s="99"/>
      <c r="L65" s="99"/>
      <c r="M65" s="99"/>
      <c r="N65" s="99"/>
      <c r="O65" s="99"/>
      <c r="P65" s="99"/>
      <c r="Q65" s="99"/>
      <c r="R65" s="99"/>
    </row>
    <row r="66">
      <c r="A66" s="99"/>
      <c r="B66" s="99"/>
      <c r="C66" s="99"/>
      <c r="D66" s="99"/>
      <c r="E66" s="99"/>
      <c r="F66" s="99"/>
      <c r="G66" s="99"/>
      <c r="H66" s="99"/>
      <c r="I66" s="99"/>
      <c r="J66" s="99"/>
      <c r="K66" s="99"/>
      <c r="L66" s="99"/>
      <c r="M66" s="99"/>
      <c r="N66" s="99"/>
      <c r="O66" s="99"/>
      <c r="P66" s="99"/>
      <c r="Q66" s="99"/>
      <c r="R66" s="99"/>
    </row>
    <row r="67">
      <c r="A67" s="99"/>
      <c r="B67" s="99"/>
      <c r="C67" s="99"/>
      <c r="D67" s="99"/>
      <c r="E67" s="99"/>
      <c r="F67" s="99"/>
      <c r="G67" s="99"/>
      <c r="H67" s="99"/>
      <c r="I67" s="99"/>
      <c r="J67" s="99"/>
      <c r="K67" s="99"/>
      <c r="L67" s="99"/>
      <c r="M67" s="99"/>
      <c r="N67" s="99"/>
      <c r="O67" s="99"/>
      <c r="P67" s="99"/>
      <c r="Q67" s="99"/>
      <c r="R67" s="99"/>
    </row>
    <row r="68">
      <c r="A68" s="99"/>
      <c r="B68" s="99"/>
      <c r="C68" s="99"/>
      <c r="D68" s="99"/>
      <c r="E68" s="99"/>
      <c r="F68" s="99"/>
      <c r="G68" s="99"/>
      <c r="H68" s="99"/>
      <c r="I68" s="99"/>
      <c r="J68" s="99"/>
      <c r="K68" s="99"/>
      <c r="L68" s="99"/>
      <c r="M68" s="99"/>
      <c r="N68" s="99"/>
      <c r="O68" s="99"/>
      <c r="P68" s="99"/>
      <c r="Q68" s="99"/>
      <c r="R68" s="99"/>
    </row>
    <row r="69">
      <c r="A69" s="99"/>
      <c r="B69" s="99"/>
      <c r="C69" s="99"/>
      <c r="D69" s="99"/>
      <c r="E69" s="99"/>
      <c r="F69" s="99"/>
      <c r="G69" s="99"/>
      <c r="H69" s="99"/>
      <c r="I69" s="99"/>
      <c r="J69" s="99"/>
      <c r="K69" s="99"/>
      <c r="L69" s="99"/>
      <c r="M69" s="99"/>
      <c r="N69" s="99"/>
      <c r="O69" s="99"/>
      <c r="P69" s="99"/>
      <c r="Q69" s="99"/>
      <c r="R69" s="99"/>
    </row>
    <row r="70">
      <c r="A70" s="99"/>
      <c r="B70" s="99"/>
      <c r="C70" s="99"/>
      <c r="D70" s="99"/>
      <c r="E70" s="99"/>
      <c r="F70" s="99"/>
      <c r="G70" s="99"/>
      <c r="H70" s="99"/>
      <c r="I70" s="99"/>
      <c r="J70" s="99"/>
      <c r="K70" s="99"/>
      <c r="L70" s="99"/>
      <c r="M70" s="99"/>
      <c r="N70" s="99"/>
      <c r="O70" s="99"/>
      <c r="P70" s="99"/>
      <c r="Q70" s="99"/>
      <c r="R70" s="99"/>
    </row>
    <row r="71">
      <c r="A71" s="99"/>
      <c r="B71" s="99"/>
      <c r="C71" s="99"/>
      <c r="D71" s="99"/>
      <c r="E71" s="99"/>
      <c r="F71" s="99"/>
      <c r="G71" s="99"/>
      <c r="H71" s="99"/>
      <c r="I71" s="99"/>
      <c r="J71" s="99"/>
      <c r="K71" s="99"/>
      <c r="L71" s="99"/>
      <c r="M71" s="99"/>
      <c r="N71" s="99"/>
      <c r="O71" s="99"/>
      <c r="P71" s="99"/>
      <c r="Q71" s="99"/>
      <c r="R71" s="99"/>
    </row>
    <row r="72">
      <c r="A72" s="99"/>
      <c r="B72" s="99"/>
      <c r="C72" s="99"/>
      <c r="D72" s="99"/>
      <c r="E72" s="99"/>
      <c r="F72" s="99"/>
      <c r="G72" s="99"/>
      <c r="H72" s="99"/>
      <c r="I72" s="99"/>
      <c r="J72" s="99"/>
      <c r="K72" s="99"/>
      <c r="L72" s="99"/>
      <c r="M72" s="99"/>
      <c r="N72" s="99"/>
      <c r="O72" s="99"/>
      <c r="P72" s="99"/>
      <c r="Q72" s="99"/>
      <c r="R72" s="99"/>
    </row>
    <row r="73">
      <c r="A73" s="99"/>
      <c r="B73" s="99"/>
      <c r="C73" s="99"/>
      <c r="D73" s="99"/>
      <c r="E73" s="99"/>
      <c r="F73" s="99"/>
      <c r="G73" s="99"/>
      <c r="H73" s="99"/>
      <c r="I73" s="99"/>
      <c r="J73" s="99"/>
      <c r="K73" s="99"/>
      <c r="L73" s="99"/>
      <c r="M73" s="99"/>
      <c r="N73" s="99"/>
      <c r="O73" s="99"/>
      <c r="P73" s="99"/>
      <c r="Q73" s="99"/>
      <c r="R73" s="99"/>
    </row>
    <row r="74">
      <c r="A74" s="99"/>
      <c r="B74" s="99"/>
      <c r="C74" s="99"/>
      <c r="D74" s="99"/>
      <c r="E74" s="99"/>
      <c r="F74" s="99"/>
      <c r="G74" s="99"/>
      <c r="H74" s="99"/>
      <c r="I74" s="99"/>
      <c r="J74" s="99"/>
      <c r="K74" s="99"/>
      <c r="L74" s="99"/>
      <c r="M74" s="99"/>
      <c r="N74" s="99"/>
      <c r="O74" s="99"/>
      <c r="P74" s="99"/>
      <c r="Q74" s="99"/>
      <c r="R74" s="99"/>
    </row>
    <row r="75">
      <c r="A75" s="99"/>
      <c r="B75" s="99"/>
      <c r="C75" s="99"/>
      <c r="D75" s="99"/>
      <c r="E75" s="99"/>
      <c r="F75" s="99"/>
      <c r="G75" s="99"/>
      <c r="H75" s="99"/>
      <c r="I75" s="99"/>
      <c r="J75" s="99"/>
      <c r="K75" s="99"/>
      <c r="L75" s="99"/>
      <c r="M75" s="99"/>
      <c r="N75" s="99"/>
      <c r="O75" s="99"/>
      <c r="P75" s="99"/>
      <c r="Q75" s="99"/>
      <c r="R75" s="99"/>
    </row>
    <row r="76">
      <c r="A76" s="99"/>
      <c r="B76" s="99"/>
      <c r="C76" s="99"/>
      <c r="D76" s="99"/>
      <c r="E76" s="99"/>
      <c r="F76" s="99"/>
      <c r="G76" s="99"/>
      <c r="H76" s="99"/>
      <c r="I76" s="99"/>
      <c r="J76" s="99"/>
      <c r="K76" s="99"/>
      <c r="L76" s="99"/>
      <c r="M76" s="99"/>
      <c r="N76" s="99"/>
      <c r="O76" s="99"/>
      <c r="P76" s="99"/>
      <c r="Q76" s="99"/>
      <c r="R76" s="99"/>
    </row>
    <row r="77">
      <c r="A77" s="99"/>
      <c r="B77" s="99"/>
      <c r="C77" s="99"/>
      <c r="D77" s="99"/>
      <c r="E77" s="99"/>
      <c r="F77" s="99"/>
      <c r="G77" s="99"/>
      <c r="H77" s="99"/>
      <c r="I77" s="99"/>
      <c r="J77" s="99"/>
      <c r="K77" s="99"/>
      <c r="L77" s="99"/>
      <c r="M77" s="99"/>
      <c r="N77" s="99"/>
      <c r="O77" s="99"/>
      <c r="P77" s="99"/>
      <c r="Q77" s="99"/>
      <c r="R77" s="99"/>
    </row>
    <row r="78">
      <c r="A78" s="99"/>
      <c r="B78" s="99"/>
      <c r="C78" s="99"/>
      <c r="D78" s="99"/>
      <c r="E78" s="99"/>
      <c r="F78" s="99"/>
      <c r="G78" s="99"/>
      <c r="H78" s="99"/>
      <c r="I78" s="99"/>
      <c r="J78" s="99"/>
      <c r="K78" s="99"/>
      <c r="L78" s="99"/>
      <c r="M78" s="99"/>
      <c r="N78" s="99"/>
      <c r="O78" s="99"/>
      <c r="P78" s="99"/>
      <c r="Q78" s="99"/>
      <c r="R78" s="99"/>
    </row>
    <row r="79">
      <c r="A79" s="99"/>
      <c r="B79" s="99"/>
      <c r="C79" s="99"/>
      <c r="D79" s="99"/>
      <c r="E79" s="99"/>
      <c r="F79" s="99"/>
      <c r="G79" s="99"/>
      <c r="H79" s="99"/>
      <c r="I79" s="99"/>
      <c r="J79" s="99"/>
      <c r="K79" s="99"/>
      <c r="L79" s="99"/>
      <c r="M79" s="99"/>
      <c r="N79" s="99"/>
      <c r="O79" s="99"/>
      <c r="P79" s="99"/>
      <c r="Q79" s="99"/>
      <c r="R79" s="99"/>
    </row>
    <row r="80">
      <c r="A80" s="99"/>
      <c r="B80" s="99"/>
      <c r="C80" s="99"/>
      <c r="D80" s="99"/>
      <c r="E80" s="99"/>
      <c r="F80" s="99"/>
      <c r="G80" s="99"/>
      <c r="H80" s="99"/>
      <c r="I80" s="99"/>
      <c r="J80" s="99"/>
      <c r="K80" s="99"/>
      <c r="L80" s="99"/>
      <c r="M80" s="99"/>
      <c r="N80" s="99"/>
      <c r="O80" s="99"/>
      <c r="P80" s="99"/>
      <c r="Q80" s="99"/>
      <c r="R80" s="99"/>
    </row>
    <row r="81">
      <c r="A81" s="99"/>
      <c r="B81" s="99"/>
      <c r="C81" s="99"/>
      <c r="D81" s="99"/>
      <c r="E81" s="99"/>
      <c r="F81" s="99"/>
      <c r="G81" s="99"/>
      <c r="H81" s="99"/>
      <c r="I81" s="99"/>
      <c r="J81" s="99"/>
      <c r="K81" s="99"/>
      <c r="L81" s="99"/>
      <c r="M81" s="99"/>
      <c r="N81" s="99"/>
      <c r="O81" s="99"/>
      <c r="P81" s="99"/>
      <c r="Q81" s="99"/>
      <c r="R81" s="99"/>
    </row>
    <row r="82">
      <c r="A82" s="99"/>
      <c r="B82" s="99"/>
      <c r="C82" s="99"/>
      <c r="D82" s="99"/>
      <c r="E82" s="99"/>
      <c r="F82" s="99"/>
      <c r="G82" s="99"/>
      <c r="H82" s="99"/>
      <c r="I82" s="99"/>
      <c r="J82" s="99"/>
      <c r="K82" s="99"/>
      <c r="L82" s="99"/>
      <c r="M82" s="99"/>
      <c r="N82" s="99"/>
      <c r="O82" s="99"/>
      <c r="P82" s="99"/>
      <c r="Q82" s="99"/>
      <c r="R82" s="99"/>
    </row>
    <row r="83">
      <c r="A83" s="99"/>
      <c r="B83" s="99"/>
      <c r="C83" s="99"/>
      <c r="D83" s="99"/>
      <c r="E83" s="99"/>
      <c r="F83" s="99"/>
      <c r="G83" s="99"/>
      <c r="H83" s="99"/>
      <c r="I83" s="99"/>
      <c r="J83" s="99"/>
      <c r="K83" s="99"/>
      <c r="L83" s="99"/>
      <c r="M83" s="99"/>
      <c r="N83" s="99"/>
      <c r="O83" s="99"/>
      <c r="P83" s="99"/>
      <c r="Q83" s="99"/>
      <c r="R83" s="99"/>
    </row>
    <row r="84">
      <c r="A84" s="99"/>
      <c r="B84" s="99"/>
      <c r="C84" s="99"/>
      <c r="D84" s="99"/>
      <c r="E84" s="99"/>
      <c r="F84" s="99"/>
      <c r="G84" s="99"/>
      <c r="H84" s="99"/>
      <c r="I84" s="99"/>
      <c r="J84" s="99"/>
      <c r="K84" s="99"/>
      <c r="L84" s="99"/>
      <c r="M84" s="99"/>
      <c r="N84" s="99"/>
      <c r="O84" s="99"/>
      <c r="P84" s="99"/>
      <c r="Q84" s="99"/>
      <c r="R84" s="99"/>
    </row>
    <row r="85">
      <c r="A85" s="99"/>
      <c r="B85" s="99"/>
      <c r="C85" s="99"/>
      <c r="D85" s="99"/>
      <c r="E85" s="99"/>
      <c r="F85" s="99"/>
      <c r="G85" s="99"/>
      <c r="H85" s="99"/>
      <c r="I85" s="99"/>
      <c r="J85" s="99"/>
      <c r="K85" s="99"/>
      <c r="L85" s="99"/>
      <c r="M85" s="99"/>
      <c r="N85" s="99"/>
      <c r="O85" s="99"/>
      <c r="P85" s="99"/>
      <c r="Q85" s="99"/>
      <c r="R85" s="99"/>
    </row>
    <row r="86">
      <c r="A86" s="99"/>
      <c r="B86" s="99"/>
      <c r="C86" s="99"/>
      <c r="D86" s="99"/>
      <c r="E86" s="99"/>
      <c r="F86" s="99"/>
      <c r="G86" s="99"/>
      <c r="H86" s="99"/>
      <c r="I86" s="99"/>
      <c r="J86" s="99"/>
      <c r="K86" s="99"/>
      <c r="L86" s="99"/>
      <c r="M86" s="99"/>
      <c r="N86" s="99"/>
      <c r="O86" s="99"/>
      <c r="P86" s="99"/>
      <c r="Q86" s="99"/>
      <c r="R86" s="99"/>
    </row>
    <row r="87">
      <c r="A87" s="99"/>
      <c r="B87" s="99"/>
      <c r="C87" s="99"/>
      <c r="D87" s="99"/>
      <c r="E87" s="99"/>
      <c r="F87" s="99"/>
      <c r="G87" s="99"/>
      <c r="H87" s="99"/>
      <c r="I87" s="99"/>
      <c r="J87" s="99"/>
      <c r="K87" s="99"/>
      <c r="L87" s="99"/>
      <c r="M87" s="99"/>
      <c r="N87" s="99"/>
      <c r="O87" s="99"/>
      <c r="P87" s="99"/>
      <c r="Q87" s="99"/>
      <c r="R87" s="99"/>
    </row>
    <row r="88">
      <c r="A88" s="99"/>
      <c r="B88" s="99"/>
      <c r="C88" s="99"/>
      <c r="D88" s="99"/>
      <c r="E88" s="99"/>
      <c r="F88" s="99"/>
      <c r="G88" s="99"/>
      <c r="H88" s="99"/>
      <c r="I88" s="99"/>
      <c r="J88" s="99"/>
      <c r="K88" s="99"/>
      <c r="L88" s="99"/>
      <c r="M88" s="99"/>
      <c r="N88" s="99"/>
      <c r="O88" s="99"/>
      <c r="P88" s="99"/>
      <c r="Q88" s="99"/>
      <c r="R88" s="99"/>
    </row>
    <row r="89">
      <c r="A89" s="99"/>
      <c r="B89" s="99"/>
      <c r="C89" s="99"/>
      <c r="D89" s="99"/>
      <c r="E89" s="99"/>
      <c r="F89" s="99"/>
      <c r="G89" s="99"/>
      <c r="H89" s="99"/>
      <c r="I89" s="99"/>
      <c r="J89" s="99"/>
      <c r="K89" s="99"/>
      <c r="L89" s="99"/>
      <c r="M89" s="99"/>
      <c r="N89" s="99"/>
      <c r="O89" s="99"/>
      <c r="P89" s="99"/>
      <c r="Q89" s="99"/>
      <c r="R89" s="99"/>
    </row>
    <row r="90">
      <c r="A90" s="99"/>
      <c r="B90" s="99"/>
      <c r="C90" s="99"/>
      <c r="D90" s="99"/>
      <c r="E90" s="99"/>
      <c r="F90" s="99"/>
      <c r="G90" s="99"/>
      <c r="H90" s="99"/>
      <c r="I90" s="99"/>
      <c r="J90" s="99"/>
      <c r="K90" s="99"/>
      <c r="L90" s="99"/>
      <c r="M90" s="99"/>
      <c r="N90" s="99"/>
      <c r="O90" s="99"/>
      <c r="P90" s="99"/>
      <c r="Q90" s="99"/>
      <c r="R90" s="99"/>
    </row>
    <row r="91">
      <c r="A91" s="99"/>
      <c r="B91" s="99"/>
      <c r="C91" s="99"/>
      <c r="D91" s="99"/>
      <c r="E91" s="99"/>
      <c r="F91" s="99"/>
      <c r="G91" s="99"/>
      <c r="H91" s="99"/>
      <c r="I91" s="99"/>
      <c r="J91" s="99"/>
      <c r="K91" s="99"/>
      <c r="L91" s="99"/>
      <c r="M91" s="99"/>
      <c r="N91" s="99"/>
      <c r="O91" s="99"/>
      <c r="P91" s="99"/>
      <c r="Q91" s="99"/>
      <c r="R91" s="99"/>
    </row>
    <row r="92">
      <c r="A92" s="99"/>
      <c r="B92" s="99"/>
      <c r="C92" s="99"/>
      <c r="D92" s="99"/>
      <c r="E92" s="99"/>
      <c r="F92" s="99"/>
      <c r="G92" s="99"/>
      <c r="H92" s="99"/>
      <c r="I92" s="99"/>
      <c r="J92" s="99"/>
      <c r="K92" s="99"/>
      <c r="L92" s="99"/>
      <c r="M92" s="99"/>
      <c r="N92" s="99"/>
      <c r="O92" s="99"/>
      <c r="P92" s="99"/>
      <c r="Q92" s="99"/>
      <c r="R92" s="99"/>
    </row>
    <row r="93">
      <c r="A93" s="99"/>
      <c r="B93" s="99"/>
      <c r="C93" s="99"/>
      <c r="D93" s="99"/>
      <c r="E93" s="99"/>
      <c r="F93" s="99"/>
      <c r="G93" s="99"/>
      <c r="H93" s="99"/>
      <c r="I93" s="99"/>
      <c r="J93" s="99"/>
      <c r="K93" s="99"/>
      <c r="L93" s="99"/>
      <c r="M93" s="99"/>
      <c r="N93" s="99"/>
      <c r="O93" s="99"/>
      <c r="P93" s="99"/>
      <c r="Q93" s="99"/>
      <c r="R93" s="99"/>
    </row>
    <row r="94">
      <c r="A94" s="99"/>
      <c r="B94" s="99"/>
      <c r="C94" s="99"/>
      <c r="D94" s="99"/>
      <c r="E94" s="99"/>
      <c r="F94" s="99"/>
      <c r="G94" s="99"/>
      <c r="H94" s="99"/>
      <c r="I94" s="99"/>
      <c r="J94" s="99"/>
      <c r="K94" s="99"/>
      <c r="L94" s="99"/>
      <c r="M94" s="99"/>
      <c r="N94" s="99"/>
      <c r="O94" s="99"/>
      <c r="P94" s="99"/>
      <c r="Q94" s="99"/>
      <c r="R94" s="99"/>
    </row>
    <row r="95">
      <c r="A95" s="99"/>
      <c r="B95" s="99"/>
      <c r="C95" s="99"/>
      <c r="D95" s="99"/>
      <c r="E95" s="99"/>
      <c r="F95" s="99"/>
      <c r="G95" s="99"/>
      <c r="H95" s="99"/>
      <c r="I95" s="99"/>
      <c r="J95" s="99"/>
      <c r="K95" s="99"/>
      <c r="L95" s="99"/>
      <c r="M95" s="99"/>
      <c r="N95" s="99"/>
      <c r="O95" s="99"/>
      <c r="P95" s="99"/>
      <c r="Q95" s="99"/>
      <c r="R95" s="99"/>
    </row>
    <row r="96">
      <c r="A96" s="99"/>
      <c r="B96" s="99"/>
      <c r="C96" s="99"/>
      <c r="D96" s="99"/>
      <c r="E96" s="99"/>
      <c r="F96" s="99"/>
      <c r="G96" s="99"/>
      <c r="H96" s="99"/>
      <c r="I96" s="99"/>
      <c r="J96" s="99"/>
      <c r="K96" s="99"/>
      <c r="L96" s="99"/>
      <c r="M96" s="99"/>
      <c r="N96" s="99"/>
      <c r="O96" s="99"/>
      <c r="P96" s="99"/>
      <c r="Q96" s="99"/>
      <c r="R96" s="99"/>
    </row>
    <row r="97">
      <c r="A97" s="99"/>
      <c r="B97" s="99"/>
      <c r="C97" s="99"/>
      <c r="D97" s="99"/>
      <c r="E97" s="99"/>
      <c r="F97" s="99"/>
      <c r="G97" s="99"/>
      <c r="H97" s="99"/>
      <c r="I97" s="99"/>
      <c r="J97" s="99"/>
      <c r="K97" s="99"/>
      <c r="L97" s="99"/>
      <c r="M97" s="99"/>
      <c r="N97" s="99"/>
      <c r="O97" s="99"/>
      <c r="P97" s="99"/>
      <c r="Q97" s="99"/>
      <c r="R97" s="99"/>
    </row>
    <row r="98">
      <c r="A98" s="99"/>
      <c r="B98" s="99"/>
      <c r="C98" s="99"/>
      <c r="D98" s="99"/>
      <c r="E98" s="99"/>
      <c r="F98" s="99"/>
      <c r="G98" s="99"/>
      <c r="H98" s="99"/>
      <c r="I98" s="99"/>
      <c r="J98" s="99"/>
      <c r="K98" s="99"/>
      <c r="L98" s="99"/>
      <c r="M98" s="99"/>
      <c r="N98" s="99"/>
      <c r="O98" s="99"/>
      <c r="P98" s="99"/>
      <c r="Q98" s="99"/>
      <c r="R98" s="99"/>
    </row>
    <row r="99">
      <c r="A99" s="99"/>
      <c r="B99" s="99"/>
      <c r="C99" s="99"/>
      <c r="D99" s="99"/>
      <c r="E99" s="99"/>
      <c r="F99" s="99"/>
      <c r="G99" s="99"/>
      <c r="H99" s="99"/>
      <c r="I99" s="99"/>
      <c r="J99" s="99"/>
      <c r="K99" s="99"/>
      <c r="L99" s="99"/>
      <c r="M99" s="99"/>
      <c r="N99" s="99"/>
      <c r="O99" s="99"/>
      <c r="P99" s="99"/>
      <c r="Q99" s="99"/>
      <c r="R99" s="99"/>
    </row>
    <row r="100">
      <c r="A100" s="99"/>
      <c r="B100" s="99"/>
      <c r="C100" s="99"/>
      <c r="D100" s="99"/>
      <c r="E100" s="99"/>
      <c r="F100" s="99"/>
      <c r="G100" s="99"/>
      <c r="H100" s="99"/>
      <c r="I100" s="99"/>
      <c r="J100" s="99"/>
      <c r="K100" s="99"/>
      <c r="L100" s="99"/>
      <c r="M100" s="99"/>
      <c r="N100" s="99"/>
      <c r="O100" s="99"/>
      <c r="P100" s="99"/>
      <c r="Q100" s="99"/>
      <c r="R100" s="99"/>
    </row>
    <row r="101">
      <c r="A101" s="99"/>
      <c r="B101" s="99"/>
      <c r="C101" s="99"/>
      <c r="D101" s="99"/>
      <c r="E101" s="99"/>
      <c r="F101" s="99"/>
      <c r="G101" s="99"/>
      <c r="H101" s="99"/>
      <c r="I101" s="99"/>
      <c r="J101" s="99"/>
      <c r="K101" s="99"/>
      <c r="L101" s="99"/>
      <c r="M101" s="99"/>
      <c r="N101" s="99"/>
      <c r="O101" s="99"/>
      <c r="P101" s="99"/>
      <c r="Q101" s="99"/>
      <c r="R101" s="99"/>
    </row>
    <row r="102">
      <c r="A102" s="99"/>
      <c r="B102" s="99"/>
      <c r="C102" s="99"/>
      <c r="D102" s="99"/>
      <c r="E102" s="99"/>
      <c r="F102" s="99"/>
      <c r="G102" s="99"/>
      <c r="H102" s="99"/>
      <c r="I102" s="99"/>
      <c r="J102" s="99"/>
      <c r="K102" s="99"/>
      <c r="L102" s="99"/>
      <c r="M102" s="99"/>
      <c r="N102" s="99"/>
      <c r="O102" s="99"/>
      <c r="P102" s="99"/>
      <c r="Q102" s="99"/>
      <c r="R102" s="99"/>
    </row>
    <row r="103">
      <c r="A103" s="99"/>
      <c r="B103" s="99"/>
      <c r="C103" s="99"/>
      <c r="D103" s="99"/>
      <c r="E103" s="99"/>
      <c r="F103" s="99"/>
      <c r="G103" s="99"/>
      <c r="H103" s="99"/>
      <c r="I103" s="99"/>
      <c r="J103" s="99"/>
      <c r="K103" s="99"/>
      <c r="L103" s="99"/>
      <c r="M103" s="99"/>
      <c r="N103" s="99"/>
      <c r="O103" s="99"/>
      <c r="P103" s="99"/>
      <c r="Q103" s="99"/>
      <c r="R103" s="99"/>
    </row>
    <row r="104">
      <c r="A104" s="99"/>
      <c r="B104" s="99"/>
      <c r="C104" s="99"/>
      <c r="D104" s="99"/>
      <c r="E104" s="99"/>
      <c r="F104" s="99"/>
      <c r="G104" s="99"/>
      <c r="H104" s="99"/>
      <c r="I104" s="99"/>
      <c r="J104" s="99"/>
      <c r="K104" s="99"/>
      <c r="L104" s="99"/>
      <c r="M104" s="99"/>
      <c r="N104" s="99"/>
      <c r="O104" s="99"/>
      <c r="P104" s="99"/>
      <c r="Q104" s="99"/>
      <c r="R104" s="99"/>
    </row>
    <row r="105">
      <c r="A105" s="99"/>
      <c r="B105" s="99"/>
      <c r="C105" s="99"/>
      <c r="D105" s="99"/>
      <c r="E105" s="99"/>
      <c r="F105" s="99"/>
      <c r="G105" s="99"/>
      <c r="H105" s="99"/>
      <c r="I105" s="99"/>
      <c r="J105" s="99"/>
      <c r="K105" s="99"/>
      <c r="L105" s="99"/>
      <c r="M105" s="99"/>
      <c r="N105" s="99"/>
      <c r="O105" s="99"/>
      <c r="P105" s="99"/>
      <c r="Q105" s="99"/>
      <c r="R105" s="99"/>
    </row>
    <row r="106">
      <c r="A106" s="99"/>
      <c r="B106" s="99"/>
      <c r="C106" s="99"/>
      <c r="D106" s="99"/>
      <c r="E106" s="99"/>
      <c r="F106" s="99"/>
      <c r="G106" s="99"/>
      <c r="H106" s="99"/>
      <c r="I106" s="99"/>
      <c r="J106" s="99"/>
      <c r="K106" s="99"/>
      <c r="L106" s="99"/>
      <c r="M106" s="99"/>
      <c r="N106" s="99"/>
      <c r="O106" s="99"/>
      <c r="P106" s="99"/>
      <c r="Q106" s="99"/>
      <c r="R106" s="99"/>
    </row>
    <row r="107">
      <c r="A107" s="99"/>
      <c r="B107" s="99"/>
      <c r="C107" s="99"/>
      <c r="D107" s="99"/>
      <c r="E107" s="99"/>
      <c r="F107" s="99"/>
      <c r="G107" s="99"/>
      <c r="H107" s="99"/>
      <c r="I107" s="99"/>
      <c r="J107" s="99"/>
      <c r="K107" s="99"/>
      <c r="L107" s="99"/>
      <c r="M107" s="99"/>
      <c r="N107" s="99"/>
      <c r="O107" s="99"/>
      <c r="P107" s="99"/>
      <c r="Q107" s="99"/>
      <c r="R107" s="99"/>
    </row>
    <row r="108">
      <c r="A108" s="99"/>
      <c r="B108" s="99"/>
      <c r="C108" s="99"/>
      <c r="D108" s="99"/>
      <c r="E108" s="99"/>
      <c r="F108" s="99"/>
      <c r="G108" s="99"/>
      <c r="H108" s="99"/>
      <c r="I108" s="99"/>
      <c r="J108" s="99"/>
      <c r="K108" s="99"/>
      <c r="L108" s="99"/>
      <c r="M108" s="99"/>
      <c r="N108" s="99"/>
      <c r="O108" s="99"/>
      <c r="P108" s="99"/>
      <c r="Q108" s="99"/>
      <c r="R108" s="99"/>
    </row>
    <row r="109">
      <c r="A109" s="99"/>
      <c r="B109" s="99"/>
      <c r="C109" s="99"/>
      <c r="D109" s="99"/>
      <c r="E109" s="99"/>
      <c r="F109" s="99"/>
      <c r="G109" s="99"/>
      <c r="H109" s="99"/>
      <c r="I109" s="99"/>
      <c r="J109" s="99"/>
      <c r="K109" s="99"/>
      <c r="L109" s="99"/>
      <c r="M109" s="99"/>
      <c r="N109" s="99"/>
      <c r="O109" s="99"/>
      <c r="P109" s="99"/>
      <c r="Q109" s="99"/>
      <c r="R109" s="99"/>
    </row>
    <row r="110">
      <c r="A110" s="99"/>
      <c r="B110" s="99"/>
      <c r="C110" s="99"/>
      <c r="D110" s="99"/>
      <c r="E110" s="99"/>
      <c r="F110" s="99"/>
      <c r="G110" s="99"/>
      <c r="H110" s="99"/>
      <c r="I110" s="99"/>
      <c r="J110" s="99"/>
      <c r="K110" s="99"/>
      <c r="L110" s="99"/>
      <c r="M110" s="99"/>
      <c r="N110" s="99"/>
      <c r="O110" s="99"/>
      <c r="P110" s="99"/>
      <c r="Q110" s="99"/>
      <c r="R110" s="99"/>
    </row>
    <row r="111">
      <c r="A111" s="99"/>
      <c r="B111" s="99"/>
      <c r="C111" s="99"/>
      <c r="D111" s="99"/>
      <c r="E111" s="99"/>
      <c r="F111" s="99"/>
      <c r="G111" s="99"/>
      <c r="H111" s="99"/>
      <c r="I111" s="99"/>
      <c r="J111" s="99"/>
      <c r="K111" s="99"/>
      <c r="L111" s="99"/>
      <c r="M111" s="99"/>
      <c r="N111" s="99"/>
      <c r="O111" s="99"/>
      <c r="P111" s="99"/>
      <c r="Q111" s="99"/>
      <c r="R111" s="99"/>
    </row>
    <row r="112">
      <c r="A112" s="99"/>
      <c r="B112" s="99"/>
      <c r="C112" s="99"/>
      <c r="D112" s="99"/>
      <c r="E112" s="99"/>
      <c r="F112" s="99"/>
      <c r="G112" s="99"/>
      <c r="H112" s="99"/>
      <c r="I112" s="99"/>
      <c r="J112" s="99"/>
      <c r="K112" s="99"/>
      <c r="L112" s="99"/>
      <c r="M112" s="99"/>
      <c r="N112" s="99"/>
      <c r="O112" s="99"/>
      <c r="P112" s="99"/>
      <c r="Q112" s="99"/>
      <c r="R112" s="99"/>
    </row>
    <row r="113">
      <c r="A113" s="99"/>
      <c r="B113" s="99"/>
      <c r="C113" s="99"/>
      <c r="D113" s="99"/>
      <c r="E113" s="99"/>
      <c r="F113" s="99"/>
      <c r="G113" s="99"/>
      <c r="H113" s="99"/>
      <c r="I113" s="99"/>
      <c r="J113" s="99"/>
      <c r="K113" s="99"/>
      <c r="L113" s="99"/>
      <c r="M113" s="99"/>
      <c r="N113" s="99"/>
      <c r="O113" s="99"/>
      <c r="P113" s="99"/>
      <c r="Q113" s="99"/>
      <c r="R113" s="99"/>
    </row>
    <row r="114">
      <c r="A114" s="99"/>
      <c r="B114" s="99"/>
      <c r="C114" s="99"/>
      <c r="D114" s="99"/>
      <c r="E114" s="99"/>
      <c r="F114" s="99"/>
      <c r="G114" s="99"/>
      <c r="H114" s="99"/>
      <c r="I114" s="99"/>
      <c r="J114" s="99"/>
      <c r="K114" s="99"/>
      <c r="L114" s="99"/>
      <c r="M114" s="99"/>
      <c r="N114" s="99"/>
      <c r="O114" s="99"/>
      <c r="P114" s="99"/>
      <c r="Q114" s="99"/>
      <c r="R114" s="99"/>
    </row>
    <row r="115">
      <c r="A115" s="99"/>
      <c r="B115" s="99"/>
      <c r="C115" s="99"/>
      <c r="D115" s="99"/>
      <c r="E115" s="99"/>
      <c r="F115" s="99"/>
      <c r="G115" s="99"/>
      <c r="H115" s="99"/>
      <c r="I115" s="99"/>
      <c r="J115" s="99"/>
      <c r="K115" s="99"/>
      <c r="L115" s="99"/>
      <c r="M115" s="99"/>
      <c r="N115" s="99"/>
      <c r="O115" s="99"/>
      <c r="P115" s="99"/>
      <c r="Q115" s="99"/>
      <c r="R115" s="99"/>
    </row>
    <row r="116">
      <c r="A116" s="99"/>
      <c r="B116" s="99"/>
      <c r="C116" s="99"/>
      <c r="D116" s="99"/>
      <c r="E116" s="99"/>
      <c r="F116" s="99"/>
      <c r="G116" s="99"/>
      <c r="H116" s="99"/>
      <c r="I116" s="99"/>
      <c r="J116" s="99"/>
      <c r="K116" s="99"/>
      <c r="L116" s="99"/>
      <c r="M116" s="99"/>
      <c r="N116" s="99"/>
      <c r="O116" s="99"/>
      <c r="P116" s="99"/>
      <c r="Q116" s="99"/>
      <c r="R116" s="99"/>
    </row>
    <row r="117">
      <c r="A117" s="99"/>
      <c r="B117" s="99"/>
      <c r="C117" s="99"/>
      <c r="D117" s="99"/>
      <c r="E117" s="99"/>
      <c r="F117" s="99"/>
      <c r="G117" s="99"/>
      <c r="H117" s="99"/>
      <c r="I117" s="99"/>
      <c r="J117" s="99"/>
      <c r="K117" s="99"/>
      <c r="L117" s="99"/>
      <c r="M117" s="99"/>
      <c r="N117" s="99"/>
      <c r="O117" s="99"/>
      <c r="P117" s="99"/>
      <c r="Q117" s="99"/>
      <c r="R117" s="99"/>
    </row>
    <row r="118">
      <c r="A118" s="99"/>
      <c r="B118" s="99"/>
      <c r="C118" s="99"/>
      <c r="D118" s="99"/>
      <c r="E118" s="99"/>
      <c r="F118" s="99"/>
      <c r="G118" s="99"/>
      <c r="H118" s="99"/>
      <c r="I118" s="99"/>
      <c r="J118" s="99"/>
      <c r="K118" s="99"/>
      <c r="L118" s="99"/>
      <c r="M118" s="99"/>
      <c r="N118" s="99"/>
      <c r="O118" s="99"/>
      <c r="P118" s="99"/>
      <c r="Q118" s="99"/>
      <c r="R118" s="99"/>
    </row>
    <row r="119">
      <c r="A119" s="99"/>
      <c r="B119" s="99"/>
      <c r="C119" s="99"/>
      <c r="D119" s="99"/>
      <c r="E119" s="99"/>
      <c r="F119" s="99"/>
      <c r="G119" s="99"/>
      <c r="H119" s="99"/>
      <c r="I119" s="99"/>
      <c r="J119" s="99"/>
      <c r="K119" s="99"/>
      <c r="L119" s="99"/>
      <c r="M119" s="99"/>
      <c r="N119" s="99"/>
      <c r="O119" s="99"/>
      <c r="P119" s="99"/>
      <c r="Q119" s="99"/>
      <c r="R119" s="99"/>
    </row>
    <row r="120">
      <c r="A120" s="99"/>
      <c r="B120" s="99"/>
      <c r="C120" s="99"/>
      <c r="D120" s="99"/>
      <c r="E120" s="99"/>
      <c r="F120" s="99"/>
      <c r="G120" s="99"/>
      <c r="H120" s="99"/>
      <c r="I120" s="99"/>
      <c r="J120" s="99"/>
      <c r="K120" s="99"/>
      <c r="L120" s="99"/>
      <c r="M120" s="99"/>
      <c r="N120" s="99"/>
      <c r="O120" s="99"/>
      <c r="P120" s="99"/>
      <c r="Q120" s="99"/>
      <c r="R120" s="99"/>
    </row>
    <row r="121">
      <c r="A121" s="99"/>
      <c r="B121" s="99"/>
      <c r="C121" s="99"/>
      <c r="D121" s="99"/>
      <c r="E121" s="99"/>
      <c r="F121" s="99"/>
      <c r="G121" s="99"/>
      <c r="H121" s="99"/>
      <c r="I121" s="99"/>
      <c r="J121" s="99"/>
      <c r="K121" s="99"/>
      <c r="L121" s="99"/>
      <c r="M121" s="99"/>
      <c r="N121" s="99"/>
      <c r="O121" s="99"/>
      <c r="P121" s="99"/>
      <c r="Q121" s="99"/>
      <c r="R121" s="99"/>
    </row>
    <row r="122">
      <c r="A122" s="99"/>
      <c r="B122" s="99"/>
      <c r="C122" s="99"/>
      <c r="D122" s="99"/>
      <c r="E122" s="99"/>
      <c r="F122" s="99"/>
      <c r="G122" s="99"/>
      <c r="H122" s="99"/>
      <c r="I122" s="99"/>
      <c r="J122" s="99"/>
      <c r="K122" s="99"/>
      <c r="L122" s="99"/>
      <c r="M122" s="99"/>
      <c r="N122" s="99"/>
      <c r="O122" s="99"/>
      <c r="P122" s="99"/>
      <c r="Q122" s="99"/>
      <c r="R122" s="99"/>
    </row>
    <row r="123">
      <c r="A123" s="99"/>
      <c r="B123" s="99"/>
      <c r="C123" s="99"/>
      <c r="D123" s="99"/>
      <c r="E123" s="99"/>
      <c r="F123" s="99"/>
      <c r="G123" s="99"/>
      <c r="H123" s="99"/>
      <c r="I123" s="99"/>
      <c r="J123" s="99"/>
      <c r="K123" s="99"/>
      <c r="L123" s="99"/>
      <c r="M123" s="99"/>
      <c r="N123" s="99"/>
      <c r="O123" s="99"/>
      <c r="P123" s="99"/>
      <c r="Q123" s="99"/>
      <c r="R123" s="99"/>
    </row>
    <row r="124">
      <c r="A124" s="99"/>
      <c r="B124" s="99"/>
      <c r="C124" s="99"/>
      <c r="D124" s="99"/>
      <c r="E124" s="99"/>
      <c r="F124" s="99"/>
      <c r="G124" s="99"/>
      <c r="H124" s="99"/>
      <c r="I124" s="99"/>
      <c r="J124" s="99"/>
      <c r="K124" s="99"/>
      <c r="L124" s="99"/>
      <c r="M124" s="99"/>
      <c r="N124" s="99"/>
      <c r="O124" s="99"/>
      <c r="P124" s="99"/>
      <c r="Q124" s="99"/>
      <c r="R124" s="99"/>
    </row>
    <row r="125">
      <c r="A125" s="99"/>
      <c r="B125" s="99"/>
      <c r="C125" s="99"/>
      <c r="D125" s="99"/>
      <c r="E125" s="99"/>
      <c r="F125" s="99"/>
      <c r="G125" s="99"/>
      <c r="H125" s="99"/>
      <c r="I125" s="99"/>
      <c r="J125" s="99"/>
      <c r="K125" s="99"/>
      <c r="L125" s="99"/>
      <c r="M125" s="99"/>
      <c r="N125" s="99"/>
      <c r="O125" s="99"/>
      <c r="P125" s="99"/>
      <c r="Q125" s="99"/>
      <c r="R125" s="99"/>
    </row>
    <row r="126">
      <c r="A126" s="99"/>
      <c r="B126" s="99"/>
      <c r="C126" s="99"/>
      <c r="D126" s="99"/>
      <c r="E126" s="99"/>
      <c r="F126" s="99"/>
      <c r="G126" s="99"/>
      <c r="H126" s="99"/>
      <c r="I126" s="99"/>
      <c r="J126" s="99"/>
      <c r="K126" s="99"/>
      <c r="L126" s="99"/>
      <c r="M126" s="99"/>
      <c r="N126" s="99"/>
      <c r="O126" s="99"/>
      <c r="P126" s="99"/>
      <c r="Q126" s="99"/>
      <c r="R126" s="99"/>
    </row>
    <row r="127">
      <c r="A127" s="99"/>
      <c r="B127" s="99"/>
      <c r="C127" s="99"/>
      <c r="D127" s="99"/>
      <c r="E127" s="99"/>
      <c r="F127" s="99"/>
      <c r="G127" s="99"/>
      <c r="H127" s="99"/>
      <c r="I127" s="99"/>
      <c r="J127" s="99"/>
      <c r="K127" s="99"/>
      <c r="L127" s="99"/>
      <c r="M127" s="99"/>
      <c r="N127" s="99"/>
      <c r="O127" s="99"/>
      <c r="P127" s="99"/>
      <c r="Q127" s="99"/>
      <c r="R127" s="99"/>
    </row>
    <row r="128">
      <c r="A128" s="99"/>
      <c r="B128" s="99"/>
      <c r="C128" s="99"/>
      <c r="D128" s="99"/>
      <c r="E128" s="99"/>
      <c r="F128" s="99"/>
      <c r="G128" s="99"/>
      <c r="H128" s="99"/>
      <c r="I128" s="99"/>
      <c r="J128" s="99"/>
      <c r="K128" s="99"/>
      <c r="L128" s="99"/>
      <c r="M128" s="99"/>
      <c r="N128" s="99"/>
      <c r="O128" s="99"/>
      <c r="P128" s="99"/>
      <c r="Q128" s="99"/>
      <c r="R128" s="99"/>
    </row>
    <row r="129">
      <c r="A129" s="99"/>
      <c r="B129" s="99"/>
      <c r="C129" s="99"/>
      <c r="D129" s="99"/>
      <c r="E129" s="99"/>
      <c r="F129" s="99"/>
      <c r="G129" s="99"/>
      <c r="H129" s="99"/>
      <c r="I129" s="99"/>
      <c r="J129" s="99"/>
      <c r="K129" s="99"/>
      <c r="L129" s="99"/>
      <c r="M129" s="99"/>
      <c r="N129" s="99"/>
      <c r="O129" s="99"/>
      <c r="P129" s="99"/>
      <c r="Q129" s="99"/>
      <c r="R129" s="99"/>
    </row>
    <row r="130">
      <c r="A130" s="99"/>
      <c r="B130" s="99"/>
      <c r="C130" s="99"/>
      <c r="D130" s="99"/>
      <c r="E130" s="99"/>
      <c r="F130" s="99"/>
      <c r="G130" s="99"/>
      <c r="H130" s="99"/>
      <c r="I130" s="99"/>
      <c r="J130" s="99"/>
      <c r="K130" s="99"/>
      <c r="L130" s="99"/>
      <c r="M130" s="99"/>
      <c r="N130" s="99"/>
      <c r="O130" s="99"/>
      <c r="P130" s="99"/>
      <c r="Q130" s="99"/>
      <c r="R130" s="99"/>
    </row>
    <row r="131">
      <c r="A131" s="99"/>
      <c r="B131" s="99"/>
      <c r="C131" s="99"/>
      <c r="D131" s="99"/>
      <c r="E131" s="99"/>
      <c r="F131" s="99"/>
      <c r="G131" s="99"/>
      <c r="H131" s="99"/>
      <c r="I131" s="99"/>
      <c r="J131" s="99"/>
      <c r="K131" s="99"/>
      <c r="L131" s="99"/>
      <c r="M131" s="99"/>
      <c r="N131" s="99"/>
      <c r="O131" s="99"/>
      <c r="P131" s="99"/>
      <c r="Q131" s="99"/>
      <c r="R131" s="99"/>
    </row>
    <row r="132">
      <c r="A132" s="99"/>
      <c r="B132" s="99"/>
      <c r="C132" s="99"/>
      <c r="D132" s="99"/>
      <c r="E132" s="99"/>
      <c r="F132" s="99"/>
      <c r="G132" s="99"/>
      <c r="H132" s="99"/>
      <c r="I132" s="99"/>
      <c r="J132" s="99"/>
      <c r="K132" s="99"/>
      <c r="L132" s="99"/>
      <c r="M132" s="99"/>
      <c r="N132" s="99"/>
      <c r="O132" s="99"/>
      <c r="P132" s="99"/>
      <c r="Q132" s="99"/>
      <c r="R132" s="99"/>
    </row>
    <row r="133">
      <c r="A133" s="99"/>
      <c r="B133" s="99"/>
      <c r="C133" s="99"/>
      <c r="D133" s="99"/>
      <c r="E133" s="99"/>
      <c r="F133" s="99"/>
      <c r="G133" s="99"/>
      <c r="H133" s="99"/>
      <c r="I133" s="99"/>
      <c r="J133" s="99"/>
      <c r="K133" s="99"/>
      <c r="L133" s="99"/>
      <c r="M133" s="99"/>
      <c r="N133" s="99"/>
      <c r="O133" s="99"/>
      <c r="P133" s="99"/>
      <c r="Q133" s="99"/>
      <c r="R133" s="99"/>
    </row>
    <row r="134">
      <c r="A134" s="99"/>
      <c r="B134" s="99"/>
      <c r="C134" s="99"/>
      <c r="D134" s="99"/>
      <c r="E134" s="99"/>
      <c r="F134" s="99"/>
      <c r="G134" s="99"/>
      <c r="H134" s="99"/>
      <c r="I134" s="99"/>
      <c r="J134" s="99"/>
      <c r="K134" s="99"/>
      <c r="L134" s="99"/>
      <c r="M134" s="99"/>
      <c r="N134" s="99"/>
      <c r="O134" s="99"/>
      <c r="P134" s="99"/>
      <c r="Q134" s="99"/>
      <c r="R134" s="99"/>
    </row>
    <row r="135">
      <c r="A135" s="99"/>
      <c r="B135" s="99"/>
      <c r="C135" s="99"/>
      <c r="D135" s="99"/>
      <c r="E135" s="99"/>
      <c r="F135" s="99"/>
      <c r="G135" s="99"/>
      <c r="H135" s="99"/>
      <c r="I135" s="99"/>
      <c r="J135" s="99"/>
      <c r="K135" s="99"/>
      <c r="L135" s="99"/>
      <c r="M135" s="99"/>
      <c r="N135" s="99"/>
      <c r="O135" s="99"/>
      <c r="P135" s="99"/>
      <c r="Q135" s="99"/>
      <c r="R135" s="99"/>
    </row>
    <row r="136">
      <c r="A136" s="99"/>
      <c r="B136" s="99"/>
      <c r="C136" s="99"/>
      <c r="D136" s="99"/>
      <c r="E136" s="99"/>
      <c r="F136" s="99"/>
      <c r="G136" s="99"/>
      <c r="H136" s="99"/>
      <c r="I136" s="99"/>
      <c r="J136" s="99"/>
      <c r="K136" s="99"/>
      <c r="L136" s="99"/>
      <c r="M136" s="99"/>
      <c r="N136" s="99"/>
      <c r="O136" s="99"/>
      <c r="P136" s="99"/>
      <c r="Q136" s="99"/>
      <c r="R136" s="99"/>
    </row>
    <row r="137">
      <c r="A137" s="99"/>
      <c r="B137" s="99"/>
      <c r="C137" s="99"/>
      <c r="D137" s="99"/>
      <c r="E137" s="99"/>
      <c r="F137" s="99"/>
      <c r="G137" s="99"/>
      <c r="H137" s="99"/>
      <c r="I137" s="99"/>
      <c r="J137" s="99"/>
      <c r="K137" s="99"/>
      <c r="L137" s="99"/>
      <c r="M137" s="99"/>
      <c r="N137" s="99"/>
      <c r="O137" s="99"/>
      <c r="P137" s="99"/>
      <c r="Q137" s="99"/>
      <c r="R137" s="99"/>
    </row>
    <row r="138">
      <c r="A138" s="99"/>
      <c r="B138" s="99"/>
      <c r="C138" s="99"/>
      <c r="D138" s="99"/>
      <c r="E138" s="99"/>
      <c r="F138" s="99"/>
      <c r="G138" s="99"/>
      <c r="H138" s="99"/>
      <c r="I138" s="99"/>
      <c r="J138" s="99"/>
      <c r="K138" s="99"/>
      <c r="L138" s="99"/>
      <c r="M138" s="99"/>
      <c r="N138" s="99"/>
      <c r="O138" s="99"/>
      <c r="P138" s="99"/>
      <c r="Q138" s="99"/>
      <c r="R138" s="99"/>
    </row>
    <row r="139">
      <c r="A139" s="99"/>
      <c r="B139" s="99"/>
      <c r="C139" s="99"/>
      <c r="D139" s="99"/>
      <c r="E139" s="99"/>
      <c r="F139" s="99"/>
      <c r="G139" s="99"/>
      <c r="H139" s="99"/>
      <c r="I139" s="99"/>
      <c r="J139" s="99"/>
      <c r="K139" s="99"/>
      <c r="L139" s="99"/>
      <c r="M139" s="99"/>
      <c r="N139" s="99"/>
      <c r="O139" s="99"/>
      <c r="P139" s="99"/>
      <c r="Q139" s="99"/>
      <c r="R139" s="99"/>
    </row>
    <row r="140">
      <c r="A140" s="99"/>
      <c r="B140" s="99"/>
      <c r="C140" s="99"/>
      <c r="D140" s="99"/>
      <c r="E140" s="99"/>
      <c r="F140" s="99"/>
      <c r="G140" s="99"/>
      <c r="H140" s="99"/>
      <c r="I140" s="99"/>
      <c r="J140" s="99"/>
      <c r="K140" s="99"/>
      <c r="L140" s="99"/>
      <c r="M140" s="99"/>
      <c r="N140" s="99"/>
      <c r="O140" s="99"/>
      <c r="P140" s="99"/>
      <c r="Q140" s="99"/>
      <c r="R140" s="99"/>
    </row>
    <row r="141">
      <c r="A141" s="99"/>
      <c r="B141" s="99"/>
      <c r="C141" s="99"/>
      <c r="D141" s="99"/>
      <c r="E141" s="99"/>
      <c r="F141" s="99"/>
      <c r="G141" s="99"/>
      <c r="H141" s="99"/>
      <c r="I141" s="99"/>
      <c r="J141" s="99"/>
      <c r="K141" s="99"/>
      <c r="L141" s="99"/>
      <c r="M141" s="99"/>
      <c r="N141" s="99"/>
      <c r="O141" s="99"/>
      <c r="P141" s="99"/>
      <c r="Q141" s="99"/>
      <c r="R141" s="99"/>
    </row>
    <row r="142">
      <c r="A142" s="99"/>
      <c r="B142" s="99"/>
      <c r="C142" s="99"/>
      <c r="D142" s="99"/>
      <c r="E142" s="99"/>
      <c r="F142" s="99"/>
      <c r="G142" s="99"/>
      <c r="H142" s="99"/>
      <c r="I142" s="99"/>
      <c r="J142" s="99"/>
      <c r="K142" s="99"/>
      <c r="L142" s="99"/>
      <c r="M142" s="99"/>
      <c r="N142" s="99"/>
      <c r="O142" s="99"/>
      <c r="P142" s="99"/>
      <c r="Q142" s="99"/>
      <c r="R142" s="99"/>
    </row>
    <row r="143">
      <c r="A143" s="99"/>
      <c r="B143" s="99"/>
      <c r="C143" s="99"/>
      <c r="D143" s="99"/>
      <c r="E143" s="99"/>
      <c r="F143" s="99"/>
      <c r="G143" s="99"/>
      <c r="H143" s="99"/>
      <c r="I143" s="99"/>
      <c r="J143" s="99"/>
      <c r="K143" s="99"/>
      <c r="L143" s="99"/>
      <c r="M143" s="99"/>
      <c r="N143" s="99"/>
      <c r="O143" s="99"/>
      <c r="P143" s="99"/>
      <c r="Q143" s="99"/>
      <c r="R143" s="99"/>
    </row>
    <row r="144">
      <c r="A144" s="99"/>
      <c r="B144" s="99"/>
      <c r="C144" s="99"/>
      <c r="D144" s="99"/>
      <c r="E144" s="99"/>
      <c r="F144" s="99"/>
      <c r="G144" s="99"/>
      <c r="H144" s="99"/>
      <c r="I144" s="99"/>
      <c r="J144" s="99"/>
      <c r="K144" s="99"/>
      <c r="L144" s="99"/>
      <c r="M144" s="99"/>
      <c r="N144" s="99"/>
      <c r="O144" s="99"/>
      <c r="P144" s="99"/>
      <c r="Q144" s="99"/>
      <c r="R144" s="99"/>
    </row>
    <row r="145">
      <c r="A145" s="99"/>
      <c r="B145" s="99"/>
      <c r="C145" s="99"/>
      <c r="D145" s="99"/>
      <c r="E145" s="99"/>
      <c r="F145" s="99"/>
      <c r="G145" s="99"/>
      <c r="H145" s="99"/>
      <c r="I145" s="99"/>
      <c r="J145" s="99"/>
      <c r="K145" s="99"/>
      <c r="L145" s="99"/>
      <c r="M145" s="99"/>
      <c r="N145" s="99"/>
      <c r="O145" s="99"/>
      <c r="P145" s="99"/>
      <c r="Q145" s="99"/>
      <c r="R145" s="99"/>
    </row>
    <row r="146">
      <c r="A146" s="99"/>
      <c r="B146" s="99"/>
      <c r="C146" s="99"/>
      <c r="D146" s="99"/>
      <c r="E146" s="99"/>
      <c r="F146" s="99"/>
      <c r="G146" s="99"/>
      <c r="H146" s="99"/>
      <c r="I146" s="99"/>
      <c r="J146" s="99"/>
      <c r="K146" s="99"/>
      <c r="L146" s="99"/>
      <c r="M146" s="99"/>
      <c r="N146" s="99"/>
      <c r="O146" s="99"/>
      <c r="P146" s="99"/>
      <c r="Q146" s="99"/>
      <c r="R146" s="99"/>
    </row>
    <row r="147">
      <c r="A147" s="99"/>
      <c r="B147" s="99"/>
      <c r="C147" s="99"/>
      <c r="D147" s="99"/>
      <c r="E147" s="99"/>
      <c r="F147" s="99"/>
      <c r="G147" s="99"/>
      <c r="H147" s="99"/>
      <c r="I147" s="99"/>
      <c r="J147" s="99"/>
      <c r="K147" s="99"/>
      <c r="L147" s="99"/>
      <c r="M147" s="99"/>
      <c r="N147" s="99"/>
      <c r="O147" s="99"/>
      <c r="P147" s="99"/>
      <c r="Q147" s="99"/>
      <c r="R147" s="99"/>
    </row>
    <row r="148">
      <c r="A148" s="99"/>
      <c r="B148" s="99"/>
      <c r="C148" s="99"/>
      <c r="D148" s="99"/>
      <c r="E148" s="99"/>
      <c r="F148" s="99"/>
      <c r="G148" s="99"/>
      <c r="H148" s="99"/>
      <c r="I148" s="99"/>
      <c r="J148" s="99"/>
      <c r="K148" s="99"/>
      <c r="L148" s="99"/>
      <c r="M148" s="99"/>
      <c r="N148" s="99"/>
      <c r="O148" s="99"/>
      <c r="P148" s="99"/>
      <c r="Q148" s="99"/>
      <c r="R148" s="99"/>
    </row>
    <row r="149">
      <c r="A149" s="99"/>
      <c r="B149" s="99"/>
      <c r="C149" s="99"/>
      <c r="D149" s="99"/>
      <c r="E149" s="99"/>
      <c r="F149" s="99"/>
      <c r="G149" s="99"/>
      <c r="H149" s="99"/>
      <c r="I149" s="99"/>
      <c r="J149" s="99"/>
      <c r="K149" s="99"/>
      <c r="L149" s="99"/>
      <c r="M149" s="99"/>
      <c r="N149" s="99"/>
      <c r="O149" s="99"/>
      <c r="P149" s="99"/>
      <c r="Q149" s="99"/>
      <c r="R149" s="99"/>
    </row>
    <row r="150">
      <c r="A150" s="99"/>
      <c r="B150" s="99"/>
      <c r="C150" s="99"/>
      <c r="D150" s="99"/>
      <c r="E150" s="99"/>
      <c r="F150" s="99"/>
      <c r="G150" s="99"/>
      <c r="H150" s="99"/>
      <c r="I150" s="99"/>
      <c r="J150" s="99"/>
      <c r="K150" s="99"/>
      <c r="L150" s="99"/>
      <c r="M150" s="99"/>
      <c r="N150" s="99"/>
      <c r="O150" s="99"/>
      <c r="P150" s="99"/>
      <c r="Q150" s="99"/>
      <c r="R150" s="99"/>
    </row>
    <row r="151">
      <c r="A151" s="99"/>
      <c r="B151" s="99"/>
      <c r="C151" s="99"/>
      <c r="D151" s="99"/>
      <c r="E151" s="99"/>
      <c r="F151" s="99"/>
      <c r="G151" s="99"/>
      <c r="H151" s="99"/>
      <c r="I151" s="99"/>
      <c r="J151" s="99"/>
      <c r="K151" s="99"/>
      <c r="L151" s="99"/>
      <c r="M151" s="99"/>
      <c r="N151" s="99"/>
      <c r="O151" s="99"/>
      <c r="P151" s="99"/>
      <c r="Q151" s="99"/>
      <c r="R151" s="99"/>
    </row>
    <row r="152">
      <c r="A152" s="99"/>
      <c r="B152" s="99"/>
      <c r="C152" s="99"/>
      <c r="D152" s="99"/>
      <c r="E152" s="99"/>
      <c r="F152" s="99"/>
      <c r="G152" s="99"/>
      <c r="H152" s="99"/>
      <c r="I152" s="99"/>
      <c r="J152" s="99"/>
      <c r="K152" s="99"/>
      <c r="L152" s="99"/>
      <c r="M152" s="99"/>
      <c r="N152" s="99"/>
      <c r="O152" s="99"/>
      <c r="P152" s="99"/>
      <c r="Q152" s="99"/>
      <c r="R152" s="99"/>
    </row>
    <row r="153">
      <c r="A153" s="99"/>
      <c r="B153" s="99"/>
      <c r="C153" s="99"/>
      <c r="D153" s="99"/>
      <c r="E153" s="99"/>
      <c r="F153" s="99"/>
      <c r="G153" s="99"/>
      <c r="H153" s="99"/>
      <c r="I153" s="99"/>
      <c r="J153" s="99"/>
      <c r="K153" s="99"/>
      <c r="L153" s="99"/>
      <c r="M153" s="99"/>
      <c r="N153" s="99"/>
      <c r="O153" s="99"/>
      <c r="P153" s="99"/>
      <c r="Q153" s="99"/>
      <c r="R153" s="99"/>
    </row>
    <row r="154">
      <c r="A154" s="99"/>
      <c r="B154" s="99"/>
      <c r="C154" s="99"/>
      <c r="D154" s="99"/>
      <c r="E154" s="99"/>
      <c r="F154" s="99"/>
      <c r="G154" s="99"/>
      <c r="H154" s="99"/>
      <c r="I154" s="99"/>
      <c r="J154" s="99"/>
      <c r="K154" s="99"/>
      <c r="L154" s="99"/>
      <c r="M154" s="99"/>
      <c r="N154" s="99"/>
      <c r="O154" s="99"/>
      <c r="P154" s="99"/>
      <c r="Q154" s="99"/>
      <c r="R154" s="99"/>
    </row>
    <row r="155">
      <c r="A155" s="99"/>
      <c r="B155" s="99"/>
      <c r="C155" s="99"/>
      <c r="D155" s="99"/>
      <c r="E155" s="99"/>
      <c r="F155" s="99"/>
      <c r="G155" s="99"/>
      <c r="H155" s="99"/>
      <c r="I155" s="99"/>
      <c r="J155" s="99"/>
      <c r="K155" s="99"/>
      <c r="L155" s="99"/>
      <c r="M155" s="99"/>
      <c r="N155" s="99"/>
      <c r="O155" s="99"/>
      <c r="P155" s="99"/>
      <c r="Q155" s="99"/>
      <c r="R155" s="99"/>
    </row>
    <row r="156">
      <c r="A156" s="99"/>
      <c r="B156" s="99"/>
      <c r="C156" s="99"/>
      <c r="D156" s="99"/>
      <c r="E156" s="99"/>
      <c r="F156" s="99"/>
      <c r="G156" s="99"/>
      <c r="H156" s="99"/>
      <c r="I156" s="99"/>
      <c r="J156" s="99"/>
      <c r="K156" s="99"/>
      <c r="L156" s="99"/>
      <c r="M156" s="99"/>
      <c r="N156" s="99"/>
      <c r="O156" s="99"/>
      <c r="P156" s="99"/>
      <c r="Q156" s="99"/>
      <c r="R156" s="99"/>
    </row>
    <row r="157">
      <c r="A157" s="99"/>
      <c r="B157" s="99"/>
      <c r="C157" s="99"/>
      <c r="D157" s="99"/>
      <c r="E157" s="99"/>
      <c r="F157" s="99"/>
      <c r="G157" s="99"/>
      <c r="H157" s="99"/>
      <c r="I157" s="99"/>
      <c r="J157" s="99"/>
      <c r="K157" s="99"/>
      <c r="L157" s="99"/>
      <c r="M157" s="99"/>
      <c r="N157" s="99"/>
      <c r="O157" s="99"/>
      <c r="P157" s="99"/>
      <c r="Q157" s="99"/>
      <c r="R157" s="99"/>
    </row>
    <row r="158">
      <c r="A158" s="99"/>
      <c r="B158" s="99"/>
      <c r="C158" s="99"/>
      <c r="D158" s="99"/>
      <c r="E158" s="99"/>
      <c r="F158" s="99"/>
      <c r="G158" s="99"/>
      <c r="H158" s="99"/>
      <c r="I158" s="99"/>
      <c r="J158" s="99"/>
      <c r="K158" s="99"/>
      <c r="L158" s="99"/>
      <c r="M158" s="99"/>
      <c r="N158" s="99"/>
      <c r="O158" s="99"/>
      <c r="P158" s="99"/>
      <c r="Q158" s="99"/>
      <c r="R158" s="99"/>
    </row>
    <row r="159">
      <c r="A159" s="99"/>
      <c r="B159" s="99"/>
      <c r="C159" s="99"/>
      <c r="D159" s="99"/>
      <c r="E159" s="99"/>
      <c r="F159" s="99"/>
      <c r="G159" s="99"/>
      <c r="H159" s="99"/>
      <c r="I159" s="99"/>
      <c r="J159" s="99"/>
      <c r="K159" s="99"/>
      <c r="L159" s="99"/>
      <c r="M159" s="99"/>
      <c r="N159" s="99"/>
      <c r="O159" s="99"/>
      <c r="P159" s="99"/>
      <c r="Q159" s="99"/>
      <c r="R159" s="99"/>
    </row>
    <row r="160">
      <c r="A160" s="99"/>
      <c r="B160" s="99"/>
      <c r="C160" s="99"/>
      <c r="D160" s="99"/>
      <c r="E160" s="99"/>
      <c r="F160" s="99"/>
      <c r="G160" s="99"/>
      <c r="H160" s="99"/>
      <c r="I160" s="99"/>
      <c r="J160" s="99"/>
      <c r="K160" s="99"/>
      <c r="L160" s="99"/>
      <c r="M160" s="99"/>
      <c r="N160" s="99"/>
      <c r="O160" s="99"/>
      <c r="P160" s="99"/>
      <c r="Q160" s="99"/>
      <c r="R160" s="99"/>
    </row>
    <row r="161">
      <c r="A161" s="99"/>
      <c r="B161" s="99"/>
      <c r="C161" s="99"/>
      <c r="D161" s="99"/>
      <c r="E161" s="99"/>
      <c r="F161" s="99"/>
      <c r="G161" s="99"/>
      <c r="H161" s="99"/>
      <c r="I161" s="99"/>
      <c r="J161" s="99"/>
      <c r="K161" s="99"/>
      <c r="L161" s="99"/>
      <c r="M161" s="99"/>
      <c r="N161" s="99"/>
      <c r="O161" s="99"/>
      <c r="P161" s="99"/>
      <c r="Q161" s="99"/>
      <c r="R161" s="99"/>
    </row>
    <row r="162">
      <c r="A162" s="99"/>
      <c r="B162" s="99"/>
      <c r="C162" s="99"/>
      <c r="D162" s="99"/>
      <c r="E162" s="99"/>
      <c r="F162" s="99"/>
      <c r="G162" s="99"/>
      <c r="H162" s="99"/>
      <c r="I162" s="99"/>
      <c r="J162" s="99"/>
      <c r="K162" s="99"/>
      <c r="L162" s="99"/>
      <c r="M162" s="99"/>
      <c r="N162" s="99"/>
      <c r="O162" s="99"/>
      <c r="P162" s="99"/>
      <c r="Q162" s="99"/>
      <c r="R162" s="99"/>
    </row>
    <row r="163">
      <c r="A163" s="99"/>
      <c r="B163" s="99"/>
      <c r="C163" s="99"/>
      <c r="D163" s="99"/>
      <c r="E163" s="99"/>
      <c r="F163" s="99"/>
      <c r="G163" s="99"/>
      <c r="H163" s="99"/>
      <c r="I163" s="99"/>
      <c r="J163" s="99"/>
      <c r="K163" s="99"/>
      <c r="L163" s="99"/>
      <c r="M163" s="99"/>
      <c r="N163" s="99"/>
      <c r="O163" s="99"/>
      <c r="P163" s="99"/>
      <c r="Q163" s="99"/>
      <c r="R163" s="99"/>
    </row>
    <row r="164">
      <c r="A164" s="99"/>
      <c r="B164" s="99"/>
      <c r="C164" s="99"/>
      <c r="D164" s="99"/>
      <c r="E164" s="99"/>
      <c r="F164" s="99"/>
      <c r="G164" s="99"/>
      <c r="H164" s="99"/>
      <c r="I164" s="99"/>
      <c r="J164" s="99"/>
      <c r="K164" s="99"/>
      <c r="L164" s="99"/>
      <c r="M164" s="99"/>
      <c r="N164" s="99"/>
      <c r="O164" s="99"/>
      <c r="P164" s="99"/>
      <c r="Q164" s="99"/>
      <c r="R164" s="99"/>
    </row>
    <row r="165">
      <c r="A165" s="99"/>
      <c r="B165" s="99"/>
      <c r="C165" s="99"/>
      <c r="D165" s="99"/>
      <c r="E165" s="99"/>
      <c r="F165" s="99"/>
      <c r="G165" s="99"/>
      <c r="H165" s="99"/>
      <c r="I165" s="99"/>
      <c r="J165" s="99"/>
      <c r="K165" s="99"/>
      <c r="L165" s="99"/>
      <c r="M165" s="99"/>
      <c r="N165" s="99"/>
      <c r="O165" s="99"/>
      <c r="P165" s="99"/>
      <c r="Q165" s="99"/>
      <c r="R165" s="99"/>
    </row>
    <row r="166">
      <c r="A166" s="99"/>
      <c r="B166" s="99"/>
      <c r="C166" s="99"/>
      <c r="D166" s="99"/>
      <c r="E166" s="99"/>
      <c r="F166" s="99"/>
      <c r="G166" s="99"/>
      <c r="H166" s="99"/>
      <c r="I166" s="99"/>
      <c r="J166" s="99"/>
      <c r="K166" s="99"/>
      <c r="L166" s="99"/>
      <c r="M166" s="99"/>
      <c r="N166" s="99"/>
      <c r="O166" s="99"/>
      <c r="P166" s="99"/>
      <c r="Q166" s="99"/>
      <c r="R166" s="99"/>
    </row>
    <row r="167">
      <c r="A167" s="99"/>
      <c r="B167" s="99"/>
      <c r="C167" s="99"/>
      <c r="D167" s="99"/>
      <c r="E167" s="99"/>
      <c r="F167" s="99"/>
      <c r="G167" s="99"/>
      <c r="H167" s="99"/>
      <c r="I167" s="99"/>
      <c r="J167" s="99"/>
      <c r="K167" s="99"/>
      <c r="L167" s="99"/>
      <c r="M167" s="99"/>
      <c r="N167" s="99"/>
      <c r="O167" s="99"/>
      <c r="P167" s="99"/>
      <c r="Q167" s="99"/>
      <c r="R167" s="99"/>
    </row>
    <row r="168">
      <c r="A168" s="99"/>
      <c r="B168" s="99"/>
      <c r="C168" s="99"/>
      <c r="D168" s="99"/>
      <c r="E168" s="99"/>
      <c r="F168" s="99"/>
      <c r="G168" s="99"/>
      <c r="H168" s="99"/>
      <c r="I168" s="99"/>
      <c r="J168" s="99"/>
      <c r="K168" s="99"/>
      <c r="L168" s="99"/>
      <c r="M168" s="99"/>
      <c r="N168" s="99"/>
      <c r="O168" s="99"/>
      <c r="P168" s="99"/>
      <c r="Q168" s="99"/>
      <c r="R168" s="99"/>
    </row>
    <row r="169">
      <c r="A169" s="99"/>
      <c r="B169" s="99"/>
      <c r="C169" s="99"/>
      <c r="D169" s="99"/>
      <c r="E169" s="99"/>
      <c r="F169" s="99"/>
      <c r="G169" s="99"/>
      <c r="H169" s="99"/>
      <c r="I169" s="99"/>
      <c r="J169" s="99"/>
      <c r="K169" s="99"/>
      <c r="L169" s="99"/>
      <c r="M169" s="99"/>
      <c r="N169" s="99"/>
      <c r="O169" s="99"/>
      <c r="P169" s="99"/>
      <c r="Q169" s="99"/>
      <c r="R169" s="99"/>
    </row>
    <row r="170">
      <c r="A170" s="99"/>
      <c r="B170" s="99"/>
      <c r="C170" s="99"/>
      <c r="D170" s="99"/>
      <c r="E170" s="99"/>
      <c r="F170" s="99"/>
      <c r="G170" s="99"/>
      <c r="H170" s="99"/>
      <c r="I170" s="99"/>
      <c r="J170" s="99"/>
      <c r="K170" s="99"/>
      <c r="L170" s="99"/>
      <c r="M170" s="99"/>
      <c r="N170" s="99"/>
      <c r="O170" s="99"/>
      <c r="P170" s="99"/>
      <c r="Q170" s="99"/>
      <c r="R170" s="99"/>
    </row>
    <row r="171">
      <c r="A171" s="99"/>
      <c r="B171" s="99"/>
      <c r="C171" s="99"/>
      <c r="D171" s="99"/>
      <c r="E171" s="99"/>
      <c r="F171" s="99"/>
      <c r="G171" s="99"/>
      <c r="H171" s="99"/>
      <c r="I171" s="99"/>
      <c r="J171" s="99"/>
      <c r="K171" s="99"/>
      <c r="L171" s="99"/>
      <c r="M171" s="99"/>
      <c r="N171" s="99"/>
      <c r="O171" s="99"/>
      <c r="P171" s="99"/>
      <c r="Q171" s="99"/>
      <c r="R171" s="99"/>
    </row>
    <row r="172">
      <c r="A172" s="99"/>
      <c r="B172" s="99"/>
      <c r="C172" s="99"/>
      <c r="D172" s="99"/>
      <c r="E172" s="99"/>
      <c r="F172" s="99"/>
      <c r="G172" s="99"/>
      <c r="H172" s="99"/>
      <c r="I172" s="99"/>
      <c r="J172" s="99"/>
      <c r="K172" s="99"/>
      <c r="L172" s="99"/>
      <c r="M172" s="99"/>
      <c r="N172" s="99"/>
      <c r="O172" s="99"/>
      <c r="P172" s="99"/>
      <c r="Q172" s="99"/>
      <c r="R172" s="99"/>
    </row>
    <row r="173">
      <c r="A173" s="99"/>
      <c r="B173" s="99"/>
      <c r="C173" s="99"/>
      <c r="D173" s="99"/>
      <c r="E173" s="99"/>
      <c r="F173" s="99"/>
      <c r="G173" s="99"/>
      <c r="H173" s="99"/>
      <c r="I173" s="99"/>
      <c r="J173" s="99"/>
      <c r="K173" s="99"/>
      <c r="L173" s="99"/>
      <c r="M173" s="99"/>
      <c r="N173" s="99"/>
      <c r="O173" s="99"/>
      <c r="P173" s="99"/>
      <c r="Q173" s="99"/>
      <c r="R173" s="99"/>
    </row>
    <row r="174">
      <c r="A174" s="99"/>
      <c r="B174" s="99"/>
      <c r="C174" s="99"/>
      <c r="D174" s="99"/>
      <c r="E174" s="99"/>
      <c r="F174" s="99"/>
      <c r="G174" s="99"/>
      <c r="H174" s="99"/>
      <c r="I174" s="99"/>
      <c r="J174" s="99"/>
      <c r="K174" s="99"/>
      <c r="L174" s="99"/>
      <c r="M174" s="99"/>
      <c r="N174" s="99"/>
      <c r="O174" s="99"/>
      <c r="P174" s="99"/>
      <c r="Q174" s="99"/>
      <c r="R174" s="99"/>
    </row>
    <row r="175">
      <c r="A175" s="99"/>
      <c r="B175" s="99"/>
      <c r="C175" s="99"/>
      <c r="D175" s="99"/>
      <c r="E175" s="99"/>
      <c r="F175" s="99"/>
      <c r="G175" s="99"/>
      <c r="H175" s="99"/>
      <c r="I175" s="99"/>
      <c r="J175" s="99"/>
      <c r="K175" s="99"/>
      <c r="L175" s="99"/>
      <c r="M175" s="99"/>
      <c r="N175" s="99"/>
      <c r="O175" s="99"/>
      <c r="P175" s="99"/>
      <c r="Q175" s="99"/>
      <c r="R175" s="99"/>
    </row>
    <row r="176">
      <c r="A176" s="99"/>
      <c r="B176" s="99"/>
      <c r="C176" s="99"/>
      <c r="D176" s="99"/>
      <c r="E176" s="99"/>
      <c r="F176" s="99"/>
      <c r="G176" s="99"/>
      <c r="H176" s="99"/>
      <c r="I176" s="99"/>
      <c r="J176" s="99"/>
      <c r="K176" s="99"/>
      <c r="L176" s="99"/>
      <c r="M176" s="99"/>
      <c r="N176" s="99"/>
      <c r="O176" s="99"/>
      <c r="P176" s="99"/>
      <c r="Q176" s="99"/>
      <c r="R176" s="99"/>
    </row>
    <row r="177">
      <c r="A177" s="99"/>
      <c r="B177" s="99"/>
      <c r="C177" s="99"/>
      <c r="D177" s="99"/>
      <c r="E177" s="99"/>
      <c r="F177" s="99"/>
      <c r="G177" s="99"/>
      <c r="H177" s="99"/>
      <c r="I177" s="99"/>
      <c r="J177" s="99"/>
      <c r="K177" s="99"/>
      <c r="L177" s="99"/>
      <c r="M177" s="99"/>
      <c r="N177" s="99"/>
      <c r="O177" s="99"/>
      <c r="P177" s="99"/>
      <c r="Q177" s="99"/>
      <c r="R177" s="99"/>
    </row>
    <row r="178">
      <c r="A178" s="99"/>
      <c r="B178" s="99"/>
      <c r="C178" s="99"/>
      <c r="D178" s="99"/>
      <c r="E178" s="99"/>
      <c r="F178" s="99"/>
      <c r="G178" s="99"/>
      <c r="H178" s="99"/>
      <c r="I178" s="99"/>
      <c r="J178" s="99"/>
      <c r="K178" s="99"/>
      <c r="L178" s="99"/>
      <c r="M178" s="99"/>
      <c r="N178" s="99"/>
      <c r="O178" s="99"/>
      <c r="P178" s="99"/>
      <c r="Q178" s="99"/>
      <c r="R178" s="99"/>
    </row>
    <row r="179">
      <c r="A179" s="99"/>
      <c r="B179" s="99"/>
      <c r="C179" s="99"/>
      <c r="D179" s="99"/>
      <c r="E179" s="99"/>
      <c r="F179" s="99"/>
      <c r="G179" s="99"/>
      <c r="H179" s="99"/>
      <c r="I179" s="99"/>
      <c r="J179" s="99"/>
      <c r="K179" s="99"/>
      <c r="L179" s="99"/>
      <c r="M179" s="99"/>
      <c r="N179" s="99"/>
      <c r="O179" s="99"/>
      <c r="P179" s="99"/>
      <c r="Q179" s="99"/>
      <c r="R179" s="99"/>
    </row>
    <row r="180">
      <c r="A180" s="99"/>
      <c r="B180" s="99"/>
      <c r="C180" s="99"/>
      <c r="D180" s="99"/>
      <c r="E180" s="99"/>
      <c r="F180" s="99"/>
      <c r="G180" s="99"/>
      <c r="H180" s="99"/>
      <c r="I180" s="99"/>
      <c r="J180" s="99"/>
      <c r="K180" s="99"/>
      <c r="L180" s="99"/>
      <c r="M180" s="99"/>
      <c r="N180" s="99"/>
      <c r="O180" s="99"/>
      <c r="P180" s="99"/>
      <c r="Q180" s="99"/>
      <c r="R180" s="99"/>
    </row>
    <row r="181">
      <c r="A181" s="99"/>
      <c r="B181" s="99"/>
      <c r="C181" s="99"/>
      <c r="D181" s="99"/>
      <c r="E181" s="99"/>
      <c r="F181" s="99"/>
      <c r="G181" s="99"/>
      <c r="H181" s="99"/>
      <c r="I181" s="99"/>
      <c r="J181" s="99"/>
      <c r="K181" s="99"/>
      <c r="L181" s="99"/>
      <c r="M181" s="99"/>
      <c r="N181" s="99"/>
      <c r="O181" s="99"/>
      <c r="P181" s="99"/>
      <c r="Q181" s="99"/>
      <c r="R181" s="99"/>
    </row>
    <row r="182">
      <c r="A182" s="99"/>
      <c r="B182" s="99"/>
      <c r="C182" s="99"/>
      <c r="D182" s="99"/>
      <c r="E182" s="99"/>
      <c r="F182" s="99"/>
      <c r="G182" s="99"/>
      <c r="H182" s="99"/>
      <c r="I182" s="99"/>
      <c r="J182" s="99"/>
      <c r="K182" s="99"/>
      <c r="L182" s="99"/>
      <c r="M182" s="99"/>
      <c r="N182" s="99"/>
      <c r="O182" s="99"/>
      <c r="P182" s="99"/>
      <c r="Q182" s="99"/>
      <c r="R182" s="99"/>
    </row>
    <row r="183">
      <c r="A183" s="99"/>
      <c r="B183" s="99"/>
      <c r="C183" s="99"/>
      <c r="D183" s="99"/>
      <c r="E183" s="99"/>
      <c r="F183" s="99"/>
      <c r="G183" s="99"/>
      <c r="H183" s="99"/>
      <c r="I183" s="99"/>
      <c r="J183" s="99"/>
      <c r="K183" s="99"/>
      <c r="L183" s="99"/>
      <c r="M183" s="99"/>
      <c r="N183" s="99"/>
      <c r="O183" s="99"/>
      <c r="P183" s="99"/>
      <c r="Q183" s="99"/>
      <c r="R183" s="99"/>
    </row>
    <row r="184">
      <c r="A184" s="99"/>
      <c r="B184" s="99"/>
      <c r="C184" s="99"/>
      <c r="D184" s="99"/>
      <c r="E184" s="99"/>
      <c r="F184" s="99"/>
      <c r="G184" s="99"/>
      <c r="H184" s="99"/>
      <c r="I184" s="99"/>
      <c r="J184" s="99"/>
      <c r="K184" s="99"/>
      <c r="L184" s="99"/>
      <c r="M184" s="99"/>
      <c r="N184" s="99"/>
      <c r="O184" s="99"/>
      <c r="P184" s="99"/>
      <c r="Q184" s="99"/>
      <c r="R184" s="99"/>
    </row>
    <row r="185">
      <c r="A185" s="99"/>
      <c r="B185" s="99"/>
      <c r="C185" s="99"/>
      <c r="D185" s="99"/>
      <c r="E185" s="99"/>
      <c r="F185" s="99"/>
      <c r="G185" s="99"/>
      <c r="H185" s="99"/>
      <c r="I185" s="99"/>
      <c r="J185" s="99"/>
      <c r="K185" s="99"/>
      <c r="L185" s="99"/>
      <c r="M185" s="99"/>
      <c r="N185" s="99"/>
      <c r="O185" s="99"/>
      <c r="P185" s="99"/>
      <c r="Q185" s="99"/>
      <c r="R185" s="99"/>
    </row>
    <row r="186">
      <c r="A186" s="99"/>
      <c r="B186" s="99"/>
      <c r="C186" s="99"/>
      <c r="D186" s="99"/>
      <c r="E186" s="99"/>
      <c r="F186" s="99"/>
      <c r="G186" s="99"/>
      <c r="H186" s="99"/>
      <c r="I186" s="99"/>
      <c r="J186" s="99"/>
      <c r="K186" s="99"/>
      <c r="L186" s="99"/>
      <c r="M186" s="99"/>
      <c r="N186" s="99"/>
      <c r="O186" s="99"/>
      <c r="P186" s="99"/>
      <c r="Q186" s="99"/>
      <c r="R186" s="99"/>
    </row>
    <row r="187">
      <c r="A187" s="99"/>
      <c r="B187" s="99"/>
      <c r="C187" s="99"/>
      <c r="D187" s="99"/>
      <c r="E187" s="99"/>
      <c r="F187" s="99"/>
      <c r="G187" s="99"/>
      <c r="H187" s="99"/>
      <c r="I187" s="99"/>
      <c r="J187" s="99"/>
      <c r="K187" s="99"/>
      <c r="L187" s="99"/>
      <c r="M187" s="99"/>
      <c r="N187" s="99"/>
      <c r="O187" s="99"/>
      <c r="P187" s="99"/>
      <c r="Q187" s="99"/>
      <c r="R187" s="99"/>
    </row>
    <row r="188">
      <c r="A188" s="99"/>
      <c r="B188" s="99"/>
      <c r="C188" s="99"/>
      <c r="D188" s="99"/>
      <c r="E188" s="99"/>
      <c r="F188" s="99"/>
      <c r="G188" s="99"/>
      <c r="H188" s="99"/>
      <c r="I188" s="99"/>
      <c r="J188" s="99"/>
      <c r="K188" s="99"/>
      <c r="L188" s="99"/>
      <c r="M188" s="99"/>
      <c r="N188" s="99"/>
      <c r="O188" s="99"/>
      <c r="P188" s="99"/>
      <c r="Q188" s="99"/>
      <c r="R188" s="99"/>
    </row>
    <row r="189">
      <c r="A189" s="99"/>
      <c r="B189" s="99"/>
      <c r="C189" s="99"/>
      <c r="D189" s="99"/>
      <c r="E189" s="99"/>
      <c r="F189" s="99"/>
      <c r="G189" s="99"/>
      <c r="H189" s="99"/>
      <c r="I189" s="99"/>
      <c r="J189" s="99"/>
      <c r="K189" s="99"/>
      <c r="L189" s="99"/>
      <c r="M189" s="99"/>
      <c r="N189" s="99"/>
      <c r="O189" s="99"/>
      <c r="P189" s="99"/>
      <c r="Q189" s="99"/>
      <c r="R189" s="99"/>
    </row>
    <row r="190">
      <c r="A190" s="99"/>
      <c r="B190" s="99"/>
      <c r="C190" s="99"/>
      <c r="D190" s="99"/>
      <c r="E190" s="99"/>
      <c r="F190" s="99"/>
      <c r="G190" s="99"/>
      <c r="H190" s="99"/>
      <c r="I190" s="99"/>
      <c r="J190" s="99"/>
      <c r="K190" s="99"/>
      <c r="L190" s="99"/>
      <c r="M190" s="99"/>
      <c r="N190" s="99"/>
      <c r="O190" s="99"/>
      <c r="P190" s="99"/>
      <c r="Q190" s="99"/>
      <c r="R190" s="99"/>
    </row>
    <row r="191">
      <c r="A191" s="99"/>
      <c r="B191" s="99"/>
      <c r="C191" s="99"/>
      <c r="D191" s="99"/>
      <c r="E191" s="99"/>
      <c r="F191" s="99"/>
      <c r="G191" s="99"/>
      <c r="H191" s="99"/>
      <c r="I191" s="99"/>
      <c r="J191" s="99"/>
      <c r="K191" s="99"/>
      <c r="L191" s="99"/>
      <c r="M191" s="99"/>
      <c r="N191" s="99"/>
      <c r="O191" s="99"/>
      <c r="P191" s="99"/>
      <c r="Q191" s="99"/>
      <c r="R191" s="99"/>
    </row>
    <row r="192">
      <c r="A192" s="99"/>
      <c r="B192" s="99"/>
      <c r="C192" s="99"/>
      <c r="D192" s="99"/>
      <c r="E192" s="99"/>
      <c r="F192" s="99"/>
      <c r="G192" s="99"/>
      <c r="H192" s="99"/>
      <c r="I192" s="99"/>
      <c r="J192" s="99"/>
      <c r="K192" s="99"/>
      <c r="L192" s="99"/>
      <c r="M192" s="99"/>
      <c r="N192" s="99"/>
      <c r="O192" s="99"/>
      <c r="P192" s="99"/>
      <c r="Q192" s="99"/>
      <c r="R192" s="99"/>
    </row>
    <row r="193">
      <c r="A193" s="99"/>
      <c r="B193" s="99"/>
      <c r="C193" s="99"/>
      <c r="D193" s="99"/>
      <c r="E193" s="99"/>
      <c r="F193" s="99"/>
      <c r="G193" s="99"/>
      <c r="H193" s="99"/>
      <c r="I193" s="99"/>
      <c r="J193" s="99"/>
      <c r="K193" s="99"/>
      <c r="L193" s="99"/>
      <c r="M193" s="99"/>
      <c r="N193" s="99"/>
      <c r="O193" s="99"/>
      <c r="P193" s="99"/>
      <c r="Q193" s="99"/>
      <c r="R193" s="99"/>
    </row>
    <row r="194">
      <c r="A194" s="99"/>
      <c r="B194" s="99"/>
      <c r="C194" s="99"/>
      <c r="D194" s="99"/>
      <c r="E194" s="99"/>
      <c r="F194" s="99"/>
      <c r="G194" s="99"/>
      <c r="H194" s="99"/>
      <c r="I194" s="99"/>
      <c r="J194" s="99"/>
      <c r="K194" s="99"/>
      <c r="L194" s="99"/>
      <c r="M194" s="99"/>
      <c r="N194" s="99"/>
      <c r="O194" s="99"/>
      <c r="P194" s="99"/>
      <c r="Q194" s="99"/>
      <c r="R194" s="99"/>
    </row>
    <row r="195">
      <c r="A195" s="99"/>
      <c r="B195" s="99"/>
      <c r="C195" s="99"/>
      <c r="D195" s="99"/>
      <c r="E195" s="99"/>
      <c r="F195" s="99"/>
      <c r="G195" s="99"/>
      <c r="H195" s="99"/>
      <c r="I195" s="99"/>
      <c r="J195" s="99"/>
      <c r="K195" s="99"/>
      <c r="L195" s="99"/>
      <c r="M195" s="99"/>
      <c r="N195" s="99"/>
      <c r="O195" s="99"/>
      <c r="P195" s="99"/>
      <c r="Q195" s="99"/>
      <c r="R195" s="99"/>
    </row>
    <row r="196">
      <c r="A196" s="99"/>
      <c r="B196" s="99"/>
      <c r="C196" s="99"/>
      <c r="D196" s="99"/>
      <c r="E196" s="99"/>
      <c r="F196" s="99"/>
      <c r="G196" s="99"/>
      <c r="H196" s="99"/>
      <c r="I196" s="99"/>
      <c r="J196" s="99"/>
      <c r="K196" s="99"/>
      <c r="L196" s="99"/>
      <c r="M196" s="99"/>
      <c r="N196" s="99"/>
      <c r="O196" s="99"/>
      <c r="P196" s="99"/>
      <c r="Q196" s="99"/>
      <c r="R196" s="99"/>
    </row>
    <row r="197">
      <c r="A197" s="99"/>
      <c r="B197" s="99"/>
      <c r="C197" s="99"/>
      <c r="D197" s="99"/>
      <c r="E197" s="99"/>
      <c r="F197" s="99"/>
      <c r="G197" s="99"/>
      <c r="H197" s="99"/>
      <c r="I197" s="99"/>
      <c r="J197" s="99"/>
      <c r="K197" s="99"/>
      <c r="L197" s="99"/>
      <c r="M197" s="99"/>
      <c r="N197" s="99"/>
      <c r="O197" s="99"/>
      <c r="P197" s="99"/>
      <c r="Q197" s="99"/>
      <c r="R197" s="99"/>
    </row>
    <row r="198">
      <c r="A198" s="99"/>
      <c r="B198" s="99"/>
      <c r="C198" s="99"/>
      <c r="D198" s="99"/>
      <c r="E198" s="99"/>
      <c r="F198" s="99"/>
      <c r="G198" s="99"/>
      <c r="H198" s="99"/>
      <c r="I198" s="99"/>
      <c r="J198" s="99"/>
      <c r="K198" s="99"/>
      <c r="L198" s="99"/>
      <c r="M198" s="99"/>
      <c r="N198" s="99"/>
      <c r="O198" s="99"/>
      <c r="P198" s="99"/>
      <c r="Q198" s="99"/>
      <c r="R198" s="99"/>
    </row>
    <row r="199">
      <c r="A199" s="99"/>
      <c r="B199" s="99"/>
      <c r="C199" s="99"/>
      <c r="D199" s="99"/>
      <c r="E199" s="99"/>
      <c r="F199" s="99"/>
      <c r="G199" s="99"/>
      <c r="H199" s="99"/>
      <c r="I199" s="99"/>
      <c r="J199" s="99"/>
      <c r="K199" s="99"/>
      <c r="L199" s="99"/>
      <c r="M199" s="99"/>
      <c r="N199" s="99"/>
      <c r="O199" s="99"/>
      <c r="P199" s="99"/>
      <c r="Q199" s="99"/>
      <c r="R199" s="99"/>
    </row>
    <row r="200">
      <c r="A200" s="99"/>
      <c r="B200" s="99"/>
      <c r="C200" s="99"/>
      <c r="D200" s="99"/>
      <c r="E200" s="99"/>
      <c r="F200" s="99"/>
      <c r="G200" s="99"/>
      <c r="H200" s="99"/>
      <c r="I200" s="99"/>
      <c r="J200" s="99"/>
      <c r="K200" s="99"/>
      <c r="L200" s="99"/>
      <c r="M200" s="99"/>
      <c r="N200" s="99"/>
      <c r="O200" s="99"/>
      <c r="P200" s="99"/>
      <c r="Q200" s="99"/>
      <c r="R200" s="99"/>
    </row>
    <row r="201">
      <c r="A201" s="99"/>
      <c r="B201" s="99"/>
      <c r="C201" s="99"/>
      <c r="D201" s="99"/>
      <c r="E201" s="99"/>
      <c r="F201" s="99"/>
      <c r="G201" s="99"/>
      <c r="H201" s="99"/>
      <c r="I201" s="99"/>
      <c r="J201" s="99"/>
      <c r="K201" s="99"/>
      <c r="L201" s="99"/>
      <c r="M201" s="99"/>
      <c r="N201" s="99"/>
      <c r="O201" s="99"/>
      <c r="P201" s="99"/>
      <c r="Q201" s="99"/>
      <c r="R201" s="99"/>
    </row>
    <row r="202">
      <c r="A202" s="99"/>
      <c r="B202" s="99"/>
      <c r="C202" s="99"/>
      <c r="D202" s="99"/>
      <c r="E202" s="99"/>
      <c r="F202" s="99"/>
      <c r="G202" s="99"/>
      <c r="H202" s="99"/>
      <c r="I202" s="99"/>
      <c r="J202" s="99"/>
      <c r="K202" s="99"/>
      <c r="L202" s="99"/>
      <c r="M202" s="99"/>
      <c r="N202" s="99"/>
      <c r="O202" s="99"/>
      <c r="P202" s="99"/>
      <c r="Q202" s="99"/>
      <c r="R202" s="99"/>
    </row>
    <row r="203">
      <c r="A203" s="99"/>
      <c r="B203" s="99"/>
      <c r="C203" s="99"/>
      <c r="D203" s="99"/>
      <c r="E203" s="99"/>
      <c r="F203" s="99"/>
      <c r="G203" s="99"/>
      <c r="H203" s="99"/>
      <c r="I203" s="99"/>
      <c r="J203" s="99"/>
      <c r="K203" s="99"/>
      <c r="L203" s="99"/>
      <c r="M203" s="99"/>
      <c r="N203" s="99"/>
      <c r="O203" s="99"/>
      <c r="P203" s="99"/>
      <c r="Q203" s="99"/>
      <c r="R203" s="99"/>
    </row>
    <row r="204">
      <c r="A204" s="99"/>
      <c r="B204" s="99"/>
      <c r="C204" s="99"/>
      <c r="D204" s="99"/>
      <c r="E204" s="99"/>
      <c r="F204" s="99"/>
      <c r="G204" s="99"/>
      <c r="H204" s="99"/>
      <c r="I204" s="99"/>
      <c r="J204" s="99"/>
      <c r="K204" s="99"/>
      <c r="L204" s="99"/>
      <c r="M204" s="99"/>
      <c r="N204" s="99"/>
      <c r="O204" s="99"/>
      <c r="P204" s="99"/>
      <c r="Q204" s="99"/>
      <c r="R204" s="99"/>
    </row>
    <row r="205">
      <c r="A205" s="99"/>
      <c r="B205" s="99"/>
      <c r="C205" s="99"/>
      <c r="D205" s="99"/>
      <c r="E205" s="99"/>
      <c r="F205" s="99"/>
      <c r="G205" s="99"/>
      <c r="H205" s="99"/>
      <c r="I205" s="99"/>
      <c r="J205" s="99"/>
      <c r="K205" s="99"/>
      <c r="L205" s="99"/>
      <c r="M205" s="99"/>
      <c r="N205" s="99"/>
      <c r="O205" s="99"/>
      <c r="P205" s="99"/>
      <c r="Q205" s="99"/>
      <c r="R205" s="99"/>
    </row>
    <row r="206">
      <c r="A206" s="99"/>
      <c r="B206" s="99"/>
      <c r="C206" s="99"/>
      <c r="D206" s="99"/>
      <c r="E206" s="99"/>
      <c r="F206" s="99"/>
      <c r="G206" s="99"/>
      <c r="H206" s="99"/>
      <c r="I206" s="99"/>
      <c r="J206" s="99"/>
      <c r="K206" s="99"/>
      <c r="L206" s="99"/>
      <c r="M206" s="99"/>
      <c r="N206" s="99"/>
      <c r="O206" s="99"/>
      <c r="P206" s="99"/>
      <c r="Q206" s="99"/>
      <c r="R206" s="99"/>
    </row>
    <row r="207">
      <c r="A207" s="99"/>
      <c r="B207" s="99"/>
      <c r="C207" s="99"/>
      <c r="D207" s="99"/>
      <c r="E207" s="99"/>
      <c r="F207" s="99"/>
      <c r="G207" s="99"/>
      <c r="H207" s="99"/>
      <c r="I207" s="99"/>
      <c r="J207" s="99"/>
      <c r="K207" s="99"/>
      <c r="L207" s="99"/>
      <c r="M207" s="99"/>
      <c r="N207" s="99"/>
      <c r="O207" s="99"/>
      <c r="P207" s="99"/>
      <c r="Q207" s="99"/>
      <c r="R207" s="99"/>
    </row>
    <row r="208">
      <c r="A208" s="99"/>
      <c r="B208" s="99"/>
      <c r="C208" s="99"/>
      <c r="D208" s="99"/>
      <c r="E208" s="99"/>
      <c r="F208" s="99"/>
      <c r="G208" s="99"/>
      <c r="H208" s="99"/>
      <c r="I208" s="99"/>
      <c r="J208" s="99"/>
      <c r="K208" s="99"/>
      <c r="L208" s="99"/>
      <c r="M208" s="99"/>
      <c r="N208" s="99"/>
      <c r="O208" s="99"/>
      <c r="P208" s="99"/>
      <c r="Q208" s="99"/>
      <c r="R208" s="99"/>
    </row>
    <row r="209">
      <c r="A209" s="99"/>
      <c r="B209" s="99"/>
      <c r="C209" s="99"/>
      <c r="D209" s="99"/>
      <c r="E209" s="99"/>
      <c r="F209" s="99"/>
      <c r="G209" s="99"/>
      <c r="H209" s="99"/>
      <c r="I209" s="99"/>
      <c r="J209" s="99"/>
      <c r="K209" s="99"/>
      <c r="L209" s="99"/>
      <c r="M209" s="99"/>
      <c r="N209" s="99"/>
      <c r="O209" s="99"/>
      <c r="P209" s="99"/>
      <c r="Q209" s="99"/>
      <c r="R209" s="99"/>
    </row>
    <row r="210">
      <c r="A210" s="99"/>
      <c r="B210" s="99"/>
      <c r="C210" s="99"/>
      <c r="D210" s="99"/>
      <c r="E210" s="99"/>
      <c r="F210" s="99"/>
      <c r="G210" s="99"/>
      <c r="H210" s="99"/>
      <c r="I210" s="99"/>
      <c r="J210" s="99"/>
      <c r="K210" s="99"/>
      <c r="L210" s="99"/>
      <c r="M210" s="99"/>
      <c r="N210" s="99"/>
      <c r="O210" s="99"/>
      <c r="P210" s="99"/>
      <c r="Q210" s="99"/>
      <c r="R210" s="99"/>
    </row>
    <row r="211">
      <c r="A211" s="99"/>
      <c r="B211" s="99"/>
      <c r="C211" s="99"/>
      <c r="D211" s="99"/>
      <c r="E211" s="99"/>
      <c r="F211" s="99"/>
      <c r="G211" s="99"/>
      <c r="H211" s="99"/>
      <c r="I211" s="99"/>
      <c r="J211" s="99"/>
      <c r="K211" s="99"/>
      <c r="L211" s="99"/>
      <c r="M211" s="99"/>
      <c r="N211" s="99"/>
      <c r="O211" s="99"/>
      <c r="P211" s="99"/>
      <c r="Q211" s="99"/>
      <c r="R211" s="99"/>
    </row>
    <row r="212">
      <c r="A212" s="99"/>
      <c r="B212" s="99"/>
      <c r="C212" s="99"/>
      <c r="D212" s="99"/>
      <c r="E212" s="99"/>
      <c r="F212" s="99"/>
      <c r="G212" s="99"/>
      <c r="H212" s="99"/>
      <c r="I212" s="99"/>
      <c r="J212" s="99"/>
      <c r="K212" s="99"/>
      <c r="L212" s="99"/>
      <c r="M212" s="99"/>
      <c r="N212" s="99"/>
      <c r="O212" s="99"/>
      <c r="P212" s="99"/>
      <c r="Q212" s="99"/>
      <c r="R212" s="99"/>
    </row>
    <row r="213">
      <c r="A213" s="99"/>
      <c r="B213" s="99"/>
      <c r="C213" s="99"/>
      <c r="D213" s="99"/>
      <c r="E213" s="99"/>
      <c r="F213" s="99"/>
      <c r="G213" s="99"/>
      <c r="H213" s="99"/>
      <c r="I213" s="99"/>
      <c r="J213" s="99"/>
      <c r="K213" s="99"/>
      <c r="L213" s="99"/>
      <c r="M213" s="99"/>
      <c r="N213" s="99"/>
      <c r="O213" s="99"/>
      <c r="P213" s="99"/>
      <c r="Q213" s="99"/>
      <c r="R213" s="99"/>
    </row>
    <row r="214">
      <c r="A214" s="99"/>
      <c r="B214" s="99"/>
      <c r="C214" s="99"/>
      <c r="D214" s="99"/>
      <c r="E214" s="99"/>
      <c r="F214" s="99"/>
      <c r="G214" s="99"/>
      <c r="H214" s="99"/>
      <c r="I214" s="99"/>
      <c r="J214" s="99"/>
      <c r="K214" s="99"/>
      <c r="L214" s="99"/>
      <c r="M214" s="99"/>
      <c r="N214" s="99"/>
      <c r="O214" s="99"/>
      <c r="P214" s="99"/>
      <c r="Q214" s="99"/>
      <c r="R214" s="99"/>
    </row>
    <row r="215">
      <c r="A215" s="99"/>
      <c r="B215" s="99"/>
      <c r="C215" s="99"/>
      <c r="D215" s="99"/>
      <c r="E215" s="99"/>
      <c r="F215" s="99"/>
      <c r="G215" s="99"/>
      <c r="H215" s="99"/>
      <c r="I215" s="99"/>
      <c r="J215" s="99"/>
      <c r="K215" s="99"/>
      <c r="L215" s="99"/>
      <c r="M215" s="99"/>
      <c r="N215" s="99"/>
      <c r="O215" s="99"/>
      <c r="P215" s="99"/>
      <c r="Q215" s="99"/>
      <c r="R215" s="99"/>
    </row>
    <row r="216">
      <c r="A216" s="99"/>
      <c r="B216" s="99"/>
      <c r="C216" s="99"/>
      <c r="D216" s="99"/>
      <c r="E216" s="99"/>
      <c r="F216" s="99"/>
      <c r="G216" s="99"/>
      <c r="H216" s="99"/>
      <c r="I216" s="99"/>
      <c r="J216" s="99"/>
      <c r="K216" s="99"/>
      <c r="L216" s="99"/>
      <c r="M216" s="99"/>
      <c r="N216" s="99"/>
      <c r="O216" s="99"/>
      <c r="P216" s="99"/>
      <c r="Q216" s="99"/>
      <c r="R216" s="99"/>
    </row>
    <row r="217">
      <c r="A217" s="99"/>
      <c r="B217" s="99"/>
      <c r="C217" s="99"/>
      <c r="D217" s="99"/>
      <c r="E217" s="99"/>
      <c r="F217" s="99"/>
      <c r="G217" s="99"/>
      <c r="H217" s="99"/>
      <c r="I217" s="99"/>
      <c r="J217" s="99"/>
      <c r="K217" s="99"/>
      <c r="L217" s="99"/>
      <c r="M217" s="99"/>
      <c r="N217" s="99"/>
      <c r="O217" s="99"/>
      <c r="P217" s="99"/>
      <c r="Q217" s="99"/>
      <c r="R217" s="99"/>
    </row>
    <row r="218">
      <c r="A218" s="99"/>
      <c r="B218" s="99"/>
      <c r="C218" s="99"/>
      <c r="D218" s="99"/>
      <c r="E218" s="99"/>
      <c r="F218" s="99"/>
      <c r="G218" s="99"/>
      <c r="H218" s="99"/>
      <c r="I218" s="99"/>
      <c r="J218" s="99"/>
      <c r="K218" s="99"/>
      <c r="L218" s="99"/>
      <c r="M218" s="99"/>
      <c r="N218" s="99"/>
      <c r="O218" s="99"/>
      <c r="P218" s="99"/>
      <c r="Q218" s="99"/>
      <c r="R218" s="99"/>
    </row>
    <row r="219">
      <c r="A219" s="99"/>
      <c r="B219" s="99"/>
      <c r="C219" s="99"/>
      <c r="D219" s="99"/>
      <c r="E219" s="99"/>
      <c r="F219" s="99"/>
      <c r="G219" s="99"/>
      <c r="H219" s="99"/>
      <c r="I219" s="99"/>
      <c r="J219" s="99"/>
      <c r="K219" s="99"/>
      <c r="L219" s="99"/>
      <c r="M219" s="99"/>
      <c r="N219" s="99"/>
      <c r="O219" s="99"/>
      <c r="P219" s="99"/>
      <c r="Q219" s="99"/>
      <c r="R219" s="99"/>
    </row>
    <row r="220">
      <c r="A220" s="99"/>
      <c r="B220" s="99"/>
      <c r="C220" s="99"/>
      <c r="D220" s="99"/>
      <c r="E220" s="99"/>
      <c r="F220" s="99"/>
      <c r="G220" s="99"/>
      <c r="H220" s="99"/>
      <c r="I220" s="99"/>
      <c r="J220" s="99"/>
      <c r="K220" s="99"/>
      <c r="L220" s="99"/>
      <c r="M220" s="99"/>
      <c r="N220" s="99"/>
      <c r="O220" s="99"/>
      <c r="P220" s="99"/>
      <c r="Q220" s="99"/>
      <c r="R220" s="99"/>
    </row>
    <row r="221">
      <c r="A221" s="99"/>
      <c r="B221" s="99"/>
      <c r="C221" s="99"/>
      <c r="D221" s="99"/>
      <c r="E221" s="99"/>
      <c r="F221" s="99"/>
      <c r="G221" s="99"/>
      <c r="H221" s="99"/>
      <c r="I221" s="99"/>
      <c r="J221" s="99"/>
      <c r="K221" s="99"/>
      <c r="L221" s="99"/>
      <c r="M221" s="99"/>
      <c r="N221" s="99"/>
      <c r="O221" s="99"/>
      <c r="P221" s="99"/>
      <c r="Q221" s="99"/>
      <c r="R221" s="99"/>
    </row>
    <row r="222">
      <c r="A222" s="99"/>
      <c r="B222" s="99"/>
      <c r="C222" s="99"/>
      <c r="D222" s="99"/>
      <c r="E222" s="99"/>
      <c r="F222" s="99"/>
      <c r="G222" s="99"/>
      <c r="H222" s="99"/>
      <c r="I222" s="99"/>
      <c r="J222" s="99"/>
      <c r="K222" s="99"/>
      <c r="L222" s="99"/>
      <c r="M222" s="99"/>
      <c r="N222" s="99"/>
      <c r="O222" s="99"/>
      <c r="P222" s="99"/>
      <c r="Q222" s="99"/>
      <c r="R222" s="99"/>
    </row>
    <row r="223">
      <c r="A223" s="99"/>
      <c r="B223" s="99"/>
      <c r="C223" s="99"/>
      <c r="D223" s="99"/>
      <c r="E223" s="99"/>
      <c r="F223" s="99"/>
      <c r="G223" s="99"/>
      <c r="H223" s="99"/>
      <c r="I223" s="99"/>
      <c r="J223" s="99"/>
      <c r="K223" s="99"/>
      <c r="L223" s="99"/>
      <c r="M223" s="99"/>
      <c r="N223" s="99"/>
      <c r="O223" s="99"/>
      <c r="P223" s="99"/>
      <c r="Q223" s="99"/>
      <c r="R223" s="99"/>
    </row>
    <row r="224">
      <c r="A224" s="99"/>
      <c r="B224" s="99"/>
      <c r="C224" s="99"/>
      <c r="D224" s="99"/>
      <c r="E224" s="99"/>
      <c r="F224" s="99"/>
      <c r="G224" s="99"/>
      <c r="H224" s="99"/>
      <c r="I224" s="99"/>
      <c r="J224" s="99"/>
      <c r="K224" s="99"/>
      <c r="L224" s="99"/>
      <c r="M224" s="99"/>
      <c r="N224" s="99"/>
      <c r="O224" s="99"/>
      <c r="P224" s="99"/>
      <c r="Q224" s="99"/>
      <c r="R224" s="99"/>
    </row>
    <row r="225">
      <c r="A225" s="99"/>
      <c r="B225" s="99"/>
      <c r="C225" s="99"/>
      <c r="D225" s="99"/>
      <c r="E225" s="99"/>
      <c r="F225" s="99"/>
      <c r="G225" s="99"/>
      <c r="H225" s="99"/>
      <c r="I225" s="99"/>
      <c r="J225" s="99"/>
      <c r="K225" s="99"/>
      <c r="L225" s="99"/>
      <c r="M225" s="99"/>
      <c r="N225" s="99"/>
      <c r="O225" s="99"/>
      <c r="P225" s="99"/>
      <c r="Q225" s="99"/>
      <c r="R225" s="99"/>
    </row>
    <row r="226">
      <c r="A226" s="99"/>
      <c r="B226" s="99"/>
      <c r="C226" s="99"/>
      <c r="D226" s="99"/>
      <c r="E226" s="99"/>
      <c r="F226" s="99"/>
      <c r="G226" s="99"/>
      <c r="H226" s="99"/>
      <c r="I226" s="99"/>
      <c r="J226" s="99"/>
      <c r="K226" s="99"/>
      <c r="L226" s="99"/>
      <c r="M226" s="99"/>
      <c r="N226" s="99"/>
      <c r="O226" s="99"/>
      <c r="P226" s="99"/>
      <c r="Q226" s="99"/>
      <c r="R226" s="99"/>
    </row>
    <row r="227">
      <c r="A227" s="99"/>
      <c r="B227" s="99"/>
      <c r="C227" s="99"/>
      <c r="D227" s="99"/>
      <c r="E227" s="99"/>
      <c r="F227" s="99"/>
      <c r="G227" s="99"/>
      <c r="H227" s="99"/>
      <c r="I227" s="99"/>
      <c r="J227" s="99"/>
      <c r="K227" s="99"/>
      <c r="L227" s="99"/>
      <c r="M227" s="99"/>
      <c r="N227" s="99"/>
      <c r="O227" s="99"/>
      <c r="P227" s="99"/>
      <c r="Q227" s="99"/>
      <c r="R227" s="99"/>
    </row>
    <row r="228">
      <c r="A228" s="99"/>
      <c r="B228" s="99"/>
      <c r="C228" s="99"/>
      <c r="D228" s="99"/>
      <c r="E228" s="99"/>
      <c r="F228" s="99"/>
      <c r="G228" s="99"/>
      <c r="H228" s="99"/>
      <c r="I228" s="99"/>
      <c r="J228" s="99"/>
      <c r="K228" s="99"/>
      <c r="L228" s="99"/>
      <c r="M228" s="99"/>
      <c r="N228" s="99"/>
      <c r="O228" s="99"/>
      <c r="P228" s="99"/>
      <c r="Q228" s="99"/>
      <c r="R228" s="99"/>
    </row>
    <row r="229">
      <c r="A229" s="99"/>
      <c r="B229" s="99"/>
      <c r="C229" s="99"/>
      <c r="D229" s="99"/>
      <c r="E229" s="99"/>
      <c r="F229" s="99"/>
      <c r="G229" s="99"/>
      <c r="H229" s="99"/>
      <c r="I229" s="99"/>
      <c r="J229" s="99"/>
      <c r="K229" s="99"/>
      <c r="L229" s="99"/>
      <c r="M229" s="99"/>
      <c r="N229" s="99"/>
      <c r="O229" s="99"/>
      <c r="P229" s="99"/>
      <c r="Q229" s="99"/>
      <c r="R229" s="99"/>
    </row>
    <row r="230">
      <c r="A230" s="99"/>
      <c r="B230" s="99"/>
      <c r="C230" s="99"/>
      <c r="D230" s="99"/>
      <c r="E230" s="99"/>
      <c r="F230" s="99"/>
      <c r="G230" s="99"/>
      <c r="H230" s="99"/>
      <c r="I230" s="99"/>
      <c r="J230" s="99"/>
      <c r="K230" s="99"/>
      <c r="L230" s="99"/>
      <c r="M230" s="99"/>
      <c r="N230" s="99"/>
      <c r="O230" s="99"/>
      <c r="P230" s="99"/>
      <c r="Q230" s="99"/>
      <c r="R230" s="99"/>
    </row>
    <row r="231">
      <c r="A231" s="99"/>
      <c r="B231" s="99"/>
      <c r="C231" s="99"/>
      <c r="D231" s="99"/>
      <c r="E231" s="99"/>
      <c r="F231" s="99"/>
      <c r="G231" s="99"/>
      <c r="H231" s="99"/>
      <c r="I231" s="99"/>
      <c r="J231" s="99"/>
      <c r="K231" s="99"/>
      <c r="L231" s="99"/>
      <c r="M231" s="99"/>
      <c r="N231" s="99"/>
      <c r="O231" s="99"/>
      <c r="P231" s="99"/>
      <c r="Q231" s="99"/>
      <c r="R231" s="99"/>
    </row>
    <row r="232">
      <c r="A232" s="99"/>
      <c r="B232" s="99"/>
      <c r="C232" s="99"/>
      <c r="D232" s="99"/>
      <c r="E232" s="99"/>
      <c r="F232" s="99"/>
      <c r="G232" s="99"/>
      <c r="H232" s="99"/>
      <c r="I232" s="99"/>
      <c r="J232" s="99"/>
      <c r="K232" s="99"/>
      <c r="L232" s="99"/>
      <c r="M232" s="99"/>
      <c r="N232" s="99"/>
      <c r="O232" s="99"/>
      <c r="P232" s="99"/>
      <c r="Q232" s="99"/>
      <c r="R232" s="99"/>
    </row>
    <row r="233">
      <c r="A233" s="99"/>
      <c r="B233" s="99"/>
      <c r="C233" s="99"/>
      <c r="D233" s="99"/>
      <c r="E233" s="99"/>
      <c r="F233" s="99"/>
      <c r="G233" s="99"/>
      <c r="H233" s="99"/>
      <c r="I233" s="99"/>
      <c r="J233" s="99"/>
      <c r="K233" s="99"/>
      <c r="L233" s="99"/>
      <c r="M233" s="99"/>
      <c r="N233" s="99"/>
      <c r="O233" s="99"/>
      <c r="P233" s="99"/>
      <c r="Q233" s="99"/>
      <c r="R233" s="99"/>
    </row>
    <row r="234">
      <c r="A234" s="99"/>
      <c r="B234" s="99"/>
      <c r="C234" s="99"/>
      <c r="D234" s="99"/>
      <c r="E234" s="99"/>
      <c r="F234" s="99"/>
      <c r="G234" s="99"/>
      <c r="H234" s="99"/>
      <c r="I234" s="99"/>
      <c r="J234" s="99"/>
      <c r="K234" s="99"/>
      <c r="L234" s="99"/>
      <c r="M234" s="99"/>
      <c r="N234" s="99"/>
      <c r="O234" s="99"/>
      <c r="P234" s="99"/>
      <c r="Q234" s="99"/>
      <c r="R234" s="99"/>
    </row>
    <row r="235">
      <c r="A235" s="99"/>
      <c r="B235" s="99"/>
      <c r="C235" s="99"/>
      <c r="D235" s="99"/>
      <c r="E235" s="99"/>
      <c r="F235" s="99"/>
      <c r="G235" s="99"/>
      <c r="H235" s="99"/>
      <c r="I235" s="99"/>
      <c r="J235" s="99"/>
      <c r="K235" s="99"/>
      <c r="L235" s="99"/>
      <c r="M235" s="99"/>
      <c r="N235" s="99"/>
      <c r="O235" s="99"/>
      <c r="P235" s="99"/>
      <c r="Q235" s="99"/>
      <c r="R235" s="99"/>
    </row>
    <row r="236">
      <c r="A236" s="99"/>
      <c r="B236" s="99"/>
      <c r="C236" s="99"/>
      <c r="D236" s="99"/>
      <c r="E236" s="99"/>
      <c r="F236" s="99"/>
      <c r="G236" s="99"/>
      <c r="H236" s="99"/>
      <c r="I236" s="99"/>
      <c r="J236" s="99"/>
      <c r="K236" s="99"/>
      <c r="L236" s="99"/>
      <c r="M236" s="99"/>
      <c r="N236" s="99"/>
      <c r="O236" s="99"/>
      <c r="P236" s="99"/>
      <c r="Q236" s="99"/>
      <c r="R236" s="99"/>
    </row>
    <row r="237">
      <c r="A237" s="99"/>
      <c r="B237" s="99"/>
      <c r="C237" s="99"/>
      <c r="D237" s="99"/>
      <c r="E237" s="99"/>
      <c r="F237" s="99"/>
      <c r="G237" s="99"/>
      <c r="H237" s="99"/>
      <c r="I237" s="99"/>
      <c r="J237" s="99"/>
      <c r="K237" s="99"/>
      <c r="L237" s="99"/>
      <c r="M237" s="99"/>
      <c r="N237" s="99"/>
      <c r="O237" s="99"/>
      <c r="P237" s="99"/>
      <c r="Q237" s="99"/>
      <c r="R237" s="99"/>
    </row>
    <row r="238">
      <c r="A238" s="99"/>
      <c r="B238" s="99"/>
      <c r="C238" s="99"/>
      <c r="D238" s="99"/>
      <c r="E238" s="99"/>
      <c r="F238" s="99"/>
      <c r="G238" s="99"/>
      <c r="H238" s="99"/>
      <c r="I238" s="99"/>
      <c r="J238" s="99"/>
      <c r="K238" s="99"/>
      <c r="L238" s="99"/>
      <c r="M238" s="99"/>
      <c r="N238" s="99"/>
      <c r="O238" s="99"/>
      <c r="P238" s="99"/>
      <c r="Q238" s="99"/>
      <c r="R238" s="99"/>
    </row>
    <row r="239">
      <c r="A239" s="99"/>
      <c r="B239" s="99"/>
      <c r="C239" s="99"/>
      <c r="D239" s="99"/>
      <c r="E239" s="99"/>
      <c r="F239" s="99"/>
      <c r="G239" s="99"/>
      <c r="H239" s="99"/>
      <c r="I239" s="99"/>
      <c r="J239" s="99"/>
      <c r="K239" s="99"/>
      <c r="L239" s="99"/>
      <c r="M239" s="99"/>
      <c r="N239" s="99"/>
      <c r="O239" s="99"/>
      <c r="P239" s="99"/>
      <c r="Q239" s="99"/>
      <c r="R239" s="99"/>
    </row>
    <row r="240">
      <c r="A240" s="99"/>
      <c r="B240" s="99"/>
      <c r="C240" s="99"/>
      <c r="D240" s="99"/>
      <c r="E240" s="99"/>
      <c r="F240" s="99"/>
      <c r="G240" s="99"/>
      <c r="H240" s="99"/>
      <c r="I240" s="99"/>
      <c r="J240" s="99"/>
      <c r="K240" s="99"/>
      <c r="L240" s="99"/>
      <c r="M240" s="99"/>
      <c r="N240" s="99"/>
      <c r="O240" s="99"/>
      <c r="P240" s="99"/>
      <c r="Q240" s="99"/>
      <c r="R240" s="99"/>
    </row>
    <row r="241">
      <c r="A241" s="99"/>
      <c r="B241" s="99"/>
      <c r="C241" s="99"/>
      <c r="D241" s="99"/>
      <c r="E241" s="99"/>
      <c r="F241" s="99"/>
      <c r="G241" s="99"/>
      <c r="H241" s="99"/>
      <c r="I241" s="99"/>
      <c r="J241" s="99"/>
      <c r="K241" s="99"/>
      <c r="L241" s="99"/>
      <c r="M241" s="99"/>
      <c r="N241" s="99"/>
      <c r="O241" s="99"/>
      <c r="P241" s="99"/>
      <c r="Q241" s="99"/>
      <c r="R241" s="99"/>
    </row>
    <row r="242">
      <c r="A242" s="99"/>
      <c r="B242" s="99"/>
      <c r="C242" s="99"/>
      <c r="D242" s="99"/>
      <c r="E242" s="99"/>
      <c r="F242" s="99"/>
      <c r="G242" s="99"/>
      <c r="H242" s="99"/>
      <c r="I242" s="99"/>
      <c r="J242" s="99"/>
      <c r="K242" s="99"/>
      <c r="L242" s="99"/>
      <c r="M242" s="99"/>
      <c r="N242" s="99"/>
      <c r="O242" s="99"/>
      <c r="P242" s="99"/>
      <c r="Q242" s="99"/>
      <c r="R242" s="99"/>
    </row>
    <row r="243">
      <c r="A243" s="99"/>
      <c r="B243" s="99"/>
      <c r="C243" s="99"/>
      <c r="D243" s="99"/>
      <c r="E243" s="99"/>
      <c r="F243" s="99"/>
      <c r="G243" s="99"/>
      <c r="H243" s="99"/>
      <c r="I243" s="99"/>
      <c r="J243" s="99"/>
      <c r="K243" s="99"/>
      <c r="L243" s="99"/>
      <c r="M243" s="99"/>
      <c r="N243" s="99"/>
      <c r="O243" s="99"/>
      <c r="P243" s="99"/>
      <c r="Q243" s="99"/>
      <c r="R243" s="99"/>
    </row>
    <row r="244">
      <c r="A244" s="99"/>
      <c r="B244" s="99"/>
      <c r="C244" s="99"/>
      <c r="D244" s="99"/>
      <c r="E244" s="99"/>
      <c r="F244" s="99"/>
      <c r="G244" s="99"/>
      <c r="H244" s="99"/>
      <c r="I244" s="99"/>
      <c r="J244" s="99"/>
      <c r="K244" s="99"/>
      <c r="L244" s="99"/>
      <c r="M244" s="99"/>
      <c r="N244" s="99"/>
      <c r="O244" s="99"/>
      <c r="P244" s="99"/>
      <c r="Q244" s="99"/>
      <c r="R244" s="99"/>
    </row>
    <row r="245">
      <c r="A245" s="99"/>
      <c r="B245" s="99"/>
      <c r="C245" s="99"/>
      <c r="D245" s="99"/>
      <c r="E245" s="99"/>
      <c r="F245" s="99"/>
      <c r="G245" s="99"/>
      <c r="H245" s="99"/>
      <c r="I245" s="99"/>
      <c r="J245" s="99"/>
      <c r="K245" s="99"/>
      <c r="L245" s="99"/>
      <c r="M245" s="99"/>
      <c r="N245" s="99"/>
      <c r="O245" s="99"/>
      <c r="P245" s="99"/>
      <c r="Q245" s="99"/>
      <c r="R245" s="99"/>
    </row>
    <row r="246">
      <c r="A246" s="99"/>
      <c r="B246" s="99"/>
      <c r="C246" s="99"/>
      <c r="D246" s="99"/>
      <c r="E246" s="99"/>
      <c r="F246" s="99"/>
      <c r="G246" s="99"/>
      <c r="H246" s="99"/>
      <c r="I246" s="99"/>
      <c r="J246" s="99"/>
      <c r="K246" s="99"/>
      <c r="L246" s="99"/>
      <c r="M246" s="99"/>
      <c r="N246" s="99"/>
      <c r="O246" s="99"/>
      <c r="P246" s="99"/>
      <c r="Q246" s="99"/>
      <c r="R246" s="99"/>
    </row>
    <row r="247">
      <c r="A247" s="99"/>
      <c r="B247" s="99"/>
      <c r="C247" s="99"/>
      <c r="D247" s="99"/>
      <c r="E247" s="99"/>
      <c r="F247" s="99"/>
      <c r="G247" s="99"/>
      <c r="H247" s="99"/>
      <c r="I247" s="99"/>
      <c r="J247" s="99"/>
      <c r="K247" s="99"/>
      <c r="L247" s="99"/>
      <c r="M247" s="99"/>
      <c r="N247" s="99"/>
      <c r="O247" s="99"/>
      <c r="P247" s="99"/>
      <c r="Q247" s="99"/>
      <c r="R247" s="99"/>
    </row>
    <row r="248">
      <c r="A248" s="99"/>
      <c r="B248" s="99"/>
      <c r="C248" s="99"/>
      <c r="D248" s="99"/>
      <c r="E248" s="99"/>
      <c r="F248" s="99"/>
      <c r="G248" s="99"/>
      <c r="H248" s="99"/>
      <c r="I248" s="99"/>
      <c r="J248" s="99"/>
      <c r="K248" s="99"/>
      <c r="L248" s="99"/>
      <c r="M248" s="99"/>
      <c r="N248" s="99"/>
      <c r="O248" s="99"/>
      <c r="P248" s="99"/>
      <c r="Q248" s="99"/>
      <c r="R248" s="99"/>
    </row>
    <row r="249">
      <c r="A249" s="99"/>
      <c r="B249" s="99"/>
      <c r="C249" s="99"/>
      <c r="D249" s="99"/>
      <c r="E249" s="99"/>
      <c r="F249" s="99"/>
      <c r="G249" s="99"/>
      <c r="H249" s="99"/>
      <c r="I249" s="99"/>
      <c r="J249" s="99"/>
      <c r="K249" s="99"/>
      <c r="L249" s="99"/>
      <c r="M249" s="99"/>
      <c r="N249" s="99"/>
      <c r="O249" s="99"/>
      <c r="P249" s="99"/>
      <c r="Q249" s="99"/>
      <c r="R249" s="99"/>
    </row>
    <row r="250">
      <c r="A250" s="99"/>
      <c r="B250" s="99"/>
      <c r="C250" s="99"/>
      <c r="D250" s="99"/>
      <c r="E250" s="99"/>
      <c r="F250" s="99"/>
      <c r="G250" s="99"/>
      <c r="H250" s="99"/>
      <c r="I250" s="99"/>
      <c r="J250" s="99"/>
      <c r="K250" s="99"/>
      <c r="L250" s="99"/>
      <c r="M250" s="99"/>
      <c r="N250" s="99"/>
      <c r="O250" s="99"/>
      <c r="P250" s="99"/>
      <c r="Q250" s="99"/>
      <c r="R250" s="99"/>
    </row>
    <row r="251">
      <c r="A251" s="99"/>
      <c r="B251" s="99"/>
      <c r="C251" s="99"/>
      <c r="D251" s="99"/>
      <c r="E251" s="99"/>
      <c r="F251" s="99"/>
      <c r="G251" s="99"/>
      <c r="H251" s="99"/>
      <c r="I251" s="99"/>
      <c r="J251" s="99"/>
      <c r="K251" s="99"/>
      <c r="L251" s="99"/>
      <c r="M251" s="99"/>
      <c r="N251" s="99"/>
      <c r="O251" s="99"/>
      <c r="P251" s="99"/>
      <c r="Q251" s="99"/>
      <c r="R251" s="99"/>
    </row>
    <row r="252">
      <c r="A252" s="99"/>
      <c r="B252" s="99"/>
      <c r="C252" s="99"/>
      <c r="D252" s="99"/>
      <c r="E252" s="99"/>
      <c r="F252" s="99"/>
      <c r="G252" s="99"/>
      <c r="H252" s="99"/>
      <c r="I252" s="99"/>
      <c r="J252" s="99"/>
      <c r="K252" s="99"/>
      <c r="L252" s="99"/>
      <c r="M252" s="99"/>
      <c r="N252" s="99"/>
      <c r="O252" s="99"/>
      <c r="P252" s="99"/>
      <c r="Q252" s="99"/>
      <c r="R252" s="99"/>
    </row>
    <row r="253">
      <c r="A253" s="99"/>
      <c r="B253" s="99"/>
      <c r="C253" s="99"/>
      <c r="D253" s="99"/>
      <c r="E253" s="99"/>
      <c r="F253" s="99"/>
      <c r="G253" s="99"/>
      <c r="H253" s="99"/>
      <c r="I253" s="99"/>
      <c r="J253" s="99"/>
      <c r="K253" s="99"/>
      <c r="L253" s="99"/>
      <c r="M253" s="99"/>
      <c r="N253" s="99"/>
      <c r="O253" s="99"/>
      <c r="P253" s="99"/>
      <c r="Q253" s="99"/>
      <c r="R253" s="99"/>
    </row>
    <row r="254">
      <c r="A254" s="99"/>
      <c r="B254" s="99"/>
      <c r="C254" s="99"/>
      <c r="D254" s="99"/>
      <c r="E254" s="99"/>
      <c r="F254" s="99"/>
      <c r="G254" s="99"/>
      <c r="H254" s="99"/>
      <c r="I254" s="99"/>
      <c r="J254" s="99"/>
      <c r="K254" s="99"/>
      <c r="L254" s="99"/>
      <c r="M254" s="99"/>
      <c r="N254" s="99"/>
      <c r="O254" s="99"/>
      <c r="P254" s="99"/>
      <c r="Q254" s="99"/>
      <c r="R254" s="99"/>
    </row>
    <row r="255">
      <c r="A255" s="99"/>
      <c r="B255" s="99"/>
      <c r="C255" s="99"/>
      <c r="D255" s="99"/>
      <c r="E255" s="99"/>
      <c r="F255" s="99"/>
      <c r="G255" s="99"/>
      <c r="H255" s="99"/>
      <c r="I255" s="99"/>
      <c r="J255" s="99"/>
      <c r="K255" s="99"/>
      <c r="L255" s="99"/>
      <c r="M255" s="99"/>
      <c r="N255" s="99"/>
      <c r="O255" s="99"/>
      <c r="P255" s="99"/>
      <c r="Q255" s="99"/>
      <c r="R255" s="99"/>
    </row>
    <row r="256">
      <c r="A256" s="99"/>
      <c r="B256" s="99"/>
      <c r="C256" s="99"/>
      <c r="D256" s="99"/>
      <c r="E256" s="99"/>
      <c r="F256" s="99"/>
      <c r="G256" s="99"/>
      <c r="H256" s="99"/>
      <c r="I256" s="99"/>
      <c r="J256" s="99"/>
      <c r="K256" s="99"/>
      <c r="L256" s="99"/>
      <c r="M256" s="99"/>
      <c r="N256" s="99"/>
      <c r="O256" s="99"/>
      <c r="P256" s="99"/>
      <c r="Q256" s="99"/>
      <c r="R256" s="99"/>
    </row>
    <row r="257">
      <c r="A257" s="99"/>
      <c r="B257" s="99"/>
      <c r="C257" s="99"/>
      <c r="D257" s="99"/>
      <c r="E257" s="99"/>
      <c r="F257" s="99"/>
      <c r="G257" s="99"/>
      <c r="H257" s="99"/>
      <c r="I257" s="99"/>
      <c r="J257" s="99"/>
      <c r="K257" s="99"/>
      <c r="L257" s="99"/>
      <c r="M257" s="99"/>
      <c r="N257" s="99"/>
      <c r="O257" s="99"/>
      <c r="P257" s="99"/>
      <c r="Q257" s="99"/>
      <c r="R257" s="99"/>
    </row>
    <row r="258">
      <c r="A258" s="99"/>
      <c r="B258" s="99"/>
      <c r="C258" s="99"/>
      <c r="D258" s="99"/>
      <c r="E258" s="99"/>
      <c r="F258" s="99"/>
      <c r="G258" s="99"/>
      <c r="H258" s="99"/>
      <c r="I258" s="99"/>
      <c r="J258" s="99"/>
      <c r="K258" s="99"/>
      <c r="L258" s="99"/>
      <c r="M258" s="99"/>
      <c r="N258" s="99"/>
      <c r="O258" s="99"/>
      <c r="P258" s="99"/>
      <c r="Q258" s="99"/>
      <c r="R258" s="99"/>
    </row>
    <row r="259">
      <c r="A259" s="99"/>
      <c r="B259" s="99"/>
      <c r="C259" s="99"/>
      <c r="D259" s="99"/>
      <c r="E259" s="99"/>
      <c r="F259" s="99"/>
      <c r="G259" s="99"/>
      <c r="H259" s="99"/>
      <c r="I259" s="99"/>
      <c r="J259" s="99"/>
      <c r="K259" s="99"/>
      <c r="L259" s="99"/>
      <c r="M259" s="99"/>
      <c r="N259" s="99"/>
      <c r="O259" s="99"/>
      <c r="P259" s="99"/>
      <c r="Q259" s="99"/>
      <c r="R259" s="99"/>
    </row>
    <row r="260">
      <c r="A260" s="99"/>
      <c r="B260" s="99"/>
      <c r="C260" s="99"/>
      <c r="D260" s="99"/>
      <c r="E260" s="99"/>
      <c r="F260" s="99"/>
      <c r="G260" s="99"/>
      <c r="H260" s="99"/>
      <c r="I260" s="99"/>
      <c r="J260" s="99"/>
      <c r="K260" s="99"/>
      <c r="L260" s="99"/>
      <c r="M260" s="99"/>
      <c r="N260" s="99"/>
      <c r="O260" s="99"/>
      <c r="P260" s="99"/>
      <c r="Q260" s="99"/>
      <c r="R260" s="99"/>
    </row>
    <row r="261">
      <c r="A261" s="99"/>
      <c r="B261" s="99"/>
      <c r="C261" s="99"/>
      <c r="D261" s="99"/>
      <c r="E261" s="99"/>
      <c r="F261" s="99"/>
      <c r="G261" s="99"/>
      <c r="H261" s="99"/>
      <c r="I261" s="99"/>
      <c r="J261" s="99"/>
      <c r="K261" s="99"/>
      <c r="L261" s="99"/>
      <c r="M261" s="99"/>
      <c r="N261" s="99"/>
      <c r="O261" s="99"/>
      <c r="P261" s="99"/>
      <c r="Q261" s="99"/>
      <c r="R261" s="99"/>
    </row>
    <row r="262">
      <c r="A262" s="99"/>
      <c r="B262" s="99"/>
      <c r="C262" s="99"/>
      <c r="D262" s="99"/>
      <c r="E262" s="99"/>
      <c r="F262" s="99"/>
      <c r="G262" s="99"/>
      <c r="H262" s="99"/>
      <c r="I262" s="99"/>
      <c r="J262" s="99"/>
      <c r="K262" s="99"/>
      <c r="L262" s="99"/>
      <c r="M262" s="99"/>
      <c r="N262" s="99"/>
      <c r="O262" s="99"/>
      <c r="P262" s="99"/>
      <c r="Q262" s="99"/>
      <c r="R262" s="99"/>
    </row>
    <row r="263">
      <c r="A263" s="99"/>
      <c r="B263" s="99"/>
      <c r="C263" s="99"/>
      <c r="D263" s="99"/>
      <c r="E263" s="99"/>
      <c r="F263" s="99"/>
      <c r="G263" s="99"/>
      <c r="H263" s="99"/>
      <c r="I263" s="99"/>
      <c r="J263" s="99"/>
      <c r="K263" s="99"/>
      <c r="L263" s="99"/>
      <c r="M263" s="99"/>
      <c r="N263" s="99"/>
      <c r="O263" s="99"/>
      <c r="P263" s="99"/>
      <c r="Q263" s="99"/>
      <c r="R263" s="99"/>
    </row>
    <row r="264">
      <c r="A264" s="99"/>
      <c r="B264" s="99"/>
      <c r="C264" s="99"/>
      <c r="D264" s="99"/>
      <c r="E264" s="99"/>
      <c r="F264" s="99"/>
      <c r="G264" s="99"/>
      <c r="H264" s="99"/>
      <c r="I264" s="99"/>
      <c r="J264" s="99"/>
      <c r="K264" s="99"/>
      <c r="L264" s="99"/>
      <c r="M264" s="99"/>
      <c r="N264" s="99"/>
      <c r="O264" s="99"/>
      <c r="P264" s="99"/>
      <c r="Q264" s="99"/>
      <c r="R264" s="99"/>
    </row>
    <row r="265">
      <c r="A265" s="99"/>
      <c r="B265" s="99"/>
      <c r="C265" s="99"/>
      <c r="D265" s="99"/>
      <c r="E265" s="99"/>
      <c r="F265" s="99"/>
      <c r="G265" s="99"/>
      <c r="H265" s="99"/>
      <c r="I265" s="99"/>
      <c r="J265" s="99"/>
      <c r="K265" s="99"/>
      <c r="L265" s="99"/>
      <c r="M265" s="99"/>
      <c r="N265" s="99"/>
      <c r="O265" s="99"/>
      <c r="P265" s="99"/>
      <c r="Q265" s="99"/>
      <c r="R265" s="99"/>
    </row>
    <row r="266">
      <c r="A266" s="99"/>
      <c r="B266" s="99"/>
      <c r="C266" s="99"/>
      <c r="D266" s="99"/>
      <c r="E266" s="99"/>
      <c r="F266" s="99"/>
      <c r="G266" s="99"/>
      <c r="H266" s="99"/>
      <c r="I266" s="99"/>
      <c r="J266" s="99"/>
      <c r="K266" s="99"/>
      <c r="L266" s="99"/>
      <c r="M266" s="99"/>
      <c r="N266" s="99"/>
      <c r="O266" s="99"/>
      <c r="P266" s="99"/>
      <c r="Q266" s="99"/>
      <c r="R266" s="99"/>
    </row>
    <row r="267">
      <c r="A267" s="99"/>
      <c r="B267" s="99"/>
      <c r="C267" s="99"/>
      <c r="D267" s="99"/>
      <c r="E267" s="99"/>
      <c r="F267" s="99"/>
      <c r="G267" s="99"/>
      <c r="H267" s="99"/>
      <c r="I267" s="99"/>
      <c r="J267" s="99"/>
      <c r="K267" s="99"/>
      <c r="L267" s="99"/>
      <c r="M267" s="99"/>
      <c r="N267" s="99"/>
      <c r="O267" s="99"/>
      <c r="P267" s="99"/>
      <c r="Q267" s="99"/>
      <c r="R267" s="99"/>
    </row>
    <row r="268">
      <c r="A268" s="99"/>
      <c r="B268" s="99"/>
      <c r="C268" s="99"/>
      <c r="D268" s="99"/>
      <c r="E268" s="99"/>
      <c r="F268" s="99"/>
      <c r="G268" s="99"/>
      <c r="H268" s="99"/>
      <c r="I268" s="99"/>
      <c r="J268" s="99"/>
      <c r="K268" s="99"/>
      <c r="L268" s="99"/>
      <c r="M268" s="99"/>
      <c r="N268" s="99"/>
      <c r="O268" s="99"/>
      <c r="P268" s="99"/>
      <c r="Q268" s="99"/>
      <c r="R268" s="99"/>
    </row>
    <row r="269">
      <c r="A269" s="99"/>
      <c r="B269" s="99"/>
      <c r="C269" s="99"/>
      <c r="D269" s="99"/>
      <c r="E269" s="99"/>
      <c r="F269" s="99"/>
      <c r="G269" s="99"/>
      <c r="H269" s="99"/>
      <c r="I269" s="99"/>
      <c r="J269" s="99"/>
      <c r="K269" s="99"/>
      <c r="L269" s="99"/>
      <c r="M269" s="99"/>
      <c r="N269" s="99"/>
      <c r="O269" s="99"/>
      <c r="P269" s="99"/>
      <c r="Q269" s="99"/>
      <c r="R269" s="99"/>
    </row>
    <row r="270">
      <c r="A270" s="99"/>
      <c r="B270" s="99"/>
      <c r="C270" s="99"/>
      <c r="D270" s="99"/>
      <c r="E270" s="99"/>
      <c r="F270" s="99"/>
      <c r="G270" s="99"/>
      <c r="H270" s="99"/>
      <c r="I270" s="99"/>
      <c r="J270" s="99"/>
      <c r="K270" s="99"/>
      <c r="L270" s="99"/>
      <c r="M270" s="99"/>
      <c r="N270" s="99"/>
      <c r="O270" s="99"/>
      <c r="P270" s="99"/>
      <c r="Q270" s="99"/>
      <c r="R270" s="99"/>
    </row>
    <row r="271">
      <c r="A271" s="99"/>
      <c r="B271" s="99"/>
      <c r="C271" s="99"/>
      <c r="D271" s="99"/>
      <c r="E271" s="99"/>
      <c r="F271" s="99"/>
      <c r="G271" s="99"/>
      <c r="H271" s="99"/>
      <c r="I271" s="99"/>
      <c r="J271" s="99"/>
      <c r="K271" s="99"/>
      <c r="L271" s="99"/>
      <c r="M271" s="99"/>
      <c r="N271" s="99"/>
      <c r="O271" s="99"/>
      <c r="P271" s="99"/>
      <c r="Q271" s="99"/>
      <c r="R271" s="99"/>
    </row>
    <row r="272">
      <c r="A272" s="99"/>
      <c r="B272" s="99"/>
      <c r="C272" s="99"/>
      <c r="D272" s="99"/>
      <c r="E272" s="99"/>
      <c r="F272" s="99"/>
      <c r="G272" s="99"/>
      <c r="H272" s="99"/>
      <c r="I272" s="99"/>
      <c r="J272" s="99"/>
      <c r="K272" s="99"/>
      <c r="L272" s="99"/>
      <c r="M272" s="99"/>
      <c r="N272" s="99"/>
      <c r="O272" s="99"/>
      <c r="P272" s="99"/>
      <c r="Q272" s="99"/>
      <c r="R272" s="99"/>
    </row>
    <row r="273">
      <c r="A273" s="99"/>
      <c r="B273" s="99"/>
      <c r="C273" s="99"/>
      <c r="D273" s="99"/>
      <c r="E273" s="99"/>
      <c r="F273" s="99"/>
      <c r="G273" s="99"/>
      <c r="H273" s="99"/>
      <c r="I273" s="99"/>
      <c r="J273" s="99"/>
      <c r="K273" s="99"/>
      <c r="L273" s="99"/>
      <c r="M273" s="99"/>
      <c r="N273" s="99"/>
      <c r="O273" s="99"/>
      <c r="P273" s="99"/>
      <c r="Q273" s="99"/>
      <c r="R273" s="99"/>
    </row>
    <row r="274">
      <c r="A274" s="99"/>
      <c r="B274" s="99"/>
      <c r="C274" s="99"/>
      <c r="D274" s="99"/>
      <c r="E274" s="99"/>
      <c r="F274" s="99"/>
      <c r="G274" s="99"/>
      <c r="H274" s="99"/>
      <c r="I274" s="99"/>
      <c r="J274" s="99"/>
      <c r="K274" s="99"/>
      <c r="L274" s="99"/>
      <c r="M274" s="99"/>
      <c r="N274" s="99"/>
      <c r="O274" s="99"/>
      <c r="P274" s="99"/>
      <c r="Q274" s="99"/>
      <c r="R274" s="99"/>
    </row>
    <row r="275">
      <c r="A275" s="99"/>
      <c r="B275" s="99"/>
      <c r="C275" s="99"/>
      <c r="D275" s="99"/>
      <c r="E275" s="99"/>
      <c r="F275" s="99"/>
      <c r="G275" s="99"/>
      <c r="H275" s="99"/>
      <c r="I275" s="99"/>
      <c r="J275" s="99"/>
      <c r="K275" s="99"/>
      <c r="L275" s="99"/>
      <c r="M275" s="99"/>
      <c r="N275" s="99"/>
      <c r="O275" s="99"/>
      <c r="P275" s="99"/>
      <c r="Q275" s="99"/>
      <c r="R275" s="99"/>
    </row>
    <row r="276">
      <c r="A276" s="99"/>
      <c r="B276" s="99"/>
      <c r="C276" s="99"/>
      <c r="D276" s="99"/>
      <c r="E276" s="99"/>
      <c r="F276" s="99"/>
      <c r="G276" s="99"/>
      <c r="H276" s="99"/>
      <c r="I276" s="99"/>
      <c r="J276" s="99"/>
      <c r="K276" s="99"/>
      <c r="L276" s="99"/>
      <c r="M276" s="99"/>
      <c r="N276" s="99"/>
      <c r="O276" s="99"/>
      <c r="P276" s="99"/>
      <c r="Q276" s="99"/>
      <c r="R276" s="99"/>
    </row>
    <row r="277">
      <c r="A277" s="99"/>
      <c r="B277" s="99"/>
      <c r="C277" s="99"/>
      <c r="D277" s="99"/>
      <c r="E277" s="99"/>
      <c r="F277" s="99"/>
      <c r="G277" s="99"/>
      <c r="H277" s="99"/>
      <c r="I277" s="99"/>
      <c r="J277" s="99"/>
      <c r="K277" s="99"/>
      <c r="L277" s="99"/>
      <c r="M277" s="99"/>
      <c r="N277" s="99"/>
      <c r="O277" s="99"/>
      <c r="P277" s="99"/>
      <c r="Q277" s="99"/>
      <c r="R277" s="99"/>
    </row>
    <row r="278">
      <c r="A278" s="99"/>
      <c r="B278" s="99"/>
      <c r="C278" s="99"/>
      <c r="D278" s="99"/>
      <c r="E278" s="99"/>
      <c r="F278" s="99"/>
      <c r="G278" s="99"/>
      <c r="H278" s="99"/>
      <c r="I278" s="99"/>
      <c r="J278" s="99"/>
      <c r="K278" s="99"/>
      <c r="L278" s="99"/>
      <c r="M278" s="99"/>
      <c r="N278" s="99"/>
      <c r="O278" s="99"/>
      <c r="P278" s="99"/>
      <c r="Q278" s="99"/>
      <c r="R278" s="99"/>
    </row>
    <row r="279">
      <c r="A279" s="99"/>
      <c r="B279" s="99"/>
      <c r="C279" s="99"/>
      <c r="D279" s="99"/>
      <c r="E279" s="99"/>
      <c r="F279" s="99"/>
      <c r="G279" s="99"/>
      <c r="H279" s="99"/>
      <c r="I279" s="99"/>
      <c r="J279" s="99"/>
      <c r="K279" s="99"/>
      <c r="L279" s="99"/>
      <c r="M279" s="99"/>
      <c r="N279" s="99"/>
      <c r="O279" s="99"/>
      <c r="P279" s="99"/>
      <c r="Q279" s="99"/>
      <c r="R279" s="99"/>
    </row>
    <row r="280">
      <c r="A280" s="99"/>
      <c r="B280" s="99"/>
      <c r="C280" s="99"/>
      <c r="D280" s="99"/>
      <c r="E280" s="99"/>
      <c r="F280" s="99"/>
      <c r="G280" s="99"/>
      <c r="H280" s="99"/>
      <c r="I280" s="99"/>
      <c r="J280" s="99"/>
      <c r="K280" s="99"/>
      <c r="L280" s="99"/>
      <c r="M280" s="99"/>
      <c r="N280" s="99"/>
      <c r="O280" s="99"/>
      <c r="P280" s="99"/>
      <c r="Q280" s="99"/>
      <c r="R280" s="99"/>
    </row>
    <row r="281">
      <c r="A281" s="99"/>
      <c r="B281" s="99"/>
      <c r="C281" s="99"/>
      <c r="D281" s="99"/>
      <c r="E281" s="99"/>
      <c r="F281" s="99"/>
      <c r="G281" s="99"/>
      <c r="H281" s="99"/>
      <c r="I281" s="99"/>
      <c r="J281" s="99"/>
      <c r="K281" s="99"/>
      <c r="L281" s="99"/>
      <c r="M281" s="99"/>
      <c r="N281" s="99"/>
      <c r="O281" s="99"/>
      <c r="P281" s="99"/>
      <c r="Q281" s="99"/>
      <c r="R281" s="99"/>
    </row>
    <row r="282">
      <c r="A282" s="99"/>
      <c r="B282" s="99"/>
      <c r="C282" s="99"/>
      <c r="D282" s="99"/>
      <c r="E282" s="99"/>
      <c r="F282" s="99"/>
      <c r="G282" s="99"/>
      <c r="H282" s="99"/>
      <c r="I282" s="99"/>
      <c r="J282" s="99"/>
      <c r="K282" s="99"/>
      <c r="L282" s="99"/>
      <c r="M282" s="99"/>
      <c r="N282" s="99"/>
      <c r="O282" s="99"/>
      <c r="P282" s="99"/>
      <c r="Q282" s="99"/>
      <c r="R282" s="99"/>
    </row>
    <row r="283">
      <c r="A283" s="99"/>
      <c r="B283" s="99"/>
      <c r="C283" s="99"/>
      <c r="D283" s="99"/>
      <c r="E283" s="99"/>
      <c r="F283" s="99"/>
      <c r="G283" s="99"/>
      <c r="H283" s="99"/>
      <c r="I283" s="99"/>
      <c r="J283" s="99"/>
      <c r="K283" s="99"/>
      <c r="L283" s="99"/>
      <c r="M283" s="99"/>
      <c r="N283" s="99"/>
      <c r="O283" s="99"/>
      <c r="P283" s="99"/>
      <c r="Q283" s="99"/>
      <c r="R283" s="99"/>
    </row>
    <row r="284">
      <c r="A284" s="99"/>
      <c r="B284" s="99"/>
      <c r="C284" s="99"/>
      <c r="D284" s="99"/>
      <c r="E284" s="99"/>
      <c r="F284" s="99"/>
      <c r="G284" s="99"/>
      <c r="H284" s="99"/>
      <c r="I284" s="99"/>
      <c r="J284" s="99"/>
      <c r="K284" s="99"/>
      <c r="L284" s="99"/>
      <c r="M284" s="99"/>
      <c r="N284" s="99"/>
      <c r="O284" s="99"/>
      <c r="P284" s="99"/>
      <c r="Q284" s="99"/>
      <c r="R284" s="99"/>
    </row>
    <row r="285">
      <c r="A285" s="99"/>
      <c r="B285" s="99"/>
      <c r="C285" s="99"/>
      <c r="D285" s="99"/>
      <c r="E285" s="99"/>
      <c r="F285" s="99"/>
      <c r="G285" s="99"/>
      <c r="H285" s="99"/>
      <c r="I285" s="99"/>
      <c r="J285" s="99"/>
      <c r="K285" s="99"/>
      <c r="L285" s="99"/>
      <c r="M285" s="99"/>
      <c r="N285" s="99"/>
      <c r="O285" s="99"/>
      <c r="P285" s="99"/>
      <c r="Q285" s="99"/>
      <c r="R285" s="99"/>
    </row>
    <row r="286">
      <c r="A286" s="99"/>
      <c r="B286" s="99"/>
      <c r="C286" s="99"/>
      <c r="D286" s="99"/>
      <c r="E286" s="99"/>
      <c r="F286" s="99"/>
      <c r="G286" s="99"/>
      <c r="H286" s="99"/>
      <c r="I286" s="99"/>
      <c r="J286" s="99"/>
      <c r="K286" s="99"/>
      <c r="L286" s="99"/>
      <c r="M286" s="99"/>
      <c r="N286" s="99"/>
      <c r="O286" s="99"/>
      <c r="P286" s="99"/>
      <c r="Q286" s="99"/>
      <c r="R286" s="99"/>
    </row>
    <row r="287">
      <c r="A287" s="99"/>
      <c r="B287" s="99"/>
      <c r="C287" s="99"/>
      <c r="D287" s="99"/>
      <c r="E287" s="99"/>
      <c r="F287" s="99"/>
      <c r="G287" s="99"/>
      <c r="H287" s="99"/>
      <c r="I287" s="99"/>
      <c r="J287" s="99"/>
      <c r="K287" s="99"/>
      <c r="L287" s="99"/>
      <c r="M287" s="99"/>
      <c r="N287" s="99"/>
      <c r="O287" s="99"/>
      <c r="P287" s="99"/>
      <c r="Q287" s="99"/>
      <c r="R287" s="99"/>
    </row>
    <row r="288">
      <c r="A288" s="99"/>
      <c r="B288" s="99"/>
      <c r="C288" s="99"/>
      <c r="D288" s="99"/>
      <c r="E288" s="99"/>
      <c r="F288" s="99"/>
      <c r="G288" s="99"/>
      <c r="H288" s="99"/>
      <c r="I288" s="99"/>
      <c r="J288" s="99"/>
      <c r="K288" s="99"/>
      <c r="L288" s="99"/>
      <c r="M288" s="99"/>
      <c r="N288" s="99"/>
      <c r="O288" s="99"/>
      <c r="P288" s="99"/>
      <c r="Q288" s="99"/>
      <c r="R288" s="99"/>
    </row>
    <row r="289">
      <c r="A289" s="99"/>
      <c r="B289" s="99"/>
      <c r="C289" s="99"/>
      <c r="D289" s="99"/>
      <c r="E289" s="99"/>
      <c r="F289" s="99"/>
      <c r="G289" s="99"/>
      <c r="H289" s="99"/>
      <c r="I289" s="99"/>
      <c r="J289" s="99"/>
      <c r="K289" s="99"/>
      <c r="L289" s="99"/>
      <c r="M289" s="99"/>
      <c r="N289" s="99"/>
      <c r="O289" s="99"/>
      <c r="P289" s="99"/>
      <c r="Q289" s="99"/>
      <c r="R289" s="99"/>
    </row>
    <row r="290">
      <c r="A290" s="99"/>
      <c r="B290" s="99"/>
      <c r="C290" s="99"/>
      <c r="D290" s="99"/>
      <c r="E290" s="99"/>
      <c r="F290" s="99"/>
      <c r="G290" s="99"/>
      <c r="H290" s="99"/>
      <c r="I290" s="99"/>
      <c r="J290" s="99"/>
      <c r="K290" s="99"/>
      <c r="L290" s="99"/>
      <c r="M290" s="99"/>
      <c r="N290" s="99"/>
      <c r="O290" s="99"/>
      <c r="P290" s="99"/>
      <c r="Q290" s="99"/>
      <c r="R290" s="99"/>
    </row>
    <row r="291">
      <c r="A291" s="99"/>
      <c r="B291" s="99"/>
      <c r="C291" s="99"/>
      <c r="D291" s="99"/>
      <c r="E291" s="99"/>
      <c r="F291" s="99"/>
      <c r="G291" s="99"/>
      <c r="H291" s="99"/>
      <c r="I291" s="99"/>
      <c r="J291" s="99"/>
      <c r="K291" s="99"/>
      <c r="L291" s="99"/>
      <c r="M291" s="99"/>
      <c r="N291" s="99"/>
      <c r="O291" s="99"/>
      <c r="P291" s="99"/>
      <c r="Q291" s="99"/>
      <c r="R291" s="99"/>
    </row>
    <row r="292">
      <c r="A292" s="99"/>
      <c r="B292" s="99"/>
      <c r="C292" s="99"/>
      <c r="D292" s="99"/>
      <c r="E292" s="99"/>
      <c r="F292" s="99"/>
      <c r="G292" s="99"/>
      <c r="H292" s="99"/>
      <c r="I292" s="99"/>
      <c r="J292" s="99"/>
      <c r="K292" s="99"/>
      <c r="L292" s="99"/>
      <c r="M292" s="99"/>
      <c r="N292" s="99"/>
      <c r="O292" s="99"/>
      <c r="P292" s="99"/>
      <c r="Q292" s="99"/>
      <c r="R292" s="99"/>
    </row>
    <row r="293">
      <c r="A293" s="99"/>
      <c r="B293" s="99"/>
      <c r="C293" s="99"/>
      <c r="D293" s="99"/>
      <c r="E293" s="99"/>
      <c r="F293" s="99"/>
      <c r="G293" s="99"/>
      <c r="H293" s="99"/>
      <c r="I293" s="99"/>
      <c r="J293" s="99"/>
      <c r="K293" s="99"/>
      <c r="L293" s="99"/>
      <c r="M293" s="99"/>
      <c r="N293" s="99"/>
      <c r="O293" s="99"/>
      <c r="P293" s="99"/>
      <c r="Q293" s="99"/>
      <c r="R293" s="99"/>
    </row>
    <row r="294">
      <c r="A294" s="99"/>
      <c r="B294" s="99"/>
      <c r="C294" s="99"/>
      <c r="D294" s="99"/>
      <c r="E294" s="99"/>
      <c r="F294" s="99"/>
      <c r="G294" s="99"/>
      <c r="H294" s="99"/>
      <c r="I294" s="99"/>
      <c r="J294" s="99"/>
      <c r="K294" s="99"/>
      <c r="L294" s="99"/>
      <c r="M294" s="99"/>
      <c r="N294" s="99"/>
      <c r="O294" s="99"/>
      <c r="P294" s="99"/>
      <c r="Q294" s="99"/>
      <c r="R294" s="99"/>
    </row>
    <row r="295">
      <c r="A295" s="99"/>
      <c r="B295" s="99"/>
      <c r="C295" s="99"/>
      <c r="D295" s="99"/>
      <c r="E295" s="99"/>
      <c r="F295" s="99"/>
      <c r="G295" s="99"/>
      <c r="H295" s="99"/>
      <c r="I295" s="99"/>
      <c r="J295" s="99"/>
      <c r="K295" s="99"/>
      <c r="L295" s="99"/>
      <c r="M295" s="99"/>
      <c r="N295" s="99"/>
      <c r="O295" s="99"/>
      <c r="P295" s="99"/>
      <c r="Q295" s="99"/>
      <c r="R295" s="99"/>
    </row>
    <row r="296">
      <c r="A296" s="99"/>
      <c r="B296" s="99"/>
      <c r="C296" s="99"/>
      <c r="D296" s="99"/>
      <c r="E296" s="99"/>
      <c r="F296" s="99"/>
      <c r="G296" s="99"/>
      <c r="H296" s="99"/>
      <c r="I296" s="99"/>
      <c r="J296" s="99"/>
      <c r="K296" s="99"/>
      <c r="L296" s="99"/>
      <c r="M296" s="99"/>
      <c r="N296" s="99"/>
      <c r="O296" s="99"/>
      <c r="P296" s="99"/>
      <c r="Q296" s="99"/>
      <c r="R296" s="99"/>
    </row>
    <row r="297">
      <c r="A297" s="99"/>
      <c r="B297" s="99"/>
      <c r="C297" s="99"/>
      <c r="D297" s="99"/>
      <c r="E297" s="99"/>
      <c r="F297" s="99"/>
      <c r="G297" s="99"/>
      <c r="H297" s="99"/>
      <c r="I297" s="99"/>
      <c r="J297" s="99"/>
      <c r="K297" s="99"/>
      <c r="L297" s="99"/>
      <c r="M297" s="99"/>
      <c r="N297" s="99"/>
      <c r="O297" s="99"/>
      <c r="P297" s="99"/>
      <c r="Q297" s="99"/>
      <c r="R297" s="99"/>
    </row>
    <row r="298">
      <c r="A298" s="99"/>
      <c r="B298" s="99"/>
      <c r="C298" s="99"/>
      <c r="D298" s="99"/>
      <c r="E298" s="99"/>
      <c r="F298" s="99"/>
      <c r="G298" s="99"/>
      <c r="H298" s="99"/>
      <c r="I298" s="99"/>
      <c r="J298" s="99"/>
      <c r="K298" s="99"/>
      <c r="L298" s="99"/>
      <c r="M298" s="99"/>
      <c r="N298" s="99"/>
      <c r="O298" s="99"/>
      <c r="P298" s="99"/>
      <c r="Q298" s="99"/>
      <c r="R298" s="99"/>
    </row>
    <row r="299">
      <c r="A299" s="99"/>
      <c r="B299" s="99"/>
      <c r="C299" s="99"/>
      <c r="D299" s="99"/>
      <c r="E299" s="99"/>
      <c r="F299" s="99"/>
      <c r="G299" s="99"/>
      <c r="H299" s="99"/>
      <c r="I299" s="99"/>
      <c r="J299" s="99"/>
      <c r="K299" s="99"/>
      <c r="L299" s="99"/>
      <c r="M299" s="99"/>
      <c r="N299" s="99"/>
      <c r="O299" s="99"/>
      <c r="P299" s="99"/>
      <c r="Q299" s="99"/>
      <c r="R299" s="99"/>
    </row>
    <row r="300">
      <c r="A300" s="99"/>
      <c r="B300" s="99"/>
      <c r="C300" s="99"/>
      <c r="D300" s="99"/>
      <c r="E300" s="99"/>
      <c r="F300" s="99"/>
      <c r="G300" s="99"/>
      <c r="H300" s="99"/>
      <c r="I300" s="99"/>
      <c r="J300" s="99"/>
      <c r="K300" s="99"/>
      <c r="L300" s="99"/>
      <c r="M300" s="99"/>
      <c r="N300" s="99"/>
      <c r="O300" s="99"/>
      <c r="P300" s="99"/>
      <c r="Q300" s="99"/>
      <c r="R300" s="99"/>
    </row>
    <row r="301">
      <c r="A301" s="99"/>
      <c r="B301" s="99"/>
      <c r="C301" s="99"/>
      <c r="D301" s="99"/>
      <c r="E301" s="99"/>
      <c r="F301" s="99"/>
      <c r="G301" s="99"/>
      <c r="H301" s="99"/>
      <c r="I301" s="99"/>
      <c r="J301" s="99"/>
      <c r="K301" s="99"/>
      <c r="L301" s="99"/>
      <c r="M301" s="99"/>
      <c r="N301" s="99"/>
      <c r="O301" s="99"/>
      <c r="P301" s="99"/>
      <c r="Q301" s="99"/>
      <c r="R301" s="99"/>
    </row>
    <row r="302">
      <c r="A302" s="99"/>
      <c r="B302" s="99"/>
      <c r="C302" s="99"/>
      <c r="D302" s="99"/>
      <c r="E302" s="99"/>
      <c r="F302" s="99"/>
      <c r="G302" s="99"/>
      <c r="H302" s="99"/>
      <c r="I302" s="99"/>
      <c r="J302" s="99"/>
      <c r="K302" s="99"/>
      <c r="L302" s="99"/>
      <c r="M302" s="99"/>
      <c r="N302" s="99"/>
      <c r="O302" s="99"/>
      <c r="P302" s="99"/>
      <c r="Q302" s="99"/>
      <c r="R302" s="99"/>
    </row>
    <row r="303">
      <c r="A303" s="99"/>
      <c r="B303" s="99"/>
      <c r="C303" s="99"/>
      <c r="D303" s="99"/>
      <c r="E303" s="99"/>
      <c r="F303" s="99"/>
      <c r="G303" s="99"/>
      <c r="H303" s="99"/>
      <c r="I303" s="99"/>
      <c r="J303" s="99"/>
      <c r="K303" s="99"/>
      <c r="L303" s="99"/>
      <c r="M303" s="99"/>
      <c r="N303" s="99"/>
      <c r="O303" s="99"/>
      <c r="P303" s="99"/>
      <c r="Q303" s="99"/>
      <c r="R303" s="99"/>
    </row>
    <row r="304">
      <c r="A304" s="99"/>
      <c r="B304" s="99"/>
      <c r="C304" s="99"/>
      <c r="D304" s="99"/>
      <c r="E304" s="99"/>
      <c r="F304" s="99"/>
      <c r="G304" s="99"/>
      <c r="H304" s="99"/>
      <c r="I304" s="99"/>
      <c r="J304" s="99"/>
      <c r="K304" s="99"/>
      <c r="L304" s="99"/>
      <c r="M304" s="99"/>
      <c r="N304" s="99"/>
      <c r="O304" s="99"/>
      <c r="P304" s="99"/>
      <c r="Q304" s="99"/>
      <c r="R304" s="99"/>
    </row>
    <row r="305">
      <c r="A305" s="99"/>
      <c r="B305" s="99"/>
      <c r="C305" s="99"/>
      <c r="D305" s="99"/>
      <c r="E305" s="99"/>
      <c r="F305" s="99"/>
      <c r="G305" s="99"/>
      <c r="H305" s="99"/>
      <c r="I305" s="99"/>
      <c r="J305" s="99"/>
      <c r="K305" s="99"/>
      <c r="L305" s="99"/>
      <c r="M305" s="99"/>
      <c r="N305" s="99"/>
      <c r="O305" s="99"/>
      <c r="P305" s="99"/>
      <c r="Q305" s="99"/>
      <c r="R305" s="99"/>
    </row>
    <row r="306">
      <c r="A306" s="99"/>
      <c r="B306" s="99"/>
      <c r="C306" s="99"/>
      <c r="D306" s="99"/>
      <c r="E306" s="99"/>
      <c r="F306" s="99"/>
      <c r="G306" s="99"/>
      <c r="H306" s="99"/>
      <c r="I306" s="99"/>
      <c r="J306" s="99"/>
      <c r="K306" s="99"/>
      <c r="L306" s="99"/>
      <c r="M306" s="99"/>
      <c r="N306" s="99"/>
      <c r="O306" s="99"/>
      <c r="P306" s="99"/>
      <c r="Q306" s="99"/>
      <c r="R306" s="99"/>
    </row>
    <row r="307">
      <c r="A307" s="99"/>
      <c r="B307" s="99"/>
      <c r="C307" s="99"/>
      <c r="D307" s="99"/>
      <c r="E307" s="99"/>
      <c r="F307" s="99"/>
      <c r="G307" s="99"/>
      <c r="H307" s="99"/>
      <c r="I307" s="99"/>
      <c r="J307" s="99"/>
      <c r="K307" s="99"/>
      <c r="L307" s="99"/>
      <c r="M307" s="99"/>
      <c r="N307" s="99"/>
      <c r="O307" s="99"/>
      <c r="P307" s="99"/>
      <c r="Q307" s="99"/>
      <c r="R307" s="99"/>
    </row>
    <row r="308">
      <c r="A308" s="99"/>
      <c r="B308" s="99"/>
      <c r="C308" s="99"/>
      <c r="D308" s="99"/>
      <c r="E308" s="99"/>
      <c r="F308" s="99"/>
      <c r="G308" s="99"/>
      <c r="H308" s="99"/>
      <c r="I308" s="99"/>
      <c r="J308" s="99"/>
      <c r="K308" s="99"/>
      <c r="L308" s="99"/>
      <c r="M308" s="99"/>
      <c r="N308" s="99"/>
      <c r="O308" s="99"/>
      <c r="P308" s="99"/>
      <c r="Q308" s="99"/>
      <c r="R308" s="99"/>
    </row>
    <row r="309">
      <c r="A309" s="99"/>
      <c r="B309" s="99"/>
      <c r="C309" s="99"/>
      <c r="D309" s="99"/>
      <c r="E309" s="99"/>
      <c r="F309" s="99"/>
      <c r="G309" s="99"/>
      <c r="H309" s="99"/>
      <c r="I309" s="99"/>
      <c r="J309" s="99"/>
      <c r="K309" s="99"/>
      <c r="L309" s="99"/>
      <c r="M309" s="99"/>
      <c r="N309" s="99"/>
      <c r="O309" s="99"/>
      <c r="P309" s="99"/>
      <c r="Q309" s="99"/>
      <c r="R309" s="99"/>
    </row>
    <row r="310">
      <c r="A310" s="99"/>
      <c r="B310" s="99"/>
      <c r="C310" s="99"/>
      <c r="D310" s="99"/>
      <c r="E310" s="99"/>
      <c r="F310" s="99"/>
      <c r="G310" s="99"/>
      <c r="H310" s="99"/>
      <c r="I310" s="99"/>
      <c r="J310" s="99"/>
      <c r="K310" s="99"/>
      <c r="L310" s="99"/>
      <c r="M310" s="99"/>
      <c r="N310" s="99"/>
      <c r="O310" s="99"/>
      <c r="P310" s="99"/>
      <c r="Q310" s="99"/>
      <c r="R310" s="99"/>
    </row>
    <row r="311">
      <c r="A311" s="99"/>
      <c r="B311" s="99"/>
      <c r="C311" s="99"/>
      <c r="D311" s="99"/>
      <c r="E311" s="99"/>
      <c r="F311" s="99"/>
      <c r="G311" s="99"/>
      <c r="H311" s="99"/>
      <c r="I311" s="99"/>
      <c r="J311" s="99"/>
      <c r="K311" s="99"/>
      <c r="L311" s="99"/>
      <c r="M311" s="99"/>
      <c r="N311" s="99"/>
      <c r="O311" s="99"/>
      <c r="P311" s="99"/>
      <c r="Q311" s="99"/>
      <c r="R311" s="99"/>
    </row>
    <row r="312">
      <c r="A312" s="99"/>
      <c r="B312" s="99"/>
      <c r="C312" s="99"/>
      <c r="D312" s="99"/>
      <c r="E312" s="99"/>
      <c r="F312" s="99"/>
      <c r="G312" s="99"/>
      <c r="H312" s="99"/>
      <c r="I312" s="99"/>
      <c r="J312" s="99"/>
      <c r="K312" s="99"/>
      <c r="L312" s="99"/>
      <c r="M312" s="99"/>
      <c r="N312" s="99"/>
      <c r="O312" s="99"/>
      <c r="P312" s="99"/>
      <c r="Q312" s="99"/>
      <c r="R312" s="99"/>
    </row>
    <row r="313">
      <c r="A313" s="99"/>
      <c r="B313" s="99"/>
      <c r="C313" s="99"/>
      <c r="D313" s="99"/>
      <c r="E313" s="99"/>
      <c r="F313" s="99"/>
      <c r="G313" s="99"/>
      <c r="H313" s="99"/>
      <c r="I313" s="99"/>
      <c r="J313" s="99"/>
      <c r="K313" s="99"/>
      <c r="L313" s="99"/>
      <c r="M313" s="99"/>
      <c r="N313" s="99"/>
      <c r="O313" s="99"/>
      <c r="P313" s="99"/>
      <c r="Q313" s="99"/>
      <c r="R313" s="99"/>
    </row>
    <row r="314">
      <c r="A314" s="99"/>
      <c r="B314" s="99"/>
      <c r="C314" s="99"/>
      <c r="D314" s="99"/>
      <c r="E314" s="99"/>
      <c r="F314" s="99"/>
      <c r="G314" s="99"/>
      <c r="H314" s="99"/>
      <c r="I314" s="99"/>
      <c r="J314" s="99"/>
      <c r="K314" s="99"/>
      <c r="L314" s="99"/>
      <c r="M314" s="99"/>
      <c r="N314" s="99"/>
      <c r="O314" s="99"/>
      <c r="P314" s="99"/>
      <c r="Q314" s="99"/>
      <c r="R314" s="99"/>
    </row>
    <row r="315">
      <c r="A315" s="99"/>
      <c r="B315" s="99"/>
      <c r="C315" s="99"/>
      <c r="D315" s="99"/>
      <c r="E315" s="99"/>
      <c r="F315" s="99"/>
      <c r="G315" s="99"/>
      <c r="H315" s="99"/>
      <c r="I315" s="99"/>
      <c r="J315" s="99"/>
      <c r="K315" s="99"/>
      <c r="L315" s="99"/>
      <c r="M315" s="99"/>
      <c r="N315" s="99"/>
      <c r="O315" s="99"/>
      <c r="P315" s="99"/>
      <c r="Q315" s="99"/>
      <c r="R315" s="99"/>
    </row>
    <row r="316">
      <c r="A316" s="99"/>
      <c r="B316" s="99"/>
      <c r="C316" s="99"/>
      <c r="D316" s="99"/>
      <c r="E316" s="99"/>
      <c r="F316" s="99"/>
      <c r="G316" s="99"/>
      <c r="H316" s="99"/>
      <c r="I316" s="99"/>
      <c r="J316" s="99"/>
      <c r="K316" s="99"/>
      <c r="L316" s="99"/>
      <c r="M316" s="99"/>
      <c r="N316" s="99"/>
      <c r="O316" s="99"/>
      <c r="P316" s="99"/>
      <c r="Q316" s="99"/>
      <c r="R316" s="99"/>
    </row>
    <row r="317">
      <c r="A317" s="99"/>
      <c r="B317" s="99"/>
      <c r="C317" s="99"/>
      <c r="D317" s="99"/>
      <c r="E317" s="99"/>
      <c r="F317" s="99"/>
      <c r="G317" s="99"/>
      <c r="H317" s="99"/>
      <c r="I317" s="99"/>
      <c r="J317" s="99"/>
      <c r="K317" s="99"/>
      <c r="L317" s="99"/>
      <c r="M317" s="99"/>
      <c r="N317" s="99"/>
      <c r="O317" s="99"/>
      <c r="P317" s="99"/>
      <c r="Q317" s="99"/>
      <c r="R317" s="99"/>
    </row>
    <row r="318">
      <c r="A318" s="99"/>
      <c r="B318" s="99"/>
      <c r="C318" s="99"/>
      <c r="D318" s="99"/>
      <c r="E318" s="99"/>
      <c r="F318" s="99"/>
      <c r="G318" s="99"/>
      <c r="H318" s="99"/>
      <c r="I318" s="99"/>
      <c r="J318" s="99"/>
      <c r="K318" s="99"/>
      <c r="L318" s="99"/>
      <c r="M318" s="99"/>
      <c r="N318" s="99"/>
      <c r="O318" s="99"/>
      <c r="P318" s="99"/>
      <c r="Q318" s="99"/>
      <c r="R318" s="99"/>
    </row>
    <row r="319">
      <c r="A319" s="99"/>
      <c r="B319" s="99"/>
      <c r="C319" s="99"/>
      <c r="D319" s="99"/>
      <c r="E319" s="99"/>
      <c r="F319" s="99"/>
      <c r="G319" s="99"/>
      <c r="H319" s="99"/>
      <c r="I319" s="99"/>
      <c r="J319" s="99"/>
      <c r="K319" s="99"/>
      <c r="L319" s="99"/>
      <c r="M319" s="99"/>
      <c r="N319" s="99"/>
      <c r="O319" s="99"/>
      <c r="P319" s="99"/>
      <c r="Q319" s="99"/>
      <c r="R319" s="99"/>
    </row>
    <row r="320">
      <c r="A320" s="99"/>
      <c r="B320" s="99"/>
      <c r="C320" s="99"/>
      <c r="D320" s="99"/>
      <c r="E320" s="99"/>
      <c r="F320" s="99"/>
      <c r="G320" s="99"/>
      <c r="H320" s="99"/>
      <c r="I320" s="99"/>
      <c r="J320" s="99"/>
      <c r="K320" s="99"/>
      <c r="L320" s="99"/>
      <c r="M320" s="99"/>
      <c r="N320" s="99"/>
      <c r="O320" s="99"/>
      <c r="P320" s="99"/>
      <c r="Q320" s="99"/>
      <c r="R320" s="99"/>
    </row>
    <row r="321">
      <c r="A321" s="99"/>
      <c r="B321" s="99"/>
      <c r="C321" s="99"/>
      <c r="D321" s="99"/>
      <c r="E321" s="99"/>
      <c r="F321" s="99"/>
      <c r="G321" s="99"/>
      <c r="H321" s="99"/>
      <c r="I321" s="99"/>
      <c r="J321" s="99"/>
      <c r="K321" s="99"/>
      <c r="L321" s="99"/>
      <c r="M321" s="99"/>
      <c r="N321" s="99"/>
      <c r="O321" s="99"/>
      <c r="P321" s="99"/>
      <c r="Q321" s="99"/>
      <c r="R321" s="99"/>
    </row>
    <row r="322">
      <c r="A322" s="99"/>
      <c r="B322" s="99"/>
      <c r="C322" s="99"/>
      <c r="D322" s="99"/>
      <c r="E322" s="99"/>
      <c r="F322" s="99"/>
      <c r="G322" s="99"/>
      <c r="H322" s="99"/>
      <c r="I322" s="99"/>
      <c r="J322" s="99"/>
      <c r="K322" s="99"/>
      <c r="L322" s="99"/>
      <c r="M322" s="99"/>
      <c r="N322" s="99"/>
      <c r="O322" s="99"/>
      <c r="P322" s="99"/>
      <c r="Q322" s="99"/>
      <c r="R322" s="99"/>
    </row>
    <row r="323">
      <c r="A323" s="99"/>
      <c r="B323" s="99"/>
      <c r="C323" s="99"/>
      <c r="D323" s="99"/>
      <c r="E323" s="99"/>
      <c r="F323" s="99"/>
      <c r="G323" s="99"/>
      <c r="H323" s="99"/>
      <c r="I323" s="99"/>
      <c r="J323" s="99"/>
      <c r="K323" s="99"/>
      <c r="L323" s="99"/>
      <c r="M323" s="99"/>
      <c r="N323" s="99"/>
      <c r="O323" s="99"/>
      <c r="P323" s="99"/>
      <c r="Q323" s="99"/>
      <c r="R323" s="99"/>
    </row>
    <row r="324">
      <c r="A324" s="99"/>
      <c r="B324" s="99"/>
      <c r="C324" s="99"/>
      <c r="D324" s="99"/>
      <c r="E324" s="99"/>
      <c r="F324" s="99"/>
      <c r="G324" s="99"/>
      <c r="H324" s="99"/>
      <c r="I324" s="99"/>
      <c r="J324" s="99"/>
      <c r="K324" s="99"/>
      <c r="L324" s="99"/>
      <c r="M324" s="99"/>
      <c r="N324" s="99"/>
      <c r="O324" s="99"/>
      <c r="P324" s="99"/>
      <c r="Q324" s="99"/>
      <c r="R324" s="99"/>
    </row>
    <row r="325">
      <c r="A325" s="99"/>
      <c r="B325" s="99"/>
      <c r="C325" s="99"/>
      <c r="D325" s="99"/>
      <c r="E325" s="99"/>
      <c r="F325" s="99"/>
      <c r="G325" s="99"/>
      <c r="H325" s="99"/>
      <c r="I325" s="99"/>
      <c r="J325" s="99"/>
      <c r="K325" s="99"/>
      <c r="L325" s="99"/>
      <c r="M325" s="99"/>
      <c r="N325" s="99"/>
      <c r="O325" s="99"/>
      <c r="P325" s="99"/>
      <c r="Q325" s="99"/>
      <c r="R325" s="99"/>
    </row>
    <row r="326">
      <c r="A326" s="99"/>
      <c r="B326" s="99"/>
      <c r="C326" s="99"/>
      <c r="D326" s="99"/>
      <c r="E326" s="99"/>
      <c r="F326" s="99"/>
      <c r="G326" s="99"/>
      <c r="H326" s="99"/>
      <c r="I326" s="99"/>
      <c r="J326" s="99"/>
      <c r="K326" s="99"/>
      <c r="L326" s="99"/>
      <c r="M326" s="99"/>
      <c r="N326" s="99"/>
      <c r="O326" s="99"/>
      <c r="P326" s="99"/>
      <c r="Q326" s="99"/>
      <c r="R326" s="99"/>
    </row>
    <row r="327">
      <c r="A327" s="99"/>
      <c r="B327" s="99"/>
      <c r="C327" s="99"/>
      <c r="D327" s="99"/>
      <c r="E327" s="99"/>
      <c r="F327" s="99"/>
      <c r="G327" s="99"/>
      <c r="H327" s="99"/>
      <c r="I327" s="99"/>
      <c r="J327" s="99"/>
      <c r="K327" s="99"/>
      <c r="L327" s="99"/>
      <c r="M327" s="99"/>
      <c r="N327" s="99"/>
      <c r="O327" s="99"/>
      <c r="P327" s="99"/>
      <c r="Q327" s="99"/>
      <c r="R327" s="99"/>
    </row>
    <row r="328">
      <c r="A328" s="99"/>
      <c r="B328" s="99"/>
      <c r="C328" s="99"/>
      <c r="D328" s="99"/>
      <c r="E328" s="99"/>
      <c r="F328" s="99"/>
      <c r="G328" s="99"/>
      <c r="H328" s="99"/>
      <c r="I328" s="99"/>
      <c r="J328" s="99"/>
      <c r="K328" s="99"/>
      <c r="L328" s="99"/>
      <c r="M328" s="99"/>
      <c r="N328" s="99"/>
      <c r="O328" s="99"/>
      <c r="P328" s="99"/>
      <c r="Q328" s="99"/>
      <c r="R328" s="99"/>
    </row>
    <row r="329">
      <c r="A329" s="99"/>
      <c r="B329" s="99"/>
      <c r="C329" s="99"/>
      <c r="D329" s="99"/>
      <c r="E329" s="99"/>
      <c r="F329" s="99"/>
      <c r="G329" s="99"/>
      <c r="H329" s="99"/>
      <c r="I329" s="99"/>
      <c r="J329" s="99"/>
      <c r="K329" s="99"/>
      <c r="L329" s="99"/>
      <c r="M329" s="99"/>
      <c r="N329" s="99"/>
      <c r="O329" s="99"/>
      <c r="P329" s="99"/>
      <c r="Q329" s="99"/>
      <c r="R329" s="99"/>
    </row>
    <row r="330">
      <c r="A330" s="99"/>
      <c r="B330" s="99"/>
      <c r="C330" s="99"/>
      <c r="D330" s="99"/>
      <c r="E330" s="99"/>
      <c r="F330" s="99"/>
      <c r="G330" s="99"/>
      <c r="H330" s="99"/>
      <c r="I330" s="99"/>
      <c r="J330" s="99"/>
      <c r="K330" s="99"/>
      <c r="L330" s="99"/>
      <c r="M330" s="99"/>
      <c r="N330" s="99"/>
      <c r="O330" s="99"/>
      <c r="P330" s="99"/>
      <c r="Q330" s="99"/>
      <c r="R330" s="99"/>
    </row>
    <row r="331">
      <c r="A331" s="99"/>
      <c r="B331" s="99"/>
      <c r="C331" s="99"/>
      <c r="D331" s="99"/>
      <c r="E331" s="99"/>
      <c r="F331" s="99"/>
      <c r="G331" s="99"/>
      <c r="H331" s="99"/>
      <c r="I331" s="99"/>
      <c r="J331" s="99"/>
      <c r="K331" s="99"/>
      <c r="L331" s="99"/>
      <c r="M331" s="99"/>
      <c r="N331" s="99"/>
      <c r="O331" s="99"/>
      <c r="P331" s="99"/>
      <c r="Q331" s="99"/>
      <c r="R331" s="99"/>
    </row>
    <row r="332">
      <c r="A332" s="99"/>
      <c r="B332" s="99"/>
      <c r="C332" s="99"/>
      <c r="D332" s="99"/>
      <c r="E332" s="99"/>
      <c r="F332" s="99"/>
      <c r="G332" s="99"/>
      <c r="H332" s="99"/>
      <c r="I332" s="99"/>
      <c r="J332" s="99"/>
      <c r="K332" s="99"/>
      <c r="L332" s="99"/>
      <c r="M332" s="99"/>
      <c r="N332" s="99"/>
      <c r="O332" s="99"/>
      <c r="P332" s="99"/>
      <c r="Q332" s="99"/>
      <c r="R332" s="99"/>
    </row>
    <row r="333">
      <c r="A333" s="99"/>
      <c r="B333" s="99"/>
      <c r="C333" s="99"/>
      <c r="D333" s="99"/>
      <c r="E333" s="99"/>
      <c r="F333" s="99"/>
      <c r="G333" s="99"/>
      <c r="H333" s="99"/>
      <c r="I333" s="99"/>
      <c r="J333" s="99"/>
      <c r="K333" s="99"/>
      <c r="L333" s="99"/>
      <c r="M333" s="99"/>
      <c r="N333" s="99"/>
      <c r="O333" s="99"/>
      <c r="P333" s="99"/>
      <c r="Q333" s="99"/>
      <c r="R333" s="99"/>
    </row>
    <row r="334">
      <c r="A334" s="99"/>
      <c r="B334" s="99"/>
      <c r="C334" s="99"/>
      <c r="D334" s="99"/>
      <c r="E334" s="99"/>
      <c r="F334" s="99"/>
      <c r="G334" s="99"/>
      <c r="H334" s="99"/>
      <c r="I334" s="99"/>
      <c r="J334" s="99"/>
      <c r="K334" s="99"/>
      <c r="L334" s="99"/>
      <c r="M334" s="99"/>
      <c r="N334" s="99"/>
      <c r="O334" s="99"/>
      <c r="P334" s="99"/>
      <c r="Q334" s="99"/>
      <c r="R334" s="99"/>
    </row>
    <row r="335">
      <c r="A335" s="99"/>
      <c r="B335" s="99"/>
      <c r="C335" s="99"/>
      <c r="D335" s="99"/>
      <c r="E335" s="99"/>
      <c r="F335" s="99"/>
      <c r="G335" s="99"/>
      <c r="H335" s="99"/>
      <c r="I335" s="99"/>
      <c r="J335" s="99"/>
      <c r="K335" s="99"/>
      <c r="L335" s="99"/>
      <c r="M335" s="99"/>
      <c r="N335" s="99"/>
      <c r="O335" s="99"/>
      <c r="P335" s="99"/>
      <c r="Q335" s="99"/>
      <c r="R335" s="99"/>
    </row>
    <row r="336">
      <c r="A336" s="99"/>
      <c r="B336" s="99"/>
      <c r="C336" s="99"/>
      <c r="D336" s="99"/>
      <c r="E336" s="99"/>
      <c r="F336" s="99"/>
      <c r="G336" s="99"/>
      <c r="H336" s="99"/>
      <c r="I336" s="99"/>
      <c r="J336" s="99"/>
      <c r="K336" s="99"/>
      <c r="L336" s="99"/>
      <c r="M336" s="99"/>
      <c r="N336" s="99"/>
      <c r="O336" s="99"/>
      <c r="P336" s="99"/>
      <c r="Q336" s="99"/>
      <c r="R336" s="99"/>
    </row>
    <row r="337">
      <c r="A337" s="99"/>
      <c r="B337" s="99"/>
      <c r="C337" s="99"/>
      <c r="D337" s="99"/>
      <c r="E337" s="99"/>
      <c r="F337" s="99"/>
      <c r="G337" s="99"/>
      <c r="H337" s="99"/>
      <c r="I337" s="99"/>
      <c r="J337" s="99"/>
      <c r="K337" s="99"/>
      <c r="L337" s="99"/>
      <c r="M337" s="99"/>
      <c r="N337" s="99"/>
      <c r="O337" s="99"/>
      <c r="P337" s="99"/>
      <c r="Q337" s="99"/>
      <c r="R337" s="99"/>
    </row>
    <row r="338">
      <c r="A338" s="99"/>
      <c r="B338" s="99"/>
      <c r="C338" s="99"/>
      <c r="D338" s="99"/>
      <c r="E338" s="99"/>
      <c r="F338" s="99"/>
      <c r="G338" s="99"/>
      <c r="H338" s="99"/>
      <c r="I338" s="99"/>
      <c r="J338" s="99"/>
      <c r="K338" s="99"/>
      <c r="L338" s="99"/>
      <c r="M338" s="99"/>
      <c r="N338" s="99"/>
      <c r="O338" s="99"/>
      <c r="P338" s="99"/>
      <c r="Q338" s="99"/>
      <c r="R338" s="99"/>
    </row>
    <row r="339">
      <c r="A339" s="99"/>
      <c r="B339" s="99"/>
      <c r="C339" s="99"/>
      <c r="D339" s="99"/>
      <c r="E339" s="99"/>
      <c r="F339" s="99"/>
      <c r="G339" s="99"/>
      <c r="H339" s="99"/>
      <c r="I339" s="99"/>
      <c r="J339" s="99"/>
      <c r="K339" s="99"/>
      <c r="L339" s="99"/>
      <c r="M339" s="99"/>
      <c r="N339" s="99"/>
      <c r="O339" s="99"/>
      <c r="P339" s="99"/>
      <c r="Q339" s="99"/>
      <c r="R339" s="99"/>
    </row>
    <row r="340">
      <c r="A340" s="99"/>
      <c r="B340" s="99"/>
      <c r="C340" s="99"/>
      <c r="D340" s="99"/>
      <c r="E340" s="99"/>
      <c r="F340" s="99"/>
      <c r="G340" s="99"/>
      <c r="H340" s="99"/>
      <c r="I340" s="99"/>
      <c r="J340" s="99"/>
      <c r="K340" s="99"/>
      <c r="L340" s="99"/>
      <c r="M340" s="99"/>
      <c r="N340" s="99"/>
      <c r="O340" s="99"/>
      <c r="P340" s="99"/>
      <c r="Q340" s="99"/>
      <c r="R340" s="99"/>
    </row>
    <row r="341">
      <c r="A341" s="99"/>
      <c r="B341" s="99"/>
      <c r="C341" s="99"/>
      <c r="D341" s="99"/>
      <c r="E341" s="99"/>
      <c r="F341" s="99"/>
      <c r="G341" s="99"/>
      <c r="H341" s="99"/>
      <c r="I341" s="99"/>
      <c r="J341" s="99"/>
      <c r="K341" s="99"/>
      <c r="L341" s="99"/>
      <c r="M341" s="99"/>
      <c r="N341" s="99"/>
      <c r="O341" s="99"/>
      <c r="P341" s="99"/>
      <c r="Q341" s="99"/>
      <c r="R341" s="99"/>
    </row>
    <row r="342">
      <c r="A342" s="99"/>
      <c r="B342" s="99"/>
      <c r="C342" s="99"/>
      <c r="D342" s="99"/>
      <c r="E342" s="99"/>
      <c r="F342" s="99"/>
      <c r="G342" s="99"/>
      <c r="H342" s="99"/>
      <c r="I342" s="99"/>
      <c r="J342" s="99"/>
      <c r="K342" s="99"/>
      <c r="L342" s="99"/>
      <c r="M342" s="99"/>
      <c r="N342" s="99"/>
      <c r="O342" s="99"/>
      <c r="P342" s="99"/>
      <c r="Q342" s="99"/>
      <c r="R342" s="99"/>
    </row>
    <row r="343">
      <c r="A343" s="99"/>
      <c r="B343" s="99"/>
      <c r="C343" s="99"/>
      <c r="D343" s="99"/>
      <c r="E343" s="99"/>
      <c r="F343" s="99"/>
      <c r="G343" s="99"/>
      <c r="H343" s="99"/>
      <c r="I343" s="99"/>
      <c r="J343" s="99"/>
      <c r="K343" s="99"/>
      <c r="L343" s="99"/>
      <c r="M343" s="99"/>
      <c r="N343" s="99"/>
      <c r="O343" s="99"/>
      <c r="P343" s="99"/>
      <c r="Q343" s="99"/>
      <c r="R343" s="99"/>
    </row>
    <row r="344">
      <c r="A344" s="99"/>
      <c r="B344" s="99"/>
      <c r="C344" s="99"/>
      <c r="D344" s="99"/>
      <c r="E344" s="99"/>
      <c r="F344" s="99"/>
      <c r="G344" s="99"/>
      <c r="H344" s="99"/>
      <c r="I344" s="99"/>
      <c r="J344" s="99"/>
      <c r="K344" s="99"/>
      <c r="L344" s="99"/>
      <c r="M344" s="99"/>
      <c r="N344" s="99"/>
      <c r="O344" s="99"/>
      <c r="P344" s="99"/>
      <c r="Q344" s="99"/>
      <c r="R344" s="99"/>
    </row>
    <row r="345">
      <c r="A345" s="99"/>
      <c r="B345" s="99"/>
      <c r="C345" s="99"/>
      <c r="D345" s="99"/>
      <c r="E345" s="99"/>
      <c r="F345" s="99"/>
      <c r="G345" s="99"/>
      <c r="H345" s="99"/>
      <c r="I345" s="99"/>
      <c r="J345" s="99"/>
      <c r="K345" s="99"/>
      <c r="L345" s="99"/>
      <c r="M345" s="99"/>
      <c r="N345" s="99"/>
      <c r="O345" s="99"/>
      <c r="P345" s="99"/>
      <c r="Q345" s="99"/>
      <c r="R345" s="99"/>
    </row>
    <row r="346">
      <c r="A346" s="99"/>
      <c r="B346" s="99"/>
      <c r="C346" s="99"/>
      <c r="D346" s="99"/>
      <c r="E346" s="99"/>
      <c r="F346" s="99"/>
      <c r="G346" s="99"/>
      <c r="H346" s="99"/>
      <c r="I346" s="99"/>
      <c r="J346" s="99"/>
      <c r="K346" s="99"/>
      <c r="L346" s="99"/>
      <c r="M346" s="99"/>
      <c r="N346" s="99"/>
      <c r="O346" s="99"/>
      <c r="P346" s="99"/>
      <c r="Q346" s="99"/>
      <c r="R346" s="99"/>
    </row>
    <row r="347">
      <c r="A347" s="99"/>
      <c r="B347" s="99"/>
      <c r="C347" s="99"/>
      <c r="D347" s="99"/>
      <c r="E347" s="99"/>
      <c r="F347" s="99"/>
      <c r="G347" s="99"/>
      <c r="H347" s="99"/>
      <c r="I347" s="99"/>
      <c r="J347" s="99"/>
      <c r="K347" s="99"/>
      <c r="L347" s="99"/>
      <c r="M347" s="99"/>
      <c r="N347" s="99"/>
      <c r="O347" s="99"/>
      <c r="P347" s="99"/>
      <c r="Q347" s="99"/>
      <c r="R347" s="99"/>
    </row>
    <row r="348">
      <c r="A348" s="99"/>
      <c r="B348" s="99"/>
      <c r="C348" s="99"/>
      <c r="D348" s="99"/>
      <c r="E348" s="99"/>
      <c r="F348" s="99"/>
      <c r="G348" s="99"/>
      <c r="H348" s="99"/>
      <c r="I348" s="99"/>
      <c r="J348" s="99"/>
      <c r="K348" s="99"/>
      <c r="L348" s="99"/>
      <c r="M348" s="99"/>
      <c r="N348" s="99"/>
      <c r="O348" s="99"/>
      <c r="P348" s="99"/>
      <c r="Q348" s="99"/>
      <c r="R348" s="99"/>
    </row>
    <row r="349">
      <c r="A349" s="99"/>
      <c r="B349" s="99"/>
      <c r="C349" s="99"/>
      <c r="D349" s="99"/>
      <c r="E349" s="99"/>
      <c r="F349" s="99"/>
      <c r="G349" s="99"/>
      <c r="H349" s="99"/>
      <c r="I349" s="99"/>
      <c r="J349" s="99"/>
      <c r="K349" s="99"/>
      <c r="L349" s="99"/>
      <c r="M349" s="99"/>
      <c r="N349" s="99"/>
      <c r="O349" s="99"/>
      <c r="P349" s="99"/>
      <c r="Q349" s="99"/>
      <c r="R349" s="99"/>
    </row>
    <row r="350">
      <c r="A350" s="99"/>
      <c r="B350" s="99"/>
      <c r="C350" s="99"/>
      <c r="D350" s="99"/>
      <c r="E350" s="99"/>
      <c r="F350" s="99"/>
      <c r="G350" s="99"/>
      <c r="H350" s="99"/>
      <c r="I350" s="99"/>
      <c r="J350" s="99"/>
      <c r="K350" s="99"/>
      <c r="L350" s="99"/>
      <c r="M350" s="99"/>
      <c r="N350" s="99"/>
      <c r="O350" s="99"/>
      <c r="P350" s="99"/>
      <c r="Q350" s="99"/>
      <c r="R350" s="99"/>
    </row>
    <row r="351">
      <c r="A351" s="99"/>
      <c r="B351" s="99"/>
      <c r="C351" s="99"/>
      <c r="D351" s="99"/>
      <c r="E351" s="99"/>
      <c r="F351" s="99"/>
      <c r="G351" s="99"/>
      <c r="H351" s="99"/>
      <c r="I351" s="99"/>
      <c r="J351" s="99"/>
      <c r="K351" s="99"/>
      <c r="L351" s="99"/>
      <c r="M351" s="99"/>
      <c r="N351" s="99"/>
      <c r="O351" s="99"/>
      <c r="P351" s="99"/>
      <c r="Q351" s="99"/>
      <c r="R351" s="99"/>
    </row>
    <row r="352">
      <c r="A352" s="99"/>
      <c r="B352" s="99"/>
      <c r="C352" s="99"/>
      <c r="D352" s="99"/>
      <c r="E352" s="99"/>
      <c r="F352" s="99"/>
      <c r="G352" s="99"/>
      <c r="H352" s="99"/>
      <c r="I352" s="99"/>
      <c r="J352" s="99"/>
      <c r="K352" s="99"/>
      <c r="L352" s="99"/>
      <c r="M352" s="99"/>
      <c r="N352" s="99"/>
      <c r="O352" s="99"/>
      <c r="P352" s="99"/>
      <c r="Q352" s="99"/>
      <c r="R352" s="99"/>
    </row>
    <row r="353">
      <c r="A353" s="99"/>
      <c r="B353" s="99"/>
      <c r="C353" s="99"/>
      <c r="D353" s="99"/>
      <c r="E353" s="99"/>
      <c r="F353" s="99"/>
      <c r="G353" s="99"/>
      <c r="H353" s="99"/>
      <c r="I353" s="99"/>
      <c r="J353" s="99"/>
      <c r="K353" s="99"/>
      <c r="L353" s="99"/>
      <c r="M353" s="99"/>
      <c r="N353" s="99"/>
      <c r="O353" s="99"/>
      <c r="P353" s="99"/>
      <c r="Q353" s="99"/>
      <c r="R353" s="99"/>
    </row>
    <row r="354">
      <c r="A354" s="99"/>
      <c r="B354" s="99"/>
      <c r="C354" s="99"/>
      <c r="D354" s="99"/>
      <c r="E354" s="99"/>
      <c r="F354" s="99"/>
      <c r="G354" s="99"/>
      <c r="H354" s="99"/>
      <c r="I354" s="99"/>
      <c r="J354" s="99"/>
      <c r="K354" s="99"/>
      <c r="L354" s="99"/>
      <c r="M354" s="99"/>
      <c r="N354" s="99"/>
      <c r="O354" s="99"/>
      <c r="P354" s="99"/>
      <c r="Q354" s="99"/>
      <c r="R354" s="99"/>
    </row>
    <row r="355">
      <c r="A355" s="99"/>
      <c r="B355" s="99"/>
      <c r="C355" s="99"/>
      <c r="D355" s="99"/>
      <c r="E355" s="99"/>
      <c r="F355" s="99"/>
      <c r="G355" s="99"/>
      <c r="H355" s="99"/>
      <c r="I355" s="99"/>
      <c r="J355" s="99"/>
      <c r="K355" s="99"/>
      <c r="L355" s="99"/>
      <c r="M355" s="99"/>
      <c r="N355" s="99"/>
      <c r="O355" s="99"/>
      <c r="P355" s="99"/>
      <c r="Q355" s="99"/>
      <c r="R355" s="99"/>
    </row>
    <row r="356">
      <c r="A356" s="99"/>
      <c r="B356" s="99"/>
      <c r="C356" s="99"/>
      <c r="D356" s="99"/>
      <c r="E356" s="99"/>
      <c r="F356" s="99"/>
      <c r="G356" s="99"/>
      <c r="H356" s="99"/>
      <c r="I356" s="99"/>
      <c r="J356" s="99"/>
      <c r="K356" s="99"/>
      <c r="L356" s="99"/>
      <c r="M356" s="99"/>
      <c r="N356" s="99"/>
      <c r="O356" s="99"/>
      <c r="P356" s="99"/>
      <c r="Q356" s="99"/>
      <c r="R356" s="99"/>
    </row>
    <row r="357">
      <c r="A357" s="99"/>
      <c r="B357" s="99"/>
      <c r="C357" s="99"/>
      <c r="D357" s="99"/>
      <c r="E357" s="99"/>
      <c r="F357" s="99"/>
      <c r="G357" s="99"/>
      <c r="H357" s="99"/>
      <c r="I357" s="99"/>
      <c r="J357" s="99"/>
      <c r="K357" s="99"/>
      <c r="L357" s="99"/>
      <c r="M357" s="99"/>
      <c r="N357" s="99"/>
      <c r="O357" s="99"/>
      <c r="P357" s="99"/>
      <c r="Q357" s="99"/>
      <c r="R357" s="99"/>
    </row>
    <row r="358">
      <c r="A358" s="99"/>
      <c r="B358" s="99"/>
      <c r="C358" s="99"/>
      <c r="D358" s="99"/>
      <c r="E358" s="99"/>
      <c r="F358" s="99"/>
      <c r="G358" s="99"/>
      <c r="H358" s="99"/>
      <c r="I358" s="99"/>
      <c r="J358" s="99"/>
      <c r="K358" s="99"/>
      <c r="L358" s="99"/>
      <c r="M358" s="99"/>
      <c r="N358" s="99"/>
      <c r="O358" s="99"/>
      <c r="P358" s="99"/>
      <c r="Q358" s="99"/>
      <c r="R358" s="99"/>
    </row>
    <row r="359">
      <c r="A359" s="99"/>
      <c r="B359" s="99"/>
      <c r="C359" s="99"/>
      <c r="D359" s="99"/>
      <c r="E359" s="99"/>
      <c r="F359" s="99"/>
      <c r="G359" s="99"/>
      <c r="H359" s="99"/>
      <c r="I359" s="99"/>
      <c r="J359" s="99"/>
      <c r="K359" s="99"/>
      <c r="L359" s="99"/>
      <c r="M359" s="99"/>
      <c r="N359" s="99"/>
      <c r="O359" s="99"/>
      <c r="P359" s="99"/>
      <c r="Q359" s="99"/>
      <c r="R359" s="99"/>
    </row>
    <row r="360">
      <c r="A360" s="99"/>
      <c r="B360" s="99"/>
      <c r="C360" s="99"/>
      <c r="D360" s="99"/>
      <c r="E360" s="99"/>
      <c r="F360" s="99"/>
      <c r="G360" s="99"/>
      <c r="H360" s="99"/>
      <c r="I360" s="99"/>
      <c r="J360" s="99"/>
      <c r="K360" s="99"/>
      <c r="L360" s="99"/>
      <c r="M360" s="99"/>
      <c r="N360" s="99"/>
      <c r="O360" s="99"/>
      <c r="P360" s="99"/>
      <c r="Q360" s="99"/>
      <c r="R360" s="99"/>
    </row>
    <row r="361">
      <c r="A361" s="99"/>
      <c r="B361" s="99"/>
      <c r="C361" s="99"/>
      <c r="D361" s="99"/>
      <c r="E361" s="99"/>
      <c r="F361" s="99"/>
      <c r="G361" s="99"/>
      <c r="H361" s="99"/>
      <c r="I361" s="99"/>
      <c r="J361" s="99"/>
      <c r="K361" s="99"/>
      <c r="L361" s="99"/>
      <c r="M361" s="99"/>
      <c r="N361" s="99"/>
      <c r="O361" s="99"/>
      <c r="P361" s="99"/>
      <c r="Q361" s="99"/>
      <c r="R361" s="99"/>
    </row>
    <row r="362">
      <c r="A362" s="99"/>
      <c r="B362" s="99"/>
      <c r="C362" s="99"/>
      <c r="D362" s="99"/>
      <c r="E362" s="99"/>
      <c r="F362" s="99"/>
      <c r="G362" s="99"/>
      <c r="H362" s="99"/>
      <c r="I362" s="99"/>
      <c r="J362" s="99"/>
      <c r="K362" s="99"/>
      <c r="L362" s="99"/>
      <c r="M362" s="99"/>
      <c r="N362" s="99"/>
      <c r="O362" s="99"/>
      <c r="P362" s="99"/>
      <c r="Q362" s="99"/>
      <c r="R362" s="99"/>
    </row>
    <row r="363">
      <c r="A363" s="99"/>
      <c r="B363" s="99"/>
      <c r="C363" s="99"/>
      <c r="D363" s="99"/>
      <c r="E363" s="99"/>
      <c r="F363" s="99"/>
      <c r="G363" s="99"/>
      <c r="H363" s="99"/>
      <c r="I363" s="99"/>
      <c r="J363" s="99"/>
      <c r="K363" s="99"/>
      <c r="L363" s="99"/>
      <c r="M363" s="99"/>
      <c r="N363" s="99"/>
      <c r="O363" s="99"/>
      <c r="P363" s="99"/>
      <c r="Q363" s="99"/>
      <c r="R363" s="99"/>
    </row>
    <row r="364">
      <c r="A364" s="99"/>
      <c r="B364" s="99"/>
      <c r="C364" s="99"/>
      <c r="D364" s="99"/>
      <c r="E364" s="99"/>
      <c r="F364" s="99"/>
      <c r="G364" s="99"/>
      <c r="H364" s="99"/>
      <c r="I364" s="99"/>
      <c r="J364" s="99"/>
      <c r="K364" s="99"/>
      <c r="L364" s="99"/>
      <c r="M364" s="99"/>
      <c r="N364" s="99"/>
      <c r="O364" s="99"/>
      <c r="P364" s="99"/>
      <c r="Q364" s="99"/>
      <c r="R364" s="99"/>
    </row>
    <row r="365">
      <c r="A365" s="99"/>
      <c r="B365" s="99"/>
      <c r="C365" s="99"/>
      <c r="D365" s="99"/>
      <c r="E365" s="99"/>
      <c r="F365" s="99"/>
      <c r="G365" s="99"/>
      <c r="H365" s="99"/>
      <c r="I365" s="99"/>
      <c r="J365" s="99"/>
      <c r="K365" s="99"/>
      <c r="L365" s="99"/>
      <c r="M365" s="99"/>
      <c r="N365" s="99"/>
      <c r="O365" s="99"/>
      <c r="P365" s="99"/>
      <c r="Q365" s="99"/>
      <c r="R365" s="99"/>
    </row>
    <row r="366">
      <c r="A366" s="99"/>
      <c r="B366" s="99"/>
      <c r="C366" s="99"/>
      <c r="D366" s="99"/>
      <c r="E366" s="99"/>
      <c r="F366" s="99"/>
      <c r="G366" s="99"/>
      <c r="H366" s="99"/>
      <c r="I366" s="99"/>
      <c r="J366" s="99"/>
      <c r="K366" s="99"/>
      <c r="L366" s="99"/>
      <c r="M366" s="99"/>
      <c r="N366" s="99"/>
      <c r="O366" s="99"/>
      <c r="P366" s="99"/>
      <c r="Q366" s="99"/>
      <c r="R366" s="99"/>
    </row>
    <row r="367">
      <c r="A367" s="99"/>
      <c r="B367" s="99"/>
      <c r="C367" s="99"/>
      <c r="D367" s="99"/>
      <c r="E367" s="99"/>
      <c r="F367" s="99"/>
      <c r="G367" s="99"/>
      <c r="H367" s="99"/>
      <c r="I367" s="99"/>
      <c r="J367" s="99"/>
      <c r="K367" s="99"/>
      <c r="L367" s="99"/>
      <c r="M367" s="99"/>
      <c r="N367" s="99"/>
      <c r="O367" s="99"/>
      <c r="P367" s="99"/>
      <c r="Q367" s="99"/>
      <c r="R367" s="99"/>
    </row>
    <row r="368">
      <c r="A368" s="99"/>
      <c r="B368" s="99"/>
      <c r="C368" s="99"/>
      <c r="D368" s="99"/>
      <c r="E368" s="99"/>
      <c r="F368" s="99"/>
      <c r="G368" s="99"/>
      <c r="H368" s="99"/>
      <c r="I368" s="99"/>
      <c r="J368" s="99"/>
      <c r="K368" s="99"/>
      <c r="L368" s="99"/>
      <c r="M368" s="99"/>
      <c r="N368" s="99"/>
      <c r="O368" s="99"/>
      <c r="P368" s="99"/>
      <c r="Q368" s="99"/>
      <c r="R368" s="99"/>
    </row>
    <row r="369">
      <c r="A369" s="99"/>
      <c r="B369" s="99"/>
      <c r="C369" s="99"/>
      <c r="D369" s="99"/>
      <c r="E369" s="99"/>
      <c r="F369" s="99"/>
      <c r="G369" s="99"/>
      <c r="H369" s="99"/>
      <c r="I369" s="99"/>
      <c r="J369" s="99"/>
      <c r="K369" s="99"/>
      <c r="L369" s="99"/>
      <c r="M369" s="99"/>
      <c r="N369" s="99"/>
      <c r="O369" s="99"/>
      <c r="P369" s="99"/>
      <c r="Q369" s="99"/>
      <c r="R369" s="99"/>
    </row>
    <row r="370">
      <c r="A370" s="99"/>
      <c r="B370" s="99"/>
      <c r="C370" s="99"/>
      <c r="D370" s="99"/>
      <c r="E370" s="99"/>
      <c r="F370" s="99"/>
      <c r="G370" s="99"/>
      <c r="H370" s="99"/>
      <c r="I370" s="99"/>
      <c r="J370" s="99"/>
      <c r="K370" s="99"/>
      <c r="L370" s="99"/>
      <c r="M370" s="99"/>
      <c r="N370" s="99"/>
      <c r="O370" s="99"/>
      <c r="P370" s="99"/>
      <c r="Q370" s="99"/>
      <c r="R370" s="99"/>
    </row>
    <row r="371">
      <c r="A371" s="99"/>
      <c r="B371" s="99"/>
      <c r="C371" s="99"/>
      <c r="D371" s="99"/>
      <c r="E371" s="99"/>
      <c r="F371" s="99"/>
      <c r="G371" s="99"/>
      <c r="H371" s="99"/>
      <c r="I371" s="99"/>
      <c r="J371" s="99"/>
      <c r="K371" s="99"/>
      <c r="L371" s="99"/>
      <c r="M371" s="99"/>
      <c r="N371" s="99"/>
      <c r="O371" s="99"/>
      <c r="P371" s="99"/>
      <c r="Q371" s="99"/>
      <c r="R371" s="99"/>
    </row>
    <row r="372">
      <c r="A372" s="99"/>
      <c r="B372" s="99"/>
      <c r="C372" s="99"/>
      <c r="D372" s="99"/>
      <c r="E372" s="99"/>
      <c r="F372" s="99"/>
      <c r="G372" s="99"/>
      <c r="H372" s="99"/>
      <c r="I372" s="99"/>
      <c r="J372" s="99"/>
      <c r="K372" s="99"/>
      <c r="L372" s="99"/>
      <c r="M372" s="99"/>
      <c r="N372" s="99"/>
      <c r="O372" s="99"/>
      <c r="P372" s="99"/>
      <c r="Q372" s="99"/>
      <c r="R372" s="99"/>
    </row>
    <row r="373">
      <c r="A373" s="99"/>
      <c r="B373" s="99"/>
      <c r="C373" s="99"/>
      <c r="D373" s="99"/>
      <c r="E373" s="99"/>
      <c r="F373" s="99"/>
      <c r="G373" s="99"/>
      <c r="H373" s="99"/>
      <c r="I373" s="99"/>
      <c r="J373" s="99"/>
      <c r="K373" s="99"/>
      <c r="L373" s="99"/>
      <c r="M373" s="99"/>
      <c r="N373" s="99"/>
      <c r="O373" s="99"/>
      <c r="P373" s="99"/>
      <c r="Q373" s="99"/>
      <c r="R373" s="99"/>
    </row>
    <row r="374">
      <c r="A374" s="99"/>
      <c r="B374" s="99"/>
      <c r="C374" s="99"/>
      <c r="D374" s="99"/>
      <c r="E374" s="99"/>
      <c r="F374" s="99"/>
      <c r="G374" s="99"/>
      <c r="H374" s="99"/>
      <c r="I374" s="99"/>
      <c r="J374" s="99"/>
      <c r="K374" s="99"/>
      <c r="L374" s="99"/>
      <c r="M374" s="99"/>
      <c r="N374" s="99"/>
      <c r="O374" s="99"/>
      <c r="P374" s="99"/>
      <c r="Q374" s="99"/>
      <c r="R374" s="99"/>
    </row>
    <row r="375">
      <c r="A375" s="99"/>
      <c r="B375" s="99"/>
      <c r="C375" s="99"/>
      <c r="D375" s="99"/>
      <c r="E375" s="99"/>
      <c r="F375" s="99"/>
      <c r="G375" s="99"/>
      <c r="H375" s="99"/>
      <c r="I375" s="99"/>
      <c r="J375" s="99"/>
      <c r="K375" s="99"/>
      <c r="L375" s="99"/>
      <c r="M375" s="99"/>
      <c r="N375" s="99"/>
      <c r="O375" s="99"/>
      <c r="P375" s="99"/>
      <c r="Q375" s="99"/>
      <c r="R375" s="99"/>
    </row>
    <row r="376">
      <c r="A376" s="99"/>
      <c r="B376" s="99"/>
      <c r="C376" s="99"/>
      <c r="D376" s="99"/>
      <c r="E376" s="99"/>
      <c r="F376" s="99"/>
      <c r="G376" s="99"/>
      <c r="H376" s="99"/>
      <c r="I376" s="99"/>
      <c r="J376" s="99"/>
      <c r="K376" s="99"/>
      <c r="L376" s="99"/>
      <c r="M376" s="99"/>
      <c r="N376" s="99"/>
      <c r="O376" s="99"/>
      <c r="P376" s="99"/>
      <c r="Q376" s="99"/>
      <c r="R376" s="99"/>
    </row>
    <row r="377">
      <c r="A377" s="99"/>
      <c r="B377" s="99"/>
      <c r="C377" s="99"/>
      <c r="D377" s="99"/>
      <c r="E377" s="99"/>
      <c r="F377" s="99"/>
      <c r="G377" s="99"/>
      <c r="H377" s="99"/>
      <c r="I377" s="99"/>
      <c r="J377" s="99"/>
      <c r="K377" s="99"/>
      <c r="L377" s="99"/>
      <c r="M377" s="99"/>
      <c r="N377" s="99"/>
      <c r="O377" s="99"/>
      <c r="P377" s="99"/>
      <c r="Q377" s="99"/>
      <c r="R377" s="99"/>
    </row>
    <row r="378">
      <c r="A378" s="99"/>
      <c r="B378" s="99"/>
      <c r="C378" s="99"/>
      <c r="D378" s="99"/>
      <c r="E378" s="99"/>
      <c r="F378" s="99"/>
      <c r="G378" s="99"/>
      <c r="H378" s="99"/>
      <c r="I378" s="99"/>
      <c r="J378" s="99"/>
      <c r="K378" s="99"/>
      <c r="L378" s="99"/>
      <c r="M378" s="99"/>
      <c r="N378" s="99"/>
      <c r="O378" s="99"/>
      <c r="P378" s="99"/>
      <c r="Q378" s="99"/>
      <c r="R378" s="99"/>
    </row>
    <row r="379">
      <c r="A379" s="99"/>
      <c r="B379" s="99"/>
      <c r="C379" s="99"/>
      <c r="D379" s="99"/>
      <c r="E379" s="99"/>
      <c r="F379" s="99"/>
      <c r="G379" s="99"/>
      <c r="H379" s="99"/>
      <c r="I379" s="99"/>
      <c r="J379" s="99"/>
      <c r="K379" s="99"/>
      <c r="L379" s="99"/>
      <c r="M379" s="99"/>
      <c r="N379" s="99"/>
      <c r="O379" s="99"/>
      <c r="P379" s="99"/>
      <c r="Q379" s="99"/>
      <c r="R379" s="99"/>
    </row>
    <row r="380">
      <c r="A380" s="99"/>
      <c r="B380" s="99"/>
      <c r="C380" s="99"/>
      <c r="D380" s="99"/>
      <c r="E380" s="99"/>
      <c r="F380" s="99"/>
      <c r="G380" s="99"/>
      <c r="H380" s="99"/>
      <c r="I380" s="99"/>
      <c r="J380" s="99"/>
      <c r="K380" s="99"/>
      <c r="L380" s="99"/>
      <c r="M380" s="99"/>
      <c r="N380" s="99"/>
      <c r="O380" s="99"/>
      <c r="P380" s="99"/>
      <c r="Q380" s="99"/>
      <c r="R380" s="99"/>
    </row>
    <row r="381">
      <c r="A381" s="99"/>
      <c r="B381" s="99"/>
      <c r="C381" s="99"/>
      <c r="D381" s="99"/>
      <c r="E381" s="99"/>
      <c r="F381" s="99"/>
      <c r="G381" s="99"/>
      <c r="H381" s="99"/>
      <c r="I381" s="99"/>
      <c r="J381" s="99"/>
      <c r="K381" s="99"/>
      <c r="L381" s="99"/>
      <c r="M381" s="99"/>
      <c r="N381" s="99"/>
      <c r="O381" s="99"/>
      <c r="P381" s="99"/>
      <c r="Q381" s="99"/>
      <c r="R381" s="99"/>
    </row>
    <row r="382">
      <c r="A382" s="99"/>
      <c r="B382" s="99"/>
      <c r="C382" s="99"/>
      <c r="D382" s="99"/>
      <c r="E382" s="99"/>
      <c r="F382" s="99"/>
      <c r="G382" s="99"/>
      <c r="H382" s="99"/>
      <c r="I382" s="99"/>
      <c r="J382" s="99"/>
      <c r="K382" s="99"/>
      <c r="L382" s="99"/>
      <c r="M382" s="99"/>
      <c r="N382" s="99"/>
      <c r="O382" s="99"/>
      <c r="P382" s="99"/>
      <c r="Q382" s="99"/>
      <c r="R382" s="99"/>
    </row>
    <row r="383">
      <c r="A383" s="99"/>
      <c r="B383" s="99"/>
      <c r="C383" s="99"/>
      <c r="D383" s="99"/>
      <c r="E383" s="99"/>
      <c r="F383" s="99"/>
      <c r="G383" s="99"/>
      <c r="H383" s="99"/>
      <c r="I383" s="99"/>
      <c r="J383" s="99"/>
      <c r="K383" s="99"/>
      <c r="L383" s="99"/>
      <c r="M383" s="99"/>
      <c r="N383" s="99"/>
      <c r="O383" s="99"/>
      <c r="P383" s="99"/>
      <c r="Q383" s="99"/>
      <c r="R383" s="99"/>
    </row>
    <row r="384">
      <c r="A384" s="99"/>
      <c r="B384" s="99"/>
      <c r="C384" s="99"/>
      <c r="D384" s="99"/>
      <c r="E384" s="99"/>
      <c r="F384" s="99"/>
      <c r="G384" s="99"/>
      <c r="H384" s="99"/>
      <c r="I384" s="99"/>
      <c r="J384" s="99"/>
      <c r="K384" s="99"/>
      <c r="L384" s="99"/>
      <c r="M384" s="99"/>
      <c r="N384" s="99"/>
      <c r="O384" s="99"/>
      <c r="P384" s="99"/>
      <c r="Q384" s="99"/>
      <c r="R384" s="99"/>
    </row>
    <row r="385">
      <c r="A385" s="99"/>
      <c r="B385" s="99"/>
      <c r="C385" s="99"/>
      <c r="D385" s="99"/>
      <c r="E385" s="99"/>
      <c r="F385" s="99"/>
      <c r="G385" s="99"/>
      <c r="H385" s="99"/>
      <c r="I385" s="99"/>
      <c r="J385" s="99"/>
      <c r="K385" s="99"/>
      <c r="L385" s="99"/>
      <c r="M385" s="99"/>
      <c r="N385" s="99"/>
      <c r="O385" s="99"/>
      <c r="P385" s="99"/>
      <c r="Q385" s="99"/>
      <c r="R385" s="99"/>
    </row>
    <row r="386">
      <c r="A386" s="99"/>
      <c r="B386" s="99"/>
      <c r="C386" s="99"/>
      <c r="D386" s="99"/>
      <c r="E386" s="99"/>
      <c r="F386" s="99"/>
      <c r="G386" s="99"/>
      <c r="H386" s="99"/>
      <c r="I386" s="99"/>
      <c r="J386" s="99"/>
      <c r="K386" s="99"/>
      <c r="L386" s="99"/>
      <c r="M386" s="99"/>
      <c r="N386" s="99"/>
      <c r="O386" s="99"/>
      <c r="P386" s="99"/>
      <c r="Q386" s="99"/>
      <c r="R386" s="99"/>
    </row>
    <row r="387">
      <c r="A387" s="99"/>
      <c r="B387" s="99"/>
      <c r="C387" s="99"/>
      <c r="D387" s="99"/>
      <c r="E387" s="99"/>
      <c r="F387" s="99"/>
      <c r="G387" s="99"/>
      <c r="H387" s="99"/>
      <c r="I387" s="99"/>
      <c r="J387" s="99"/>
      <c r="K387" s="99"/>
      <c r="L387" s="99"/>
      <c r="M387" s="99"/>
      <c r="N387" s="99"/>
      <c r="O387" s="99"/>
      <c r="P387" s="99"/>
      <c r="Q387" s="99"/>
      <c r="R387" s="99"/>
    </row>
    <row r="388">
      <c r="A388" s="99"/>
      <c r="B388" s="99"/>
      <c r="C388" s="99"/>
      <c r="D388" s="99"/>
      <c r="E388" s="99"/>
      <c r="F388" s="99"/>
      <c r="G388" s="99"/>
      <c r="H388" s="99"/>
      <c r="I388" s="99"/>
      <c r="J388" s="99"/>
      <c r="K388" s="99"/>
      <c r="L388" s="99"/>
      <c r="M388" s="99"/>
      <c r="N388" s="99"/>
      <c r="O388" s="99"/>
      <c r="P388" s="99"/>
      <c r="Q388" s="99"/>
      <c r="R388" s="99"/>
    </row>
    <row r="389">
      <c r="A389" s="99"/>
      <c r="B389" s="99"/>
      <c r="C389" s="99"/>
      <c r="D389" s="99"/>
      <c r="E389" s="99"/>
      <c r="F389" s="99"/>
      <c r="G389" s="99"/>
      <c r="H389" s="99"/>
      <c r="I389" s="99"/>
      <c r="J389" s="99"/>
      <c r="K389" s="99"/>
      <c r="L389" s="99"/>
      <c r="M389" s="99"/>
      <c r="N389" s="99"/>
      <c r="O389" s="99"/>
      <c r="P389" s="99"/>
      <c r="Q389" s="99"/>
      <c r="R389" s="99"/>
    </row>
    <row r="390">
      <c r="A390" s="99"/>
      <c r="B390" s="99"/>
      <c r="C390" s="99"/>
      <c r="D390" s="99"/>
      <c r="E390" s="99"/>
      <c r="F390" s="99"/>
      <c r="G390" s="99"/>
      <c r="H390" s="99"/>
      <c r="I390" s="99"/>
      <c r="J390" s="99"/>
      <c r="K390" s="99"/>
      <c r="L390" s="99"/>
      <c r="M390" s="99"/>
      <c r="N390" s="99"/>
      <c r="O390" s="99"/>
      <c r="P390" s="99"/>
      <c r="Q390" s="99"/>
      <c r="R390" s="99"/>
    </row>
    <row r="391">
      <c r="A391" s="99"/>
      <c r="B391" s="99"/>
      <c r="C391" s="99"/>
      <c r="D391" s="99"/>
      <c r="E391" s="99"/>
      <c r="F391" s="99"/>
      <c r="G391" s="99"/>
      <c r="H391" s="99"/>
      <c r="I391" s="99"/>
      <c r="J391" s="99"/>
      <c r="K391" s="99"/>
      <c r="L391" s="99"/>
      <c r="M391" s="99"/>
      <c r="N391" s="99"/>
      <c r="O391" s="99"/>
      <c r="P391" s="99"/>
      <c r="Q391" s="99"/>
      <c r="R391" s="99"/>
    </row>
    <row r="392">
      <c r="A392" s="99"/>
      <c r="B392" s="99"/>
      <c r="C392" s="99"/>
      <c r="D392" s="99"/>
      <c r="E392" s="99"/>
      <c r="F392" s="99"/>
      <c r="G392" s="99"/>
      <c r="H392" s="99"/>
      <c r="I392" s="99"/>
      <c r="J392" s="99"/>
      <c r="K392" s="99"/>
      <c r="L392" s="99"/>
      <c r="M392" s="99"/>
      <c r="N392" s="99"/>
      <c r="O392" s="99"/>
      <c r="P392" s="99"/>
      <c r="Q392" s="99"/>
      <c r="R392" s="99"/>
    </row>
    <row r="393">
      <c r="A393" s="99"/>
      <c r="B393" s="99"/>
      <c r="C393" s="99"/>
      <c r="D393" s="99"/>
      <c r="E393" s="99"/>
      <c r="F393" s="99"/>
      <c r="G393" s="99"/>
      <c r="H393" s="99"/>
      <c r="I393" s="99"/>
      <c r="J393" s="99"/>
      <c r="K393" s="99"/>
      <c r="L393" s="99"/>
      <c r="M393" s="99"/>
      <c r="N393" s="99"/>
      <c r="O393" s="99"/>
      <c r="P393" s="99"/>
      <c r="Q393" s="99"/>
      <c r="R393" s="99"/>
    </row>
    <row r="394">
      <c r="A394" s="99"/>
      <c r="B394" s="99"/>
      <c r="C394" s="99"/>
      <c r="D394" s="99"/>
      <c r="E394" s="99"/>
      <c r="F394" s="99"/>
      <c r="G394" s="99"/>
      <c r="H394" s="99"/>
      <c r="I394" s="99"/>
      <c r="J394" s="99"/>
      <c r="K394" s="99"/>
      <c r="L394" s="99"/>
      <c r="M394" s="99"/>
      <c r="N394" s="99"/>
      <c r="O394" s="99"/>
      <c r="P394" s="99"/>
      <c r="Q394" s="99"/>
      <c r="R394" s="99"/>
    </row>
    <row r="395">
      <c r="A395" s="99"/>
      <c r="B395" s="99"/>
      <c r="C395" s="99"/>
      <c r="D395" s="99"/>
      <c r="E395" s="99"/>
      <c r="F395" s="99"/>
      <c r="G395" s="99"/>
      <c r="H395" s="99"/>
      <c r="I395" s="99"/>
      <c r="J395" s="99"/>
      <c r="K395" s="99"/>
      <c r="L395" s="99"/>
      <c r="M395" s="99"/>
      <c r="N395" s="99"/>
      <c r="O395" s="99"/>
      <c r="P395" s="99"/>
      <c r="Q395" s="99"/>
      <c r="R395" s="99"/>
    </row>
    <row r="396">
      <c r="A396" s="99"/>
      <c r="B396" s="99"/>
      <c r="C396" s="99"/>
      <c r="D396" s="99"/>
      <c r="E396" s="99"/>
      <c r="F396" s="99"/>
      <c r="G396" s="99"/>
      <c r="H396" s="99"/>
      <c r="I396" s="99"/>
      <c r="J396" s="99"/>
      <c r="K396" s="99"/>
      <c r="L396" s="99"/>
      <c r="M396" s="99"/>
      <c r="N396" s="99"/>
      <c r="O396" s="99"/>
      <c r="P396" s="99"/>
      <c r="Q396" s="99"/>
      <c r="R396" s="99"/>
    </row>
    <row r="397">
      <c r="A397" s="99"/>
      <c r="B397" s="99"/>
      <c r="C397" s="99"/>
      <c r="D397" s="99"/>
      <c r="E397" s="99"/>
      <c r="F397" s="99"/>
      <c r="G397" s="99"/>
      <c r="H397" s="99"/>
      <c r="I397" s="99"/>
      <c r="J397" s="99"/>
      <c r="K397" s="99"/>
      <c r="L397" s="99"/>
      <c r="M397" s="99"/>
      <c r="N397" s="99"/>
      <c r="O397" s="99"/>
      <c r="P397" s="99"/>
      <c r="Q397" s="99"/>
      <c r="R397" s="99"/>
    </row>
    <row r="398">
      <c r="A398" s="99"/>
      <c r="B398" s="99"/>
      <c r="C398" s="99"/>
      <c r="D398" s="99"/>
      <c r="E398" s="99"/>
      <c r="F398" s="99"/>
      <c r="G398" s="99"/>
      <c r="H398" s="99"/>
      <c r="I398" s="99"/>
      <c r="J398" s="99"/>
      <c r="K398" s="99"/>
      <c r="L398" s="99"/>
      <c r="M398" s="99"/>
      <c r="N398" s="99"/>
      <c r="O398" s="99"/>
      <c r="P398" s="99"/>
      <c r="Q398" s="99"/>
      <c r="R398" s="99"/>
    </row>
    <row r="399">
      <c r="A399" s="99"/>
      <c r="B399" s="99"/>
      <c r="C399" s="99"/>
      <c r="D399" s="99"/>
      <c r="E399" s="99"/>
      <c r="F399" s="99"/>
      <c r="G399" s="99"/>
      <c r="H399" s="99"/>
      <c r="I399" s="99"/>
      <c r="J399" s="99"/>
      <c r="K399" s="99"/>
      <c r="L399" s="99"/>
      <c r="M399" s="99"/>
      <c r="N399" s="99"/>
      <c r="O399" s="99"/>
      <c r="P399" s="99"/>
      <c r="Q399" s="99"/>
      <c r="R399" s="99"/>
    </row>
    <row r="400">
      <c r="A400" s="99"/>
      <c r="B400" s="99"/>
      <c r="C400" s="99"/>
      <c r="D400" s="99"/>
      <c r="E400" s="99"/>
      <c r="F400" s="99"/>
      <c r="G400" s="99"/>
      <c r="H400" s="99"/>
      <c r="I400" s="99"/>
      <c r="J400" s="99"/>
      <c r="K400" s="99"/>
      <c r="L400" s="99"/>
      <c r="M400" s="99"/>
      <c r="N400" s="99"/>
      <c r="O400" s="99"/>
      <c r="P400" s="99"/>
      <c r="Q400" s="99"/>
      <c r="R400" s="99"/>
    </row>
    <row r="401">
      <c r="A401" s="99"/>
      <c r="B401" s="99"/>
      <c r="C401" s="99"/>
      <c r="D401" s="99"/>
      <c r="E401" s="99"/>
      <c r="F401" s="99"/>
      <c r="G401" s="99"/>
      <c r="H401" s="99"/>
      <c r="I401" s="99"/>
      <c r="J401" s="99"/>
      <c r="K401" s="99"/>
      <c r="L401" s="99"/>
      <c r="M401" s="99"/>
      <c r="N401" s="99"/>
      <c r="O401" s="99"/>
      <c r="P401" s="99"/>
      <c r="Q401" s="99"/>
      <c r="R401" s="99"/>
    </row>
    <row r="402">
      <c r="A402" s="99"/>
      <c r="B402" s="99"/>
      <c r="C402" s="99"/>
      <c r="D402" s="99"/>
      <c r="E402" s="99"/>
      <c r="F402" s="99"/>
      <c r="G402" s="99"/>
      <c r="H402" s="99"/>
      <c r="I402" s="99"/>
      <c r="J402" s="99"/>
      <c r="K402" s="99"/>
      <c r="L402" s="99"/>
      <c r="M402" s="99"/>
      <c r="N402" s="99"/>
      <c r="O402" s="99"/>
      <c r="P402" s="99"/>
      <c r="Q402" s="99"/>
      <c r="R402" s="99"/>
    </row>
    <row r="403">
      <c r="A403" s="99"/>
      <c r="B403" s="99"/>
      <c r="C403" s="99"/>
      <c r="D403" s="99"/>
      <c r="E403" s="99"/>
      <c r="F403" s="99"/>
      <c r="G403" s="99"/>
      <c r="H403" s="99"/>
      <c r="I403" s="99"/>
      <c r="J403" s="99"/>
      <c r="K403" s="99"/>
      <c r="L403" s="99"/>
      <c r="M403" s="99"/>
      <c r="N403" s="99"/>
      <c r="O403" s="99"/>
      <c r="P403" s="99"/>
      <c r="Q403" s="99"/>
      <c r="R403" s="99"/>
    </row>
    <row r="404">
      <c r="A404" s="99"/>
      <c r="B404" s="99"/>
      <c r="C404" s="99"/>
      <c r="D404" s="99"/>
      <c r="E404" s="99"/>
      <c r="F404" s="99"/>
      <c r="G404" s="99"/>
      <c r="H404" s="99"/>
      <c r="I404" s="99"/>
      <c r="J404" s="99"/>
      <c r="K404" s="99"/>
      <c r="L404" s="99"/>
      <c r="M404" s="99"/>
      <c r="N404" s="99"/>
      <c r="O404" s="99"/>
      <c r="P404" s="99"/>
      <c r="Q404" s="99"/>
      <c r="R404" s="99"/>
    </row>
    <row r="405">
      <c r="A405" s="99"/>
      <c r="B405" s="99"/>
      <c r="C405" s="99"/>
      <c r="D405" s="99"/>
      <c r="E405" s="99"/>
      <c r="F405" s="99"/>
      <c r="G405" s="99"/>
      <c r="H405" s="99"/>
      <c r="I405" s="99"/>
      <c r="J405" s="99"/>
      <c r="K405" s="99"/>
      <c r="L405" s="99"/>
      <c r="M405" s="99"/>
      <c r="N405" s="99"/>
      <c r="O405" s="99"/>
      <c r="P405" s="99"/>
      <c r="Q405" s="99"/>
      <c r="R405" s="99"/>
    </row>
    <row r="406">
      <c r="A406" s="99"/>
      <c r="B406" s="99"/>
      <c r="C406" s="99"/>
      <c r="D406" s="99"/>
      <c r="E406" s="99"/>
      <c r="F406" s="99"/>
      <c r="G406" s="99"/>
      <c r="H406" s="99"/>
      <c r="I406" s="99"/>
      <c r="J406" s="99"/>
      <c r="K406" s="99"/>
      <c r="L406" s="99"/>
      <c r="M406" s="99"/>
      <c r="N406" s="99"/>
      <c r="O406" s="99"/>
      <c r="P406" s="99"/>
      <c r="Q406" s="99"/>
      <c r="R406" s="99"/>
    </row>
    <row r="407">
      <c r="A407" s="99"/>
      <c r="B407" s="99"/>
      <c r="C407" s="99"/>
      <c r="D407" s="99"/>
      <c r="E407" s="99"/>
      <c r="F407" s="99"/>
      <c r="G407" s="99"/>
      <c r="H407" s="99"/>
      <c r="I407" s="99"/>
      <c r="J407" s="99"/>
      <c r="K407" s="99"/>
      <c r="L407" s="99"/>
      <c r="M407" s="99"/>
      <c r="N407" s="99"/>
      <c r="O407" s="99"/>
      <c r="P407" s="99"/>
      <c r="Q407" s="99"/>
      <c r="R407" s="99"/>
    </row>
    <row r="408">
      <c r="A408" s="99"/>
      <c r="B408" s="99"/>
      <c r="C408" s="99"/>
      <c r="D408" s="99"/>
      <c r="E408" s="99"/>
      <c r="F408" s="99"/>
      <c r="G408" s="99"/>
      <c r="H408" s="99"/>
      <c r="I408" s="99"/>
      <c r="J408" s="99"/>
      <c r="K408" s="99"/>
      <c r="L408" s="99"/>
      <c r="M408" s="99"/>
      <c r="N408" s="99"/>
      <c r="O408" s="99"/>
      <c r="P408" s="99"/>
      <c r="Q408" s="99"/>
      <c r="R408" s="99"/>
    </row>
    <row r="409">
      <c r="A409" s="99"/>
      <c r="B409" s="99"/>
      <c r="C409" s="99"/>
      <c r="D409" s="99"/>
      <c r="E409" s="99"/>
      <c r="F409" s="99"/>
      <c r="G409" s="99"/>
      <c r="H409" s="99"/>
      <c r="I409" s="99"/>
      <c r="J409" s="99"/>
      <c r="K409" s="99"/>
      <c r="L409" s="99"/>
      <c r="M409" s="99"/>
      <c r="N409" s="99"/>
      <c r="O409" s="99"/>
      <c r="P409" s="99"/>
      <c r="Q409" s="99"/>
      <c r="R409" s="99"/>
    </row>
    <row r="410">
      <c r="A410" s="99"/>
      <c r="B410" s="99"/>
      <c r="C410" s="99"/>
      <c r="D410" s="99"/>
      <c r="E410" s="99"/>
      <c r="F410" s="99"/>
      <c r="G410" s="99"/>
      <c r="H410" s="99"/>
      <c r="I410" s="99"/>
      <c r="J410" s="99"/>
      <c r="K410" s="99"/>
      <c r="L410" s="99"/>
      <c r="M410" s="99"/>
      <c r="N410" s="99"/>
      <c r="O410" s="99"/>
      <c r="P410" s="99"/>
      <c r="Q410" s="99"/>
      <c r="R410" s="99"/>
    </row>
    <row r="411">
      <c r="A411" s="99"/>
      <c r="B411" s="99"/>
      <c r="C411" s="99"/>
      <c r="D411" s="99"/>
      <c r="E411" s="99"/>
      <c r="F411" s="99"/>
      <c r="G411" s="99"/>
      <c r="H411" s="99"/>
      <c r="I411" s="99"/>
      <c r="J411" s="99"/>
      <c r="K411" s="99"/>
      <c r="L411" s="99"/>
      <c r="M411" s="99"/>
      <c r="N411" s="99"/>
      <c r="O411" s="99"/>
      <c r="P411" s="99"/>
      <c r="Q411" s="99"/>
      <c r="R411" s="99"/>
    </row>
    <row r="412">
      <c r="A412" s="99"/>
      <c r="B412" s="99"/>
      <c r="C412" s="99"/>
      <c r="D412" s="99"/>
      <c r="E412" s="99"/>
      <c r="F412" s="99"/>
      <c r="G412" s="99"/>
      <c r="H412" s="99"/>
      <c r="I412" s="99"/>
      <c r="J412" s="99"/>
      <c r="K412" s="99"/>
      <c r="L412" s="99"/>
      <c r="M412" s="99"/>
      <c r="N412" s="99"/>
      <c r="O412" s="99"/>
      <c r="P412" s="99"/>
      <c r="Q412" s="99"/>
      <c r="R412" s="99"/>
    </row>
    <row r="413">
      <c r="A413" s="99"/>
      <c r="B413" s="99"/>
      <c r="C413" s="99"/>
      <c r="D413" s="99"/>
      <c r="E413" s="99"/>
      <c r="F413" s="99"/>
      <c r="G413" s="99"/>
      <c r="H413" s="99"/>
      <c r="I413" s="99"/>
      <c r="J413" s="99"/>
      <c r="K413" s="99"/>
      <c r="L413" s="99"/>
      <c r="M413" s="99"/>
      <c r="N413" s="99"/>
      <c r="O413" s="99"/>
      <c r="P413" s="99"/>
      <c r="Q413" s="99"/>
      <c r="R413" s="99"/>
    </row>
    <row r="414">
      <c r="A414" s="99"/>
      <c r="B414" s="99"/>
      <c r="C414" s="99"/>
      <c r="D414" s="99"/>
      <c r="E414" s="99"/>
      <c r="F414" s="99"/>
      <c r="G414" s="99"/>
      <c r="H414" s="99"/>
      <c r="I414" s="99"/>
      <c r="J414" s="99"/>
      <c r="K414" s="99"/>
      <c r="L414" s="99"/>
      <c r="M414" s="99"/>
      <c r="N414" s="99"/>
      <c r="O414" s="99"/>
      <c r="P414" s="99"/>
      <c r="Q414" s="99"/>
      <c r="R414" s="99"/>
    </row>
    <row r="415">
      <c r="A415" s="99"/>
      <c r="B415" s="99"/>
      <c r="C415" s="99"/>
      <c r="D415" s="99"/>
      <c r="E415" s="99"/>
      <c r="F415" s="99"/>
      <c r="G415" s="99"/>
      <c r="H415" s="99"/>
      <c r="I415" s="99"/>
      <c r="J415" s="99"/>
      <c r="K415" s="99"/>
      <c r="L415" s="99"/>
      <c r="M415" s="99"/>
      <c r="N415" s="99"/>
      <c r="O415" s="99"/>
      <c r="P415" s="99"/>
      <c r="Q415" s="99"/>
      <c r="R415" s="99"/>
    </row>
    <row r="416">
      <c r="A416" s="99"/>
      <c r="B416" s="99"/>
      <c r="C416" s="99"/>
      <c r="D416" s="99"/>
      <c r="E416" s="99"/>
      <c r="F416" s="99"/>
      <c r="G416" s="99"/>
      <c r="H416" s="99"/>
      <c r="I416" s="99"/>
      <c r="J416" s="99"/>
      <c r="K416" s="99"/>
      <c r="L416" s="99"/>
      <c r="M416" s="99"/>
      <c r="N416" s="99"/>
      <c r="O416" s="99"/>
      <c r="P416" s="99"/>
      <c r="Q416" s="99"/>
      <c r="R416" s="99"/>
    </row>
    <row r="417">
      <c r="A417" s="99"/>
      <c r="B417" s="99"/>
      <c r="C417" s="99"/>
      <c r="D417" s="99"/>
      <c r="E417" s="99"/>
      <c r="F417" s="99"/>
      <c r="G417" s="99"/>
      <c r="H417" s="99"/>
      <c r="I417" s="99"/>
      <c r="J417" s="99"/>
      <c r="K417" s="99"/>
      <c r="L417" s="99"/>
      <c r="M417" s="99"/>
      <c r="N417" s="99"/>
      <c r="O417" s="99"/>
      <c r="P417" s="99"/>
      <c r="Q417" s="99"/>
      <c r="R417" s="99"/>
    </row>
    <row r="418">
      <c r="A418" s="99"/>
      <c r="B418" s="99"/>
      <c r="C418" s="99"/>
      <c r="D418" s="99"/>
      <c r="E418" s="99"/>
      <c r="F418" s="99"/>
      <c r="G418" s="99"/>
      <c r="H418" s="99"/>
      <c r="I418" s="99"/>
      <c r="J418" s="99"/>
      <c r="K418" s="99"/>
      <c r="L418" s="99"/>
      <c r="M418" s="99"/>
      <c r="N418" s="99"/>
      <c r="O418" s="99"/>
      <c r="P418" s="99"/>
      <c r="Q418" s="99"/>
      <c r="R418" s="99"/>
    </row>
    <row r="419">
      <c r="A419" s="99"/>
      <c r="B419" s="99"/>
      <c r="C419" s="99"/>
      <c r="D419" s="99"/>
      <c r="E419" s="99"/>
      <c r="F419" s="99"/>
      <c r="G419" s="99"/>
      <c r="H419" s="99"/>
      <c r="I419" s="99"/>
      <c r="J419" s="99"/>
      <c r="K419" s="99"/>
      <c r="L419" s="99"/>
      <c r="M419" s="99"/>
      <c r="N419" s="99"/>
      <c r="O419" s="99"/>
      <c r="P419" s="99"/>
      <c r="Q419" s="99"/>
      <c r="R419" s="99"/>
    </row>
    <row r="420">
      <c r="A420" s="99"/>
      <c r="B420" s="99"/>
      <c r="C420" s="99"/>
      <c r="D420" s="99"/>
      <c r="E420" s="99"/>
      <c r="F420" s="99"/>
      <c r="G420" s="99"/>
      <c r="H420" s="99"/>
      <c r="I420" s="99"/>
      <c r="J420" s="99"/>
      <c r="K420" s="99"/>
      <c r="L420" s="99"/>
      <c r="M420" s="99"/>
      <c r="N420" s="99"/>
      <c r="O420" s="99"/>
      <c r="P420" s="99"/>
      <c r="Q420" s="99"/>
      <c r="R420" s="99"/>
    </row>
    <row r="421">
      <c r="A421" s="99"/>
      <c r="B421" s="99"/>
      <c r="C421" s="99"/>
      <c r="D421" s="99"/>
      <c r="E421" s="99"/>
      <c r="F421" s="99"/>
      <c r="G421" s="99"/>
      <c r="H421" s="99"/>
      <c r="I421" s="99"/>
      <c r="J421" s="99"/>
      <c r="K421" s="99"/>
      <c r="L421" s="99"/>
      <c r="M421" s="99"/>
      <c r="N421" s="99"/>
      <c r="O421" s="99"/>
      <c r="P421" s="99"/>
      <c r="Q421" s="99"/>
      <c r="R421" s="99"/>
    </row>
    <row r="422">
      <c r="A422" s="99"/>
      <c r="B422" s="99"/>
      <c r="C422" s="99"/>
      <c r="D422" s="99"/>
      <c r="E422" s="99"/>
      <c r="F422" s="99"/>
      <c r="G422" s="99"/>
      <c r="H422" s="99"/>
      <c r="I422" s="99"/>
      <c r="J422" s="99"/>
      <c r="K422" s="99"/>
      <c r="L422" s="99"/>
      <c r="M422" s="99"/>
      <c r="N422" s="99"/>
      <c r="O422" s="99"/>
      <c r="P422" s="99"/>
      <c r="Q422" s="99"/>
      <c r="R422" s="99"/>
    </row>
    <row r="423">
      <c r="A423" s="99"/>
      <c r="B423" s="99"/>
      <c r="C423" s="99"/>
      <c r="D423" s="99"/>
      <c r="E423" s="99"/>
      <c r="F423" s="99"/>
      <c r="G423" s="99"/>
      <c r="H423" s="99"/>
      <c r="I423" s="99"/>
      <c r="J423" s="99"/>
      <c r="K423" s="99"/>
      <c r="L423" s="99"/>
      <c r="M423" s="99"/>
      <c r="N423" s="99"/>
      <c r="O423" s="99"/>
      <c r="P423" s="99"/>
      <c r="Q423" s="99"/>
      <c r="R423" s="99"/>
    </row>
    <row r="424">
      <c r="A424" s="99"/>
      <c r="B424" s="99"/>
      <c r="C424" s="99"/>
      <c r="D424" s="99"/>
      <c r="E424" s="99"/>
      <c r="F424" s="99"/>
      <c r="G424" s="99"/>
      <c r="H424" s="99"/>
      <c r="I424" s="99"/>
      <c r="J424" s="99"/>
      <c r="K424" s="99"/>
      <c r="L424" s="99"/>
      <c r="M424" s="99"/>
      <c r="N424" s="99"/>
      <c r="O424" s="99"/>
      <c r="P424" s="99"/>
      <c r="Q424" s="99"/>
      <c r="R424" s="99"/>
    </row>
    <row r="425">
      <c r="A425" s="99"/>
      <c r="B425" s="99"/>
      <c r="C425" s="99"/>
      <c r="D425" s="99"/>
      <c r="E425" s="99"/>
      <c r="F425" s="99"/>
      <c r="G425" s="99"/>
      <c r="H425" s="99"/>
      <c r="I425" s="99"/>
      <c r="J425" s="99"/>
      <c r="K425" s="99"/>
      <c r="L425" s="99"/>
      <c r="M425" s="99"/>
      <c r="N425" s="99"/>
      <c r="O425" s="99"/>
      <c r="P425" s="99"/>
      <c r="Q425" s="99"/>
      <c r="R425" s="99"/>
    </row>
    <row r="426">
      <c r="A426" s="99"/>
      <c r="B426" s="99"/>
      <c r="C426" s="99"/>
      <c r="D426" s="99"/>
      <c r="E426" s="99"/>
      <c r="F426" s="99"/>
      <c r="G426" s="99"/>
      <c r="H426" s="99"/>
      <c r="I426" s="99"/>
      <c r="J426" s="99"/>
      <c r="K426" s="99"/>
      <c r="L426" s="99"/>
      <c r="M426" s="99"/>
      <c r="N426" s="99"/>
      <c r="O426" s="99"/>
      <c r="P426" s="99"/>
      <c r="Q426" s="99"/>
      <c r="R426" s="99"/>
    </row>
    <row r="427">
      <c r="A427" s="99"/>
      <c r="B427" s="99"/>
      <c r="C427" s="99"/>
      <c r="D427" s="99"/>
      <c r="E427" s="99"/>
      <c r="F427" s="99"/>
      <c r="G427" s="99"/>
      <c r="H427" s="99"/>
      <c r="I427" s="99"/>
      <c r="J427" s="99"/>
      <c r="K427" s="99"/>
      <c r="L427" s="99"/>
      <c r="M427" s="99"/>
      <c r="N427" s="99"/>
      <c r="O427" s="99"/>
      <c r="P427" s="99"/>
      <c r="Q427" s="99"/>
      <c r="R427" s="99"/>
    </row>
    <row r="428">
      <c r="A428" s="99"/>
      <c r="B428" s="99"/>
      <c r="C428" s="99"/>
      <c r="D428" s="99"/>
      <c r="E428" s="99"/>
      <c r="F428" s="99"/>
      <c r="G428" s="99"/>
      <c r="H428" s="99"/>
      <c r="I428" s="99"/>
      <c r="J428" s="99"/>
      <c r="K428" s="99"/>
      <c r="L428" s="99"/>
      <c r="M428" s="99"/>
      <c r="N428" s="99"/>
      <c r="O428" s="99"/>
      <c r="P428" s="99"/>
      <c r="Q428" s="99"/>
      <c r="R428" s="99"/>
    </row>
    <row r="429">
      <c r="A429" s="99"/>
      <c r="B429" s="99"/>
      <c r="C429" s="99"/>
      <c r="D429" s="99"/>
      <c r="E429" s="99"/>
      <c r="F429" s="99"/>
      <c r="G429" s="99"/>
      <c r="H429" s="99"/>
      <c r="I429" s="99"/>
      <c r="J429" s="99"/>
      <c r="K429" s="99"/>
      <c r="L429" s="99"/>
      <c r="M429" s="99"/>
      <c r="N429" s="99"/>
      <c r="O429" s="99"/>
      <c r="P429" s="99"/>
      <c r="Q429" s="99"/>
      <c r="R429" s="99"/>
    </row>
    <row r="430">
      <c r="A430" s="99"/>
      <c r="B430" s="99"/>
      <c r="C430" s="99"/>
      <c r="D430" s="99"/>
      <c r="E430" s="99"/>
      <c r="F430" s="99"/>
      <c r="G430" s="99"/>
      <c r="H430" s="99"/>
      <c r="I430" s="99"/>
      <c r="J430" s="99"/>
      <c r="K430" s="99"/>
      <c r="L430" s="99"/>
      <c r="M430" s="99"/>
      <c r="N430" s="99"/>
      <c r="O430" s="99"/>
      <c r="P430" s="99"/>
      <c r="Q430" s="99"/>
      <c r="R430" s="99"/>
    </row>
    <row r="431">
      <c r="A431" s="99"/>
      <c r="B431" s="99"/>
      <c r="C431" s="99"/>
      <c r="D431" s="99"/>
      <c r="E431" s="99"/>
      <c r="F431" s="99"/>
      <c r="G431" s="99"/>
      <c r="H431" s="99"/>
      <c r="I431" s="99"/>
      <c r="J431" s="99"/>
      <c r="K431" s="99"/>
      <c r="L431" s="99"/>
      <c r="M431" s="99"/>
      <c r="N431" s="99"/>
      <c r="O431" s="99"/>
      <c r="P431" s="99"/>
      <c r="Q431" s="99"/>
      <c r="R431" s="99"/>
    </row>
    <row r="432">
      <c r="A432" s="99"/>
      <c r="B432" s="99"/>
      <c r="C432" s="99"/>
      <c r="D432" s="99"/>
      <c r="E432" s="99"/>
      <c r="F432" s="99"/>
      <c r="G432" s="99"/>
      <c r="H432" s="99"/>
      <c r="I432" s="99"/>
      <c r="J432" s="99"/>
      <c r="K432" s="99"/>
      <c r="L432" s="99"/>
      <c r="M432" s="99"/>
      <c r="N432" s="99"/>
      <c r="O432" s="99"/>
      <c r="P432" s="99"/>
      <c r="Q432" s="99"/>
      <c r="R432" s="99"/>
    </row>
    <row r="433">
      <c r="A433" s="99"/>
      <c r="B433" s="99"/>
      <c r="C433" s="99"/>
      <c r="D433" s="99"/>
      <c r="E433" s="99"/>
      <c r="F433" s="99"/>
      <c r="G433" s="99"/>
      <c r="H433" s="99"/>
      <c r="I433" s="99"/>
      <c r="J433" s="99"/>
      <c r="K433" s="99"/>
      <c r="L433" s="99"/>
      <c r="M433" s="99"/>
      <c r="N433" s="99"/>
      <c r="O433" s="99"/>
      <c r="P433" s="99"/>
      <c r="Q433" s="99"/>
      <c r="R433" s="99"/>
    </row>
    <row r="434">
      <c r="A434" s="99"/>
      <c r="B434" s="99"/>
      <c r="C434" s="99"/>
      <c r="D434" s="99"/>
      <c r="E434" s="99"/>
      <c r="F434" s="99"/>
      <c r="G434" s="99"/>
      <c r="H434" s="99"/>
      <c r="I434" s="99"/>
      <c r="J434" s="99"/>
      <c r="K434" s="99"/>
      <c r="L434" s="99"/>
      <c r="M434" s="99"/>
      <c r="N434" s="99"/>
      <c r="O434" s="99"/>
      <c r="P434" s="99"/>
      <c r="Q434" s="99"/>
      <c r="R434" s="99"/>
    </row>
    <row r="435">
      <c r="A435" s="99"/>
      <c r="B435" s="99"/>
      <c r="C435" s="99"/>
      <c r="D435" s="99"/>
      <c r="E435" s="99"/>
      <c r="F435" s="99"/>
      <c r="G435" s="99"/>
      <c r="H435" s="99"/>
      <c r="I435" s="99"/>
      <c r="J435" s="99"/>
      <c r="K435" s="99"/>
      <c r="L435" s="99"/>
      <c r="M435" s="99"/>
      <c r="N435" s="99"/>
      <c r="O435" s="99"/>
      <c r="P435" s="99"/>
      <c r="Q435" s="99"/>
      <c r="R435" s="99"/>
    </row>
    <row r="436">
      <c r="A436" s="99"/>
      <c r="B436" s="99"/>
      <c r="C436" s="99"/>
      <c r="D436" s="99"/>
      <c r="E436" s="99"/>
      <c r="F436" s="99"/>
      <c r="G436" s="99"/>
      <c r="H436" s="99"/>
      <c r="I436" s="99"/>
      <c r="J436" s="99"/>
      <c r="K436" s="99"/>
      <c r="L436" s="99"/>
      <c r="M436" s="99"/>
      <c r="N436" s="99"/>
      <c r="O436" s="99"/>
      <c r="P436" s="99"/>
      <c r="Q436" s="99"/>
      <c r="R436" s="99"/>
    </row>
    <row r="437">
      <c r="A437" s="99"/>
      <c r="B437" s="99"/>
      <c r="C437" s="99"/>
      <c r="D437" s="99"/>
      <c r="E437" s="99"/>
      <c r="F437" s="99"/>
      <c r="G437" s="99"/>
      <c r="H437" s="99"/>
      <c r="I437" s="99"/>
      <c r="J437" s="99"/>
      <c r="K437" s="99"/>
      <c r="L437" s="99"/>
      <c r="M437" s="99"/>
      <c r="N437" s="99"/>
      <c r="O437" s="99"/>
      <c r="P437" s="99"/>
      <c r="Q437" s="99"/>
      <c r="R437" s="99"/>
    </row>
    <row r="438">
      <c r="A438" s="99"/>
      <c r="B438" s="99"/>
      <c r="C438" s="99"/>
      <c r="D438" s="99"/>
      <c r="E438" s="99"/>
      <c r="F438" s="99"/>
      <c r="G438" s="99"/>
      <c r="H438" s="99"/>
      <c r="I438" s="99"/>
      <c r="J438" s="99"/>
      <c r="K438" s="99"/>
      <c r="L438" s="99"/>
      <c r="M438" s="99"/>
      <c r="N438" s="99"/>
      <c r="O438" s="99"/>
      <c r="P438" s="99"/>
      <c r="Q438" s="99"/>
      <c r="R438" s="99"/>
    </row>
    <row r="439">
      <c r="A439" s="99"/>
      <c r="B439" s="99"/>
      <c r="C439" s="99"/>
      <c r="D439" s="99"/>
      <c r="E439" s="99"/>
      <c r="F439" s="99"/>
      <c r="G439" s="99"/>
      <c r="H439" s="99"/>
      <c r="I439" s="99"/>
      <c r="J439" s="99"/>
      <c r="K439" s="99"/>
      <c r="L439" s="99"/>
      <c r="M439" s="99"/>
      <c r="N439" s="99"/>
      <c r="O439" s="99"/>
      <c r="P439" s="99"/>
      <c r="Q439" s="99"/>
      <c r="R439" s="99"/>
    </row>
    <row r="440">
      <c r="A440" s="99"/>
      <c r="B440" s="99"/>
      <c r="C440" s="99"/>
      <c r="D440" s="99"/>
      <c r="E440" s="99"/>
      <c r="F440" s="99"/>
      <c r="G440" s="99"/>
      <c r="H440" s="99"/>
      <c r="I440" s="99"/>
      <c r="J440" s="99"/>
      <c r="K440" s="99"/>
      <c r="L440" s="99"/>
      <c r="M440" s="99"/>
      <c r="N440" s="99"/>
      <c r="O440" s="99"/>
      <c r="P440" s="99"/>
      <c r="Q440" s="99"/>
      <c r="R440" s="99"/>
    </row>
    <row r="441">
      <c r="A441" s="99"/>
      <c r="B441" s="99"/>
      <c r="C441" s="99"/>
      <c r="D441" s="99"/>
      <c r="E441" s="99"/>
      <c r="F441" s="99"/>
      <c r="G441" s="99"/>
      <c r="H441" s="99"/>
      <c r="I441" s="99"/>
      <c r="J441" s="99"/>
      <c r="K441" s="99"/>
      <c r="L441" s="99"/>
      <c r="M441" s="99"/>
      <c r="N441" s="99"/>
      <c r="O441" s="99"/>
      <c r="P441" s="99"/>
      <c r="Q441" s="99"/>
      <c r="R441" s="99"/>
    </row>
    <row r="442">
      <c r="A442" s="99"/>
      <c r="B442" s="99"/>
      <c r="C442" s="99"/>
      <c r="D442" s="99"/>
      <c r="E442" s="99"/>
      <c r="F442" s="99"/>
      <c r="G442" s="99"/>
      <c r="H442" s="99"/>
      <c r="I442" s="99"/>
      <c r="J442" s="99"/>
      <c r="K442" s="99"/>
      <c r="L442" s="99"/>
      <c r="M442" s="99"/>
      <c r="N442" s="99"/>
      <c r="O442" s="99"/>
      <c r="P442" s="99"/>
      <c r="Q442" s="99"/>
      <c r="R442" s="99"/>
    </row>
    <row r="443">
      <c r="A443" s="99"/>
      <c r="B443" s="99"/>
      <c r="C443" s="99"/>
      <c r="D443" s="99"/>
      <c r="E443" s="99"/>
      <c r="F443" s="99"/>
      <c r="G443" s="99"/>
      <c r="H443" s="99"/>
      <c r="I443" s="99"/>
      <c r="J443" s="99"/>
      <c r="K443" s="99"/>
      <c r="L443" s="99"/>
      <c r="M443" s="99"/>
      <c r="N443" s="99"/>
      <c r="O443" s="99"/>
      <c r="P443" s="99"/>
      <c r="Q443" s="99"/>
      <c r="R443" s="99"/>
    </row>
    <row r="444">
      <c r="A444" s="99"/>
      <c r="B444" s="99"/>
      <c r="C444" s="99"/>
      <c r="D444" s="99"/>
      <c r="E444" s="99"/>
      <c r="F444" s="99"/>
      <c r="G444" s="99"/>
      <c r="H444" s="99"/>
      <c r="I444" s="99"/>
      <c r="J444" s="99"/>
      <c r="K444" s="99"/>
      <c r="L444" s="99"/>
      <c r="M444" s="99"/>
      <c r="N444" s="99"/>
      <c r="O444" s="99"/>
      <c r="P444" s="99"/>
      <c r="Q444" s="99"/>
      <c r="R444" s="99"/>
    </row>
    <row r="445">
      <c r="A445" s="99"/>
      <c r="B445" s="99"/>
      <c r="C445" s="99"/>
      <c r="D445" s="99"/>
      <c r="E445" s="99"/>
      <c r="F445" s="99"/>
      <c r="G445" s="99"/>
      <c r="H445" s="99"/>
      <c r="I445" s="99"/>
      <c r="J445" s="99"/>
      <c r="K445" s="99"/>
      <c r="L445" s="99"/>
      <c r="M445" s="99"/>
      <c r="N445" s="99"/>
      <c r="O445" s="99"/>
      <c r="P445" s="99"/>
      <c r="Q445" s="99"/>
      <c r="R445" s="99"/>
    </row>
    <row r="446">
      <c r="A446" s="99"/>
      <c r="B446" s="99"/>
      <c r="C446" s="99"/>
      <c r="D446" s="99"/>
      <c r="E446" s="99"/>
      <c r="F446" s="99"/>
      <c r="G446" s="99"/>
      <c r="H446" s="99"/>
      <c r="I446" s="99"/>
      <c r="J446" s="99"/>
      <c r="K446" s="99"/>
      <c r="L446" s="99"/>
      <c r="M446" s="99"/>
      <c r="N446" s="99"/>
      <c r="O446" s="99"/>
      <c r="P446" s="99"/>
      <c r="Q446" s="99"/>
      <c r="R446" s="99"/>
    </row>
    <row r="447">
      <c r="A447" s="99"/>
      <c r="B447" s="99"/>
      <c r="C447" s="99"/>
      <c r="D447" s="99"/>
      <c r="E447" s="99"/>
      <c r="F447" s="99"/>
      <c r="G447" s="99"/>
      <c r="H447" s="99"/>
      <c r="I447" s="99"/>
      <c r="J447" s="99"/>
      <c r="K447" s="99"/>
      <c r="L447" s="99"/>
      <c r="M447" s="99"/>
      <c r="N447" s="99"/>
      <c r="O447" s="99"/>
      <c r="P447" s="99"/>
      <c r="Q447" s="99"/>
      <c r="R447" s="99"/>
    </row>
    <row r="448">
      <c r="A448" s="99"/>
      <c r="B448" s="99"/>
      <c r="C448" s="99"/>
      <c r="D448" s="99"/>
      <c r="E448" s="99"/>
      <c r="F448" s="99"/>
      <c r="G448" s="99"/>
      <c r="H448" s="99"/>
      <c r="I448" s="99"/>
      <c r="J448" s="99"/>
      <c r="K448" s="99"/>
      <c r="L448" s="99"/>
      <c r="M448" s="99"/>
      <c r="N448" s="99"/>
      <c r="O448" s="99"/>
      <c r="P448" s="99"/>
      <c r="Q448" s="99"/>
      <c r="R448" s="99"/>
    </row>
    <row r="449">
      <c r="A449" s="99"/>
      <c r="B449" s="99"/>
      <c r="C449" s="99"/>
      <c r="D449" s="99"/>
      <c r="E449" s="99"/>
      <c r="F449" s="99"/>
      <c r="G449" s="99"/>
      <c r="H449" s="99"/>
      <c r="I449" s="99"/>
      <c r="J449" s="99"/>
      <c r="K449" s="99"/>
      <c r="L449" s="99"/>
      <c r="M449" s="99"/>
      <c r="N449" s="99"/>
      <c r="O449" s="99"/>
      <c r="P449" s="99"/>
      <c r="Q449" s="99"/>
      <c r="R449" s="99"/>
    </row>
    <row r="450">
      <c r="A450" s="99"/>
      <c r="B450" s="99"/>
      <c r="C450" s="99"/>
      <c r="D450" s="99"/>
      <c r="E450" s="99"/>
      <c r="F450" s="99"/>
      <c r="G450" s="99"/>
      <c r="H450" s="99"/>
      <c r="I450" s="99"/>
      <c r="J450" s="99"/>
      <c r="K450" s="99"/>
      <c r="L450" s="99"/>
      <c r="M450" s="99"/>
      <c r="N450" s="99"/>
      <c r="O450" s="99"/>
      <c r="P450" s="99"/>
      <c r="Q450" s="99"/>
      <c r="R450" s="99"/>
    </row>
    <row r="451">
      <c r="A451" s="99"/>
      <c r="B451" s="99"/>
      <c r="C451" s="99"/>
      <c r="D451" s="99"/>
      <c r="E451" s="99"/>
      <c r="F451" s="99"/>
      <c r="G451" s="99"/>
      <c r="H451" s="99"/>
      <c r="I451" s="99"/>
      <c r="J451" s="99"/>
      <c r="K451" s="99"/>
      <c r="L451" s="99"/>
      <c r="M451" s="99"/>
      <c r="N451" s="99"/>
      <c r="O451" s="99"/>
      <c r="P451" s="99"/>
      <c r="Q451" s="99"/>
      <c r="R451" s="99"/>
    </row>
    <row r="452">
      <c r="A452" s="99"/>
      <c r="B452" s="99"/>
      <c r="C452" s="99"/>
      <c r="D452" s="99"/>
      <c r="E452" s="99"/>
      <c r="F452" s="99"/>
      <c r="G452" s="99"/>
      <c r="H452" s="99"/>
      <c r="I452" s="99"/>
      <c r="J452" s="99"/>
      <c r="K452" s="99"/>
      <c r="L452" s="99"/>
      <c r="M452" s="99"/>
      <c r="N452" s="99"/>
      <c r="O452" s="99"/>
      <c r="P452" s="99"/>
      <c r="Q452" s="99"/>
      <c r="R452" s="99"/>
    </row>
    <row r="453">
      <c r="A453" s="99"/>
      <c r="B453" s="99"/>
      <c r="C453" s="99"/>
      <c r="D453" s="99"/>
      <c r="E453" s="99"/>
      <c r="F453" s="99"/>
      <c r="G453" s="99"/>
      <c r="H453" s="99"/>
      <c r="I453" s="99"/>
      <c r="J453" s="99"/>
      <c r="K453" s="99"/>
      <c r="L453" s="99"/>
      <c r="M453" s="99"/>
      <c r="N453" s="99"/>
      <c r="O453" s="99"/>
      <c r="P453" s="99"/>
      <c r="Q453" s="99"/>
      <c r="R453" s="99"/>
    </row>
    <row r="454">
      <c r="A454" s="99"/>
      <c r="B454" s="99"/>
      <c r="C454" s="99"/>
      <c r="D454" s="99"/>
      <c r="E454" s="99"/>
      <c r="F454" s="99"/>
      <c r="G454" s="99"/>
      <c r="H454" s="99"/>
      <c r="I454" s="99"/>
      <c r="J454" s="99"/>
      <c r="K454" s="99"/>
      <c r="L454" s="99"/>
      <c r="M454" s="99"/>
      <c r="N454" s="99"/>
      <c r="O454" s="99"/>
      <c r="P454" s="99"/>
      <c r="Q454" s="99"/>
      <c r="R454" s="99"/>
    </row>
    <row r="455">
      <c r="A455" s="99"/>
      <c r="B455" s="99"/>
      <c r="C455" s="99"/>
      <c r="D455" s="99"/>
      <c r="E455" s="99"/>
      <c r="F455" s="99"/>
      <c r="G455" s="99"/>
      <c r="H455" s="99"/>
      <c r="I455" s="99"/>
      <c r="J455" s="99"/>
      <c r="K455" s="99"/>
      <c r="L455" s="99"/>
      <c r="M455" s="99"/>
      <c r="N455" s="99"/>
      <c r="O455" s="99"/>
      <c r="P455" s="99"/>
      <c r="Q455" s="99"/>
      <c r="R455" s="99"/>
    </row>
    <row r="456">
      <c r="A456" s="99"/>
      <c r="B456" s="99"/>
      <c r="C456" s="99"/>
      <c r="D456" s="99"/>
      <c r="E456" s="99"/>
      <c r="F456" s="99"/>
      <c r="G456" s="99"/>
      <c r="H456" s="99"/>
      <c r="I456" s="99"/>
      <c r="J456" s="99"/>
      <c r="K456" s="99"/>
      <c r="L456" s="99"/>
      <c r="M456" s="99"/>
      <c r="N456" s="99"/>
      <c r="O456" s="99"/>
      <c r="P456" s="99"/>
      <c r="Q456" s="99"/>
      <c r="R456" s="99"/>
    </row>
    <row r="457">
      <c r="A457" s="99"/>
      <c r="B457" s="99"/>
      <c r="C457" s="99"/>
      <c r="D457" s="99"/>
      <c r="E457" s="99"/>
      <c r="F457" s="99"/>
      <c r="G457" s="99"/>
      <c r="H457" s="99"/>
      <c r="I457" s="99"/>
      <c r="J457" s="99"/>
      <c r="K457" s="99"/>
      <c r="L457" s="99"/>
      <c r="M457" s="99"/>
      <c r="N457" s="99"/>
      <c r="O457" s="99"/>
      <c r="P457" s="99"/>
      <c r="Q457" s="99"/>
      <c r="R457" s="99"/>
    </row>
    <row r="458">
      <c r="A458" s="99"/>
      <c r="B458" s="99"/>
      <c r="C458" s="99"/>
      <c r="D458" s="99"/>
      <c r="E458" s="99"/>
      <c r="F458" s="99"/>
      <c r="G458" s="99"/>
      <c r="H458" s="99"/>
      <c r="I458" s="99"/>
      <c r="J458" s="99"/>
      <c r="K458" s="99"/>
      <c r="L458" s="99"/>
      <c r="M458" s="99"/>
      <c r="N458" s="99"/>
      <c r="O458" s="99"/>
      <c r="P458" s="99"/>
      <c r="Q458" s="99"/>
      <c r="R458" s="99"/>
    </row>
    <row r="459">
      <c r="A459" s="99"/>
      <c r="B459" s="99"/>
      <c r="C459" s="99"/>
      <c r="D459" s="99"/>
      <c r="E459" s="99"/>
      <c r="F459" s="99"/>
      <c r="G459" s="99"/>
      <c r="H459" s="99"/>
      <c r="I459" s="99"/>
      <c r="J459" s="99"/>
      <c r="K459" s="99"/>
      <c r="L459" s="99"/>
      <c r="M459" s="99"/>
      <c r="N459" s="99"/>
      <c r="O459" s="99"/>
      <c r="P459" s="99"/>
      <c r="Q459" s="99"/>
      <c r="R459" s="99"/>
    </row>
    <row r="460">
      <c r="A460" s="99"/>
      <c r="B460" s="99"/>
      <c r="C460" s="99"/>
      <c r="D460" s="99"/>
      <c r="E460" s="99"/>
      <c r="F460" s="99"/>
      <c r="G460" s="99"/>
      <c r="H460" s="99"/>
      <c r="I460" s="99"/>
      <c r="J460" s="99"/>
      <c r="K460" s="99"/>
      <c r="L460" s="99"/>
      <c r="M460" s="99"/>
      <c r="N460" s="99"/>
      <c r="O460" s="99"/>
      <c r="P460" s="99"/>
      <c r="Q460" s="99"/>
      <c r="R460" s="99"/>
    </row>
    <row r="461">
      <c r="A461" s="99"/>
      <c r="B461" s="99"/>
      <c r="C461" s="99"/>
      <c r="D461" s="99"/>
      <c r="E461" s="99"/>
      <c r="F461" s="99"/>
      <c r="G461" s="99"/>
      <c r="H461" s="99"/>
      <c r="I461" s="99"/>
      <c r="J461" s="99"/>
      <c r="K461" s="99"/>
      <c r="L461" s="99"/>
      <c r="M461" s="99"/>
      <c r="N461" s="99"/>
      <c r="O461" s="99"/>
      <c r="P461" s="99"/>
      <c r="Q461" s="99"/>
      <c r="R461" s="99"/>
    </row>
    <row r="462">
      <c r="A462" s="99"/>
      <c r="B462" s="99"/>
      <c r="C462" s="99"/>
      <c r="D462" s="99"/>
      <c r="E462" s="99"/>
      <c r="F462" s="99"/>
      <c r="G462" s="99"/>
      <c r="H462" s="99"/>
      <c r="I462" s="99"/>
      <c r="J462" s="99"/>
      <c r="K462" s="99"/>
      <c r="L462" s="99"/>
      <c r="M462" s="99"/>
      <c r="N462" s="99"/>
      <c r="O462" s="99"/>
      <c r="P462" s="99"/>
      <c r="Q462" s="99"/>
      <c r="R462" s="99"/>
    </row>
    <row r="463">
      <c r="A463" s="99"/>
      <c r="B463" s="99"/>
      <c r="C463" s="99"/>
      <c r="D463" s="99"/>
      <c r="E463" s="99"/>
      <c r="F463" s="99"/>
      <c r="G463" s="99"/>
      <c r="H463" s="99"/>
      <c r="I463" s="99"/>
      <c r="J463" s="99"/>
      <c r="K463" s="99"/>
      <c r="L463" s="99"/>
      <c r="M463" s="99"/>
      <c r="N463" s="99"/>
      <c r="O463" s="99"/>
      <c r="P463" s="99"/>
      <c r="Q463" s="99"/>
      <c r="R463" s="99"/>
    </row>
    <row r="464">
      <c r="A464" s="99"/>
      <c r="B464" s="99"/>
      <c r="C464" s="99"/>
      <c r="D464" s="99"/>
      <c r="E464" s="99"/>
      <c r="F464" s="99"/>
      <c r="G464" s="99"/>
      <c r="H464" s="99"/>
      <c r="I464" s="99"/>
      <c r="J464" s="99"/>
      <c r="K464" s="99"/>
      <c r="L464" s="99"/>
      <c r="M464" s="99"/>
      <c r="N464" s="99"/>
      <c r="O464" s="99"/>
      <c r="P464" s="99"/>
      <c r="Q464" s="99"/>
      <c r="R464" s="99"/>
    </row>
    <row r="465">
      <c r="A465" s="99"/>
      <c r="B465" s="99"/>
      <c r="C465" s="99"/>
      <c r="D465" s="99"/>
      <c r="E465" s="99"/>
      <c r="F465" s="99"/>
      <c r="G465" s="99"/>
      <c r="H465" s="99"/>
      <c r="I465" s="99"/>
      <c r="J465" s="99"/>
      <c r="K465" s="99"/>
      <c r="L465" s="99"/>
      <c r="M465" s="99"/>
      <c r="N465" s="99"/>
      <c r="O465" s="99"/>
      <c r="P465" s="99"/>
      <c r="Q465" s="99"/>
      <c r="R465" s="99"/>
    </row>
    <row r="466">
      <c r="A466" s="99"/>
      <c r="B466" s="99"/>
      <c r="C466" s="99"/>
      <c r="D466" s="99"/>
      <c r="E466" s="99"/>
      <c r="F466" s="99"/>
      <c r="G466" s="99"/>
      <c r="H466" s="99"/>
      <c r="I466" s="99"/>
      <c r="J466" s="99"/>
      <c r="K466" s="99"/>
      <c r="L466" s="99"/>
      <c r="M466" s="99"/>
      <c r="N466" s="99"/>
      <c r="O466" s="99"/>
      <c r="P466" s="99"/>
      <c r="Q466" s="99"/>
      <c r="R466" s="99"/>
    </row>
    <row r="467">
      <c r="A467" s="99"/>
      <c r="B467" s="99"/>
      <c r="C467" s="99"/>
      <c r="D467" s="99"/>
      <c r="E467" s="99"/>
      <c r="F467" s="99"/>
      <c r="G467" s="99"/>
      <c r="H467" s="99"/>
      <c r="I467" s="99"/>
      <c r="J467" s="99"/>
      <c r="K467" s="99"/>
      <c r="L467" s="99"/>
      <c r="M467" s="99"/>
      <c r="N467" s="99"/>
      <c r="O467" s="99"/>
      <c r="P467" s="99"/>
      <c r="Q467" s="99"/>
      <c r="R467" s="99"/>
    </row>
    <row r="468">
      <c r="A468" s="99"/>
      <c r="B468" s="99"/>
      <c r="C468" s="99"/>
      <c r="D468" s="99"/>
      <c r="E468" s="99"/>
      <c r="F468" s="99"/>
      <c r="G468" s="99"/>
      <c r="H468" s="99"/>
      <c r="I468" s="99"/>
      <c r="J468" s="99"/>
      <c r="K468" s="99"/>
      <c r="L468" s="99"/>
      <c r="M468" s="99"/>
      <c r="N468" s="99"/>
      <c r="O468" s="99"/>
      <c r="P468" s="99"/>
      <c r="Q468" s="99"/>
      <c r="R468" s="99"/>
    </row>
    <row r="469">
      <c r="A469" s="99"/>
      <c r="B469" s="99"/>
      <c r="C469" s="99"/>
      <c r="D469" s="99"/>
      <c r="E469" s="99"/>
      <c r="F469" s="99"/>
      <c r="G469" s="99"/>
      <c r="H469" s="99"/>
      <c r="I469" s="99"/>
      <c r="J469" s="99"/>
      <c r="K469" s="99"/>
      <c r="L469" s="99"/>
      <c r="M469" s="99"/>
      <c r="N469" s="99"/>
      <c r="O469" s="99"/>
      <c r="P469" s="99"/>
      <c r="Q469" s="99"/>
      <c r="R469" s="99"/>
    </row>
    <row r="470">
      <c r="A470" s="99"/>
      <c r="B470" s="99"/>
      <c r="C470" s="99"/>
      <c r="D470" s="99"/>
      <c r="E470" s="99"/>
      <c r="F470" s="99"/>
      <c r="G470" s="99"/>
      <c r="H470" s="99"/>
      <c r="I470" s="99"/>
      <c r="J470" s="99"/>
      <c r="K470" s="99"/>
      <c r="L470" s="99"/>
      <c r="M470" s="99"/>
      <c r="N470" s="99"/>
      <c r="O470" s="99"/>
      <c r="P470" s="99"/>
      <c r="Q470" s="99"/>
      <c r="R470" s="99"/>
    </row>
    <row r="471">
      <c r="A471" s="99"/>
      <c r="B471" s="99"/>
      <c r="C471" s="99"/>
      <c r="D471" s="99"/>
      <c r="E471" s="99"/>
      <c r="F471" s="99"/>
      <c r="G471" s="99"/>
      <c r="H471" s="99"/>
      <c r="I471" s="99"/>
      <c r="J471" s="99"/>
      <c r="K471" s="99"/>
      <c r="L471" s="99"/>
      <c r="M471" s="99"/>
      <c r="N471" s="99"/>
      <c r="O471" s="99"/>
      <c r="P471" s="99"/>
      <c r="Q471" s="99"/>
      <c r="R471" s="99"/>
    </row>
    <row r="472">
      <c r="A472" s="99"/>
      <c r="B472" s="99"/>
      <c r="C472" s="99"/>
      <c r="D472" s="99"/>
      <c r="E472" s="99"/>
      <c r="F472" s="99"/>
      <c r="G472" s="99"/>
      <c r="H472" s="99"/>
      <c r="I472" s="99"/>
      <c r="J472" s="99"/>
      <c r="K472" s="99"/>
      <c r="L472" s="99"/>
      <c r="M472" s="99"/>
      <c r="N472" s="99"/>
      <c r="O472" s="99"/>
      <c r="P472" s="99"/>
      <c r="Q472" s="99"/>
      <c r="R472" s="99"/>
    </row>
    <row r="473">
      <c r="A473" s="99"/>
      <c r="B473" s="99"/>
      <c r="C473" s="99"/>
      <c r="D473" s="99"/>
      <c r="E473" s="99"/>
      <c r="F473" s="99"/>
      <c r="G473" s="99"/>
      <c r="H473" s="99"/>
      <c r="I473" s="99"/>
      <c r="J473" s="99"/>
      <c r="K473" s="99"/>
      <c r="L473" s="99"/>
      <c r="M473" s="99"/>
      <c r="N473" s="99"/>
      <c r="O473" s="99"/>
      <c r="P473" s="99"/>
      <c r="Q473" s="99"/>
      <c r="R473" s="99"/>
    </row>
    <row r="474">
      <c r="A474" s="99"/>
      <c r="B474" s="99"/>
      <c r="C474" s="99"/>
      <c r="D474" s="99"/>
      <c r="E474" s="99"/>
      <c r="F474" s="99"/>
      <c r="G474" s="99"/>
      <c r="H474" s="99"/>
      <c r="I474" s="99"/>
      <c r="J474" s="99"/>
      <c r="K474" s="99"/>
      <c r="L474" s="99"/>
      <c r="M474" s="99"/>
      <c r="N474" s="99"/>
      <c r="O474" s="99"/>
      <c r="P474" s="99"/>
      <c r="Q474" s="99"/>
      <c r="R474" s="99"/>
    </row>
    <row r="475">
      <c r="A475" s="99"/>
      <c r="B475" s="99"/>
      <c r="C475" s="99"/>
      <c r="D475" s="99"/>
      <c r="E475" s="99"/>
      <c r="F475" s="99"/>
      <c r="G475" s="99"/>
      <c r="H475" s="99"/>
      <c r="I475" s="99"/>
      <c r="J475" s="99"/>
      <c r="K475" s="99"/>
      <c r="L475" s="99"/>
      <c r="M475" s="99"/>
      <c r="N475" s="99"/>
      <c r="O475" s="99"/>
      <c r="P475" s="99"/>
      <c r="Q475" s="99"/>
      <c r="R475" s="99"/>
    </row>
    <row r="476">
      <c r="A476" s="99"/>
      <c r="B476" s="99"/>
      <c r="C476" s="99"/>
      <c r="D476" s="99"/>
      <c r="E476" s="99"/>
      <c r="F476" s="99"/>
      <c r="G476" s="99"/>
      <c r="H476" s="99"/>
      <c r="I476" s="99"/>
      <c r="J476" s="99"/>
      <c r="K476" s="99"/>
      <c r="L476" s="99"/>
      <c r="M476" s="99"/>
      <c r="N476" s="99"/>
      <c r="O476" s="99"/>
      <c r="P476" s="99"/>
      <c r="Q476" s="99"/>
      <c r="R476" s="99"/>
    </row>
    <row r="477">
      <c r="A477" s="99"/>
      <c r="B477" s="99"/>
      <c r="C477" s="99"/>
      <c r="D477" s="99"/>
      <c r="E477" s="99"/>
      <c r="F477" s="99"/>
      <c r="G477" s="99"/>
      <c r="H477" s="99"/>
      <c r="I477" s="99"/>
      <c r="J477" s="99"/>
      <c r="K477" s="99"/>
      <c r="L477" s="99"/>
      <c r="M477" s="99"/>
      <c r="N477" s="99"/>
      <c r="O477" s="99"/>
      <c r="P477" s="99"/>
      <c r="Q477" s="99"/>
      <c r="R477" s="99"/>
    </row>
    <row r="478">
      <c r="A478" s="99"/>
      <c r="B478" s="99"/>
      <c r="C478" s="99"/>
      <c r="D478" s="99"/>
      <c r="E478" s="99"/>
      <c r="F478" s="99"/>
      <c r="G478" s="99"/>
      <c r="H478" s="99"/>
      <c r="I478" s="99"/>
      <c r="J478" s="99"/>
      <c r="K478" s="99"/>
      <c r="L478" s="99"/>
      <c r="M478" s="99"/>
      <c r="N478" s="99"/>
      <c r="O478" s="99"/>
      <c r="P478" s="99"/>
      <c r="Q478" s="99"/>
      <c r="R478" s="99"/>
    </row>
    <row r="479">
      <c r="A479" s="99"/>
      <c r="B479" s="99"/>
      <c r="C479" s="99"/>
      <c r="D479" s="99"/>
      <c r="E479" s="99"/>
      <c r="F479" s="99"/>
      <c r="G479" s="99"/>
      <c r="H479" s="99"/>
      <c r="I479" s="99"/>
      <c r="J479" s="99"/>
      <c r="K479" s="99"/>
      <c r="L479" s="99"/>
      <c r="M479" s="99"/>
      <c r="N479" s="99"/>
      <c r="O479" s="99"/>
      <c r="P479" s="99"/>
      <c r="Q479" s="99"/>
      <c r="R479" s="99"/>
    </row>
    <row r="480">
      <c r="A480" s="99"/>
      <c r="B480" s="99"/>
      <c r="C480" s="99"/>
      <c r="D480" s="99"/>
      <c r="E480" s="99"/>
      <c r="F480" s="99"/>
      <c r="G480" s="99"/>
      <c r="H480" s="99"/>
      <c r="I480" s="99"/>
      <c r="J480" s="99"/>
      <c r="K480" s="99"/>
      <c r="L480" s="99"/>
      <c r="M480" s="99"/>
      <c r="N480" s="99"/>
      <c r="O480" s="99"/>
      <c r="P480" s="99"/>
      <c r="Q480" s="99"/>
      <c r="R480" s="99"/>
    </row>
    <row r="481">
      <c r="A481" s="99"/>
      <c r="B481" s="99"/>
      <c r="C481" s="99"/>
      <c r="D481" s="99"/>
      <c r="E481" s="99"/>
      <c r="F481" s="99"/>
      <c r="G481" s="99"/>
      <c r="H481" s="99"/>
      <c r="I481" s="99"/>
      <c r="J481" s="99"/>
      <c r="K481" s="99"/>
      <c r="L481" s="99"/>
      <c r="M481" s="99"/>
      <c r="N481" s="99"/>
      <c r="O481" s="99"/>
      <c r="P481" s="99"/>
      <c r="Q481" s="99"/>
      <c r="R481" s="99"/>
    </row>
    <row r="482">
      <c r="A482" s="99"/>
      <c r="B482" s="99"/>
      <c r="C482" s="99"/>
      <c r="D482" s="99"/>
      <c r="E482" s="99"/>
      <c r="F482" s="99"/>
      <c r="G482" s="99"/>
      <c r="H482" s="99"/>
      <c r="I482" s="99"/>
      <c r="J482" s="99"/>
      <c r="K482" s="99"/>
      <c r="L482" s="99"/>
      <c r="M482" s="99"/>
      <c r="N482" s="99"/>
      <c r="O482" s="99"/>
      <c r="P482" s="99"/>
      <c r="Q482" s="99"/>
      <c r="R482" s="99"/>
    </row>
    <row r="483">
      <c r="A483" s="99"/>
      <c r="B483" s="99"/>
      <c r="C483" s="99"/>
      <c r="D483" s="99"/>
      <c r="E483" s="99"/>
      <c r="F483" s="99"/>
      <c r="G483" s="99"/>
      <c r="H483" s="99"/>
      <c r="I483" s="99"/>
      <c r="J483" s="99"/>
      <c r="K483" s="99"/>
      <c r="L483" s="99"/>
      <c r="M483" s="99"/>
      <c r="N483" s="99"/>
      <c r="O483" s="99"/>
      <c r="P483" s="99"/>
      <c r="Q483" s="99"/>
      <c r="R483" s="99"/>
    </row>
    <row r="484">
      <c r="A484" s="99"/>
      <c r="B484" s="99"/>
      <c r="C484" s="99"/>
      <c r="D484" s="99"/>
      <c r="E484" s="99"/>
      <c r="F484" s="99"/>
      <c r="G484" s="99"/>
      <c r="H484" s="99"/>
      <c r="I484" s="99"/>
      <c r="J484" s="99"/>
      <c r="K484" s="99"/>
      <c r="L484" s="99"/>
      <c r="M484" s="99"/>
      <c r="N484" s="99"/>
      <c r="O484" s="99"/>
      <c r="P484" s="99"/>
      <c r="Q484" s="99"/>
      <c r="R484" s="99"/>
    </row>
    <row r="485">
      <c r="A485" s="99"/>
      <c r="B485" s="99"/>
      <c r="C485" s="99"/>
      <c r="D485" s="99"/>
      <c r="E485" s="99"/>
      <c r="F485" s="99"/>
      <c r="G485" s="99"/>
      <c r="H485" s="99"/>
      <c r="I485" s="99"/>
      <c r="J485" s="99"/>
      <c r="K485" s="99"/>
      <c r="L485" s="99"/>
      <c r="M485" s="99"/>
      <c r="N485" s="99"/>
      <c r="O485" s="99"/>
      <c r="P485" s="99"/>
      <c r="Q485" s="99"/>
      <c r="R485" s="99"/>
    </row>
    <row r="486">
      <c r="A486" s="99"/>
      <c r="B486" s="99"/>
      <c r="C486" s="99"/>
      <c r="D486" s="99"/>
      <c r="E486" s="99"/>
      <c r="F486" s="99"/>
      <c r="G486" s="99"/>
      <c r="H486" s="99"/>
      <c r="I486" s="99"/>
      <c r="J486" s="99"/>
      <c r="K486" s="99"/>
      <c r="L486" s="99"/>
      <c r="M486" s="99"/>
      <c r="N486" s="99"/>
      <c r="O486" s="99"/>
      <c r="P486" s="99"/>
      <c r="Q486" s="99"/>
      <c r="R486" s="99"/>
    </row>
    <row r="487">
      <c r="A487" s="99"/>
      <c r="B487" s="99"/>
      <c r="C487" s="99"/>
      <c r="D487" s="99"/>
      <c r="E487" s="99"/>
      <c r="F487" s="99"/>
      <c r="G487" s="99"/>
      <c r="H487" s="99"/>
      <c r="I487" s="99"/>
      <c r="J487" s="99"/>
      <c r="K487" s="99"/>
      <c r="L487" s="99"/>
      <c r="M487" s="99"/>
      <c r="N487" s="99"/>
      <c r="O487" s="99"/>
      <c r="P487" s="99"/>
      <c r="Q487" s="99"/>
      <c r="R487" s="99"/>
    </row>
    <row r="488">
      <c r="A488" s="99"/>
      <c r="B488" s="99"/>
      <c r="C488" s="99"/>
      <c r="D488" s="99"/>
      <c r="E488" s="99"/>
      <c r="F488" s="99"/>
      <c r="G488" s="99"/>
      <c r="H488" s="99"/>
      <c r="I488" s="99"/>
      <c r="J488" s="99"/>
      <c r="K488" s="99"/>
      <c r="L488" s="99"/>
      <c r="M488" s="99"/>
      <c r="N488" s="99"/>
      <c r="O488" s="99"/>
      <c r="P488" s="99"/>
      <c r="Q488" s="99"/>
      <c r="R488" s="99"/>
    </row>
    <row r="489">
      <c r="A489" s="99"/>
      <c r="B489" s="99"/>
      <c r="C489" s="99"/>
      <c r="D489" s="99"/>
      <c r="E489" s="99"/>
      <c r="F489" s="99"/>
      <c r="G489" s="99"/>
      <c r="H489" s="99"/>
      <c r="I489" s="99"/>
      <c r="J489" s="99"/>
      <c r="K489" s="99"/>
      <c r="L489" s="99"/>
      <c r="M489" s="99"/>
      <c r="N489" s="99"/>
      <c r="O489" s="99"/>
      <c r="P489" s="99"/>
      <c r="Q489" s="99"/>
      <c r="R489" s="99"/>
    </row>
    <row r="490">
      <c r="A490" s="99"/>
      <c r="B490" s="99"/>
      <c r="C490" s="99"/>
      <c r="D490" s="99"/>
      <c r="E490" s="99"/>
      <c r="F490" s="99"/>
      <c r="G490" s="99"/>
      <c r="H490" s="99"/>
      <c r="I490" s="99"/>
      <c r="J490" s="99"/>
      <c r="K490" s="99"/>
      <c r="L490" s="99"/>
      <c r="M490" s="99"/>
      <c r="N490" s="99"/>
      <c r="O490" s="99"/>
      <c r="P490" s="99"/>
      <c r="Q490" s="99"/>
      <c r="R490" s="99"/>
    </row>
    <row r="491">
      <c r="A491" s="99"/>
      <c r="B491" s="99"/>
      <c r="C491" s="99"/>
      <c r="D491" s="99"/>
      <c r="E491" s="99"/>
      <c r="F491" s="99"/>
      <c r="G491" s="99"/>
      <c r="H491" s="99"/>
      <c r="I491" s="99"/>
      <c r="J491" s="99"/>
      <c r="K491" s="99"/>
      <c r="L491" s="99"/>
      <c r="M491" s="99"/>
      <c r="N491" s="99"/>
      <c r="O491" s="99"/>
      <c r="P491" s="99"/>
      <c r="Q491" s="99"/>
      <c r="R491" s="99"/>
    </row>
    <row r="492">
      <c r="A492" s="99"/>
      <c r="B492" s="99"/>
      <c r="C492" s="99"/>
      <c r="D492" s="99"/>
      <c r="E492" s="99"/>
      <c r="F492" s="99"/>
      <c r="G492" s="99"/>
      <c r="H492" s="99"/>
      <c r="I492" s="99"/>
      <c r="J492" s="99"/>
      <c r="K492" s="99"/>
      <c r="L492" s="99"/>
      <c r="M492" s="99"/>
      <c r="N492" s="99"/>
      <c r="O492" s="99"/>
      <c r="P492" s="99"/>
      <c r="Q492" s="99"/>
      <c r="R492" s="99"/>
    </row>
    <row r="493">
      <c r="A493" s="99"/>
      <c r="B493" s="99"/>
      <c r="C493" s="99"/>
      <c r="D493" s="99"/>
      <c r="E493" s="99"/>
      <c r="F493" s="99"/>
      <c r="G493" s="99"/>
      <c r="H493" s="99"/>
      <c r="I493" s="99"/>
      <c r="J493" s="99"/>
      <c r="K493" s="99"/>
      <c r="L493" s="99"/>
      <c r="M493" s="99"/>
      <c r="N493" s="99"/>
      <c r="O493" s="99"/>
      <c r="P493" s="99"/>
      <c r="Q493" s="99"/>
      <c r="R493" s="99"/>
    </row>
    <row r="494">
      <c r="A494" s="99"/>
      <c r="B494" s="99"/>
      <c r="C494" s="99"/>
      <c r="D494" s="99"/>
      <c r="E494" s="99"/>
      <c r="F494" s="99"/>
      <c r="G494" s="99"/>
      <c r="H494" s="99"/>
      <c r="I494" s="99"/>
      <c r="J494" s="99"/>
      <c r="K494" s="99"/>
      <c r="L494" s="99"/>
      <c r="M494" s="99"/>
      <c r="N494" s="99"/>
      <c r="O494" s="99"/>
      <c r="P494" s="99"/>
      <c r="Q494" s="99"/>
      <c r="R494" s="99"/>
    </row>
    <row r="495">
      <c r="A495" s="99"/>
      <c r="B495" s="99"/>
      <c r="C495" s="99"/>
      <c r="D495" s="99"/>
      <c r="E495" s="99"/>
      <c r="F495" s="99"/>
      <c r="G495" s="99"/>
      <c r="H495" s="99"/>
      <c r="I495" s="99"/>
      <c r="J495" s="99"/>
      <c r="K495" s="99"/>
      <c r="L495" s="99"/>
      <c r="M495" s="99"/>
      <c r="N495" s="99"/>
      <c r="O495" s="99"/>
      <c r="P495" s="99"/>
      <c r="Q495" s="99"/>
      <c r="R495" s="99"/>
    </row>
    <row r="496">
      <c r="A496" s="99"/>
      <c r="B496" s="99"/>
      <c r="C496" s="99"/>
      <c r="D496" s="99"/>
      <c r="E496" s="99"/>
      <c r="F496" s="99"/>
      <c r="G496" s="99"/>
      <c r="H496" s="99"/>
      <c r="I496" s="99"/>
      <c r="J496" s="99"/>
      <c r="K496" s="99"/>
      <c r="L496" s="99"/>
      <c r="M496" s="99"/>
      <c r="N496" s="99"/>
      <c r="O496" s="99"/>
      <c r="P496" s="99"/>
      <c r="Q496" s="99"/>
      <c r="R496" s="99"/>
    </row>
    <row r="497">
      <c r="A497" s="99"/>
      <c r="B497" s="99"/>
      <c r="C497" s="99"/>
      <c r="D497" s="99"/>
      <c r="E497" s="99"/>
      <c r="F497" s="99"/>
      <c r="G497" s="99"/>
      <c r="H497" s="99"/>
      <c r="I497" s="99"/>
      <c r="J497" s="99"/>
      <c r="K497" s="99"/>
      <c r="L497" s="99"/>
      <c r="M497" s="99"/>
      <c r="N497" s="99"/>
      <c r="O497" s="99"/>
      <c r="P497" s="99"/>
      <c r="Q497" s="99"/>
      <c r="R497" s="99"/>
    </row>
    <row r="498">
      <c r="A498" s="99"/>
      <c r="B498" s="99"/>
      <c r="C498" s="99"/>
      <c r="D498" s="99"/>
      <c r="E498" s="99"/>
      <c r="F498" s="99"/>
      <c r="G498" s="99"/>
      <c r="H498" s="99"/>
      <c r="I498" s="99"/>
      <c r="J498" s="99"/>
      <c r="K498" s="99"/>
      <c r="L498" s="99"/>
      <c r="M498" s="99"/>
      <c r="N498" s="99"/>
      <c r="O498" s="99"/>
      <c r="P498" s="99"/>
      <c r="Q498" s="99"/>
      <c r="R498" s="99"/>
    </row>
    <row r="499">
      <c r="A499" s="99"/>
      <c r="B499" s="99"/>
      <c r="C499" s="99"/>
      <c r="D499" s="99"/>
      <c r="E499" s="99"/>
      <c r="F499" s="99"/>
      <c r="G499" s="99"/>
      <c r="H499" s="99"/>
      <c r="I499" s="99"/>
      <c r="J499" s="99"/>
      <c r="K499" s="99"/>
      <c r="L499" s="99"/>
      <c r="M499" s="99"/>
      <c r="N499" s="99"/>
      <c r="O499" s="99"/>
      <c r="P499" s="99"/>
      <c r="Q499" s="99"/>
      <c r="R499" s="99"/>
    </row>
    <row r="500">
      <c r="A500" s="99"/>
      <c r="B500" s="99"/>
      <c r="C500" s="99"/>
      <c r="D500" s="99"/>
      <c r="E500" s="99"/>
      <c r="F500" s="99"/>
      <c r="G500" s="99"/>
      <c r="H500" s="99"/>
      <c r="I500" s="99"/>
      <c r="J500" s="99"/>
      <c r="K500" s="99"/>
      <c r="L500" s="99"/>
      <c r="M500" s="99"/>
      <c r="N500" s="99"/>
      <c r="O500" s="99"/>
      <c r="P500" s="99"/>
      <c r="Q500" s="99"/>
      <c r="R500" s="99"/>
    </row>
    <row r="501">
      <c r="A501" s="99"/>
      <c r="B501" s="99"/>
      <c r="C501" s="99"/>
      <c r="D501" s="99"/>
      <c r="E501" s="99"/>
      <c r="F501" s="99"/>
      <c r="G501" s="99"/>
      <c r="H501" s="99"/>
      <c r="I501" s="99"/>
      <c r="J501" s="99"/>
      <c r="K501" s="99"/>
      <c r="L501" s="99"/>
      <c r="M501" s="99"/>
      <c r="N501" s="99"/>
      <c r="O501" s="99"/>
      <c r="P501" s="99"/>
      <c r="Q501" s="99"/>
      <c r="R501" s="99"/>
    </row>
    <row r="502">
      <c r="A502" s="99"/>
      <c r="B502" s="99"/>
      <c r="C502" s="99"/>
      <c r="D502" s="99"/>
      <c r="E502" s="99"/>
      <c r="F502" s="99"/>
      <c r="G502" s="99"/>
      <c r="H502" s="99"/>
      <c r="I502" s="99"/>
      <c r="J502" s="99"/>
      <c r="K502" s="99"/>
      <c r="L502" s="99"/>
      <c r="M502" s="99"/>
      <c r="N502" s="99"/>
      <c r="O502" s="99"/>
      <c r="P502" s="99"/>
      <c r="Q502" s="99"/>
      <c r="R502" s="99"/>
    </row>
    <row r="503">
      <c r="A503" s="99"/>
      <c r="B503" s="99"/>
      <c r="C503" s="99"/>
      <c r="D503" s="99"/>
      <c r="E503" s="99"/>
      <c r="F503" s="99"/>
      <c r="G503" s="99"/>
      <c r="H503" s="99"/>
      <c r="I503" s="99"/>
      <c r="J503" s="99"/>
      <c r="K503" s="99"/>
      <c r="L503" s="99"/>
      <c r="M503" s="99"/>
      <c r="N503" s="99"/>
      <c r="O503" s="99"/>
      <c r="P503" s="99"/>
      <c r="Q503" s="99"/>
      <c r="R503" s="99"/>
    </row>
    <row r="504">
      <c r="A504" s="99"/>
      <c r="B504" s="99"/>
      <c r="C504" s="99"/>
      <c r="D504" s="99"/>
      <c r="E504" s="99"/>
      <c r="F504" s="99"/>
      <c r="G504" s="99"/>
      <c r="H504" s="99"/>
      <c r="I504" s="99"/>
      <c r="J504" s="99"/>
      <c r="K504" s="99"/>
      <c r="L504" s="99"/>
      <c r="M504" s="99"/>
      <c r="N504" s="99"/>
      <c r="O504" s="99"/>
      <c r="P504" s="99"/>
      <c r="Q504" s="99"/>
      <c r="R504" s="99"/>
    </row>
    <row r="505">
      <c r="A505" s="99"/>
      <c r="B505" s="99"/>
      <c r="C505" s="99"/>
      <c r="D505" s="99"/>
      <c r="E505" s="99"/>
      <c r="F505" s="99"/>
      <c r="G505" s="99"/>
      <c r="H505" s="99"/>
      <c r="I505" s="99"/>
      <c r="J505" s="99"/>
      <c r="K505" s="99"/>
      <c r="L505" s="99"/>
      <c r="M505" s="99"/>
      <c r="N505" s="99"/>
      <c r="O505" s="99"/>
      <c r="P505" s="99"/>
      <c r="Q505" s="99"/>
      <c r="R505" s="99"/>
    </row>
    <row r="506">
      <c r="A506" s="99"/>
      <c r="B506" s="99"/>
      <c r="C506" s="99"/>
      <c r="D506" s="99"/>
      <c r="E506" s="99"/>
      <c r="F506" s="99"/>
      <c r="G506" s="99"/>
      <c r="H506" s="99"/>
      <c r="I506" s="99"/>
      <c r="J506" s="99"/>
      <c r="K506" s="99"/>
      <c r="L506" s="99"/>
      <c r="M506" s="99"/>
      <c r="N506" s="99"/>
      <c r="O506" s="99"/>
      <c r="P506" s="99"/>
      <c r="Q506" s="99"/>
      <c r="R506" s="99"/>
    </row>
    <row r="507">
      <c r="A507" s="99"/>
      <c r="B507" s="99"/>
      <c r="C507" s="99"/>
      <c r="D507" s="99"/>
      <c r="E507" s="99"/>
      <c r="F507" s="99"/>
      <c r="G507" s="99"/>
      <c r="H507" s="99"/>
      <c r="I507" s="99"/>
      <c r="J507" s="99"/>
      <c r="K507" s="99"/>
      <c r="L507" s="99"/>
      <c r="M507" s="99"/>
      <c r="N507" s="99"/>
      <c r="O507" s="99"/>
      <c r="P507" s="99"/>
      <c r="Q507" s="99"/>
      <c r="R507" s="99"/>
    </row>
    <row r="508">
      <c r="A508" s="99"/>
      <c r="B508" s="99"/>
      <c r="C508" s="99"/>
      <c r="D508" s="99"/>
      <c r="E508" s="99"/>
      <c r="F508" s="99"/>
      <c r="G508" s="99"/>
      <c r="H508" s="99"/>
      <c r="I508" s="99"/>
      <c r="J508" s="99"/>
      <c r="K508" s="99"/>
      <c r="L508" s="99"/>
      <c r="M508" s="99"/>
      <c r="N508" s="99"/>
      <c r="O508" s="99"/>
      <c r="P508" s="99"/>
      <c r="Q508" s="99"/>
      <c r="R508" s="99"/>
    </row>
    <row r="509">
      <c r="A509" s="99"/>
      <c r="B509" s="99"/>
      <c r="C509" s="99"/>
      <c r="D509" s="99"/>
      <c r="E509" s="99"/>
      <c r="F509" s="99"/>
      <c r="G509" s="99"/>
      <c r="H509" s="99"/>
      <c r="I509" s="99"/>
      <c r="J509" s="99"/>
      <c r="K509" s="99"/>
      <c r="L509" s="99"/>
      <c r="M509" s="99"/>
      <c r="N509" s="99"/>
      <c r="O509" s="99"/>
      <c r="P509" s="99"/>
      <c r="Q509" s="99"/>
      <c r="R509" s="99"/>
    </row>
    <row r="510">
      <c r="A510" s="99"/>
      <c r="B510" s="99"/>
      <c r="C510" s="99"/>
      <c r="D510" s="99"/>
      <c r="E510" s="99"/>
      <c r="F510" s="99"/>
      <c r="G510" s="99"/>
      <c r="H510" s="99"/>
      <c r="I510" s="99"/>
      <c r="J510" s="99"/>
      <c r="K510" s="99"/>
      <c r="L510" s="99"/>
      <c r="M510" s="99"/>
      <c r="N510" s="99"/>
      <c r="O510" s="99"/>
      <c r="P510" s="99"/>
      <c r="Q510" s="99"/>
      <c r="R510" s="99"/>
    </row>
    <row r="511">
      <c r="A511" s="99"/>
      <c r="B511" s="99"/>
      <c r="C511" s="99"/>
      <c r="D511" s="99"/>
      <c r="E511" s="99"/>
      <c r="F511" s="99"/>
      <c r="G511" s="99"/>
      <c r="H511" s="99"/>
      <c r="I511" s="99"/>
      <c r="J511" s="99"/>
      <c r="K511" s="99"/>
      <c r="L511" s="99"/>
      <c r="M511" s="99"/>
      <c r="N511" s="99"/>
      <c r="O511" s="99"/>
      <c r="P511" s="99"/>
      <c r="Q511" s="99"/>
      <c r="R511" s="99"/>
    </row>
    <row r="512">
      <c r="A512" s="99"/>
      <c r="B512" s="99"/>
      <c r="C512" s="99"/>
      <c r="D512" s="99"/>
      <c r="E512" s="99"/>
      <c r="F512" s="99"/>
      <c r="G512" s="99"/>
      <c r="H512" s="99"/>
      <c r="I512" s="99"/>
      <c r="J512" s="99"/>
      <c r="K512" s="99"/>
      <c r="L512" s="99"/>
      <c r="M512" s="99"/>
      <c r="N512" s="99"/>
      <c r="O512" s="99"/>
      <c r="P512" s="99"/>
      <c r="Q512" s="99"/>
      <c r="R512" s="99"/>
    </row>
    <row r="513">
      <c r="A513" s="99"/>
      <c r="B513" s="99"/>
      <c r="C513" s="99"/>
      <c r="D513" s="99"/>
      <c r="E513" s="99"/>
      <c r="F513" s="99"/>
      <c r="G513" s="99"/>
      <c r="H513" s="99"/>
      <c r="I513" s="99"/>
      <c r="J513" s="99"/>
      <c r="K513" s="99"/>
      <c r="L513" s="99"/>
      <c r="M513" s="99"/>
      <c r="N513" s="99"/>
      <c r="O513" s="99"/>
      <c r="P513" s="99"/>
      <c r="Q513" s="99"/>
      <c r="R513" s="99"/>
    </row>
    <row r="514">
      <c r="A514" s="99"/>
      <c r="B514" s="99"/>
      <c r="C514" s="99"/>
      <c r="D514" s="99"/>
      <c r="E514" s="99"/>
      <c r="F514" s="99"/>
      <c r="G514" s="99"/>
      <c r="H514" s="99"/>
      <c r="I514" s="99"/>
      <c r="J514" s="99"/>
      <c r="K514" s="99"/>
      <c r="L514" s="99"/>
      <c r="M514" s="99"/>
      <c r="N514" s="99"/>
      <c r="O514" s="99"/>
      <c r="P514" s="99"/>
      <c r="Q514" s="99"/>
      <c r="R514" s="99"/>
    </row>
    <row r="515">
      <c r="A515" s="99"/>
      <c r="B515" s="99"/>
      <c r="C515" s="99"/>
      <c r="D515" s="99"/>
      <c r="E515" s="99"/>
      <c r="F515" s="99"/>
      <c r="G515" s="99"/>
      <c r="H515" s="99"/>
      <c r="I515" s="99"/>
      <c r="J515" s="99"/>
      <c r="K515" s="99"/>
      <c r="L515" s="99"/>
      <c r="M515" s="99"/>
      <c r="N515" s="99"/>
      <c r="O515" s="99"/>
      <c r="P515" s="99"/>
      <c r="Q515" s="99"/>
      <c r="R515" s="99"/>
    </row>
    <row r="516">
      <c r="A516" s="99"/>
      <c r="B516" s="99"/>
      <c r="C516" s="99"/>
      <c r="D516" s="99"/>
      <c r="E516" s="99"/>
      <c r="F516" s="99"/>
      <c r="G516" s="99"/>
      <c r="H516" s="99"/>
      <c r="I516" s="99"/>
      <c r="J516" s="99"/>
      <c r="K516" s="99"/>
      <c r="L516" s="99"/>
      <c r="M516" s="99"/>
      <c r="N516" s="99"/>
      <c r="O516" s="99"/>
      <c r="P516" s="99"/>
      <c r="Q516" s="99"/>
      <c r="R516" s="99"/>
    </row>
    <row r="517">
      <c r="A517" s="99"/>
      <c r="B517" s="99"/>
      <c r="C517" s="99"/>
      <c r="D517" s="99"/>
      <c r="E517" s="99"/>
      <c r="F517" s="99"/>
      <c r="G517" s="99"/>
      <c r="H517" s="99"/>
      <c r="I517" s="99"/>
      <c r="J517" s="99"/>
      <c r="K517" s="99"/>
      <c r="L517" s="99"/>
      <c r="M517" s="99"/>
      <c r="N517" s="99"/>
      <c r="O517" s="99"/>
      <c r="P517" s="99"/>
      <c r="Q517" s="99"/>
      <c r="R517" s="99"/>
    </row>
    <row r="518">
      <c r="A518" s="99"/>
      <c r="B518" s="99"/>
      <c r="C518" s="99"/>
      <c r="D518" s="99"/>
      <c r="E518" s="99"/>
      <c r="F518" s="99"/>
      <c r="G518" s="99"/>
      <c r="H518" s="99"/>
      <c r="I518" s="99"/>
      <c r="J518" s="99"/>
      <c r="K518" s="99"/>
      <c r="L518" s="99"/>
      <c r="M518" s="99"/>
      <c r="N518" s="99"/>
      <c r="O518" s="99"/>
      <c r="P518" s="99"/>
      <c r="Q518" s="99"/>
      <c r="R518" s="99"/>
    </row>
    <row r="519">
      <c r="A519" s="99"/>
      <c r="B519" s="99"/>
      <c r="C519" s="99"/>
      <c r="D519" s="99"/>
      <c r="E519" s="99"/>
      <c r="F519" s="99"/>
      <c r="G519" s="99"/>
      <c r="H519" s="99"/>
      <c r="I519" s="99"/>
      <c r="J519" s="99"/>
      <c r="K519" s="99"/>
      <c r="L519" s="99"/>
      <c r="M519" s="99"/>
      <c r="N519" s="99"/>
      <c r="O519" s="99"/>
      <c r="P519" s="99"/>
      <c r="Q519" s="99"/>
      <c r="R519" s="99"/>
    </row>
    <row r="520">
      <c r="A520" s="99"/>
      <c r="B520" s="99"/>
      <c r="C520" s="99"/>
      <c r="D520" s="99"/>
      <c r="E520" s="99"/>
      <c r="F520" s="99"/>
      <c r="G520" s="99"/>
      <c r="H520" s="99"/>
      <c r="I520" s="99"/>
      <c r="J520" s="99"/>
      <c r="K520" s="99"/>
      <c r="L520" s="99"/>
      <c r="M520" s="99"/>
      <c r="N520" s="99"/>
      <c r="O520" s="99"/>
      <c r="P520" s="99"/>
      <c r="Q520" s="99"/>
      <c r="R520" s="99"/>
    </row>
    <row r="521">
      <c r="A521" s="99"/>
      <c r="B521" s="99"/>
      <c r="C521" s="99"/>
      <c r="D521" s="99"/>
      <c r="E521" s="99"/>
      <c r="F521" s="99"/>
      <c r="G521" s="99"/>
      <c r="H521" s="99"/>
      <c r="I521" s="99"/>
      <c r="J521" s="99"/>
      <c r="K521" s="99"/>
      <c r="L521" s="99"/>
      <c r="M521" s="99"/>
      <c r="N521" s="99"/>
      <c r="O521" s="99"/>
      <c r="P521" s="99"/>
      <c r="Q521" s="99"/>
      <c r="R521" s="99"/>
    </row>
    <row r="522">
      <c r="A522" s="99"/>
      <c r="B522" s="99"/>
      <c r="C522" s="99"/>
      <c r="D522" s="99"/>
      <c r="E522" s="99"/>
      <c r="F522" s="99"/>
      <c r="G522" s="99"/>
      <c r="H522" s="99"/>
      <c r="I522" s="99"/>
      <c r="J522" s="99"/>
      <c r="K522" s="99"/>
      <c r="L522" s="99"/>
      <c r="M522" s="99"/>
      <c r="N522" s="99"/>
      <c r="O522" s="99"/>
      <c r="P522" s="99"/>
      <c r="Q522" s="99"/>
      <c r="R522" s="99"/>
    </row>
    <row r="523">
      <c r="A523" s="99"/>
      <c r="B523" s="99"/>
      <c r="C523" s="99"/>
      <c r="D523" s="99"/>
      <c r="E523" s="99"/>
      <c r="F523" s="99"/>
      <c r="G523" s="99"/>
      <c r="H523" s="99"/>
      <c r="I523" s="99"/>
      <c r="J523" s="99"/>
      <c r="K523" s="99"/>
      <c r="L523" s="99"/>
      <c r="M523" s="99"/>
      <c r="N523" s="99"/>
      <c r="O523" s="99"/>
      <c r="P523" s="99"/>
      <c r="Q523" s="99"/>
      <c r="R523" s="99"/>
    </row>
    <row r="524">
      <c r="A524" s="99"/>
      <c r="B524" s="99"/>
      <c r="C524" s="99"/>
      <c r="D524" s="99"/>
      <c r="E524" s="99"/>
      <c r="F524" s="99"/>
      <c r="G524" s="99"/>
      <c r="H524" s="99"/>
      <c r="I524" s="99"/>
      <c r="J524" s="99"/>
      <c r="K524" s="99"/>
      <c r="L524" s="99"/>
      <c r="M524" s="99"/>
      <c r="N524" s="99"/>
      <c r="O524" s="99"/>
      <c r="P524" s="99"/>
      <c r="Q524" s="99"/>
      <c r="R524" s="99"/>
    </row>
    <row r="525">
      <c r="A525" s="99"/>
      <c r="B525" s="99"/>
      <c r="C525" s="99"/>
      <c r="D525" s="99"/>
      <c r="E525" s="99"/>
      <c r="F525" s="99"/>
      <c r="G525" s="99"/>
      <c r="H525" s="99"/>
      <c r="I525" s="99"/>
      <c r="J525" s="99"/>
      <c r="K525" s="99"/>
      <c r="L525" s="99"/>
      <c r="M525" s="99"/>
      <c r="N525" s="99"/>
      <c r="O525" s="99"/>
      <c r="P525" s="99"/>
      <c r="Q525" s="99"/>
      <c r="R525" s="99"/>
    </row>
    <row r="526">
      <c r="A526" s="99"/>
      <c r="B526" s="99"/>
      <c r="C526" s="99"/>
      <c r="D526" s="99"/>
      <c r="E526" s="99"/>
      <c r="F526" s="99"/>
      <c r="G526" s="99"/>
      <c r="H526" s="99"/>
      <c r="I526" s="99"/>
      <c r="J526" s="99"/>
      <c r="K526" s="99"/>
      <c r="L526" s="99"/>
      <c r="M526" s="99"/>
      <c r="N526" s="99"/>
      <c r="O526" s="99"/>
      <c r="P526" s="99"/>
      <c r="Q526" s="99"/>
      <c r="R526" s="99"/>
    </row>
    <row r="527">
      <c r="A527" s="99"/>
      <c r="B527" s="99"/>
      <c r="C527" s="99"/>
      <c r="D527" s="99"/>
      <c r="E527" s="99"/>
      <c r="F527" s="99"/>
      <c r="G527" s="99"/>
      <c r="H527" s="99"/>
      <c r="I527" s="99"/>
      <c r="J527" s="99"/>
      <c r="K527" s="99"/>
      <c r="L527" s="99"/>
      <c r="M527" s="99"/>
      <c r="N527" s="99"/>
      <c r="O527" s="99"/>
      <c r="P527" s="99"/>
      <c r="Q527" s="99"/>
      <c r="R527" s="99"/>
    </row>
    <row r="528">
      <c r="A528" s="99"/>
      <c r="B528" s="99"/>
      <c r="C528" s="99"/>
      <c r="D528" s="99"/>
      <c r="E528" s="99"/>
      <c r="F528" s="99"/>
      <c r="G528" s="99"/>
      <c r="H528" s="99"/>
      <c r="I528" s="99"/>
      <c r="J528" s="99"/>
      <c r="K528" s="99"/>
      <c r="L528" s="99"/>
      <c r="M528" s="99"/>
      <c r="N528" s="99"/>
      <c r="O528" s="99"/>
      <c r="P528" s="99"/>
      <c r="Q528" s="99"/>
      <c r="R528" s="99"/>
    </row>
    <row r="529">
      <c r="A529" s="99"/>
      <c r="B529" s="99"/>
      <c r="C529" s="99"/>
      <c r="D529" s="99"/>
      <c r="E529" s="99"/>
      <c r="F529" s="99"/>
      <c r="G529" s="99"/>
      <c r="H529" s="99"/>
      <c r="I529" s="99"/>
      <c r="J529" s="99"/>
      <c r="K529" s="99"/>
      <c r="L529" s="99"/>
      <c r="M529" s="99"/>
      <c r="N529" s="99"/>
      <c r="O529" s="99"/>
      <c r="P529" s="99"/>
      <c r="Q529" s="99"/>
      <c r="R529" s="99"/>
    </row>
    <row r="530">
      <c r="A530" s="99"/>
      <c r="B530" s="99"/>
      <c r="C530" s="99"/>
      <c r="D530" s="99"/>
      <c r="E530" s="99"/>
      <c r="F530" s="99"/>
      <c r="G530" s="99"/>
      <c r="H530" s="99"/>
      <c r="I530" s="99"/>
      <c r="J530" s="99"/>
      <c r="K530" s="99"/>
      <c r="L530" s="99"/>
      <c r="M530" s="99"/>
      <c r="N530" s="99"/>
      <c r="O530" s="99"/>
      <c r="P530" s="99"/>
      <c r="Q530" s="99"/>
      <c r="R530" s="99"/>
    </row>
    <row r="531">
      <c r="A531" s="99"/>
      <c r="B531" s="99"/>
      <c r="C531" s="99"/>
      <c r="D531" s="99"/>
      <c r="E531" s="99"/>
      <c r="F531" s="99"/>
      <c r="G531" s="99"/>
      <c r="H531" s="99"/>
      <c r="I531" s="99"/>
      <c r="J531" s="99"/>
      <c r="K531" s="99"/>
      <c r="L531" s="99"/>
      <c r="M531" s="99"/>
      <c r="N531" s="99"/>
      <c r="O531" s="99"/>
      <c r="P531" s="99"/>
      <c r="Q531" s="99"/>
      <c r="R531" s="99"/>
    </row>
    <row r="532">
      <c r="A532" s="99"/>
      <c r="B532" s="99"/>
      <c r="C532" s="99"/>
      <c r="D532" s="99"/>
      <c r="E532" s="99"/>
      <c r="F532" s="99"/>
      <c r="G532" s="99"/>
      <c r="H532" s="99"/>
      <c r="I532" s="99"/>
      <c r="J532" s="99"/>
      <c r="K532" s="99"/>
      <c r="L532" s="99"/>
      <c r="M532" s="99"/>
      <c r="N532" s="99"/>
      <c r="O532" s="99"/>
      <c r="P532" s="99"/>
      <c r="Q532" s="99"/>
      <c r="R532" s="99"/>
    </row>
    <row r="533">
      <c r="A533" s="99"/>
      <c r="B533" s="99"/>
      <c r="C533" s="99"/>
      <c r="D533" s="99"/>
      <c r="E533" s="99"/>
      <c r="F533" s="99"/>
      <c r="G533" s="99"/>
      <c r="H533" s="99"/>
      <c r="I533" s="99"/>
      <c r="J533" s="99"/>
      <c r="K533" s="99"/>
      <c r="L533" s="99"/>
      <c r="M533" s="99"/>
      <c r="N533" s="99"/>
      <c r="O533" s="99"/>
      <c r="P533" s="99"/>
      <c r="Q533" s="99"/>
      <c r="R533" s="99"/>
    </row>
    <row r="534">
      <c r="A534" s="99"/>
      <c r="B534" s="99"/>
      <c r="C534" s="99"/>
      <c r="D534" s="99"/>
      <c r="E534" s="99"/>
      <c r="F534" s="99"/>
      <c r="G534" s="99"/>
      <c r="H534" s="99"/>
      <c r="I534" s="99"/>
      <c r="J534" s="99"/>
      <c r="K534" s="99"/>
      <c r="L534" s="99"/>
      <c r="M534" s="99"/>
      <c r="N534" s="99"/>
      <c r="O534" s="99"/>
      <c r="P534" s="99"/>
      <c r="Q534" s="99"/>
      <c r="R534" s="99"/>
    </row>
    <row r="535">
      <c r="A535" s="99"/>
      <c r="B535" s="99"/>
      <c r="C535" s="99"/>
      <c r="D535" s="99"/>
      <c r="E535" s="99"/>
      <c r="F535" s="99"/>
      <c r="G535" s="99"/>
      <c r="H535" s="99"/>
      <c r="I535" s="99"/>
      <c r="J535" s="99"/>
      <c r="K535" s="99"/>
      <c r="L535" s="99"/>
      <c r="M535" s="99"/>
      <c r="N535" s="99"/>
      <c r="O535" s="99"/>
      <c r="P535" s="99"/>
      <c r="Q535" s="99"/>
      <c r="R535" s="99"/>
    </row>
    <row r="536">
      <c r="A536" s="99"/>
      <c r="B536" s="99"/>
      <c r="C536" s="99"/>
      <c r="D536" s="99"/>
      <c r="E536" s="99"/>
      <c r="F536" s="99"/>
      <c r="G536" s="99"/>
      <c r="H536" s="99"/>
      <c r="I536" s="99"/>
      <c r="J536" s="99"/>
      <c r="K536" s="99"/>
      <c r="L536" s="99"/>
      <c r="M536" s="99"/>
      <c r="N536" s="99"/>
      <c r="O536" s="99"/>
      <c r="P536" s="99"/>
      <c r="Q536" s="99"/>
      <c r="R536" s="99"/>
    </row>
    <row r="537">
      <c r="A537" s="99"/>
      <c r="B537" s="99"/>
      <c r="C537" s="99"/>
      <c r="D537" s="99"/>
      <c r="E537" s="99"/>
      <c r="F537" s="99"/>
      <c r="G537" s="99"/>
      <c r="H537" s="99"/>
      <c r="I537" s="99"/>
      <c r="J537" s="99"/>
      <c r="K537" s="99"/>
      <c r="L537" s="99"/>
      <c r="M537" s="99"/>
      <c r="N537" s="99"/>
      <c r="O537" s="99"/>
      <c r="P537" s="99"/>
      <c r="Q537" s="99"/>
      <c r="R537" s="99"/>
    </row>
    <row r="538">
      <c r="A538" s="99"/>
      <c r="B538" s="99"/>
      <c r="C538" s="99"/>
      <c r="D538" s="99"/>
      <c r="E538" s="99"/>
      <c r="F538" s="99"/>
      <c r="G538" s="99"/>
      <c r="H538" s="99"/>
      <c r="I538" s="99"/>
      <c r="J538" s="99"/>
      <c r="K538" s="99"/>
      <c r="L538" s="99"/>
      <c r="M538" s="99"/>
      <c r="N538" s="99"/>
      <c r="O538" s="99"/>
      <c r="P538" s="99"/>
      <c r="Q538" s="99"/>
      <c r="R538" s="99"/>
    </row>
    <row r="539">
      <c r="A539" s="99"/>
      <c r="B539" s="99"/>
      <c r="C539" s="99"/>
      <c r="D539" s="99"/>
      <c r="E539" s="99"/>
      <c r="F539" s="99"/>
      <c r="G539" s="99"/>
      <c r="H539" s="99"/>
      <c r="I539" s="99"/>
      <c r="J539" s="99"/>
      <c r="K539" s="99"/>
      <c r="L539" s="99"/>
      <c r="M539" s="99"/>
      <c r="N539" s="99"/>
      <c r="O539" s="99"/>
      <c r="P539" s="99"/>
      <c r="Q539" s="99"/>
      <c r="R539" s="99"/>
    </row>
    <row r="540">
      <c r="A540" s="99"/>
      <c r="B540" s="99"/>
      <c r="C540" s="99"/>
      <c r="D540" s="99"/>
      <c r="E540" s="99"/>
      <c r="F540" s="99"/>
      <c r="G540" s="99"/>
      <c r="H540" s="99"/>
      <c r="I540" s="99"/>
      <c r="J540" s="99"/>
      <c r="K540" s="99"/>
      <c r="L540" s="99"/>
      <c r="M540" s="99"/>
      <c r="N540" s="99"/>
      <c r="O540" s="99"/>
      <c r="P540" s="99"/>
      <c r="Q540" s="99"/>
      <c r="R540" s="99"/>
    </row>
    <row r="541">
      <c r="A541" s="99"/>
      <c r="B541" s="99"/>
      <c r="C541" s="99"/>
      <c r="D541" s="99"/>
      <c r="E541" s="99"/>
      <c r="F541" s="99"/>
      <c r="G541" s="99"/>
      <c r="H541" s="99"/>
      <c r="I541" s="99"/>
      <c r="J541" s="99"/>
      <c r="K541" s="99"/>
      <c r="L541" s="99"/>
      <c r="M541" s="99"/>
      <c r="N541" s="99"/>
      <c r="O541" s="99"/>
      <c r="P541" s="99"/>
      <c r="Q541" s="99"/>
      <c r="R541" s="99"/>
    </row>
    <row r="542">
      <c r="A542" s="99"/>
      <c r="B542" s="99"/>
      <c r="C542" s="99"/>
      <c r="D542" s="99"/>
      <c r="E542" s="99"/>
      <c r="F542" s="99"/>
      <c r="G542" s="99"/>
      <c r="H542" s="99"/>
      <c r="I542" s="99"/>
      <c r="J542" s="99"/>
      <c r="K542" s="99"/>
      <c r="L542" s="99"/>
      <c r="M542" s="99"/>
      <c r="N542" s="99"/>
      <c r="O542" s="99"/>
      <c r="P542" s="99"/>
      <c r="Q542" s="99"/>
      <c r="R542" s="99"/>
    </row>
    <row r="543">
      <c r="A543" s="99"/>
      <c r="B543" s="99"/>
      <c r="C543" s="99"/>
      <c r="D543" s="99"/>
      <c r="E543" s="99"/>
      <c r="F543" s="99"/>
      <c r="G543" s="99"/>
      <c r="H543" s="99"/>
      <c r="I543" s="99"/>
      <c r="J543" s="99"/>
      <c r="K543" s="99"/>
      <c r="L543" s="99"/>
      <c r="M543" s="99"/>
      <c r="N543" s="99"/>
      <c r="O543" s="99"/>
      <c r="P543" s="99"/>
      <c r="Q543" s="99"/>
      <c r="R543" s="99"/>
    </row>
    <row r="544">
      <c r="A544" s="99"/>
      <c r="B544" s="99"/>
      <c r="C544" s="99"/>
      <c r="D544" s="99"/>
      <c r="E544" s="99"/>
      <c r="F544" s="99"/>
      <c r="G544" s="99"/>
      <c r="H544" s="99"/>
      <c r="I544" s="99"/>
      <c r="J544" s="99"/>
      <c r="K544" s="99"/>
      <c r="L544" s="99"/>
      <c r="M544" s="99"/>
      <c r="N544" s="99"/>
      <c r="O544" s="99"/>
      <c r="P544" s="99"/>
      <c r="Q544" s="99"/>
      <c r="R544" s="99"/>
    </row>
    <row r="545">
      <c r="A545" s="99"/>
      <c r="B545" s="99"/>
      <c r="C545" s="99"/>
      <c r="D545" s="99"/>
      <c r="E545" s="99"/>
      <c r="F545" s="99"/>
      <c r="G545" s="99"/>
      <c r="H545" s="99"/>
      <c r="I545" s="99"/>
      <c r="J545" s="99"/>
      <c r="K545" s="99"/>
      <c r="L545" s="99"/>
      <c r="M545" s="99"/>
      <c r="N545" s="99"/>
      <c r="O545" s="99"/>
      <c r="P545" s="99"/>
      <c r="Q545" s="99"/>
      <c r="R545" s="99"/>
    </row>
    <row r="546">
      <c r="A546" s="99"/>
      <c r="B546" s="99"/>
      <c r="C546" s="99"/>
      <c r="D546" s="99"/>
      <c r="E546" s="99"/>
      <c r="F546" s="99"/>
      <c r="G546" s="99"/>
      <c r="H546" s="99"/>
      <c r="I546" s="99"/>
      <c r="J546" s="99"/>
      <c r="K546" s="99"/>
      <c r="L546" s="99"/>
      <c r="M546" s="99"/>
      <c r="N546" s="99"/>
      <c r="O546" s="99"/>
      <c r="P546" s="99"/>
      <c r="Q546" s="99"/>
      <c r="R546" s="99"/>
    </row>
    <row r="547">
      <c r="A547" s="99"/>
      <c r="B547" s="99"/>
      <c r="C547" s="99"/>
      <c r="D547" s="99"/>
      <c r="E547" s="99"/>
      <c r="F547" s="99"/>
      <c r="G547" s="99"/>
      <c r="H547" s="99"/>
      <c r="I547" s="99"/>
      <c r="J547" s="99"/>
      <c r="K547" s="99"/>
      <c r="L547" s="99"/>
      <c r="M547" s="99"/>
      <c r="N547" s="99"/>
      <c r="O547" s="99"/>
      <c r="P547" s="99"/>
      <c r="Q547" s="99"/>
      <c r="R547" s="99"/>
    </row>
    <row r="548">
      <c r="A548" s="99"/>
      <c r="B548" s="99"/>
      <c r="C548" s="99"/>
      <c r="D548" s="99"/>
      <c r="E548" s="99"/>
      <c r="F548" s="99"/>
      <c r="G548" s="99"/>
      <c r="H548" s="99"/>
      <c r="I548" s="99"/>
      <c r="J548" s="99"/>
      <c r="K548" s="99"/>
      <c r="L548" s="99"/>
      <c r="M548" s="99"/>
      <c r="N548" s="99"/>
      <c r="O548" s="99"/>
      <c r="P548" s="99"/>
      <c r="Q548" s="99"/>
      <c r="R548" s="99"/>
    </row>
    <row r="549">
      <c r="A549" s="99"/>
      <c r="B549" s="99"/>
      <c r="C549" s="99"/>
      <c r="D549" s="99"/>
      <c r="E549" s="99"/>
      <c r="F549" s="99"/>
      <c r="G549" s="99"/>
      <c r="H549" s="99"/>
      <c r="I549" s="99"/>
      <c r="J549" s="99"/>
      <c r="K549" s="99"/>
      <c r="L549" s="99"/>
      <c r="M549" s="99"/>
      <c r="N549" s="99"/>
      <c r="O549" s="99"/>
      <c r="P549" s="99"/>
      <c r="Q549" s="99"/>
      <c r="R549" s="99"/>
    </row>
    <row r="550">
      <c r="A550" s="99"/>
      <c r="B550" s="99"/>
      <c r="C550" s="99"/>
      <c r="D550" s="99"/>
      <c r="E550" s="99"/>
      <c r="F550" s="99"/>
      <c r="G550" s="99"/>
      <c r="H550" s="99"/>
      <c r="I550" s="99"/>
      <c r="J550" s="99"/>
      <c r="K550" s="99"/>
      <c r="L550" s="99"/>
      <c r="M550" s="99"/>
      <c r="N550" s="99"/>
      <c r="O550" s="99"/>
      <c r="P550" s="99"/>
      <c r="Q550" s="99"/>
      <c r="R550" s="99"/>
    </row>
    <row r="551">
      <c r="A551" s="99"/>
      <c r="B551" s="99"/>
      <c r="C551" s="99"/>
      <c r="D551" s="99"/>
      <c r="E551" s="99"/>
      <c r="F551" s="99"/>
      <c r="G551" s="99"/>
      <c r="H551" s="99"/>
      <c r="I551" s="99"/>
      <c r="J551" s="99"/>
      <c r="K551" s="99"/>
      <c r="L551" s="99"/>
      <c r="M551" s="99"/>
      <c r="N551" s="99"/>
      <c r="O551" s="99"/>
      <c r="P551" s="99"/>
      <c r="Q551" s="99"/>
      <c r="R551" s="99"/>
    </row>
    <row r="552">
      <c r="A552" s="99"/>
      <c r="B552" s="99"/>
      <c r="C552" s="99"/>
      <c r="D552" s="99"/>
      <c r="E552" s="99"/>
      <c r="F552" s="99"/>
      <c r="G552" s="99"/>
      <c r="H552" s="99"/>
      <c r="I552" s="99"/>
      <c r="J552" s="99"/>
      <c r="K552" s="99"/>
      <c r="L552" s="99"/>
      <c r="M552" s="99"/>
      <c r="N552" s="99"/>
      <c r="O552" s="99"/>
      <c r="P552" s="99"/>
      <c r="Q552" s="99"/>
      <c r="R552" s="99"/>
    </row>
    <row r="553">
      <c r="A553" s="99"/>
      <c r="B553" s="99"/>
      <c r="C553" s="99"/>
      <c r="D553" s="99"/>
      <c r="E553" s="99"/>
      <c r="F553" s="99"/>
      <c r="G553" s="99"/>
      <c r="H553" s="99"/>
      <c r="I553" s="99"/>
      <c r="J553" s="99"/>
      <c r="K553" s="99"/>
      <c r="L553" s="99"/>
      <c r="M553" s="99"/>
      <c r="N553" s="99"/>
      <c r="O553" s="99"/>
      <c r="P553" s="99"/>
      <c r="Q553" s="99"/>
      <c r="R553" s="99"/>
    </row>
    <row r="554">
      <c r="A554" s="99"/>
      <c r="B554" s="99"/>
      <c r="C554" s="99"/>
      <c r="D554" s="99"/>
      <c r="E554" s="99"/>
      <c r="F554" s="99"/>
      <c r="G554" s="99"/>
      <c r="H554" s="99"/>
      <c r="I554" s="99"/>
      <c r="J554" s="99"/>
      <c r="K554" s="99"/>
      <c r="L554" s="99"/>
      <c r="M554" s="99"/>
      <c r="N554" s="99"/>
      <c r="O554" s="99"/>
      <c r="P554" s="99"/>
      <c r="Q554" s="99"/>
      <c r="R554" s="99"/>
    </row>
    <row r="555">
      <c r="A555" s="99"/>
      <c r="B555" s="99"/>
      <c r="C555" s="99"/>
      <c r="D555" s="99"/>
      <c r="E555" s="99"/>
      <c r="F555" s="99"/>
      <c r="G555" s="99"/>
      <c r="H555" s="99"/>
      <c r="I555" s="99"/>
      <c r="J555" s="99"/>
      <c r="K555" s="99"/>
      <c r="L555" s="99"/>
      <c r="M555" s="99"/>
      <c r="N555" s="99"/>
      <c r="O555" s="99"/>
      <c r="P555" s="99"/>
      <c r="Q555" s="99"/>
      <c r="R555" s="99"/>
    </row>
    <row r="556">
      <c r="A556" s="99"/>
      <c r="B556" s="99"/>
      <c r="C556" s="99"/>
      <c r="D556" s="99"/>
      <c r="E556" s="99"/>
      <c r="F556" s="99"/>
      <c r="G556" s="99"/>
      <c r="H556" s="99"/>
      <c r="I556" s="99"/>
      <c r="J556" s="99"/>
      <c r="K556" s="99"/>
      <c r="L556" s="99"/>
      <c r="M556" s="99"/>
      <c r="N556" s="99"/>
      <c r="O556" s="99"/>
      <c r="P556" s="99"/>
      <c r="Q556" s="99"/>
      <c r="R556" s="99"/>
    </row>
    <row r="557">
      <c r="A557" s="99"/>
      <c r="B557" s="99"/>
      <c r="C557" s="99"/>
      <c r="D557" s="99"/>
      <c r="E557" s="99"/>
      <c r="F557" s="99"/>
      <c r="G557" s="99"/>
      <c r="H557" s="99"/>
      <c r="I557" s="99"/>
      <c r="J557" s="99"/>
      <c r="K557" s="99"/>
      <c r="L557" s="99"/>
      <c r="M557" s="99"/>
      <c r="N557" s="99"/>
      <c r="O557" s="99"/>
      <c r="P557" s="99"/>
      <c r="Q557" s="99"/>
      <c r="R557" s="99"/>
    </row>
    <row r="558">
      <c r="A558" s="99"/>
      <c r="B558" s="99"/>
      <c r="C558" s="99"/>
      <c r="D558" s="99"/>
      <c r="E558" s="99"/>
      <c r="F558" s="99"/>
      <c r="G558" s="99"/>
      <c r="H558" s="99"/>
      <c r="I558" s="99"/>
      <c r="J558" s="99"/>
      <c r="K558" s="99"/>
      <c r="L558" s="99"/>
      <c r="M558" s="99"/>
      <c r="N558" s="99"/>
      <c r="O558" s="99"/>
      <c r="P558" s="99"/>
      <c r="Q558" s="99"/>
      <c r="R558" s="99"/>
    </row>
    <row r="559">
      <c r="A559" s="99"/>
      <c r="B559" s="99"/>
      <c r="C559" s="99"/>
      <c r="D559" s="99"/>
      <c r="E559" s="99"/>
      <c r="F559" s="99"/>
      <c r="G559" s="99"/>
      <c r="H559" s="99"/>
      <c r="I559" s="99"/>
      <c r="J559" s="99"/>
      <c r="K559" s="99"/>
      <c r="L559" s="99"/>
      <c r="M559" s="99"/>
      <c r="N559" s="99"/>
      <c r="O559" s="99"/>
      <c r="P559" s="99"/>
      <c r="Q559" s="99"/>
      <c r="R559" s="99"/>
    </row>
    <row r="560">
      <c r="A560" s="99"/>
      <c r="B560" s="99"/>
      <c r="C560" s="99"/>
      <c r="D560" s="99"/>
      <c r="E560" s="99"/>
      <c r="F560" s="99"/>
      <c r="G560" s="99"/>
      <c r="H560" s="99"/>
      <c r="I560" s="99"/>
      <c r="J560" s="99"/>
      <c r="K560" s="99"/>
      <c r="L560" s="99"/>
      <c r="M560" s="99"/>
      <c r="N560" s="99"/>
      <c r="O560" s="99"/>
      <c r="P560" s="99"/>
      <c r="Q560" s="99"/>
      <c r="R560" s="99"/>
    </row>
    <row r="561">
      <c r="A561" s="99"/>
      <c r="B561" s="99"/>
      <c r="C561" s="99"/>
      <c r="D561" s="99"/>
      <c r="E561" s="99"/>
      <c r="F561" s="99"/>
      <c r="G561" s="99"/>
      <c r="H561" s="99"/>
      <c r="I561" s="99"/>
      <c r="J561" s="99"/>
      <c r="K561" s="99"/>
      <c r="L561" s="99"/>
      <c r="M561" s="99"/>
      <c r="N561" s="99"/>
      <c r="O561" s="99"/>
      <c r="P561" s="99"/>
      <c r="Q561" s="99"/>
      <c r="R561" s="99"/>
    </row>
    <row r="562">
      <c r="A562" s="99"/>
      <c r="B562" s="99"/>
      <c r="C562" s="99"/>
      <c r="D562" s="99"/>
      <c r="E562" s="99"/>
      <c r="F562" s="99"/>
      <c r="G562" s="99"/>
      <c r="H562" s="99"/>
      <c r="I562" s="99"/>
      <c r="J562" s="99"/>
      <c r="K562" s="99"/>
      <c r="L562" s="99"/>
      <c r="M562" s="99"/>
      <c r="N562" s="99"/>
      <c r="O562" s="99"/>
      <c r="P562" s="99"/>
      <c r="Q562" s="99"/>
      <c r="R562" s="99"/>
    </row>
    <row r="563">
      <c r="A563" s="99"/>
      <c r="B563" s="99"/>
      <c r="C563" s="99"/>
      <c r="D563" s="99"/>
      <c r="E563" s="99"/>
      <c r="F563" s="99"/>
      <c r="G563" s="99"/>
      <c r="H563" s="99"/>
      <c r="I563" s="99"/>
      <c r="J563" s="99"/>
      <c r="K563" s="99"/>
      <c r="L563" s="99"/>
      <c r="M563" s="99"/>
      <c r="N563" s="99"/>
      <c r="O563" s="99"/>
      <c r="P563" s="99"/>
      <c r="Q563" s="99"/>
      <c r="R563" s="99"/>
    </row>
    <row r="564">
      <c r="A564" s="99"/>
      <c r="B564" s="99"/>
      <c r="C564" s="99"/>
      <c r="D564" s="99"/>
      <c r="E564" s="99"/>
      <c r="F564" s="99"/>
      <c r="G564" s="99"/>
      <c r="H564" s="99"/>
      <c r="I564" s="99"/>
      <c r="J564" s="99"/>
      <c r="K564" s="99"/>
      <c r="L564" s="99"/>
      <c r="M564" s="99"/>
      <c r="N564" s="99"/>
      <c r="O564" s="99"/>
      <c r="P564" s="99"/>
      <c r="Q564" s="99"/>
      <c r="R564" s="99"/>
    </row>
    <row r="565">
      <c r="A565" s="99"/>
      <c r="B565" s="99"/>
      <c r="C565" s="99"/>
      <c r="D565" s="99"/>
      <c r="E565" s="99"/>
      <c r="F565" s="99"/>
      <c r="G565" s="99"/>
      <c r="H565" s="99"/>
      <c r="I565" s="99"/>
      <c r="J565" s="99"/>
      <c r="K565" s="99"/>
      <c r="L565" s="99"/>
      <c r="M565" s="99"/>
      <c r="N565" s="99"/>
      <c r="O565" s="99"/>
      <c r="P565" s="99"/>
      <c r="Q565" s="99"/>
      <c r="R565" s="99"/>
    </row>
    <row r="566">
      <c r="A566" s="99"/>
      <c r="B566" s="99"/>
      <c r="C566" s="99"/>
      <c r="D566" s="99"/>
      <c r="E566" s="99"/>
      <c r="F566" s="99"/>
      <c r="G566" s="99"/>
      <c r="H566" s="99"/>
      <c r="I566" s="99"/>
      <c r="J566" s="99"/>
      <c r="K566" s="99"/>
      <c r="L566" s="99"/>
      <c r="M566" s="99"/>
      <c r="N566" s="99"/>
      <c r="O566" s="99"/>
      <c r="P566" s="99"/>
      <c r="Q566" s="99"/>
      <c r="R566" s="99"/>
    </row>
    <row r="567">
      <c r="A567" s="99"/>
      <c r="B567" s="99"/>
      <c r="C567" s="99"/>
      <c r="D567" s="99"/>
      <c r="E567" s="99"/>
      <c r="F567" s="99"/>
      <c r="G567" s="99"/>
      <c r="H567" s="99"/>
      <c r="I567" s="99"/>
      <c r="J567" s="99"/>
      <c r="K567" s="99"/>
      <c r="L567" s="99"/>
      <c r="M567" s="99"/>
      <c r="N567" s="99"/>
      <c r="O567" s="99"/>
      <c r="P567" s="99"/>
      <c r="Q567" s="99"/>
      <c r="R567" s="99"/>
    </row>
    <row r="568">
      <c r="A568" s="99"/>
      <c r="B568" s="99"/>
      <c r="C568" s="99"/>
      <c r="D568" s="99"/>
      <c r="E568" s="99"/>
      <c r="F568" s="99"/>
      <c r="G568" s="99"/>
      <c r="H568" s="99"/>
      <c r="I568" s="99"/>
      <c r="J568" s="99"/>
      <c r="K568" s="99"/>
      <c r="L568" s="99"/>
      <c r="M568" s="99"/>
      <c r="N568" s="99"/>
      <c r="O568" s="99"/>
      <c r="P568" s="99"/>
      <c r="Q568" s="99"/>
      <c r="R568" s="99"/>
    </row>
    <row r="569">
      <c r="A569" s="99"/>
      <c r="B569" s="99"/>
      <c r="C569" s="99"/>
      <c r="D569" s="99"/>
      <c r="E569" s="99"/>
      <c r="F569" s="99"/>
      <c r="G569" s="99"/>
      <c r="H569" s="99"/>
      <c r="I569" s="99"/>
      <c r="J569" s="99"/>
      <c r="K569" s="99"/>
      <c r="L569" s="99"/>
      <c r="M569" s="99"/>
      <c r="N569" s="99"/>
      <c r="O569" s="99"/>
      <c r="P569" s="99"/>
      <c r="Q569" s="99"/>
      <c r="R569" s="99"/>
    </row>
    <row r="570">
      <c r="A570" s="99"/>
      <c r="B570" s="99"/>
      <c r="C570" s="99"/>
      <c r="D570" s="99"/>
      <c r="E570" s="99"/>
      <c r="F570" s="99"/>
      <c r="G570" s="99"/>
      <c r="H570" s="99"/>
      <c r="I570" s="99"/>
      <c r="J570" s="99"/>
      <c r="K570" s="99"/>
      <c r="L570" s="99"/>
      <c r="M570" s="99"/>
      <c r="N570" s="99"/>
      <c r="O570" s="99"/>
      <c r="P570" s="99"/>
      <c r="Q570" s="99"/>
      <c r="R570" s="99"/>
    </row>
    <row r="571">
      <c r="A571" s="99"/>
      <c r="B571" s="99"/>
      <c r="C571" s="99"/>
      <c r="D571" s="99"/>
      <c r="E571" s="99"/>
      <c r="F571" s="99"/>
      <c r="G571" s="99"/>
      <c r="H571" s="99"/>
      <c r="I571" s="99"/>
      <c r="J571" s="99"/>
      <c r="K571" s="99"/>
      <c r="L571" s="99"/>
      <c r="M571" s="99"/>
      <c r="N571" s="99"/>
      <c r="O571" s="99"/>
      <c r="P571" s="99"/>
      <c r="Q571" s="99"/>
      <c r="R571" s="99"/>
    </row>
    <row r="572">
      <c r="A572" s="99"/>
      <c r="B572" s="99"/>
      <c r="C572" s="99"/>
      <c r="D572" s="99"/>
      <c r="E572" s="99"/>
      <c r="F572" s="99"/>
      <c r="G572" s="99"/>
      <c r="H572" s="99"/>
      <c r="I572" s="99"/>
      <c r="J572" s="99"/>
      <c r="K572" s="99"/>
      <c r="L572" s="99"/>
      <c r="M572" s="99"/>
      <c r="N572" s="99"/>
      <c r="O572" s="99"/>
      <c r="P572" s="99"/>
      <c r="Q572" s="99"/>
      <c r="R572" s="99"/>
    </row>
    <row r="573">
      <c r="A573" s="99"/>
      <c r="B573" s="99"/>
      <c r="C573" s="99"/>
      <c r="D573" s="99"/>
      <c r="E573" s="99"/>
      <c r="F573" s="99"/>
      <c r="G573" s="99"/>
      <c r="H573" s="99"/>
      <c r="I573" s="99"/>
      <c r="J573" s="99"/>
      <c r="K573" s="99"/>
      <c r="L573" s="99"/>
      <c r="M573" s="99"/>
      <c r="N573" s="99"/>
      <c r="O573" s="99"/>
      <c r="P573" s="99"/>
      <c r="Q573" s="99"/>
      <c r="R573" s="99"/>
    </row>
    <row r="574">
      <c r="A574" s="99"/>
      <c r="B574" s="99"/>
      <c r="C574" s="99"/>
      <c r="D574" s="99"/>
      <c r="E574" s="99"/>
      <c r="F574" s="99"/>
      <c r="G574" s="99"/>
      <c r="H574" s="99"/>
      <c r="I574" s="99"/>
      <c r="J574" s="99"/>
      <c r="K574" s="99"/>
      <c r="L574" s="99"/>
      <c r="M574" s="99"/>
      <c r="N574" s="99"/>
      <c r="O574" s="99"/>
      <c r="P574" s="99"/>
      <c r="Q574" s="99"/>
      <c r="R574" s="99"/>
    </row>
    <row r="575">
      <c r="A575" s="99"/>
      <c r="B575" s="99"/>
      <c r="C575" s="99"/>
      <c r="D575" s="99"/>
      <c r="E575" s="99"/>
      <c r="F575" s="99"/>
      <c r="G575" s="99"/>
      <c r="H575" s="99"/>
      <c r="I575" s="99"/>
      <c r="J575" s="99"/>
      <c r="K575" s="99"/>
      <c r="L575" s="99"/>
      <c r="M575" s="99"/>
      <c r="N575" s="99"/>
      <c r="O575" s="99"/>
      <c r="P575" s="99"/>
      <c r="Q575" s="99"/>
      <c r="R575" s="99"/>
    </row>
    <row r="576">
      <c r="A576" s="99"/>
      <c r="B576" s="99"/>
      <c r="C576" s="99"/>
      <c r="D576" s="99"/>
      <c r="E576" s="99"/>
      <c r="F576" s="99"/>
      <c r="G576" s="99"/>
      <c r="H576" s="99"/>
      <c r="I576" s="99"/>
      <c r="J576" s="99"/>
      <c r="K576" s="99"/>
      <c r="L576" s="99"/>
      <c r="M576" s="99"/>
      <c r="N576" s="99"/>
      <c r="O576" s="99"/>
      <c r="P576" s="99"/>
      <c r="Q576" s="99"/>
      <c r="R576" s="99"/>
    </row>
    <row r="577">
      <c r="A577" s="99"/>
      <c r="B577" s="99"/>
      <c r="C577" s="99"/>
      <c r="D577" s="99"/>
      <c r="E577" s="99"/>
      <c r="F577" s="99"/>
      <c r="G577" s="99"/>
      <c r="H577" s="99"/>
      <c r="I577" s="99"/>
      <c r="J577" s="99"/>
      <c r="K577" s="99"/>
      <c r="L577" s="99"/>
      <c r="M577" s="99"/>
      <c r="N577" s="99"/>
      <c r="O577" s="99"/>
      <c r="P577" s="99"/>
      <c r="Q577" s="99"/>
      <c r="R577" s="99"/>
    </row>
    <row r="578">
      <c r="A578" s="99"/>
      <c r="B578" s="99"/>
      <c r="C578" s="99"/>
      <c r="D578" s="99"/>
      <c r="E578" s="99"/>
      <c r="F578" s="99"/>
      <c r="G578" s="99"/>
      <c r="H578" s="99"/>
      <c r="I578" s="99"/>
      <c r="J578" s="99"/>
      <c r="K578" s="99"/>
      <c r="L578" s="99"/>
      <c r="M578" s="99"/>
      <c r="N578" s="99"/>
      <c r="O578" s="99"/>
      <c r="P578" s="99"/>
      <c r="Q578" s="99"/>
      <c r="R578" s="99"/>
    </row>
    <row r="579">
      <c r="A579" s="99"/>
      <c r="B579" s="99"/>
      <c r="C579" s="99"/>
      <c r="D579" s="99"/>
      <c r="E579" s="99"/>
      <c r="F579" s="99"/>
      <c r="G579" s="99"/>
      <c r="H579" s="99"/>
      <c r="I579" s="99"/>
      <c r="J579" s="99"/>
      <c r="K579" s="99"/>
      <c r="L579" s="99"/>
      <c r="M579" s="99"/>
      <c r="N579" s="99"/>
      <c r="O579" s="99"/>
      <c r="P579" s="99"/>
      <c r="Q579" s="99"/>
      <c r="R579" s="99"/>
    </row>
    <row r="580">
      <c r="A580" s="99"/>
      <c r="B580" s="99"/>
      <c r="C580" s="99"/>
      <c r="D580" s="99"/>
      <c r="E580" s="99"/>
      <c r="F580" s="99"/>
      <c r="G580" s="99"/>
      <c r="H580" s="99"/>
      <c r="I580" s="99"/>
      <c r="J580" s="99"/>
      <c r="K580" s="99"/>
      <c r="L580" s="99"/>
      <c r="M580" s="99"/>
      <c r="N580" s="99"/>
      <c r="O580" s="99"/>
      <c r="P580" s="99"/>
      <c r="Q580" s="99"/>
      <c r="R580" s="99"/>
    </row>
    <row r="581">
      <c r="A581" s="99"/>
      <c r="B581" s="99"/>
      <c r="C581" s="99"/>
      <c r="D581" s="99"/>
      <c r="E581" s="99"/>
      <c r="F581" s="99"/>
      <c r="G581" s="99"/>
      <c r="H581" s="99"/>
      <c r="I581" s="99"/>
      <c r="J581" s="99"/>
      <c r="K581" s="99"/>
      <c r="L581" s="99"/>
      <c r="M581" s="99"/>
      <c r="N581" s="99"/>
      <c r="O581" s="99"/>
      <c r="P581" s="99"/>
      <c r="Q581" s="99"/>
      <c r="R581" s="99"/>
    </row>
    <row r="582">
      <c r="A582" s="99"/>
      <c r="B582" s="99"/>
      <c r="C582" s="99"/>
      <c r="D582" s="99"/>
      <c r="E582" s="99"/>
      <c r="F582" s="99"/>
      <c r="G582" s="99"/>
      <c r="H582" s="99"/>
      <c r="I582" s="99"/>
      <c r="J582" s="99"/>
      <c r="K582" s="99"/>
      <c r="L582" s="99"/>
      <c r="M582" s="99"/>
      <c r="N582" s="99"/>
      <c r="O582" s="99"/>
      <c r="P582" s="99"/>
      <c r="Q582" s="99"/>
      <c r="R582" s="99"/>
    </row>
    <row r="583">
      <c r="A583" s="99"/>
      <c r="B583" s="99"/>
      <c r="C583" s="99"/>
      <c r="D583" s="99"/>
      <c r="E583" s="99"/>
      <c r="F583" s="99"/>
      <c r="G583" s="99"/>
      <c r="H583" s="99"/>
      <c r="I583" s="99"/>
      <c r="J583" s="99"/>
      <c r="K583" s="99"/>
      <c r="L583" s="99"/>
      <c r="M583" s="99"/>
      <c r="N583" s="99"/>
      <c r="O583" s="99"/>
      <c r="P583" s="99"/>
      <c r="Q583" s="99"/>
      <c r="R583" s="99"/>
    </row>
    <row r="584">
      <c r="A584" s="99"/>
      <c r="B584" s="99"/>
      <c r="C584" s="99"/>
      <c r="D584" s="99"/>
      <c r="E584" s="99"/>
      <c r="F584" s="99"/>
      <c r="G584" s="99"/>
      <c r="H584" s="99"/>
      <c r="I584" s="99"/>
      <c r="J584" s="99"/>
      <c r="K584" s="99"/>
      <c r="L584" s="99"/>
      <c r="M584" s="99"/>
      <c r="N584" s="99"/>
      <c r="O584" s="99"/>
      <c r="P584" s="99"/>
      <c r="Q584" s="99"/>
      <c r="R584" s="99"/>
    </row>
    <row r="585">
      <c r="A585" s="99"/>
      <c r="B585" s="99"/>
      <c r="C585" s="99"/>
      <c r="D585" s="99"/>
      <c r="E585" s="99"/>
      <c r="F585" s="99"/>
      <c r="G585" s="99"/>
      <c r="H585" s="99"/>
      <c r="I585" s="99"/>
      <c r="J585" s="99"/>
      <c r="K585" s="99"/>
      <c r="L585" s="99"/>
      <c r="M585" s="99"/>
      <c r="N585" s="99"/>
      <c r="O585" s="99"/>
      <c r="P585" s="99"/>
      <c r="Q585" s="99"/>
      <c r="R585" s="99"/>
    </row>
    <row r="586">
      <c r="A586" s="99"/>
      <c r="B586" s="99"/>
      <c r="C586" s="99"/>
      <c r="D586" s="99"/>
      <c r="E586" s="99"/>
      <c r="F586" s="99"/>
      <c r="G586" s="99"/>
      <c r="H586" s="99"/>
      <c r="I586" s="99"/>
      <c r="J586" s="99"/>
      <c r="K586" s="99"/>
      <c r="L586" s="99"/>
      <c r="M586" s="99"/>
      <c r="N586" s="99"/>
      <c r="O586" s="99"/>
      <c r="P586" s="99"/>
      <c r="Q586" s="99"/>
      <c r="R586" s="99"/>
    </row>
    <row r="587">
      <c r="A587" s="99"/>
      <c r="B587" s="99"/>
      <c r="C587" s="99"/>
      <c r="D587" s="99"/>
      <c r="E587" s="99"/>
      <c r="F587" s="99"/>
      <c r="G587" s="99"/>
      <c r="H587" s="99"/>
      <c r="I587" s="99"/>
      <c r="J587" s="99"/>
      <c r="K587" s="99"/>
      <c r="L587" s="99"/>
      <c r="M587" s="99"/>
      <c r="N587" s="99"/>
      <c r="O587" s="99"/>
      <c r="P587" s="99"/>
      <c r="Q587" s="99"/>
      <c r="R587" s="99"/>
    </row>
    <row r="588">
      <c r="A588" s="99"/>
      <c r="B588" s="99"/>
      <c r="C588" s="99"/>
      <c r="D588" s="99"/>
      <c r="E588" s="99"/>
      <c r="F588" s="99"/>
      <c r="G588" s="99"/>
      <c r="H588" s="99"/>
      <c r="I588" s="99"/>
      <c r="J588" s="99"/>
      <c r="K588" s="99"/>
      <c r="L588" s="99"/>
      <c r="M588" s="99"/>
      <c r="N588" s="99"/>
      <c r="O588" s="99"/>
      <c r="P588" s="99"/>
      <c r="Q588" s="99"/>
      <c r="R588" s="99"/>
    </row>
    <row r="589">
      <c r="A589" s="99"/>
      <c r="B589" s="99"/>
      <c r="C589" s="99"/>
      <c r="D589" s="99"/>
      <c r="E589" s="99"/>
      <c r="F589" s="99"/>
      <c r="G589" s="99"/>
      <c r="H589" s="99"/>
      <c r="I589" s="99"/>
      <c r="J589" s="99"/>
      <c r="K589" s="99"/>
      <c r="L589" s="99"/>
      <c r="M589" s="99"/>
      <c r="N589" s="99"/>
      <c r="O589" s="99"/>
      <c r="P589" s="99"/>
      <c r="Q589" s="99"/>
      <c r="R589" s="99"/>
    </row>
    <row r="590">
      <c r="A590" s="99"/>
      <c r="B590" s="99"/>
      <c r="C590" s="99"/>
      <c r="D590" s="99"/>
      <c r="E590" s="99"/>
      <c r="F590" s="99"/>
      <c r="G590" s="99"/>
      <c r="H590" s="99"/>
      <c r="I590" s="99"/>
      <c r="J590" s="99"/>
      <c r="K590" s="99"/>
      <c r="L590" s="99"/>
      <c r="M590" s="99"/>
      <c r="N590" s="99"/>
      <c r="O590" s="99"/>
      <c r="P590" s="99"/>
      <c r="Q590" s="99"/>
      <c r="R590" s="99"/>
    </row>
    <row r="591">
      <c r="A591" s="99"/>
      <c r="B591" s="99"/>
      <c r="C591" s="99"/>
      <c r="D591" s="99"/>
      <c r="E591" s="99"/>
      <c r="F591" s="99"/>
      <c r="G591" s="99"/>
      <c r="H591" s="99"/>
      <c r="I591" s="99"/>
      <c r="J591" s="99"/>
      <c r="K591" s="99"/>
      <c r="L591" s="99"/>
      <c r="M591" s="99"/>
      <c r="N591" s="99"/>
      <c r="O591" s="99"/>
      <c r="P591" s="99"/>
      <c r="Q591" s="99"/>
      <c r="R591" s="99"/>
    </row>
    <row r="592">
      <c r="A592" s="99"/>
      <c r="B592" s="99"/>
      <c r="C592" s="99"/>
      <c r="D592" s="99"/>
      <c r="E592" s="99"/>
      <c r="F592" s="99"/>
      <c r="G592" s="99"/>
      <c r="H592" s="99"/>
      <c r="I592" s="99"/>
      <c r="J592" s="99"/>
      <c r="K592" s="99"/>
      <c r="L592" s="99"/>
      <c r="M592" s="99"/>
      <c r="N592" s="99"/>
      <c r="O592" s="99"/>
      <c r="P592" s="99"/>
      <c r="Q592" s="99"/>
      <c r="R592" s="99"/>
    </row>
    <row r="593">
      <c r="A593" s="99"/>
      <c r="B593" s="99"/>
      <c r="C593" s="99"/>
      <c r="D593" s="99"/>
      <c r="E593" s="99"/>
      <c r="F593" s="99"/>
      <c r="G593" s="99"/>
      <c r="H593" s="99"/>
      <c r="I593" s="99"/>
      <c r="J593" s="99"/>
      <c r="K593" s="99"/>
      <c r="L593" s="99"/>
      <c r="M593" s="99"/>
      <c r="N593" s="99"/>
      <c r="O593" s="99"/>
      <c r="P593" s="99"/>
      <c r="Q593" s="99"/>
      <c r="R593" s="99"/>
    </row>
    <row r="594">
      <c r="A594" s="99"/>
      <c r="B594" s="99"/>
      <c r="C594" s="99"/>
      <c r="D594" s="99"/>
      <c r="E594" s="99"/>
      <c r="F594" s="99"/>
      <c r="G594" s="99"/>
      <c r="H594" s="99"/>
      <c r="I594" s="99"/>
      <c r="J594" s="99"/>
      <c r="K594" s="99"/>
      <c r="L594" s="99"/>
      <c r="M594" s="99"/>
      <c r="N594" s="99"/>
      <c r="O594" s="99"/>
      <c r="P594" s="99"/>
      <c r="Q594" s="99"/>
      <c r="R594" s="99"/>
    </row>
    <row r="595">
      <c r="A595" s="99"/>
      <c r="B595" s="99"/>
      <c r="C595" s="99"/>
      <c r="D595" s="99"/>
      <c r="E595" s="99"/>
      <c r="F595" s="99"/>
      <c r="G595" s="99"/>
      <c r="H595" s="99"/>
      <c r="I595" s="99"/>
      <c r="J595" s="99"/>
      <c r="K595" s="99"/>
      <c r="L595" s="99"/>
      <c r="M595" s="99"/>
      <c r="N595" s="99"/>
      <c r="O595" s="99"/>
      <c r="P595" s="99"/>
      <c r="Q595" s="99"/>
      <c r="R595" s="99"/>
    </row>
    <row r="596">
      <c r="A596" s="99"/>
      <c r="B596" s="99"/>
      <c r="C596" s="99"/>
      <c r="D596" s="99"/>
      <c r="E596" s="99"/>
      <c r="F596" s="99"/>
      <c r="G596" s="99"/>
      <c r="H596" s="99"/>
      <c r="I596" s="99"/>
      <c r="J596" s="99"/>
      <c r="K596" s="99"/>
      <c r="L596" s="99"/>
      <c r="M596" s="99"/>
      <c r="N596" s="99"/>
      <c r="O596" s="99"/>
      <c r="P596" s="99"/>
      <c r="Q596" s="99"/>
      <c r="R596" s="99"/>
    </row>
    <row r="597">
      <c r="A597" s="99"/>
      <c r="B597" s="99"/>
      <c r="C597" s="99"/>
      <c r="D597" s="99"/>
      <c r="E597" s="99"/>
      <c r="F597" s="99"/>
      <c r="G597" s="99"/>
      <c r="H597" s="99"/>
      <c r="I597" s="99"/>
      <c r="J597" s="99"/>
      <c r="K597" s="99"/>
      <c r="L597" s="99"/>
      <c r="M597" s="99"/>
      <c r="N597" s="99"/>
      <c r="O597" s="99"/>
      <c r="P597" s="99"/>
      <c r="Q597" s="99"/>
      <c r="R597" s="99"/>
    </row>
    <row r="598">
      <c r="A598" s="99"/>
      <c r="B598" s="99"/>
      <c r="C598" s="99"/>
      <c r="D598" s="99"/>
      <c r="E598" s="99"/>
      <c r="F598" s="99"/>
      <c r="G598" s="99"/>
      <c r="H598" s="99"/>
      <c r="I598" s="99"/>
      <c r="J598" s="99"/>
      <c r="K598" s="99"/>
      <c r="L598" s="99"/>
      <c r="M598" s="99"/>
      <c r="N598" s="99"/>
      <c r="O598" s="99"/>
      <c r="P598" s="99"/>
      <c r="Q598" s="99"/>
      <c r="R598" s="99"/>
    </row>
    <row r="599">
      <c r="A599" s="99"/>
      <c r="B599" s="99"/>
      <c r="C599" s="99"/>
      <c r="D599" s="99"/>
      <c r="E599" s="99"/>
      <c r="F599" s="99"/>
      <c r="G599" s="99"/>
      <c r="H599" s="99"/>
      <c r="I599" s="99"/>
      <c r="J599" s="99"/>
      <c r="K599" s="99"/>
      <c r="L599" s="99"/>
      <c r="M599" s="99"/>
      <c r="N599" s="99"/>
      <c r="O599" s="99"/>
      <c r="P599" s="99"/>
      <c r="Q599" s="99"/>
      <c r="R599" s="99"/>
    </row>
    <row r="600">
      <c r="A600" s="99"/>
      <c r="B600" s="99"/>
      <c r="C600" s="99"/>
      <c r="D600" s="99"/>
      <c r="E600" s="99"/>
      <c r="F600" s="99"/>
      <c r="G600" s="99"/>
      <c r="H600" s="99"/>
      <c r="I600" s="99"/>
      <c r="J600" s="99"/>
      <c r="K600" s="99"/>
      <c r="L600" s="99"/>
      <c r="M600" s="99"/>
      <c r="N600" s="99"/>
      <c r="O600" s="99"/>
      <c r="P600" s="99"/>
      <c r="Q600" s="99"/>
      <c r="R600" s="99"/>
    </row>
    <row r="601">
      <c r="A601" s="99"/>
      <c r="B601" s="99"/>
      <c r="C601" s="99"/>
      <c r="D601" s="99"/>
      <c r="E601" s="99"/>
      <c r="F601" s="99"/>
      <c r="G601" s="99"/>
      <c r="H601" s="99"/>
      <c r="I601" s="99"/>
      <c r="J601" s="99"/>
      <c r="K601" s="99"/>
      <c r="L601" s="99"/>
      <c r="M601" s="99"/>
      <c r="N601" s="99"/>
      <c r="O601" s="99"/>
      <c r="P601" s="99"/>
      <c r="Q601" s="99"/>
      <c r="R601" s="99"/>
    </row>
    <row r="602">
      <c r="A602" s="99"/>
      <c r="B602" s="99"/>
      <c r="C602" s="99"/>
      <c r="D602" s="99"/>
      <c r="E602" s="99"/>
      <c r="F602" s="99"/>
      <c r="G602" s="99"/>
      <c r="H602" s="99"/>
      <c r="I602" s="99"/>
      <c r="J602" s="99"/>
      <c r="K602" s="99"/>
      <c r="L602" s="99"/>
      <c r="M602" s="99"/>
      <c r="N602" s="99"/>
      <c r="O602" s="99"/>
      <c r="P602" s="99"/>
      <c r="Q602" s="99"/>
      <c r="R602" s="99"/>
    </row>
    <row r="603">
      <c r="A603" s="99"/>
      <c r="B603" s="99"/>
      <c r="C603" s="99"/>
      <c r="D603" s="99"/>
      <c r="E603" s="99"/>
      <c r="F603" s="99"/>
      <c r="G603" s="99"/>
      <c r="H603" s="99"/>
      <c r="I603" s="99"/>
      <c r="J603" s="99"/>
      <c r="K603" s="99"/>
      <c r="L603" s="99"/>
      <c r="M603" s="99"/>
      <c r="N603" s="99"/>
      <c r="O603" s="99"/>
      <c r="P603" s="99"/>
      <c r="Q603" s="99"/>
      <c r="R603" s="99"/>
    </row>
    <row r="604">
      <c r="A604" s="99"/>
      <c r="B604" s="99"/>
      <c r="C604" s="99"/>
      <c r="D604" s="99"/>
      <c r="E604" s="99"/>
      <c r="F604" s="99"/>
      <c r="G604" s="99"/>
      <c r="H604" s="99"/>
      <c r="I604" s="99"/>
      <c r="J604" s="99"/>
      <c r="K604" s="99"/>
      <c r="L604" s="99"/>
      <c r="M604" s="99"/>
      <c r="N604" s="99"/>
      <c r="O604" s="99"/>
      <c r="P604" s="99"/>
      <c r="Q604" s="99"/>
      <c r="R604" s="99"/>
    </row>
    <row r="605">
      <c r="A605" s="99"/>
      <c r="B605" s="99"/>
      <c r="C605" s="99"/>
      <c r="D605" s="99"/>
      <c r="E605" s="99"/>
      <c r="F605" s="99"/>
      <c r="G605" s="99"/>
      <c r="H605" s="99"/>
      <c r="I605" s="99"/>
      <c r="J605" s="99"/>
      <c r="K605" s="99"/>
      <c r="L605" s="99"/>
      <c r="M605" s="99"/>
      <c r="N605" s="99"/>
      <c r="O605" s="99"/>
      <c r="P605" s="99"/>
      <c r="Q605" s="99"/>
      <c r="R605" s="99"/>
    </row>
    <row r="606">
      <c r="A606" s="99"/>
      <c r="B606" s="99"/>
      <c r="C606" s="99"/>
      <c r="D606" s="99"/>
      <c r="E606" s="99"/>
      <c r="F606" s="99"/>
      <c r="G606" s="99"/>
      <c r="H606" s="99"/>
      <c r="I606" s="99"/>
      <c r="J606" s="99"/>
      <c r="K606" s="99"/>
      <c r="L606" s="99"/>
      <c r="M606" s="99"/>
      <c r="N606" s="99"/>
      <c r="O606" s="99"/>
      <c r="P606" s="99"/>
      <c r="Q606" s="99"/>
      <c r="R606" s="99"/>
    </row>
    <row r="607">
      <c r="A607" s="99"/>
      <c r="B607" s="99"/>
      <c r="C607" s="99"/>
      <c r="D607" s="99"/>
      <c r="E607" s="99"/>
      <c r="F607" s="99"/>
      <c r="G607" s="99"/>
      <c r="H607" s="99"/>
      <c r="I607" s="99"/>
      <c r="J607" s="99"/>
      <c r="K607" s="99"/>
      <c r="L607" s="99"/>
      <c r="M607" s="99"/>
      <c r="N607" s="99"/>
      <c r="O607" s="99"/>
      <c r="P607" s="99"/>
      <c r="Q607" s="99"/>
      <c r="R607" s="99"/>
    </row>
    <row r="608">
      <c r="A608" s="99"/>
      <c r="B608" s="99"/>
      <c r="C608" s="99"/>
      <c r="D608" s="99"/>
      <c r="E608" s="99"/>
      <c r="F608" s="99"/>
      <c r="G608" s="99"/>
      <c r="H608" s="99"/>
      <c r="I608" s="99"/>
      <c r="J608" s="99"/>
      <c r="K608" s="99"/>
      <c r="L608" s="99"/>
      <c r="M608" s="99"/>
      <c r="N608" s="99"/>
      <c r="O608" s="99"/>
      <c r="P608" s="99"/>
      <c r="Q608" s="99"/>
      <c r="R608" s="99"/>
    </row>
    <row r="609">
      <c r="A609" s="99"/>
      <c r="B609" s="99"/>
      <c r="C609" s="99"/>
      <c r="D609" s="99"/>
      <c r="E609" s="99"/>
      <c r="F609" s="99"/>
      <c r="G609" s="99"/>
      <c r="H609" s="99"/>
      <c r="I609" s="99"/>
      <c r="J609" s="99"/>
      <c r="K609" s="99"/>
      <c r="L609" s="99"/>
      <c r="M609" s="99"/>
      <c r="N609" s="99"/>
      <c r="O609" s="99"/>
      <c r="P609" s="99"/>
      <c r="Q609" s="99"/>
      <c r="R609" s="99"/>
    </row>
    <row r="610">
      <c r="A610" s="99"/>
      <c r="B610" s="99"/>
      <c r="C610" s="99"/>
      <c r="D610" s="99"/>
      <c r="E610" s="99"/>
      <c r="F610" s="99"/>
      <c r="G610" s="99"/>
      <c r="H610" s="99"/>
      <c r="I610" s="99"/>
      <c r="J610" s="99"/>
      <c r="K610" s="99"/>
      <c r="L610" s="99"/>
      <c r="M610" s="99"/>
      <c r="N610" s="99"/>
      <c r="O610" s="99"/>
      <c r="P610" s="99"/>
      <c r="Q610" s="99"/>
      <c r="R610" s="99"/>
    </row>
    <row r="611">
      <c r="A611" s="99"/>
      <c r="B611" s="99"/>
      <c r="C611" s="99"/>
      <c r="D611" s="99"/>
      <c r="E611" s="99"/>
      <c r="F611" s="99"/>
      <c r="G611" s="99"/>
      <c r="H611" s="99"/>
      <c r="I611" s="99"/>
      <c r="J611" s="99"/>
      <c r="K611" s="99"/>
      <c r="L611" s="99"/>
      <c r="M611" s="99"/>
      <c r="N611" s="99"/>
      <c r="O611" s="99"/>
      <c r="P611" s="99"/>
      <c r="Q611" s="99"/>
      <c r="R611" s="99"/>
    </row>
    <row r="612">
      <c r="A612" s="99"/>
      <c r="B612" s="99"/>
      <c r="C612" s="99"/>
      <c r="D612" s="99"/>
      <c r="E612" s="99"/>
      <c r="F612" s="99"/>
      <c r="G612" s="99"/>
      <c r="H612" s="99"/>
      <c r="I612" s="99"/>
      <c r="J612" s="99"/>
      <c r="K612" s="99"/>
      <c r="L612" s="99"/>
      <c r="M612" s="99"/>
      <c r="N612" s="99"/>
      <c r="O612" s="99"/>
      <c r="P612" s="99"/>
      <c r="Q612" s="99"/>
      <c r="R612" s="99"/>
    </row>
    <row r="613">
      <c r="A613" s="99"/>
      <c r="B613" s="99"/>
      <c r="C613" s="99"/>
      <c r="D613" s="99"/>
      <c r="E613" s="99"/>
      <c r="F613" s="99"/>
      <c r="G613" s="99"/>
      <c r="H613" s="99"/>
      <c r="I613" s="99"/>
      <c r="J613" s="99"/>
      <c r="K613" s="99"/>
      <c r="L613" s="99"/>
      <c r="M613" s="99"/>
      <c r="N613" s="99"/>
      <c r="O613" s="99"/>
      <c r="P613" s="99"/>
      <c r="Q613" s="99"/>
      <c r="R613" s="99"/>
    </row>
    <row r="614">
      <c r="A614" s="99"/>
      <c r="B614" s="99"/>
      <c r="C614" s="99"/>
      <c r="D614" s="99"/>
      <c r="E614" s="99"/>
      <c r="F614" s="99"/>
      <c r="G614" s="99"/>
      <c r="H614" s="99"/>
      <c r="I614" s="99"/>
      <c r="J614" s="99"/>
      <c r="K614" s="99"/>
      <c r="L614" s="99"/>
      <c r="M614" s="99"/>
      <c r="N614" s="99"/>
      <c r="O614" s="99"/>
      <c r="P614" s="99"/>
      <c r="Q614" s="99"/>
      <c r="R614" s="99"/>
    </row>
    <row r="615">
      <c r="A615" s="99"/>
      <c r="B615" s="99"/>
      <c r="C615" s="99"/>
      <c r="D615" s="99"/>
      <c r="E615" s="99"/>
      <c r="F615" s="99"/>
      <c r="G615" s="99"/>
      <c r="H615" s="99"/>
      <c r="I615" s="99"/>
      <c r="J615" s="99"/>
      <c r="K615" s="99"/>
      <c r="L615" s="99"/>
      <c r="M615" s="99"/>
      <c r="N615" s="99"/>
      <c r="O615" s="99"/>
      <c r="P615" s="99"/>
      <c r="Q615" s="99"/>
      <c r="R615" s="99"/>
    </row>
    <row r="616">
      <c r="A616" s="99"/>
      <c r="B616" s="99"/>
      <c r="C616" s="99"/>
      <c r="D616" s="99"/>
      <c r="E616" s="99"/>
      <c r="F616" s="99"/>
      <c r="G616" s="99"/>
      <c r="H616" s="99"/>
      <c r="I616" s="99"/>
      <c r="J616" s="99"/>
      <c r="K616" s="99"/>
      <c r="L616" s="99"/>
      <c r="M616" s="99"/>
      <c r="N616" s="99"/>
      <c r="O616" s="99"/>
      <c r="P616" s="99"/>
      <c r="Q616" s="99"/>
      <c r="R616" s="99"/>
    </row>
    <row r="617">
      <c r="A617" s="99"/>
      <c r="B617" s="99"/>
      <c r="C617" s="99"/>
      <c r="D617" s="99"/>
      <c r="E617" s="99"/>
      <c r="F617" s="99"/>
      <c r="G617" s="99"/>
      <c r="H617" s="99"/>
      <c r="I617" s="99"/>
      <c r="J617" s="99"/>
      <c r="K617" s="99"/>
      <c r="L617" s="99"/>
      <c r="M617" s="99"/>
      <c r="N617" s="99"/>
      <c r="O617" s="99"/>
      <c r="P617" s="99"/>
      <c r="Q617" s="99"/>
      <c r="R617" s="99"/>
    </row>
    <row r="618">
      <c r="A618" s="99"/>
      <c r="B618" s="99"/>
      <c r="C618" s="99"/>
      <c r="D618" s="99"/>
      <c r="E618" s="99"/>
      <c r="F618" s="99"/>
      <c r="G618" s="99"/>
      <c r="H618" s="99"/>
      <c r="I618" s="99"/>
      <c r="J618" s="99"/>
      <c r="K618" s="99"/>
      <c r="L618" s="99"/>
      <c r="M618" s="99"/>
      <c r="N618" s="99"/>
      <c r="O618" s="99"/>
      <c r="P618" s="99"/>
      <c r="Q618" s="99"/>
      <c r="R618" s="99"/>
    </row>
    <row r="619">
      <c r="A619" s="99"/>
      <c r="B619" s="99"/>
      <c r="C619" s="99"/>
      <c r="D619" s="99"/>
      <c r="E619" s="99"/>
      <c r="F619" s="99"/>
      <c r="G619" s="99"/>
      <c r="H619" s="99"/>
      <c r="I619" s="99"/>
      <c r="J619" s="99"/>
      <c r="K619" s="99"/>
      <c r="L619" s="99"/>
      <c r="M619" s="99"/>
      <c r="N619" s="99"/>
      <c r="O619" s="99"/>
      <c r="P619" s="99"/>
      <c r="Q619" s="99"/>
      <c r="R619" s="99"/>
    </row>
    <row r="620">
      <c r="A620" s="99"/>
      <c r="B620" s="99"/>
      <c r="C620" s="99"/>
      <c r="D620" s="99"/>
      <c r="E620" s="99"/>
      <c r="F620" s="99"/>
      <c r="G620" s="99"/>
      <c r="H620" s="99"/>
      <c r="I620" s="99"/>
      <c r="J620" s="99"/>
      <c r="K620" s="99"/>
      <c r="L620" s="99"/>
      <c r="M620" s="99"/>
      <c r="N620" s="99"/>
      <c r="O620" s="99"/>
      <c r="P620" s="99"/>
      <c r="Q620" s="99"/>
      <c r="R620" s="99"/>
    </row>
    <row r="621">
      <c r="A621" s="99"/>
      <c r="B621" s="99"/>
      <c r="C621" s="99"/>
      <c r="D621" s="99"/>
      <c r="E621" s="99"/>
      <c r="F621" s="99"/>
      <c r="G621" s="99"/>
      <c r="H621" s="99"/>
      <c r="I621" s="99"/>
      <c r="J621" s="99"/>
      <c r="K621" s="99"/>
      <c r="L621" s="99"/>
      <c r="M621" s="99"/>
      <c r="N621" s="99"/>
      <c r="O621" s="99"/>
      <c r="P621" s="99"/>
      <c r="Q621" s="99"/>
      <c r="R621" s="99"/>
    </row>
    <row r="622">
      <c r="A622" s="99"/>
      <c r="B622" s="99"/>
      <c r="C622" s="99"/>
      <c r="D622" s="99"/>
      <c r="E622" s="99"/>
      <c r="F622" s="99"/>
      <c r="G622" s="99"/>
      <c r="H622" s="99"/>
      <c r="I622" s="99"/>
      <c r="J622" s="99"/>
      <c r="K622" s="99"/>
      <c r="L622" s="99"/>
      <c r="M622" s="99"/>
      <c r="N622" s="99"/>
      <c r="O622" s="99"/>
      <c r="P622" s="99"/>
      <c r="Q622" s="99"/>
      <c r="R622" s="99"/>
    </row>
    <row r="623">
      <c r="A623" s="99"/>
      <c r="B623" s="99"/>
      <c r="C623" s="99"/>
      <c r="D623" s="99"/>
      <c r="E623" s="99"/>
      <c r="F623" s="99"/>
      <c r="G623" s="99"/>
      <c r="H623" s="99"/>
      <c r="I623" s="99"/>
      <c r="J623" s="99"/>
      <c r="K623" s="99"/>
      <c r="L623" s="99"/>
      <c r="M623" s="99"/>
      <c r="N623" s="99"/>
      <c r="O623" s="99"/>
      <c r="P623" s="99"/>
      <c r="Q623" s="99"/>
      <c r="R623" s="99"/>
    </row>
    <row r="624">
      <c r="A624" s="99"/>
      <c r="B624" s="99"/>
      <c r="C624" s="99"/>
      <c r="D624" s="99"/>
      <c r="E624" s="99"/>
      <c r="F624" s="99"/>
      <c r="G624" s="99"/>
      <c r="H624" s="99"/>
      <c r="I624" s="99"/>
      <c r="J624" s="99"/>
      <c r="K624" s="99"/>
      <c r="L624" s="99"/>
      <c r="M624" s="99"/>
      <c r="N624" s="99"/>
      <c r="O624" s="99"/>
      <c r="P624" s="99"/>
      <c r="Q624" s="99"/>
      <c r="R624" s="99"/>
    </row>
    <row r="625">
      <c r="A625" s="99"/>
      <c r="B625" s="99"/>
      <c r="C625" s="99"/>
      <c r="D625" s="99"/>
      <c r="E625" s="99"/>
      <c r="F625" s="99"/>
      <c r="G625" s="99"/>
      <c r="H625" s="99"/>
      <c r="I625" s="99"/>
      <c r="J625" s="99"/>
      <c r="K625" s="99"/>
      <c r="L625" s="99"/>
      <c r="M625" s="99"/>
      <c r="N625" s="99"/>
      <c r="O625" s="99"/>
      <c r="P625" s="99"/>
      <c r="Q625" s="99"/>
      <c r="R625" s="99"/>
    </row>
    <row r="626">
      <c r="A626" s="99"/>
      <c r="B626" s="99"/>
      <c r="C626" s="99"/>
      <c r="D626" s="99"/>
      <c r="E626" s="99"/>
      <c r="F626" s="99"/>
      <c r="G626" s="99"/>
      <c r="H626" s="99"/>
      <c r="I626" s="99"/>
      <c r="J626" s="99"/>
      <c r="K626" s="99"/>
      <c r="L626" s="99"/>
      <c r="M626" s="99"/>
      <c r="N626" s="99"/>
      <c r="O626" s="99"/>
      <c r="P626" s="99"/>
      <c r="Q626" s="99"/>
      <c r="R626" s="99"/>
    </row>
    <row r="627">
      <c r="A627" s="99"/>
      <c r="B627" s="99"/>
      <c r="C627" s="99"/>
      <c r="D627" s="99"/>
      <c r="E627" s="99"/>
      <c r="F627" s="99"/>
      <c r="G627" s="99"/>
      <c r="H627" s="99"/>
      <c r="I627" s="99"/>
      <c r="J627" s="99"/>
      <c r="K627" s="99"/>
      <c r="L627" s="99"/>
      <c r="M627" s="99"/>
      <c r="N627" s="99"/>
      <c r="O627" s="99"/>
      <c r="P627" s="99"/>
      <c r="Q627" s="99"/>
      <c r="R627" s="99"/>
    </row>
    <row r="628">
      <c r="A628" s="99"/>
      <c r="B628" s="99"/>
      <c r="C628" s="99"/>
      <c r="D628" s="99"/>
      <c r="E628" s="99"/>
      <c r="F628" s="99"/>
      <c r="G628" s="99"/>
      <c r="H628" s="99"/>
      <c r="I628" s="99"/>
      <c r="J628" s="99"/>
      <c r="K628" s="99"/>
      <c r="L628" s="99"/>
      <c r="M628" s="99"/>
      <c r="N628" s="99"/>
      <c r="O628" s="99"/>
      <c r="P628" s="99"/>
      <c r="Q628" s="99"/>
      <c r="R628" s="99"/>
    </row>
    <row r="629">
      <c r="A629" s="99"/>
      <c r="B629" s="99"/>
      <c r="C629" s="99"/>
      <c r="D629" s="99"/>
      <c r="E629" s="99"/>
      <c r="F629" s="99"/>
      <c r="G629" s="99"/>
      <c r="H629" s="99"/>
      <c r="I629" s="99"/>
      <c r="J629" s="99"/>
      <c r="K629" s="99"/>
      <c r="L629" s="99"/>
      <c r="M629" s="99"/>
      <c r="N629" s="99"/>
      <c r="O629" s="99"/>
      <c r="P629" s="99"/>
      <c r="Q629" s="99"/>
      <c r="R629" s="99"/>
    </row>
    <row r="630">
      <c r="A630" s="99"/>
      <c r="B630" s="99"/>
      <c r="C630" s="99"/>
      <c r="D630" s="99"/>
      <c r="E630" s="99"/>
      <c r="F630" s="99"/>
      <c r="G630" s="99"/>
      <c r="H630" s="99"/>
      <c r="I630" s="99"/>
      <c r="J630" s="99"/>
      <c r="K630" s="99"/>
      <c r="L630" s="99"/>
      <c r="M630" s="99"/>
      <c r="N630" s="99"/>
      <c r="O630" s="99"/>
      <c r="P630" s="99"/>
      <c r="Q630" s="99"/>
      <c r="R630" s="99"/>
    </row>
    <row r="631">
      <c r="A631" s="99"/>
      <c r="B631" s="99"/>
      <c r="C631" s="99"/>
      <c r="D631" s="99"/>
      <c r="E631" s="99"/>
      <c r="F631" s="99"/>
      <c r="G631" s="99"/>
      <c r="H631" s="99"/>
      <c r="I631" s="99"/>
      <c r="J631" s="99"/>
      <c r="K631" s="99"/>
      <c r="L631" s="99"/>
      <c r="M631" s="99"/>
      <c r="N631" s="99"/>
      <c r="O631" s="99"/>
      <c r="P631" s="99"/>
      <c r="Q631" s="99"/>
      <c r="R631" s="99"/>
    </row>
    <row r="632">
      <c r="A632" s="99"/>
      <c r="B632" s="99"/>
      <c r="C632" s="99"/>
      <c r="D632" s="99"/>
      <c r="E632" s="99"/>
      <c r="F632" s="99"/>
      <c r="G632" s="99"/>
      <c r="H632" s="99"/>
      <c r="I632" s="99"/>
      <c r="J632" s="99"/>
      <c r="K632" s="99"/>
      <c r="L632" s="99"/>
      <c r="M632" s="99"/>
      <c r="N632" s="99"/>
      <c r="O632" s="99"/>
      <c r="P632" s="99"/>
      <c r="Q632" s="99"/>
      <c r="R632" s="99"/>
    </row>
    <row r="633">
      <c r="A633" s="99"/>
      <c r="B633" s="99"/>
      <c r="C633" s="99"/>
      <c r="D633" s="99"/>
      <c r="E633" s="99"/>
      <c r="F633" s="99"/>
      <c r="G633" s="99"/>
      <c r="H633" s="99"/>
      <c r="I633" s="99"/>
      <c r="J633" s="99"/>
      <c r="K633" s="99"/>
      <c r="L633" s="99"/>
      <c r="M633" s="99"/>
      <c r="N633" s="99"/>
      <c r="O633" s="99"/>
      <c r="P633" s="99"/>
      <c r="Q633" s="99"/>
      <c r="R633" s="99"/>
    </row>
    <row r="634">
      <c r="A634" s="99"/>
      <c r="B634" s="99"/>
      <c r="C634" s="99"/>
      <c r="D634" s="99"/>
      <c r="E634" s="99"/>
      <c r="F634" s="99"/>
      <c r="G634" s="99"/>
      <c r="H634" s="99"/>
      <c r="I634" s="99"/>
      <c r="J634" s="99"/>
      <c r="K634" s="99"/>
      <c r="L634" s="99"/>
      <c r="M634" s="99"/>
      <c r="N634" s="99"/>
      <c r="O634" s="99"/>
      <c r="P634" s="99"/>
      <c r="Q634" s="99"/>
      <c r="R634" s="99"/>
    </row>
    <row r="635">
      <c r="A635" s="99"/>
      <c r="B635" s="99"/>
      <c r="C635" s="99"/>
      <c r="D635" s="99"/>
      <c r="E635" s="99"/>
      <c r="F635" s="99"/>
      <c r="G635" s="99"/>
      <c r="H635" s="99"/>
      <c r="I635" s="99"/>
      <c r="J635" s="99"/>
      <c r="K635" s="99"/>
      <c r="L635" s="99"/>
      <c r="M635" s="99"/>
      <c r="N635" s="99"/>
      <c r="O635" s="99"/>
      <c r="P635" s="99"/>
      <c r="Q635" s="99"/>
      <c r="R635" s="99"/>
    </row>
    <row r="636">
      <c r="A636" s="99"/>
      <c r="B636" s="99"/>
      <c r="C636" s="99"/>
      <c r="D636" s="99"/>
      <c r="E636" s="99"/>
      <c r="F636" s="99"/>
      <c r="G636" s="99"/>
      <c r="H636" s="99"/>
      <c r="I636" s="99"/>
      <c r="J636" s="99"/>
      <c r="K636" s="99"/>
      <c r="L636" s="99"/>
      <c r="M636" s="99"/>
      <c r="N636" s="99"/>
      <c r="O636" s="99"/>
      <c r="P636" s="99"/>
      <c r="Q636" s="99"/>
      <c r="R636" s="99"/>
    </row>
    <row r="637">
      <c r="A637" s="99"/>
      <c r="B637" s="99"/>
      <c r="C637" s="99"/>
      <c r="D637" s="99"/>
      <c r="E637" s="99"/>
      <c r="F637" s="99"/>
      <c r="G637" s="99"/>
      <c r="H637" s="99"/>
      <c r="I637" s="99"/>
      <c r="J637" s="99"/>
      <c r="K637" s="99"/>
      <c r="L637" s="99"/>
      <c r="M637" s="99"/>
      <c r="N637" s="99"/>
      <c r="O637" s="99"/>
      <c r="P637" s="99"/>
      <c r="Q637" s="99"/>
      <c r="R637" s="99"/>
    </row>
    <row r="638">
      <c r="A638" s="99"/>
      <c r="B638" s="99"/>
      <c r="C638" s="99"/>
      <c r="D638" s="99"/>
      <c r="E638" s="99"/>
      <c r="F638" s="99"/>
      <c r="G638" s="99"/>
      <c r="H638" s="99"/>
      <c r="I638" s="99"/>
      <c r="J638" s="99"/>
      <c r="K638" s="99"/>
      <c r="L638" s="99"/>
      <c r="M638" s="99"/>
      <c r="N638" s="99"/>
      <c r="O638" s="99"/>
      <c r="P638" s="99"/>
      <c r="Q638" s="99"/>
      <c r="R638" s="99"/>
    </row>
    <row r="639">
      <c r="A639" s="99"/>
      <c r="B639" s="99"/>
      <c r="C639" s="99"/>
      <c r="D639" s="99"/>
      <c r="E639" s="99"/>
      <c r="F639" s="99"/>
      <c r="G639" s="99"/>
      <c r="H639" s="99"/>
      <c r="I639" s="99"/>
      <c r="J639" s="99"/>
      <c r="K639" s="99"/>
      <c r="L639" s="99"/>
      <c r="M639" s="99"/>
      <c r="N639" s="99"/>
      <c r="O639" s="99"/>
      <c r="P639" s="99"/>
      <c r="Q639" s="99"/>
      <c r="R639" s="99"/>
    </row>
    <row r="640">
      <c r="A640" s="99"/>
      <c r="B640" s="99"/>
      <c r="C640" s="99"/>
      <c r="D640" s="99"/>
      <c r="E640" s="99"/>
      <c r="F640" s="99"/>
      <c r="G640" s="99"/>
      <c r="H640" s="99"/>
      <c r="I640" s="99"/>
      <c r="J640" s="99"/>
      <c r="K640" s="99"/>
      <c r="L640" s="99"/>
      <c r="M640" s="99"/>
      <c r="N640" s="99"/>
      <c r="O640" s="99"/>
      <c r="P640" s="99"/>
      <c r="Q640" s="99"/>
      <c r="R640" s="99"/>
    </row>
    <row r="641">
      <c r="A641" s="99"/>
      <c r="B641" s="99"/>
      <c r="C641" s="99"/>
      <c r="D641" s="99"/>
      <c r="E641" s="99"/>
      <c r="F641" s="99"/>
      <c r="G641" s="99"/>
      <c r="H641" s="99"/>
      <c r="I641" s="99"/>
      <c r="J641" s="99"/>
      <c r="K641" s="99"/>
      <c r="L641" s="99"/>
      <c r="M641" s="99"/>
      <c r="N641" s="99"/>
      <c r="O641" s="99"/>
      <c r="P641" s="99"/>
      <c r="Q641" s="99"/>
      <c r="R641" s="99"/>
    </row>
    <row r="642">
      <c r="A642" s="99"/>
      <c r="B642" s="99"/>
      <c r="C642" s="99"/>
      <c r="D642" s="99"/>
      <c r="E642" s="99"/>
      <c r="F642" s="99"/>
      <c r="G642" s="99"/>
      <c r="H642" s="99"/>
      <c r="I642" s="99"/>
      <c r="J642" s="99"/>
      <c r="K642" s="99"/>
      <c r="L642" s="99"/>
      <c r="M642" s="99"/>
      <c r="N642" s="99"/>
      <c r="O642" s="99"/>
      <c r="P642" s="99"/>
      <c r="Q642" s="99"/>
      <c r="R642" s="99"/>
    </row>
    <row r="643">
      <c r="A643" s="99"/>
      <c r="B643" s="99"/>
      <c r="C643" s="99"/>
      <c r="D643" s="99"/>
      <c r="E643" s="99"/>
      <c r="F643" s="99"/>
      <c r="G643" s="99"/>
      <c r="H643" s="99"/>
      <c r="I643" s="99"/>
      <c r="J643" s="99"/>
      <c r="K643" s="99"/>
      <c r="L643" s="99"/>
      <c r="M643" s="99"/>
      <c r="N643" s="99"/>
      <c r="O643" s="99"/>
      <c r="P643" s="99"/>
      <c r="Q643" s="99"/>
      <c r="R643" s="99"/>
    </row>
    <row r="644">
      <c r="A644" s="99"/>
      <c r="B644" s="99"/>
      <c r="C644" s="99"/>
      <c r="D644" s="99"/>
      <c r="E644" s="99"/>
      <c r="F644" s="99"/>
      <c r="G644" s="99"/>
      <c r="H644" s="99"/>
      <c r="I644" s="99"/>
      <c r="J644" s="99"/>
      <c r="K644" s="99"/>
      <c r="L644" s="99"/>
      <c r="M644" s="99"/>
      <c r="N644" s="99"/>
      <c r="O644" s="99"/>
      <c r="P644" s="99"/>
      <c r="Q644" s="99"/>
      <c r="R644" s="99"/>
    </row>
    <row r="645">
      <c r="A645" s="99"/>
      <c r="B645" s="99"/>
      <c r="C645" s="99"/>
      <c r="D645" s="99"/>
      <c r="E645" s="99"/>
      <c r="F645" s="99"/>
      <c r="G645" s="99"/>
      <c r="H645" s="99"/>
      <c r="I645" s="99"/>
      <c r="J645" s="99"/>
      <c r="K645" s="99"/>
      <c r="L645" s="99"/>
      <c r="M645" s="99"/>
      <c r="N645" s="99"/>
      <c r="O645" s="99"/>
      <c r="P645" s="99"/>
      <c r="Q645" s="99"/>
      <c r="R645" s="99"/>
    </row>
    <row r="646">
      <c r="A646" s="99"/>
      <c r="B646" s="99"/>
      <c r="C646" s="99"/>
      <c r="D646" s="99"/>
      <c r="E646" s="99"/>
      <c r="F646" s="99"/>
      <c r="G646" s="99"/>
      <c r="H646" s="99"/>
      <c r="I646" s="99"/>
      <c r="J646" s="99"/>
      <c r="K646" s="99"/>
      <c r="L646" s="99"/>
      <c r="M646" s="99"/>
      <c r="N646" s="99"/>
      <c r="O646" s="99"/>
      <c r="P646" s="99"/>
      <c r="Q646" s="99"/>
      <c r="R646" s="99"/>
    </row>
    <row r="647">
      <c r="A647" s="99"/>
      <c r="B647" s="99"/>
      <c r="C647" s="99"/>
      <c r="D647" s="99"/>
      <c r="E647" s="99"/>
      <c r="F647" s="99"/>
      <c r="G647" s="99"/>
      <c r="H647" s="99"/>
      <c r="I647" s="99"/>
      <c r="J647" s="99"/>
      <c r="K647" s="99"/>
      <c r="L647" s="99"/>
      <c r="M647" s="99"/>
      <c r="N647" s="99"/>
      <c r="O647" s="99"/>
      <c r="P647" s="99"/>
      <c r="Q647" s="99"/>
      <c r="R647" s="99"/>
    </row>
    <row r="648">
      <c r="A648" s="99"/>
      <c r="B648" s="99"/>
      <c r="C648" s="99"/>
      <c r="D648" s="99"/>
      <c r="E648" s="99"/>
      <c r="F648" s="99"/>
      <c r="G648" s="99"/>
      <c r="H648" s="99"/>
      <c r="I648" s="99"/>
      <c r="J648" s="99"/>
      <c r="K648" s="99"/>
      <c r="L648" s="99"/>
      <c r="M648" s="99"/>
      <c r="N648" s="99"/>
      <c r="O648" s="99"/>
      <c r="P648" s="99"/>
      <c r="Q648" s="99"/>
      <c r="R648" s="99"/>
    </row>
    <row r="649">
      <c r="A649" s="99"/>
      <c r="B649" s="99"/>
      <c r="C649" s="99"/>
      <c r="D649" s="99"/>
      <c r="E649" s="99"/>
      <c r="F649" s="99"/>
      <c r="G649" s="99"/>
      <c r="H649" s="99"/>
      <c r="I649" s="99"/>
      <c r="J649" s="99"/>
      <c r="K649" s="99"/>
      <c r="L649" s="99"/>
      <c r="M649" s="99"/>
      <c r="N649" s="99"/>
      <c r="O649" s="99"/>
      <c r="P649" s="99"/>
      <c r="Q649" s="99"/>
      <c r="R649" s="99"/>
    </row>
    <row r="650">
      <c r="A650" s="99"/>
      <c r="B650" s="99"/>
      <c r="C650" s="99"/>
      <c r="D650" s="99"/>
      <c r="E650" s="99"/>
      <c r="F650" s="99"/>
      <c r="G650" s="99"/>
      <c r="H650" s="99"/>
      <c r="I650" s="99"/>
      <c r="J650" s="99"/>
      <c r="K650" s="99"/>
      <c r="L650" s="99"/>
      <c r="M650" s="99"/>
      <c r="N650" s="99"/>
      <c r="O650" s="99"/>
      <c r="P650" s="99"/>
      <c r="Q650" s="99"/>
      <c r="R650" s="99"/>
    </row>
    <row r="651">
      <c r="A651" s="99"/>
      <c r="B651" s="99"/>
      <c r="C651" s="99"/>
      <c r="D651" s="99"/>
      <c r="E651" s="99"/>
      <c r="F651" s="99"/>
      <c r="G651" s="99"/>
      <c r="H651" s="99"/>
      <c r="I651" s="99"/>
      <c r="J651" s="99"/>
      <c r="K651" s="99"/>
      <c r="L651" s="99"/>
      <c r="M651" s="99"/>
      <c r="N651" s="99"/>
      <c r="O651" s="99"/>
      <c r="P651" s="99"/>
      <c r="Q651" s="99"/>
      <c r="R651" s="99"/>
    </row>
    <row r="652">
      <c r="A652" s="99"/>
      <c r="B652" s="99"/>
      <c r="C652" s="99"/>
      <c r="D652" s="99"/>
      <c r="E652" s="99"/>
      <c r="F652" s="99"/>
      <c r="G652" s="99"/>
      <c r="H652" s="99"/>
      <c r="I652" s="99"/>
      <c r="J652" s="99"/>
      <c r="K652" s="99"/>
      <c r="L652" s="99"/>
      <c r="M652" s="99"/>
      <c r="N652" s="99"/>
      <c r="O652" s="99"/>
      <c r="P652" s="99"/>
      <c r="Q652" s="99"/>
      <c r="R652" s="99"/>
    </row>
    <row r="653">
      <c r="A653" s="99"/>
      <c r="B653" s="99"/>
      <c r="C653" s="99"/>
      <c r="D653" s="99"/>
      <c r="E653" s="99"/>
      <c r="F653" s="99"/>
      <c r="G653" s="99"/>
      <c r="H653" s="99"/>
      <c r="I653" s="99"/>
      <c r="J653" s="99"/>
      <c r="K653" s="99"/>
      <c r="L653" s="99"/>
      <c r="M653" s="99"/>
      <c r="N653" s="99"/>
      <c r="O653" s="99"/>
      <c r="P653" s="99"/>
      <c r="Q653" s="99"/>
      <c r="R653" s="99"/>
    </row>
    <row r="654">
      <c r="A654" s="99"/>
      <c r="B654" s="99"/>
      <c r="C654" s="99"/>
      <c r="D654" s="99"/>
      <c r="E654" s="99"/>
      <c r="F654" s="99"/>
      <c r="G654" s="99"/>
      <c r="H654" s="99"/>
      <c r="I654" s="99"/>
      <c r="J654" s="99"/>
      <c r="K654" s="99"/>
      <c r="L654" s="99"/>
      <c r="M654" s="99"/>
      <c r="N654" s="99"/>
      <c r="O654" s="99"/>
      <c r="P654" s="99"/>
      <c r="Q654" s="99"/>
      <c r="R654" s="99"/>
    </row>
    <row r="655">
      <c r="A655" s="99"/>
      <c r="B655" s="99"/>
      <c r="C655" s="99"/>
      <c r="D655" s="99"/>
      <c r="E655" s="99"/>
      <c r="F655" s="99"/>
      <c r="G655" s="99"/>
      <c r="H655" s="99"/>
      <c r="I655" s="99"/>
      <c r="J655" s="99"/>
      <c r="K655" s="99"/>
      <c r="L655" s="99"/>
      <c r="M655" s="99"/>
      <c r="N655" s="99"/>
      <c r="O655" s="99"/>
      <c r="P655" s="99"/>
      <c r="Q655" s="99"/>
      <c r="R655" s="99"/>
    </row>
    <row r="656">
      <c r="A656" s="99"/>
      <c r="B656" s="99"/>
      <c r="C656" s="99"/>
      <c r="D656" s="99"/>
      <c r="E656" s="99"/>
      <c r="F656" s="99"/>
      <c r="G656" s="99"/>
      <c r="H656" s="99"/>
      <c r="I656" s="99"/>
      <c r="J656" s="99"/>
      <c r="K656" s="99"/>
      <c r="L656" s="99"/>
      <c r="M656" s="99"/>
      <c r="N656" s="99"/>
      <c r="O656" s="99"/>
      <c r="P656" s="99"/>
      <c r="Q656" s="99"/>
      <c r="R656" s="99"/>
    </row>
    <row r="657">
      <c r="A657" s="99"/>
      <c r="B657" s="99"/>
      <c r="C657" s="99"/>
      <c r="D657" s="99"/>
      <c r="E657" s="99"/>
      <c r="F657" s="99"/>
      <c r="G657" s="99"/>
      <c r="H657" s="99"/>
      <c r="I657" s="99"/>
      <c r="J657" s="99"/>
      <c r="K657" s="99"/>
      <c r="L657" s="99"/>
      <c r="M657" s="99"/>
      <c r="N657" s="99"/>
      <c r="O657" s="99"/>
      <c r="P657" s="99"/>
      <c r="Q657" s="99"/>
      <c r="R657" s="99"/>
    </row>
    <row r="658">
      <c r="A658" s="99"/>
      <c r="B658" s="99"/>
      <c r="C658" s="99"/>
      <c r="D658" s="99"/>
      <c r="E658" s="99"/>
      <c r="F658" s="99"/>
      <c r="G658" s="99"/>
      <c r="H658" s="99"/>
      <c r="I658" s="99"/>
      <c r="J658" s="99"/>
      <c r="K658" s="99"/>
      <c r="L658" s="99"/>
      <c r="M658" s="99"/>
      <c r="N658" s="99"/>
      <c r="O658" s="99"/>
      <c r="P658" s="99"/>
      <c r="Q658" s="99"/>
      <c r="R658" s="99"/>
    </row>
    <row r="659">
      <c r="A659" s="99"/>
      <c r="B659" s="99"/>
      <c r="C659" s="99"/>
      <c r="D659" s="99"/>
      <c r="E659" s="99"/>
      <c r="F659" s="99"/>
      <c r="G659" s="99"/>
      <c r="H659" s="99"/>
      <c r="I659" s="99"/>
      <c r="J659" s="99"/>
      <c r="K659" s="99"/>
      <c r="L659" s="99"/>
      <c r="M659" s="99"/>
      <c r="N659" s="99"/>
      <c r="O659" s="99"/>
      <c r="P659" s="99"/>
      <c r="Q659" s="99"/>
      <c r="R659" s="99"/>
    </row>
    <row r="660">
      <c r="A660" s="99"/>
      <c r="B660" s="99"/>
      <c r="C660" s="99"/>
      <c r="D660" s="99"/>
      <c r="E660" s="99"/>
      <c r="F660" s="99"/>
      <c r="G660" s="99"/>
      <c r="H660" s="99"/>
      <c r="I660" s="99"/>
      <c r="J660" s="99"/>
      <c r="K660" s="99"/>
      <c r="L660" s="99"/>
      <c r="M660" s="99"/>
      <c r="N660" s="99"/>
      <c r="O660" s="99"/>
      <c r="P660" s="99"/>
      <c r="Q660" s="99"/>
      <c r="R660" s="99"/>
    </row>
    <row r="661">
      <c r="A661" s="99"/>
      <c r="B661" s="99"/>
      <c r="C661" s="99"/>
      <c r="D661" s="99"/>
      <c r="E661" s="99"/>
      <c r="F661" s="99"/>
      <c r="G661" s="99"/>
      <c r="H661" s="99"/>
      <c r="I661" s="99"/>
      <c r="J661" s="99"/>
      <c r="K661" s="99"/>
      <c r="L661" s="99"/>
      <c r="M661" s="99"/>
      <c r="N661" s="99"/>
      <c r="O661" s="99"/>
      <c r="P661" s="99"/>
      <c r="Q661" s="99"/>
      <c r="R661" s="99"/>
    </row>
    <row r="662">
      <c r="A662" s="99"/>
      <c r="B662" s="99"/>
      <c r="C662" s="99"/>
      <c r="D662" s="99"/>
      <c r="E662" s="99"/>
      <c r="F662" s="99"/>
      <c r="G662" s="99"/>
      <c r="H662" s="99"/>
      <c r="I662" s="99"/>
      <c r="J662" s="99"/>
      <c r="K662" s="99"/>
      <c r="L662" s="99"/>
      <c r="M662" s="99"/>
      <c r="N662" s="99"/>
      <c r="O662" s="99"/>
      <c r="P662" s="99"/>
      <c r="Q662" s="99"/>
      <c r="R662" s="99"/>
    </row>
    <row r="663">
      <c r="A663" s="99"/>
      <c r="B663" s="99"/>
      <c r="C663" s="99"/>
      <c r="D663" s="99"/>
      <c r="E663" s="99"/>
      <c r="F663" s="99"/>
      <c r="G663" s="99"/>
      <c r="H663" s="99"/>
      <c r="I663" s="99"/>
      <c r="J663" s="99"/>
      <c r="K663" s="99"/>
      <c r="L663" s="99"/>
      <c r="M663" s="99"/>
      <c r="N663" s="99"/>
      <c r="O663" s="99"/>
      <c r="P663" s="99"/>
      <c r="Q663" s="99"/>
      <c r="R663" s="99"/>
    </row>
    <row r="664">
      <c r="A664" s="99"/>
      <c r="B664" s="99"/>
      <c r="C664" s="99"/>
      <c r="D664" s="99"/>
      <c r="E664" s="99"/>
      <c r="F664" s="99"/>
      <c r="G664" s="99"/>
      <c r="H664" s="99"/>
      <c r="I664" s="99"/>
      <c r="J664" s="99"/>
      <c r="K664" s="99"/>
      <c r="L664" s="99"/>
      <c r="M664" s="99"/>
      <c r="N664" s="99"/>
      <c r="O664" s="99"/>
      <c r="P664" s="99"/>
      <c r="Q664" s="99"/>
      <c r="R664" s="99"/>
    </row>
    <row r="665">
      <c r="A665" s="99"/>
      <c r="B665" s="99"/>
      <c r="C665" s="99"/>
      <c r="D665" s="99"/>
      <c r="E665" s="99"/>
      <c r="F665" s="99"/>
      <c r="G665" s="99"/>
      <c r="H665" s="99"/>
      <c r="I665" s="99"/>
      <c r="J665" s="99"/>
      <c r="K665" s="99"/>
      <c r="L665" s="99"/>
      <c r="M665" s="99"/>
      <c r="N665" s="99"/>
      <c r="O665" s="99"/>
      <c r="P665" s="99"/>
      <c r="Q665" s="99"/>
      <c r="R665" s="99"/>
    </row>
    <row r="666">
      <c r="A666" s="99"/>
      <c r="B666" s="99"/>
      <c r="C666" s="99"/>
      <c r="D666" s="99"/>
      <c r="E666" s="99"/>
      <c r="F666" s="99"/>
      <c r="G666" s="99"/>
      <c r="H666" s="99"/>
      <c r="I666" s="99"/>
      <c r="J666" s="99"/>
      <c r="K666" s="99"/>
      <c r="L666" s="99"/>
      <c r="M666" s="99"/>
      <c r="N666" s="99"/>
      <c r="O666" s="99"/>
      <c r="P666" s="99"/>
      <c r="Q666" s="99"/>
      <c r="R666" s="99"/>
    </row>
    <row r="667">
      <c r="A667" s="99"/>
      <c r="B667" s="99"/>
      <c r="C667" s="99"/>
      <c r="D667" s="99"/>
      <c r="E667" s="99"/>
      <c r="F667" s="99"/>
      <c r="G667" s="99"/>
      <c r="H667" s="99"/>
      <c r="I667" s="99"/>
      <c r="J667" s="99"/>
      <c r="K667" s="99"/>
      <c r="L667" s="99"/>
      <c r="M667" s="99"/>
      <c r="N667" s="99"/>
      <c r="O667" s="99"/>
      <c r="P667" s="99"/>
      <c r="Q667" s="99"/>
      <c r="R667" s="99"/>
    </row>
    <row r="668">
      <c r="A668" s="99"/>
      <c r="B668" s="99"/>
      <c r="C668" s="99"/>
      <c r="D668" s="99"/>
      <c r="E668" s="99"/>
      <c r="F668" s="99"/>
      <c r="G668" s="99"/>
      <c r="H668" s="99"/>
      <c r="I668" s="99"/>
      <c r="J668" s="99"/>
      <c r="K668" s="99"/>
      <c r="L668" s="99"/>
      <c r="M668" s="99"/>
      <c r="N668" s="99"/>
      <c r="O668" s="99"/>
      <c r="P668" s="99"/>
      <c r="Q668" s="99"/>
      <c r="R668" s="99"/>
    </row>
    <row r="669">
      <c r="A669" s="99"/>
      <c r="B669" s="99"/>
      <c r="C669" s="99"/>
      <c r="D669" s="99"/>
      <c r="E669" s="99"/>
      <c r="F669" s="99"/>
      <c r="G669" s="99"/>
      <c r="H669" s="99"/>
      <c r="I669" s="99"/>
      <c r="J669" s="99"/>
      <c r="K669" s="99"/>
      <c r="L669" s="99"/>
      <c r="M669" s="99"/>
      <c r="N669" s="99"/>
      <c r="O669" s="99"/>
      <c r="P669" s="99"/>
      <c r="Q669" s="99"/>
      <c r="R669" s="99"/>
    </row>
    <row r="670">
      <c r="A670" s="99"/>
      <c r="B670" s="99"/>
      <c r="C670" s="99"/>
      <c r="D670" s="99"/>
      <c r="E670" s="99"/>
      <c r="F670" s="99"/>
      <c r="G670" s="99"/>
      <c r="H670" s="99"/>
      <c r="I670" s="99"/>
      <c r="J670" s="99"/>
      <c r="K670" s="99"/>
      <c r="L670" s="99"/>
      <c r="M670" s="99"/>
      <c r="N670" s="99"/>
      <c r="O670" s="99"/>
      <c r="P670" s="99"/>
      <c r="Q670" s="99"/>
      <c r="R670" s="99"/>
    </row>
    <row r="671">
      <c r="A671" s="99"/>
      <c r="B671" s="99"/>
      <c r="C671" s="99"/>
      <c r="D671" s="99"/>
      <c r="E671" s="99"/>
      <c r="F671" s="99"/>
      <c r="G671" s="99"/>
      <c r="H671" s="99"/>
      <c r="I671" s="99"/>
      <c r="J671" s="99"/>
      <c r="K671" s="99"/>
      <c r="L671" s="99"/>
      <c r="M671" s="99"/>
      <c r="N671" s="99"/>
      <c r="O671" s="99"/>
      <c r="P671" s="99"/>
      <c r="Q671" s="99"/>
      <c r="R671" s="99"/>
    </row>
    <row r="672">
      <c r="A672" s="99"/>
      <c r="B672" s="99"/>
      <c r="C672" s="99"/>
      <c r="D672" s="99"/>
      <c r="E672" s="99"/>
      <c r="F672" s="99"/>
      <c r="G672" s="99"/>
      <c r="H672" s="99"/>
      <c r="I672" s="99"/>
      <c r="J672" s="99"/>
      <c r="K672" s="99"/>
      <c r="L672" s="99"/>
      <c r="M672" s="99"/>
      <c r="N672" s="99"/>
      <c r="O672" s="99"/>
      <c r="P672" s="99"/>
      <c r="Q672" s="99"/>
      <c r="R672" s="99"/>
    </row>
    <row r="673">
      <c r="A673" s="99"/>
      <c r="B673" s="99"/>
      <c r="C673" s="99"/>
      <c r="D673" s="99"/>
      <c r="E673" s="99"/>
      <c r="F673" s="99"/>
      <c r="G673" s="99"/>
      <c r="H673" s="99"/>
      <c r="I673" s="99"/>
      <c r="J673" s="99"/>
      <c r="K673" s="99"/>
      <c r="L673" s="99"/>
      <c r="M673" s="99"/>
      <c r="N673" s="99"/>
      <c r="O673" s="99"/>
      <c r="P673" s="99"/>
      <c r="Q673" s="99"/>
      <c r="R673" s="99"/>
    </row>
    <row r="674">
      <c r="A674" s="99"/>
      <c r="B674" s="99"/>
      <c r="C674" s="99"/>
      <c r="D674" s="99"/>
      <c r="E674" s="99"/>
      <c r="F674" s="99"/>
      <c r="G674" s="99"/>
      <c r="H674" s="99"/>
      <c r="I674" s="99"/>
      <c r="J674" s="99"/>
      <c r="K674" s="99"/>
      <c r="L674" s="99"/>
      <c r="M674" s="99"/>
      <c r="N674" s="99"/>
      <c r="O674" s="99"/>
      <c r="P674" s="99"/>
      <c r="Q674" s="99"/>
      <c r="R674" s="99"/>
    </row>
    <row r="675">
      <c r="A675" s="99"/>
      <c r="B675" s="99"/>
      <c r="C675" s="99"/>
      <c r="D675" s="99"/>
      <c r="E675" s="99"/>
      <c r="F675" s="99"/>
      <c r="G675" s="99"/>
      <c r="H675" s="99"/>
      <c r="I675" s="99"/>
      <c r="J675" s="99"/>
      <c r="K675" s="99"/>
      <c r="L675" s="99"/>
      <c r="M675" s="99"/>
      <c r="N675" s="99"/>
      <c r="O675" s="99"/>
      <c r="P675" s="99"/>
      <c r="Q675" s="99"/>
      <c r="R675" s="99"/>
    </row>
    <row r="676">
      <c r="A676" s="99"/>
      <c r="B676" s="99"/>
      <c r="C676" s="99"/>
      <c r="D676" s="99"/>
      <c r="E676" s="99"/>
      <c r="F676" s="99"/>
      <c r="G676" s="99"/>
      <c r="H676" s="99"/>
      <c r="I676" s="99"/>
      <c r="J676" s="99"/>
      <c r="K676" s="99"/>
      <c r="L676" s="99"/>
      <c r="M676" s="99"/>
      <c r="N676" s="99"/>
      <c r="O676" s="99"/>
      <c r="P676" s="99"/>
      <c r="Q676" s="99"/>
      <c r="R676" s="99"/>
    </row>
    <row r="677">
      <c r="A677" s="99"/>
      <c r="B677" s="99"/>
      <c r="C677" s="99"/>
      <c r="D677" s="99"/>
      <c r="E677" s="99"/>
      <c r="F677" s="99"/>
      <c r="G677" s="99"/>
      <c r="H677" s="99"/>
      <c r="I677" s="99"/>
      <c r="J677" s="99"/>
      <c r="K677" s="99"/>
      <c r="L677" s="99"/>
      <c r="M677" s="99"/>
      <c r="N677" s="99"/>
      <c r="O677" s="99"/>
      <c r="P677" s="99"/>
      <c r="Q677" s="99"/>
      <c r="R677" s="99"/>
    </row>
    <row r="678">
      <c r="A678" s="99"/>
      <c r="B678" s="99"/>
      <c r="C678" s="99"/>
      <c r="D678" s="99"/>
      <c r="E678" s="99"/>
      <c r="F678" s="99"/>
      <c r="G678" s="99"/>
      <c r="H678" s="99"/>
      <c r="I678" s="99"/>
      <c r="J678" s="99"/>
      <c r="K678" s="99"/>
      <c r="L678" s="99"/>
      <c r="M678" s="99"/>
      <c r="N678" s="99"/>
      <c r="O678" s="99"/>
      <c r="P678" s="99"/>
      <c r="Q678" s="99"/>
      <c r="R678" s="99"/>
    </row>
    <row r="679">
      <c r="A679" s="99"/>
      <c r="B679" s="99"/>
      <c r="C679" s="99"/>
      <c r="D679" s="99"/>
      <c r="E679" s="99"/>
      <c r="F679" s="99"/>
      <c r="G679" s="99"/>
      <c r="H679" s="99"/>
      <c r="I679" s="99"/>
      <c r="J679" s="99"/>
      <c r="K679" s="99"/>
      <c r="L679" s="99"/>
      <c r="M679" s="99"/>
      <c r="N679" s="99"/>
      <c r="O679" s="99"/>
      <c r="P679" s="99"/>
      <c r="Q679" s="99"/>
      <c r="R679" s="99"/>
    </row>
    <row r="680">
      <c r="A680" s="99"/>
      <c r="B680" s="99"/>
      <c r="C680" s="99"/>
      <c r="D680" s="99"/>
      <c r="E680" s="99"/>
      <c r="F680" s="99"/>
      <c r="G680" s="99"/>
      <c r="H680" s="99"/>
      <c r="I680" s="99"/>
      <c r="J680" s="99"/>
      <c r="K680" s="99"/>
      <c r="L680" s="99"/>
      <c r="M680" s="99"/>
      <c r="N680" s="99"/>
      <c r="O680" s="99"/>
      <c r="P680" s="99"/>
      <c r="Q680" s="99"/>
      <c r="R680" s="99"/>
    </row>
    <row r="681">
      <c r="A681" s="99"/>
      <c r="B681" s="99"/>
      <c r="C681" s="99"/>
      <c r="D681" s="99"/>
      <c r="E681" s="99"/>
      <c r="F681" s="99"/>
      <c r="G681" s="99"/>
      <c r="H681" s="99"/>
      <c r="I681" s="99"/>
      <c r="J681" s="99"/>
      <c r="K681" s="99"/>
      <c r="L681" s="99"/>
      <c r="M681" s="99"/>
      <c r="N681" s="99"/>
      <c r="O681" s="99"/>
      <c r="P681" s="99"/>
      <c r="Q681" s="99"/>
      <c r="R681" s="99"/>
    </row>
    <row r="682">
      <c r="A682" s="99"/>
      <c r="B682" s="99"/>
      <c r="C682" s="99"/>
      <c r="D682" s="99"/>
      <c r="E682" s="99"/>
      <c r="F682" s="99"/>
      <c r="G682" s="99"/>
      <c r="H682" s="99"/>
      <c r="I682" s="99"/>
      <c r="J682" s="99"/>
      <c r="K682" s="99"/>
      <c r="L682" s="99"/>
      <c r="M682" s="99"/>
      <c r="N682" s="99"/>
      <c r="O682" s="99"/>
      <c r="P682" s="99"/>
      <c r="Q682" s="99"/>
      <c r="R682" s="99"/>
    </row>
    <row r="683">
      <c r="A683" s="99"/>
      <c r="B683" s="99"/>
      <c r="C683" s="99"/>
      <c r="D683" s="99"/>
      <c r="E683" s="99"/>
      <c r="F683" s="99"/>
      <c r="G683" s="99"/>
      <c r="H683" s="99"/>
      <c r="I683" s="99"/>
      <c r="J683" s="99"/>
      <c r="K683" s="99"/>
      <c r="L683" s="99"/>
      <c r="M683" s="99"/>
      <c r="N683" s="99"/>
      <c r="O683" s="99"/>
      <c r="P683" s="99"/>
      <c r="Q683" s="99"/>
      <c r="R683" s="99"/>
    </row>
    <row r="684">
      <c r="A684" s="99"/>
      <c r="B684" s="99"/>
      <c r="C684" s="99"/>
      <c r="D684" s="99"/>
      <c r="E684" s="99"/>
      <c r="F684" s="99"/>
      <c r="G684" s="99"/>
      <c r="H684" s="99"/>
      <c r="I684" s="99"/>
      <c r="J684" s="99"/>
      <c r="K684" s="99"/>
      <c r="L684" s="99"/>
      <c r="M684" s="99"/>
      <c r="N684" s="99"/>
      <c r="O684" s="99"/>
      <c r="P684" s="99"/>
      <c r="Q684" s="99"/>
      <c r="R684" s="99"/>
    </row>
    <row r="685">
      <c r="A685" s="99"/>
      <c r="B685" s="99"/>
      <c r="C685" s="99"/>
      <c r="D685" s="99"/>
      <c r="E685" s="99"/>
      <c r="F685" s="99"/>
      <c r="G685" s="99"/>
      <c r="H685" s="99"/>
      <c r="I685" s="99"/>
      <c r="J685" s="99"/>
      <c r="K685" s="99"/>
      <c r="L685" s="99"/>
      <c r="M685" s="99"/>
      <c r="N685" s="99"/>
      <c r="O685" s="99"/>
      <c r="P685" s="99"/>
      <c r="Q685" s="99"/>
      <c r="R685" s="99"/>
    </row>
    <row r="686">
      <c r="A686" s="99"/>
      <c r="B686" s="99"/>
      <c r="C686" s="99"/>
      <c r="D686" s="99"/>
      <c r="E686" s="99"/>
      <c r="F686" s="99"/>
      <c r="G686" s="99"/>
      <c r="H686" s="99"/>
      <c r="I686" s="99"/>
      <c r="J686" s="99"/>
      <c r="K686" s="99"/>
      <c r="L686" s="99"/>
      <c r="M686" s="99"/>
      <c r="N686" s="99"/>
      <c r="O686" s="99"/>
      <c r="P686" s="99"/>
      <c r="Q686" s="99"/>
      <c r="R686" s="99"/>
    </row>
    <row r="687">
      <c r="A687" s="99"/>
      <c r="B687" s="99"/>
      <c r="C687" s="99"/>
      <c r="D687" s="99"/>
      <c r="E687" s="99"/>
      <c r="F687" s="99"/>
      <c r="G687" s="99"/>
      <c r="H687" s="99"/>
      <c r="I687" s="99"/>
      <c r="J687" s="99"/>
      <c r="K687" s="99"/>
      <c r="L687" s="99"/>
      <c r="M687" s="99"/>
      <c r="N687" s="99"/>
      <c r="O687" s="99"/>
      <c r="P687" s="99"/>
      <c r="Q687" s="99"/>
      <c r="R687" s="99"/>
    </row>
    <row r="688">
      <c r="A688" s="99"/>
      <c r="B688" s="99"/>
      <c r="C688" s="99"/>
      <c r="D688" s="99"/>
      <c r="E688" s="99"/>
      <c r="F688" s="99"/>
      <c r="G688" s="99"/>
      <c r="H688" s="99"/>
      <c r="I688" s="99"/>
      <c r="J688" s="99"/>
      <c r="K688" s="99"/>
      <c r="L688" s="99"/>
      <c r="M688" s="99"/>
      <c r="N688" s="99"/>
      <c r="O688" s="99"/>
      <c r="P688" s="99"/>
      <c r="Q688" s="99"/>
      <c r="R688" s="99"/>
    </row>
    <row r="689">
      <c r="A689" s="99"/>
      <c r="B689" s="99"/>
      <c r="C689" s="99"/>
      <c r="D689" s="99"/>
      <c r="E689" s="99"/>
      <c r="F689" s="99"/>
      <c r="G689" s="99"/>
      <c r="H689" s="99"/>
      <c r="I689" s="99"/>
      <c r="J689" s="99"/>
      <c r="K689" s="99"/>
      <c r="L689" s="99"/>
      <c r="M689" s="99"/>
      <c r="N689" s="99"/>
      <c r="O689" s="99"/>
      <c r="P689" s="99"/>
      <c r="Q689" s="99"/>
      <c r="R689" s="99"/>
    </row>
    <row r="690">
      <c r="A690" s="99"/>
      <c r="B690" s="99"/>
      <c r="C690" s="99"/>
      <c r="D690" s="99"/>
      <c r="E690" s="99"/>
      <c r="F690" s="99"/>
      <c r="G690" s="99"/>
      <c r="H690" s="99"/>
      <c r="I690" s="99"/>
      <c r="J690" s="99"/>
      <c r="K690" s="99"/>
      <c r="L690" s="99"/>
      <c r="M690" s="99"/>
      <c r="N690" s="99"/>
      <c r="O690" s="99"/>
      <c r="P690" s="99"/>
      <c r="Q690" s="99"/>
      <c r="R690" s="99"/>
    </row>
    <row r="691">
      <c r="A691" s="99"/>
      <c r="B691" s="99"/>
      <c r="C691" s="99"/>
      <c r="D691" s="99"/>
      <c r="E691" s="99"/>
      <c r="F691" s="99"/>
      <c r="G691" s="99"/>
      <c r="H691" s="99"/>
      <c r="I691" s="99"/>
      <c r="J691" s="99"/>
      <c r="K691" s="99"/>
      <c r="L691" s="99"/>
      <c r="M691" s="99"/>
      <c r="N691" s="99"/>
      <c r="O691" s="99"/>
      <c r="P691" s="99"/>
      <c r="Q691" s="99"/>
      <c r="R691" s="99"/>
    </row>
    <row r="692">
      <c r="A692" s="99"/>
      <c r="B692" s="99"/>
      <c r="C692" s="99"/>
      <c r="D692" s="99"/>
      <c r="E692" s="99"/>
      <c r="F692" s="99"/>
      <c r="G692" s="99"/>
      <c r="H692" s="99"/>
      <c r="I692" s="99"/>
      <c r="J692" s="99"/>
      <c r="K692" s="99"/>
      <c r="L692" s="99"/>
      <c r="M692" s="99"/>
      <c r="N692" s="99"/>
      <c r="O692" s="99"/>
      <c r="P692" s="99"/>
      <c r="Q692" s="99"/>
      <c r="R692" s="99"/>
    </row>
    <row r="693">
      <c r="A693" s="99"/>
      <c r="B693" s="99"/>
      <c r="C693" s="99"/>
      <c r="D693" s="99"/>
      <c r="E693" s="99"/>
      <c r="F693" s="99"/>
      <c r="G693" s="99"/>
      <c r="H693" s="99"/>
      <c r="I693" s="99"/>
      <c r="J693" s="99"/>
      <c r="K693" s="99"/>
      <c r="L693" s="99"/>
      <c r="M693" s="99"/>
      <c r="N693" s="99"/>
      <c r="O693" s="99"/>
      <c r="P693" s="99"/>
      <c r="Q693" s="99"/>
      <c r="R693" s="99"/>
    </row>
    <row r="694">
      <c r="A694" s="99"/>
      <c r="B694" s="99"/>
      <c r="C694" s="99"/>
      <c r="D694" s="99"/>
      <c r="E694" s="99"/>
      <c r="F694" s="99"/>
      <c r="G694" s="99"/>
      <c r="H694" s="99"/>
      <c r="I694" s="99"/>
      <c r="J694" s="99"/>
      <c r="K694" s="99"/>
      <c r="L694" s="99"/>
      <c r="M694" s="99"/>
      <c r="N694" s="99"/>
      <c r="O694" s="99"/>
      <c r="P694" s="99"/>
      <c r="Q694" s="99"/>
      <c r="R694" s="99"/>
    </row>
    <row r="695">
      <c r="A695" s="99"/>
      <c r="B695" s="99"/>
      <c r="C695" s="99"/>
      <c r="D695" s="99"/>
      <c r="E695" s="99"/>
      <c r="F695" s="99"/>
      <c r="G695" s="99"/>
      <c r="H695" s="99"/>
      <c r="I695" s="99"/>
      <c r="J695" s="99"/>
      <c r="K695" s="99"/>
      <c r="L695" s="99"/>
      <c r="M695" s="99"/>
      <c r="N695" s="99"/>
      <c r="O695" s="99"/>
      <c r="P695" s="99"/>
      <c r="Q695" s="99"/>
      <c r="R695" s="99"/>
    </row>
    <row r="696">
      <c r="A696" s="99"/>
      <c r="B696" s="99"/>
      <c r="C696" s="99"/>
      <c r="D696" s="99"/>
      <c r="E696" s="99"/>
      <c r="F696" s="99"/>
      <c r="G696" s="99"/>
      <c r="H696" s="99"/>
      <c r="I696" s="99"/>
      <c r="J696" s="99"/>
      <c r="K696" s="99"/>
      <c r="L696" s="99"/>
      <c r="M696" s="99"/>
      <c r="N696" s="99"/>
      <c r="O696" s="99"/>
      <c r="P696" s="99"/>
      <c r="Q696" s="99"/>
      <c r="R696" s="99"/>
    </row>
    <row r="697">
      <c r="A697" s="99"/>
      <c r="B697" s="99"/>
      <c r="C697" s="99"/>
      <c r="D697" s="99"/>
      <c r="E697" s="99"/>
      <c r="F697" s="99"/>
      <c r="G697" s="99"/>
      <c r="H697" s="99"/>
      <c r="I697" s="99"/>
      <c r="J697" s="99"/>
      <c r="K697" s="99"/>
      <c r="L697" s="99"/>
      <c r="M697" s="99"/>
      <c r="N697" s="99"/>
      <c r="O697" s="99"/>
      <c r="P697" s="99"/>
      <c r="Q697" s="99"/>
      <c r="R697" s="99"/>
    </row>
    <row r="698">
      <c r="A698" s="99"/>
      <c r="B698" s="99"/>
      <c r="C698" s="99"/>
      <c r="D698" s="99"/>
      <c r="E698" s="99"/>
      <c r="F698" s="99"/>
      <c r="G698" s="99"/>
      <c r="H698" s="99"/>
      <c r="I698" s="99"/>
      <c r="J698" s="99"/>
      <c r="K698" s="99"/>
      <c r="L698" s="99"/>
      <c r="M698" s="99"/>
      <c r="N698" s="99"/>
      <c r="O698" s="99"/>
      <c r="P698" s="99"/>
      <c r="Q698" s="99"/>
      <c r="R698" s="99"/>
    </row>
    <row r="699">
      <c r="A699" s="99"/>
      <c r="B699" s="99"/>
      <c r="C699" s="99"/>
      <c r="D699" s="99"/>
      <c r="E699" s="99"/>
      <c r="F699" s="99"/>
      <c r="G699" s="99"/>
      <c r="H699" s="99"/>
      <c r="I699" s="99"/>
      <c r="J699" s="99"/>
      <c r="K699" s="99"/>
      <c r="L699" s="99"/>
      <c r="M699" s="99"/>
      <c r="N699" s="99"/>
      <c r="O699" s="99"/>
      <c r="P699" s="99"/>
      <c r="Q699" s="99"/>
      <c r="R699" s="99"/>
    </row>
    <row r="700">
      <c r="A700" s="99"/>
      <c r="B700" s="99"/>
      <c r="C700" s="99"/>
      <c r="D700" s="99"/>
      <c r="E700" s="99"/>
      <c r="F700" s="99"/>
      <c r="G700" s="99"/>
      <c r="H700" s="99"/>
      <c r="I700" s="99"/>
      <c r="J700" s="99"/>
      <c r="K700" s="99"/>
      <c r="L700" s="99"/>
      <c r="M700" s="99"/>
      <c r="N700" s="99"/>
      <c r="O700" s="99"/>
      <c r="P700" s="99"/>
      <c r="Q700" s="99"/>
      <c r="R700" s="99"/>
    </row>
    <row r="701">
      <c r="A701" s="99"/>
      <c r="B701" s="99"/>
      <c r="C701" s="99"/>
      <c r="D701" s="99"/>
      <c r="E701" s="99"/>
      <c r="F701" s="99"/>
      <c r="G701" s="99"/>
      <c r="H701" s="99"/>
      <c r="I701" s="99"/>
      <c r="J701" s="99"/>
      <c r="K701" s="99"/>
      <c r="L701" s="99"/>
      <c r="M701" s="99"/>
      <c r="N701" s="99"/>
      <c r="O701" s="99"/>
      <c r="P701" s="99"/>
      <c r="Q701" s="99"/>
      <c r="R701" s="99"/>
    </row>
    <row r="702">
      <c r="A702" s="99"/>
      <c r="B702" s="99"/>
      <c r="C702" s="99"/>
      <c r="D702" s="99"/>
      <c r="E702" s="99"/>
      <c r="F702" s="99"/>
      <c r="G702" s="99"/>
      <c r="H702" s="99"/>
      <c r="I702" s="99"/>
      <c r="J702" s="99"/>
      <c r="K702" s="99"/>
      <c r="L702" s="99"/>
      <c r="M702" s="99"/>
      <c r="N702" s="99"/>
      <c r="O702" s="99"/>
      <c r="P702" s="99"/>
      <c r="Q702" s="99"/>
      <c r="R702" s="99"/>
    </row>
    <row r="703">
      <c r="A703" s="99"/>
      <c r="B703" s="99"/>
      <c r="C703" s="99"/>
      <c r="D703" s="99"/>
      <c r="E703" s="99"/>
      <c r="F703" s="99"/>
      <c r="G703" s="99"/>
      <c r="H703" s="99"/>
      <c r="I703" s="99"/>
      <c r="J703" s="99"/>
      <c r="K703" s="99"/>
      <c r="L703" s="99"/>
      <c r="M703" s="99"/>
      <c r="N703" s="99"/>
      <c r="O703" s="99"/>
      <c r="P703" s="99"/>
      <c r="Q703" s="99"/>
      <c r="R703" s="99"/>
    </row>
    <row r="704">
      <c r="A704" s="99"/>
      <c r="B704" s="99"/>
      <c r="C704" s="99"/>
      <c r="D704" s="99"/>
      <c r="E704" s="99"/>
      <c r="F704" s="99"/>
      <c r="G704" s="99"/>
      <c r="H704" s="99"/>
      <c r="I704" s="99"/>
      <c r="J704" s="99"/>
      <c r="K704" s="99"/>
      <c r="L704" s="99"/>
      <c r="M704" s="99"/>
      <c r="N704" s="99"/>
      <c r="O704" s="99"/>
      <c r="P704" s="99"/>
      <c r="Q704" s="99"/>
      <c r="R704" s="99"/>
    </row>
    <row r="705">
      <c r="A705" s="99"/>
      <c r="B705" s="99"/>
      <c r="C705" s="99"/>
      <c r="D705" s="99"/>
      <c r="E705" s="99"/>
      <c r="F705" s="99"/>
      <c r="G705" s="99"/>
      <c r="H705" s="99"/>
      <c r="I705" s="99"/>
      <c r="J705" s="99"/>
      <c r="K705" s="99"/>
      <c r="L705" s="99"/>
      <c r="M705" s="99"/>
      <c r="N705" s="99"/>
      <c r="O705" s="99"/>
      <c r="P705" s="99"/>
      <c r="Q705" s="99"/>
      <c r="R705" s="99"/>
    </row>
    <row r="706">
      <c r="A706" s="99"/>
      <c r="B706" s="99"/>
      <c r="C706" s="99"/>
      <c r="D706" s="99"/>
      <c r="E706" s="99"/>
      <c r="F706" s="99"/>
      <c r="G706" s="99"/>
      <c r="H706" s="99"/>
      <c r="I706" s="99"/>
      <c r="J706" s="99"/>
      <c r="K706" s="99"/>
      <c r="L706" s="99"/>
      <c r="M706" s="99"/>
      <c r="N706" s="99"/>
      <c r="O706" s="99"/>
      <c r="P706" s="99"/>
      <c r="Q706" s="99"/>
      <c r="R706" s="99"/>
    </row>
    <row r="707">
      <c r="A707" s="99"/>
      <c r="B707" s="99"/>
      <c r="C707" s="99"/>
      <c r="D707" s="99"/>
      <c r="E707" s="99"/>
      <c r="F707" s="99"/>
      <c r="G707" s="99"/>
      <c r="H707" s="99"/>
      <c r="I707" s="99"/>
      <c r="J707" s="99"/>
      <c r="K707" s="99"/>
      <c r="L707" s="99"/>
      <c r="M707" s="99"/>
      <c r="N707" s="99"/>
      <c r="O707" s="99"/>
      <c r="P707" s="99"/>
      <c r="Q707" s="99"/>
      <c r="R707" s="99"/>
    </row>
    <row r="708">
      <c r="A708" s="99"/>
      <c r="B708" s="99"/>
      <c r="C708" s="99"/>
      <c r="D708" s="99"/>
      <c r="E708" s="99"/>
      <c r="F708" s="99"/>
      <c r="G708" s="99"/>
      <c r="H708" s="99"/>
      <c r="I708" s="99"/>
      <c r="J708" s="99"/>
      <c r="K708" s="99"/>
      <c r="L708" s="99"/>
      <c r="M708" s="99"/>
      <c r="N708" s="99"/>
      <c r="O708" s="99"/>
      <c r="P708" s="99"/>
      <c r="Q708" s="99"/>
      <c r="R708" s="99"/>
    </row>
    <row r="709">
      <c r="A709" s="99"/>
      <c r="B709" s="99"/>
      <c r="C709" s="99"/>
      <c r="D709" s="99"/>
      <c r="E709" s="99"/>
      <c r="F709" s="99"/>
      <c r="G709" s="99"/>
      <c r="H709" s="99"/>
      <c r="I709" s="99"/>
      <c r="J709" s="99"/>
      <c r="K709" s="99"/>
      <c r="L709" s="99"/>
      <c r="M709" s="99"/>
      <c r="N709" s="99"/>
      <c r="O709" s="99"/>
      <c r="P709" s="99"/>
      <c r="Q709" s="99"/>
      <c r="R709" s="99"/>
    </row>
    <row r="710">
      <c r="A710" s="99"/>
      <c r="B710" s="99"/>
      <c r="C710" s="99"/>
      <c r="D710" s="99"/>
      <c r="E710" s="99"/>
      <c r="F710" s="99"/>
      <c r="G710" s="99"/>
      <c r="H710" s="99"/>
      <c r="I710" s="99"/>
      <c r="J710" s="99"/>
      <c r="K710" s="99"/>
      <c r="L710" s="99"/>
      <c r="M710" s="99"/>
      <c r="N710" s="99"/>
      <c r="O710" s="99"/>
      <c r="P710" s="99"/>
      <c r="Q710" s="99"/>
      <c r="R710" s="99"/>
    </row>
    <row r="711">
      <c r="A711" s="99"/>
      <c r="B711" s="99"/>
      <c r="C711" s="99"/>
      <c r="D711" s="99"/>
      <c r="E711" s="99"/>
      <c r="F711" s="99"/>
      <c r="G711" s="99"/>
      <c r="H711" s="99"/>
      <c r="I711" s="99"/>
      <c r="J711" s="99"/>
      <c r="K711" s="99"/>
      <c r="L711" s="99"/>
      <c r="M711" s="99"/>
      <c r="N711" s="99"/>
      <c r="O711" s="99"/>
      <c r="P711" s="99"/>
      <c r="Q711" s="99"/>
      <c r="R711" s="99"/>
    </row>
    <row r="712">
      <c r="A712" s="99"/>
      <c r="B712" s="99"/>
      <c r="C712" s="99"/>
      <c r="D712" s="99"/>
      <c r="E712" s="99"/>
      <c r="F712" s="99"/>
      <c r="G712" s="99"/>
      <c r="H712" s="99"/>
      <c r="I712" s="99"/>
      <c r="J712" s="99"/>
      <c r="K712" s="99"/>
      <c r="L712" s="99"/>
      <c r="M712" s="99"/>
      <c r="N712" s="99"/>
      <c r="O712" s="99"/>
      <c r="P712" s="99"/>
      <c r="Q712" s="99"/>
      <c r="R712" s="99"/>
    </row>
    <row r="713">
      <c r="A713" s="99"/>
      <c r="B713" s="99"/>
      <c r="C713" s="99"/>
      <c r="D713" s="99"/>
      <c r="E713" s="99"/>
      <c r="F713" s="99"/>
      <c r="G713" s="99"/>
      <c r="H713" s="99"/>
      <c r="I713" s="99"/>
      <c r="J713" s="99"/>
      <c r="K713" s="99"/>
      <c r="L713" s="99"/>
      <c r="M713" s="99"/>
      <c r="N713" s="99"/>
      <c r="O713" s="99"/>
      <c r="P713" s="99"/>
      <c r="Q713" s="99"/>
      <c r="R713" s="99"/>
    </row>
    <row r="714">
      <c r="A714" s="99"/>
      <c r="B714" s="99"/>
      <c r="C714" s="99"/>
      <c r="D714" s="99"/>
      <c r="E714" s="99"/>
      <c r="F714" s="99"/>
      <c r="G714" s="99"/>
      <c r="H714" s="99"/>
      <c r="I714" s="99"/>
      <c r="J714" s="99"/>
      <c r="K714" s="99"/>
      <c r="L714" s="99"/>
      <c r="M714" s="99"/>
      <c r="N714" s="99"/>
      <c r="O714" s="99"/>
      <c r="P714" s="99"/>
      <c r="Q714" s="99"/>
      <c r="R714" s="99"/>
    </row>
    <row r="715">
      <c r="A715" s="99"/>
      <c r="B715" s="99"/>
      <c r="C715" s="99"/>
      <c r="D715" s="99"/>
      <c r="E715" s="99"/>
      <c r="F715" s="99"/>
      <c r="G715" s="99"/>
      <c r="H715" s="99"/>
      <c r="I715" s="99"/>
      <c r="J715" s="99"/>
      <c r="K715" s="99"/>
      <c r="L715" s="99"/>
      <c r="M715" s="99"/>
      <c r="N715" s="99"/>
      <c r="O715" s="99"/>
      <c r="P715" s="99"/>
      <c r="Q715" s="99"/>
      <c r="R715" s="99"/>
    </row>
    <row r="716">
      <c r="A716" s="99"/>
      <c r="B716" s="99"/>
      <c r="C716" s="99"/>
      <c r="D716" s="99"/>
      <c r="E716" s="99"/>
      <c r="F716" s="99"/>
      <c r="G716" s="99"/>
      <c r="H716" s="99"/>
      <c r="I716" s="99"/>
      <c r="J716" s="99"/>
      <c r="K716" s="99"/>
      <c r="L716" s="99"/>
      <c r="M716" s="99"/>
      <c r="N716" s="99"/>
      <c r="O716" s="99"/>
      <c r="P716" s="99"/>
      <c r="Q716" s="99"/>
      <c r="R716" s="99"/>
    </row>
    <row r="717">
      <c r="A717" s="99"/>
      <c r="B717" s="99"/>
      <c r="C717" s="99"/>
      <c r="D717" s="99"/>
      <c r="E717" s="99"/>
      <c r="F717" s="99"/>
      <c r="G717" s="99"/>
      <c r="H717" s="99"/>
      <c r="I717" s="99"/>
      <c r="J717" s="99"/>
      <c r="K717" s="99"/>
      <c r="L717" s="99"/>
      <c r="M717" s="99"/>
      <c r="N717" s="99"/>
      <c r="O717" s="99"/>
      <c r="P717" s="99"/>
      <c r="Q717" s="99"/>
      <c r="R717" s="99"/>
    </row>
    <row r="718">
      <c r="A718" s="99"/>
      <c r="B718" s="99"/>
      <c r="C718" s="99"/>
      <c r="D718" s="99"/>
      <c r="E718" s="99"/>
      <c r="F718" s="99"/>
      <c r="G718" s="99"/>
      <c r="H718" s="99"/>
      <c r="I718" s="99"/>
      <c r="J718" s="99"/>
      <c r="K718" s="99"/>
      <c r="L718" s="99"/>
      <c r="M718" s="99"/>
      <c r="N718" s="99"/>
      <c r="O718" s="99"/>
      <c r="P718" s="99"/>
      <c r="Q718" s="99"/>
      <c r="R718" s="99"/>
    </row>
    <row r="719">
      <c r="A719" s="99"/>
      <c r="B719" s="99"/>
      <c r="C719" s="99"/>
      <c r="D719" s="99"/>
      <c r="E719" s="99"/>
      <c r="F719" s="99"/>
      <c r="G719" s="99"/>
      <c r="H719" s="99"/>
      <c r="I719" s="99"/>
      <c r="J719" s="99"/>
      <c r="K719" s="99"/>
      <c r="L719" s="99"/>
      <c r="M719" s="99"/>
      <c r="N719" s="99"/>
      <c r="O719" s="99"/>
      <c r="P719" s="99"/>
      <c r="Q719" s="99"/>
      <c r="R719" s="99"/>
    </row>
    <row r="720">
      <c r="A720" s="99"/>
      <c r="B720" s="99"/>
      <c r="C720" s="99"/>
      <c r="D720" s="99"/>
      <c r="E720" s="99"/>
      <c r="F720" s="99"/>
      <c r="G720" s="99"/>
      <c r="H720" s="99"/>
      <c r="I720" s="99"/>
      <c r="J720" s="99"/>
      <c r="K720" s="99"/>
      <c r="L720" s="99"/>
      <c r="M720" s="99"/>
      <c r="N720" s="99"/>
      <c r="O720" s="99"/>
      <c r="P720" s="99"/>
      <c r="Q720" s="99"/>
      <c r="R720" s="99"/>
    </row>
    <row r="721">
      <c r="A721" s="99"/>
      <c r="B721" s="99"/>
      <c r="C721" s="99"/>
      <c r="D721" s="99"/>
      <c r="E721" s="99"/>
      <c r="F721" s="99"/>
      <c r="G721" s="99"/>
      <c r="H721" s="99"/>
      <c r="I721" s="99"/>
      <c r="J721" s="99"/>
      <c r="K721" s="99"/>
      <c r="L721" s="99"/>
      <c r="M721" s="99"/>
      <c r="N721" s="99"/>
      <c r="O721" s="99"/>
      <c r="P721" s="99"/>
      <c r="Q721" s="99"/>
      <c r="R721" s="99"/>
    </row>
    <row r="722">
      <c r="A722" s="99"/>
      <c r="B722" s="99"/>
      <c r="C722" s="99"/>
      <c r="D722" s="99"/>
      <c r="E722" s="99"/>
      <c r="F722" s="99"/>
      <c r="G722" s="99"/>
      <c r="H722" s="99"/>
      <c r="I722" s="99"/>
      <c r="J722" s="99"/>
      <c r="K722" s="99"/>
      <c r="L722" s="99"/>
      <c r="M722" s="99"/>
      <c r="N722" s="99"/>
      <c r="O722" s="99"/>
      <c r="P722" s="99"/>
      <c r="Q722" s="99"/>
      <c r="R722" s="99"/>
    </row>
    <row r="723">
      <c r="A723" s="99"/>
      <c r="B723" s="99"/>
      <c r="C723" s="99"/>
      <c r="D723" s="99"/>
      <c r="E723" s="99"/>
      <c r="F723" s="99"/>
      <c r="G723" s="99"/>
      <c r="H723" s="99"/>
      <c r="I723" s="99"/>
      <c r="J723" s="99"/>
      <c r="K723" s="99"/>
      <c r="L723" s="99"/>
      <c r="M723" s="99"/>
      <c r="N723" s="99"/>
      <c r="O723" s="99"/>
      <c r="P723" s="99"/>
      <c r="Q723" s="99"/>
      <c r="R723" s="99"/>
    </row>
    <row r="724">
      <c r="A724" s="99"/>
      <c r="B724" s="99"/>
      <c r="C724" s="99"/>
      <c r="D724" s="99"/>
      <c r="E724" s="99"/>
      <c r="F724" s="99"/>
      <c r="G724" s="99"/>
      <c r="H724" s="99"/>
      <c r="I724" s="99"/>
      <c r="J724" s="99"/>
      <c r="K724" s="99"/>
      <c r="L724" s="99"/>
      <c r="M724" s="99"/>
      <c r="N724" s="99"/>
      <c r="O724" s="99"/>
      <c r="P724" s="99"/>
      <c r="Q724" s="99"/>
      <c r="R724" s="99"/>
    </row>
    <row r="725">
      <c r="A725" s="99"/>
      <c r="B725" s="99"/>
      <c r="C725" s="99"/>
      <c r="D725" s="99"/>
      <c r="E725" s="99"/>
      <c r="F725" s="99"/>
      <c r="G725" s="99"/>
      <c r="H725" s="99"/>
      <c r="I725" s="99"/>
      <c r="J725" s="99"/>
      <c r="K725" s="99"/>
      <c r="L725" s="99"/>
      <c r="M725" s="99"/>
      <c r="N725" s="99"/>
      <c r="O725" s="99"/>
      <c r="P725" s="99"/>
      <c r="Q725" s="99"/>
      <c r="R725" s="99"/>
    </row>
    <row r="726">
      <c r="A726" s="99"/>
      <c r="B726" s="99"/>
      <c r="C726" s="99"/>
      <c r="D726" s="99"/>
      <c r="E726" s="99"/>
      <c r="F726" s="99"/>
      <c r="G726" s="99"/>
      <c r="H726" s="99"/>
      <c r="I726" s="99"/>
      <c r="J726" s="99"/>
      <c r="K726" s="99"/>
      <c r="L726" s="99"/>
      <c r="M726" s="99"/>
      <c r="N726" s="99"/>
      <c r="O726" s="99"/>
      <c r="P726" s="99"/>
      <c r="Q726" s="99"/>
      <c r="R726" s="99"/>
    </row>
    <row r="727">
      <c r="A727" s="99"/>
      <c r="B727" s="99"/>
      <c r="C727" s="99"/>
      <c r="D727" s="99"/>
      <c r="E727" s="99"/>
      <c r="F727" s="99"/>
      <c r="G727" s="99"/>
      <c r="H727" s="99"/>
      <c r="I727" s="99"/>
      <c r="J727" s="99"/>
      <c r="K727" s="99"/>
      <c r="L727" s="99"/>
      <c r="M727" s="99"/>
      <c r="N727" s="99"/>
      <c r="O727" s="99"/>
      <c r="P727" s="99"/>
      <c r="Q727" s="99"/>
      <c r="R727" s="99"/>
    </row>
    <row r="728">
      <c r="A728" s="99"/>
      <c r="B728" s="99"/>
      <c r="C728" s="99"/>
      <c r="D728" s="99"/>
      <c r="E728" s="99"/>
      <c r="F728" s="99"/>
      <c r="G728" s="99"/>
      <c r="H728" s="99"/>
      <c r="I728" s="99"/>
      <c r="J728" s="99"/>
      <c r="K728" s="99"/>
      <c r="L728" s="99"/>
      <c r="M728" s="99"/>
      <c r="N728" s="99"/>
      <c r="O728" s="99"/>
      <c r="P728" s="99"/>
      <c r="Q728" s="99"/>
      <c r="R728" s="99"/>
    </row>
    <row r="729">
      <c r="A729" s="99"/>
      <c r="B729" s="99"/>
      <c r="C729" s="99"/>
      <c r="D729" s="99"/>
      <c r="E729" s="99"/>
      <c r="F729" s="99"/>
      <c r="G729" s="99"/>
      <c r="H729" s="99"/>
      <c r="I729" s="99"/>
      <c r="J729" s="99"/>
      <c r="K729" s="99"/>
      <c r="L729" s="99"/>
      <c r="M729" s="99"/>
      <c r="N729" s="99"/>
      <c r="O729" s="99"/>
      <c r="P729" s="99"/>
      <c r="Q729" s="99"/>
      <c r="R729" s="99"/>
    </row>
    <row r="730">
      <c r="A730" s="99"/>
      <c r="B730" s="99"/>
      <c r="C730" s="99"/>
      <c r="D730" s="99"/>
      <c r="E730" s="99"/>
      <c r="F730" s="99"/>
      <c r="G730" s="99"/>
      <c r="H730" s="99"/>
      <c r="I730" s="99"/>
      <c r="J730" s="99"/>
      <c r="K730" s="99"/>
      <c r="L730" s="99"/>
      <c r="M730" s="99"/>
      <c r="N730" s="99"/>
      <c r="O730" s="99"/>
      <c r="P730" s="99"/>
      <c r="Q730" s="99"/>
      <c r="R730" s="99"/>
    </row>
    <row r="731">
      <c r="A731" s="99"/>
      <c r="B731" s="99"/>
      <c r="C731" s="99"/>
      <c r="D731" s="99"/>
      <c r="E731" s="99"/>
      <c r="F731" s="99"/>
      <c r="G731" s="99"/>
      <c r="H731" s="99"/>
      <c r="I731" s="99"/>
      <c r="J731" s="99"/>
      <c r="K731" s="99"/>
      <c r="L731" s="99"/>
      <c r="M731" s="99"/>
      <c r="N731" s="99"/>
      <c r="O731" s="99"/>
      <c r="P731" s="99"/>
      <c r="Q731" s="99"/>
      <c r="R731" s="99"/>
    </row>
    <row r="732">
      <c r="A732" s="99"/>
      <c r="B732" s="99"/>
      <c r="C732" s="99"/>
      <c r="D732" s="99"/>
      <c r="E732" s="99"/>
      <c r="F732" s="99"/>
      <c r="G732" s="99"/>
      <c r="H732" s="99"/>
      <c r="I732" s="99"/>
      <c r="J732" s="99"/>
      <c r="K732" s="99"/>
      <c r="L732" s="99"/>
      <c r="M732" s="99"/>
      <c r="N732" s="99"/>
      <c r="O732" s="99"/>
      <c r="P732" s="99"/>
      <c r="Q732" s="99"/>
      <c r="R732" s="99"/>
    </row>
    <row r="733">
      <c r="A733" s="99"/>
      <c r="B733" s="99"/>
      <c r="C733" s="99"/>
      <c r="D733" s="99"/>
      <c r="E733" s="99"/>
      <c r="F733" s="99"/>
      <c r="G733" s="99"/>
      <c r="H733" s="99"/>
      <c r="I733" s="99"/>
      <c r="J733" s="99"/>
      <c r="K733" s="99"/>
      <c r="L733" s="99"/>
      <c r="M733" s="99"/>
      <c r="N733" s="99"/>
      <c r="O733" s="99"/>
      <c r="P733" s="99"/>
      <c r="Q733" s="99"/>
      <c r="R733" s="99"/>
    </row>
    <row r="734">
      <c r="A734" s="99"/>
      <c r="B734" s="99"/>
      <c r="C734" s="99"/>
      <c r="D734" s="99"/>
      <c r="E734" s="99"/>
      <c r="F734" s="99"/>
      <c r="G734" s="99"/>
      <c r="H734" s="99"/>
      <c r="I734" s="99"/>
      <c r="J734" s="99"/>
      <c r="K734" s="99"/>
      <c r="L734" s="99"/>
      <c r="M734" s="99"/>
      <c r="N734" s="99"/>
      <c r="O734" s="99"/>
      <c r="P734" s="99"/>
      <c r="Q734" s="99"/>
      <c r="R734" s="99"/>
    </row>
    <row r="735">
      <c r="A735" s="99"/>
      <c r="B735" s="99"/>
      <c r="C735" s="99"/>
      <c r="D735" s="99"/>
      <c r="E735" s="99"/>
      <c r="F735" s="99"/>
      <c r="G735" s="99"/>
      <c r="H735" s="99"/>
      <c r="I735" s="99"/>
      <c r="J735" s="99"/>
      <c r="K735" s="99"/>
      <c r="L735" s="99"/>
      <c r="M735" s="99"/>
      <c r="N735" s="99"/>
      <c r="O735" s="99"/>
      <c r="P735" s="99"/>
      <c r="Q735" s="99"/>
      <c r="R735" s="99"/>
    </row>
    <row r="736">
      <c r="A736" s="99"/>
      <c r="B736" s="99"/>
      <c r="C736" s="99"/>
      <c r="D736" s="99"/>
      <c r="E736" s="99"/>
      <c r="F736" s="99"/>
      <c r="G736" s="99"/>
      <c r="H736" s="99"/>
      <c r="I736" s="99"/>
      <c r="J736" s="99"/>
      <c r="K736" s="99"/>
      <c r="L736" s="99"/>
      <c r="M736" s="99"/>
      <c r="N736" s="99"/>
      <c r="O736" s="99"/>
      <c r="P736" s="99"/>
      <c r="Q736" s="99"/>
      <c r="R736" s="99"/>
    </row>
    <row r="737">
      <c r="A737" s="99"/>
      <c r="B737" s="99"/>
      <c r="C737" s="99"/>
      <c r="D737" s="99"/>
      <c r="E737" s="99"/>
      <c r="F737" s="99"/>
      <c r="G737" s="99"/>
      <c r="H737" s="99"/>
      <c r="I737" s="99"/>
      <c r="J737" s="99"/>
      <c r="K737" s="99"/>
      <c r="L737" s="99"/>
      <c r="M737" s="99"/>
      <c r="N737" s="99"/>
      <c r="O737" s="99"/>
      <c r="P737" s="99"/>
      <c r="Q737" s="99"/>
      <c r="R737" s="99"/>
    </row>
    <row r="738">
      <c r="A738" s="99"/>
      <c r="B738" s="99"/>
      <c r="C738" s="99"/>
      <c r="D738" s="99"/>
      <c r="E738" s="99"/>
      <c r="F738" s="99"/>
      <c r="G738" s="99"/>
      <c r="H738" s="99"/>
      <c r="I738" s="99"/>
      <c r="J738" s="99"/>
      <c r="K738" s="99"/>
      <c r="L738" s="99"/>
      <c r="M738" s="99"/>
      <c r="N738" s="99"/>
      <c r="O738" s="99"/>
      <c r="P738" s="99"/>
      <c r="Q738" s="99"/>
      <c r="R738" s="99"/>
    </row>
    <row r="739">
      <c r="A739" s="99"/>
      <c r="B739" s="99"/>
      <c r="C739" s="99"/>
      <c r="D739" s="99"/>
      <c r="E739" s="99"/>
      <c r="F739" s="99"/>
      <c r="G739" s="99"/>
      <c r="H739" s="99"/>
      <c r="I739" s="99"/>
      <c r="J739" s="99"/>
      <c r="K739" s="99"/>
      <c r="L739" s="99"/>
      <c r="M739" s="99"/>
      <c r="N739" s="99"/>
      <c r="O739" s="99"/>
      <c r="P739" s="99"/>
      <c r="Q739" s="99"/>
      <c r="R739" s="99"/>
    </row>
    <row r="740">
      <c r="A740" s="99"/>
      <c r="B740" s="99"/>
      <c r="C740" s="99"/>
      <c r="D740" s="99"/>
      <c r="E740" s="99"/>
      <c r="F740" s="99"/>
      <c r="G740" s="99"/>
      <c r="H740" s="99"/>
      <c r="I740" s="99"/>
      <c r="J740" s="99"/>
      <c r="K740" s="99"/>
      <c r="L740" s="99"/>
      <c r="M740" s="99"/>
      <c r="N740" s="99"/>
      <c r="O740" s="99"/>
      <c r="P740" s="99"/>
      <c r="Q740" s="99"/>
      <c r="R740" s="99"/>
    </row>
    <row r="741">
      <c r="A741" s="99"/>
      <c r="B741" s="99"/>
      <c r="C741" s="99"/>
      <c r="D741" s="99"/>
      <c r="E741" s="99"/>
      <c r="F741" s="99"/>
      <c r="G741" s="99"/>
      <c r="H741" s="99"/>
      <c r="I741" s="99"/>
      <c r="J741" s="99"/>
      <c r="K741" s="99"/>
      <c r="L741" s="99"/>
      <c r="M741" s="99"/>
      <c r="N741" s="99"/>
      <c r="O741" s="99"/>
      <c r="P741" s="99"/>
      <c r="Q741" s="99"/>
      <c r="R741" s="99"/>
    </row>
    <row r="742">
      <c r="A742" s="99"/>
      <c r="B742" s="99"/>
      <c r="C742" s="99"/>
      <c r="D742" s="99"/>
      <c r="E742" s="99"/>
      <c r="F742" s="99"/>
      <c r="G742" s="99"/>
      <c r="H742" s="99"/>
      <c r="I742" s="99"/>
      <c r="J742" s="99"/>
      <c r="K742" s="99"/>
      <c r="L742" s="99"/>
      <c r="M742" s="99"/>
      <c r="N742" s="99"/>
      <c r="O742" s="99"/>
      <c r="P742" s="99"/>
      <c r="Q742" s="99"/>
      <c r="R742" s="99"/>
    </row>
    <row r="743">
      <c r="A743" s="99"/>
      <c r="B743" s="99"/>
      <c r="C743" s="99"/>
      <c r="D743" s="99"/>
      <c r="E743" s="99"/>
      <c r="F743" s="99"/>
      <c r="G743" s="99"/>
      <c r="H743" s="99"/>
      <c r="I743" s="99"/>
      <c r="J743" s="99"/>
      <c r="K743" s="99"/>
      <c r="L743" s="99"/>
      <c r="M743" s="99"/>
      <c r="N743" s="99"/>
      <c r="O743" s="99"/>
      <c r="P743" s="99"/>
      <c r="Q743" s="99"/>
      <c r="R743" s="99"/>
    </row>
    <row r="744">
      <c r="A744" s="99"/>
      <c r="B744" s="99"/>
      <c r="C744" s="99"/>
      <c r="D744" s="99"/>
      <c r="E744" s="99"/>
      <c r="F744" s="99"/>
      <c r="G744" s="99"/>
      <c r="H744" s="99"/>
      <c r="I744" s="99"/>
      <c r="J744" s="99"/>
      <c r="K744" s="99"/>
      <c r="L744" s="99"/>
      <c r="M744" s="99"/>
      <c r="N744" s="99"/>
      <c r="O744" s="99"/>
      <c r="P744" s="99"/>
      <c r="Q744" s="99"/>
      <c r="R744" s="99"/>
    </row>
    <row r="745">
      <c r="A745" s="99"/>
      <c r="B745" s="99"/>
      <c r="C745" s="99"/>
      <c r="D745" s="99"/>
      <c r="E745" s="99"/>
      <c r="F745" s="99"/>
      <c r="G745" s="99"/>
      <c r="H745" s="99"/>
      <c r="I745" s="99"/>
      <c r="J745" s="99"/>
      <c r="K745" s="99"/>
      <c r="L745" s="99"/>
      <c r="M745" s="99"/>
      <c r="N745" s="99"/>
      <c r="O745" s="99"/>
      <c r="P745" s="99"/>
      <c r="Q745" s="99"/>
      <c r="R745" s="99"/>
    </row>
    <row r="746">
      <c r="A746" s="99"/>
      <c r="B746" s="99"/>
      <c r="C746" s="99"/>
      <c r="D746" s="99"/>
      <c r="E746" s="99"/>
      <c r="F746" s="99"/>
      <c r="G746" s="99"/>
      <c r="H746" s="99"/>
      <c r="I746" s="99"/>
      <c r="J746" s="99"/>
      <c r="K746" s="99"/>
      <c r="L746" s="99"/>
      <c r="M746" s="99"/>
      <c r="N746" s="99"/>
      <c r="O746" s="99"/>
      <c r="P746" s="99"/>
      <c r="Q746" s="99"/>
      <c r="R746" s="99"/>
    </row>
    <row r="747">
      <c r="A747" s="99"/>
      <c r="B747" s="99"/>
      <c r="C747" s="99"/>
      <c r="D747" s="99"/>
      <c r="E747" s="99"/>
      <c r="F747" s="99"/>
      <c r="G747" s="99"/>
      <c r="H747" s="99"/>
      <c r="I747" s="99"/>
      <c r="J747" s="99"/>
      <c r="K747" s="99"/>
      <c r="L747" s="99"/>
      <c r="M747" s="99"/>
      <c r="N747" s="99"/>
      <c r="O747" s="99"/>
      <c r="P747" s="99"/>
      <c r="Q747" s="99"/>
      <c r="R747" s="99"/>
    </row>
    <row r="748">
      <c r="A748" s="99"/>
      <c r="B748" s="99"/>
      <c r="C748" s="99"/>
      <c r="D748" s="99"/>
      <c r="E748" s="99"/>
      <c r="F748" s="99"/>
      <c r="G748" s="99"/>
      <c r="H748" s="99"/>
      <c r="I748" s="99"/>
      <c r="J748" s="99"/>
      <c r="K748" s="99"/>
      <c r="L748" s="99"/>
      <c r="M748" s="99"/>
      <c r="N748" s="99"/>
      <c r="O748" s="99"/>
      <c r="P748" s="99"/>
      <c r="Q748" s="99"/>
      <c r="R748" s="99"/>
    </row>
    <row r="749">
      <c r="A749" s="99"/>
      <c r="B749" s="99"/>
      <c r="C749" s="99"/>
      <c r="D749" s="99"/>
      <c r="E749" s="99"/>
      <c r="F749" s="99"/>
      <c r="G749" s="99"/>
      <c r="H749" s="99"/>
      <c r="I749" s="99"/>
      <c r="J749" s="99"/>
      <c r="K749" s="99"/>
      <c r="L749" s="99"/>
      <c r="M749" s="99"/>
      <c r="N749" s="99"/>
      <c r="O749" s="99"/>
      <c r="P749" s="99"/>
      <c r="Q749" s="99"/>
      <c r="R749" s="99"/>
    </row>
    <row r="750">
      <c r="A750" s="99"/>
      <c r="B750" s="99"/>
      <c r="C750" s="99"/>
      <c r="D750" s="99"/>
      <c r="E750" s="99"/>
      <c r="F750" s="99"/>
      <c r="G750" s="99"/>
      <c r="H750" s="99"/>
      <c r="I750" s="99"/>
      <c r="J750" s="99"/>
      <c r="K750" s="99"/>
      <c r="L750" s="99"/>
      <c r="M750" s="99"/>
      <c r="N750" s="99"/>
      <c r="O750" s="99"/>
      <c r="P750" s="99"/>
      <c r="Q750" s="99"/>
      <c r="R750" s="99"/>
    </row>
    <row r="751">
      <c r="A751" s="99"/>
      <c r="B751" s="99"/>
      <c r="C751" s="99"/>
      <c r="D751" s="99"/>
      <c r="E751" s="99"/>
      <c r="F751" s="99"/>
      <c r="G751" s="99"/>
      <c r="H751" s="99"/>
      <c r="I751" s="99"/>
      <c r="J751" s="99"/>
      <c r="K751" s="99"/>
      <c r="L751" s="99"/>
      <c r="M751" s="99"/>
      <c r="N751" s="99"/>
      <c r="O751" s="99"/>
      <c r="P751" s="99"/>
      <c r="Q751" s="99"/>
      <c r="R751" s="99"/>
    </row>
    <row r="752">
      <c r="A752" s="99"/>
      <c r="B752" s="99"/>
      <c r="C752" s="99"/>
      <c r="D752" s="99"/>
      <c r="E752" s="99"/>
      <c r="F752" s="99"/>
      <c r="G752" s="99"/>
      <c r="H752" s="99"/>
      <c r="I752" s="99"/>
      <c r="J752" s="99"/>
      <c r="K752" s="99"/>
      <c r="L752" s="99"/>
      <c r="M752" s="99"/>
      <c r="N752" s="99"/>
      <c r="O752" s="99"/>
      <c r="P752" s="99"/>
      <c r="Q752" s="99"/>
      <c r="R752" s="99"/>
    </row>
    <row r="753">
      <c r="A753" s="99"/>
      <c r="B753" s="99"/>
      <c r="C753" s="99"/>
      <c r="D753" s="99"/>
      <c r="E753" s="99"/>
      <c r="F753" s="99"/>
      <c r="G753" s="99"/>
      <c r="H753" s="99"/>
      <c r="I753" s="99"/>
      <c r="J753" s="99"/>
      <c r="K753" s="99"/>
      <c r="L753" s="99"/>
      <c r="M753" s="99"/>
      <c r="N753" s="99"/>
      <c r="O753" s="99"/>
      <c r="P753" s="99"/>
      <c r="Q753" s="99"/>
      <c r="R753" s="99"/>
    </row>
    <row r="754">
      <c r="A754" s="99"/>
      <c r="B754" s="99"/>
      <c r="C754" s="99"/>
      <c r="D754" s="99"/>
      <c r="E754" s="99"/>
      <c r="F754" s="99"/>
      <c r="G754" s="99"/>
      <c r="H754" s="99"/>
      <c r="I754" s="99"/>
      <c r="J754" s="99"/>
      <c r="K754" s="99"/>
      <c r="L754" s="99"/>
      <c r="M754" s="99"/>
      <c r="N754" s="99"/>
      <c r="O754" s="99"/>
      <c r="P754" s="99"/>
      <c r="Q754" s="99"/>
      <c r="R754" s="99"/>
    </row>
    <row r="755">
      <c r="A755" s="99"/>
      <c r="B755" s="99"/>
      <c r="C755" s="99"/>
      <c r="D755" s="99"/>
      <c r="E755" s="99"/>
      <c r="F755" s="99"/>
      <c r="G755" s="99"/>
      <c r="H755" s="99"/>
      <c r="I755" s="99"/>
      <c r="J755" s="99"/>
      <c r="K755" s="99"/>
      <c r="L755" s="99"/>
      <c r="M755" s="99"/>
      <c r="N755" s="99"/>
      <c r="O755" s="99"/>
      <c r="P755" s="99"/>
      <c r="Q755" s="99"/>
      <c r="R755" s="99"/>
    </row>
    <row r="756">
      <c r="A756" s="99"/>
      <c r="B756" s="99"/>
      <c r="C756" s="99"/>
      <c r="D756" s="99"/>
      <c r="E756" s="99"/>
      <c r="F756" s="99"/>
      <c r="G756" s="99"/>
      <c r="H756" s="99"/>
      <c r="I756" s="99"/>
      <c r="J756" s="99"/>
      <c r="K756" s="99"/>
      <c r="L756" s="99"/>
      <c r="M756" s="99"/>
      <c r="N756" s="99"/>
      <c r="O756" s="99"/>
      <c r="P756" s="99"/>
      <c r="Q756" s="99"/>
      <c r="R756" s="99"/>
    </row>
    <row r="757">
      <c r="A757" s="99"/>
      <c r="B757" s="99"/>
      <c r="C757" s="99"/>
      <c r="D757" s="99"/>
      <c r="E757" s="99"/>
      <c r="F757" s="99"/>
      <c r="G757" s="99"/>
      <c r="H757" s="99"/>
      <c r="I757" s="99"/>
      <c r="J757" s="99"/>
      <c r="K757" s="99"/>
      <c r="L757" s="99"/>
      <c r="M757" s="99"/>
      <c r="N757" s="99"/>
      <c r="O757" s="99"/>
      <c r="P757" s="99"/>
      <c r="Q757" s="99"/>
      <c r="R757" s="99"/>
    </row>
    <row r="758">
      <c r="A758" s="99"/>
      <c r="B758" s="99"/>
      <c r="C758" s="99"/>
      <c r="D758" s="99"/>
      <c r="E758" s="99"/>
      <c r="F758" s="99"/>
      <c r="G758" s="99"/>
      <c r="H758" s="99"/>
      <c r="I758" s="99"/>
      <c r="J758" s="99"/>
      <c r="K758" s="99"/>
      <c r="L758" s="99"/>
      <c r="M758" s="99"/>
      <c r="N758" s="99"/>
      <c r="O758" s="99"/>
      <c r="P758" s="99"/>
      <c r="Q758" s="99"/>
      <c r="R758" s="99"/>
    </row>
    <row r="759">
      <c r="A759" s="99"/>
      <c r="B759" s="99"/>
      <c r="C759" s="99"/>
      <c r="D759" s="99"/>
      <c r="E759" s="99"/>
      <c r="F759" s="99"/>
      <c r="G759" s="99"/>
      <c r="H759" s="99"/>
      <c r="I759" s="99"/>
      <c r="J759" s="99"/>
      <c r="K759" s="99"/>
      <c r="L759" s="99"/>
      <c r="M759" s="99"/>
      <c r="N759" s="99"/>
      <c r="O759" s="99"/>
      <c r="P759" s="99"/>
      <c r="Q759" s="99"/>
      <c r="R759" s="99"/>
    </row>
    <row r="760">
      <c r="A760" s="99"/>
      <c r="B760" s="99"/>
      <c r="C760" s="99"/>
      <c r="D760" s="99"/>
      <c r="E760" s="99"/>
      <c r="F760" s="99"/>
      <c r="G760" s="99"/>
      <c r="H760" s="99"/>
      <c r="I760" s="99"/>
      <c r="J760" s="99"/>
      <c r="K760" s="99"/>
      <c r="L760" s="99"/>
      <c r="M760" s="99"/>
      <c r="N760" s="99"/>
      <c r="O760" s="99"/>
      <c r="P760" s="99"/>
      <c r="Q760" s="99"/>
      <c r="R760" s="99"/>
    </row>
    <row r="761">
      <c r="A761" s="99"/>
      <c r="B761" s="99"/>
      <c r="C761" s="99"/>
      <c r="D761" s="99"/>
      <c r="E761" s="99"/>
      <c r="F761" s="99"/>
      <c r="G761" s="99"/>
      <c r="H761" s="99"/>
      <c r="I761" s="99"/>
      <c r="J761" s="99"/>
      <c r="K761" s="99"/>
      <c r="L761" s="99"/>
      <c r="M761" s="99"/>
      <c r="N761" s="99"/>
      <c r="O761" s="99"/>
      <c r="P761" s="99"/>
      <c r="Q761" s="99"/>
      <c r="R761" s="99"/>
    </row>
    <row r="762">
      <c r="A762" s="99"/>
      <c r="B762" s="99"/>
      <c r="C762" s="99"/>
      <c r="D762" s="99"/>
      <c r="E762" s="99"/>
      <c r="F762" s="99"/>
      <c r="G762" s="99"/>
      <c r="H762" s="99"/>
      <c r="I762" s="99"/>
      <c r="J762" s="99"/>
      <c r="K762" s="99"/>
      <c r="L762" s="99"/>
      <c r="M762" s="99"/>
      <c r="N762" s="99"/>
      <c r="O762" s="99"/>
      <c r="P762" s="99"/>
      <c r="Q762" s="99"/>
      <c r="R762" s="99"/>
    </row>
    <row r="763">
      <c r="A763" s="99"/>
      <c r="B763" s="99"/>
      <c r="C763" s="99"/>
      <c r="D763" s="99"/>
      <c r="E763" s="99"/>
      <c r="F763" s="99"/>
      <c r="G763" s="99"/>
      <c r="H763" s="99"/>
      <c r="I763" s="99"/>
      <c r="J763" s="99"/>
      <c r="K763" s="99"/>
      <c r="L763" s="99"/>
      <c r="M763" s="99"/>
      <c r="N763" s="99"/>
      <c r="O763" s="99"/>
      <c r="P763" s="99"/>
      <c r="Q763" s="99"/>
      <c r="R763" s="99"/>
    </row>
    <row r="764">
      <c r="A764" s="99"/>
      <c r="B764" s="99"/>
      <c r="C764" s="99"/>
      <c r="D764" s="99"/>
      <c r="E764" s="99"/>
      <c r="F764" s="99"/>
      <c r="G764" s="99"/>
      <c r="H764" s="99"/>
      <c r="I764" s="99"/>
      <c r="J764" s="99"/>
      <c r="K764" s="99"/>
      <c r="L764" s="99"/>
      <c r="M764" s="99"/>
      <c r="N764" s="99"/>
      <c r="O764" s="99"/>
      <c r="P764" s="99"/>
      <c r="Q764" s="99"/>
      <c r="R764" s="99"/>
    </row>
    <row r="765">
      <c r="A765" s="99"/>
      <c r="B765" s="99"/>
      <c r="C765" s="99"/>
      <c r="D765" s="99"/>
      <c r="E765" s="99"/>
      <c r="F765" s="99"/>
      <c r="G765" s="99"/>
      <c r="H765" s="99"/>
      <c r="I765" s="99"/>
      <c r="J765" s="99"/>
      <c r="K765" s="99"/>
      <c r="L765" s="99"/>
      <c r="M765" s="99"/>
      <c r="N765" s="99"/>
      <c r="O765" s="99"/>
      <c r="P765" s="99"/>
      <c r="Q765" s="99"/>
      <c r="R765" s="99"/>
    </row>
    <row r="766">
      <c r="A766" s="99"/>
      <c r="B766" s="99"/>
      <c r="C766" s="99"/>
      <c r="D766" s="99"/>
      <c r="E766" s="99"/>
      <c r="F766" s="99"/>
      <c r="G766" s="99"/>
      <c r="H766" s="99"/>
      <c r="I766" s="99"/>
      <c r="J766" s="99"/>
      <c r="K766" s="99"/>
      <c r="L766" s="99"/>
      <c r="M766" s="99"/>
      <c r="N766" s="99"/>
      <c r="O766" s="99"/>
      <c r="P766" s="99"/>
      <c r="Q766" s="99"/>
      <c r="R766" s="99"/>
    </row>
    <row r="767">
      <c r="A767" s="99"/>
      <c r="B767" s="99"/>
      <c r="C767" s="99"/>
      <c r="D767" s="99"/>
      <c r="E767" s="99"/>
      <c r="F767" s="99"/>
      <c r="G767" s="99"/>
      <c r="H767" s="99"/>
      <c r="I767" s="99"/>
      <c r="J767" s="99"/>
      <c r="K767" s="99"/>
      <c r="L767" s="99"/>
      <c r="M767" s="99"/>
      <c r="N767" s="99"/>
      <c r="O767" s="99"/>
      <c r="P767" s="99"/>
      <c r="Q767" s="99"/>
      <c r="R767" s="99"/>
    </row>
    <row r="768">
      <c r="A768" s="99"/>
      <c r="B768" s="99"/>
      <c r="C768" s="99"/>
      <c r="D768" s="99"/>
      <c r="E768" s="99"/>
      <c r="F768" s="99"/>
      <c r="G768" s="99"/>
      <c r="H768" s="99"/>
      <c r="I768" s="99"/>
      <c r="J768" s="99"/>
      <c r="K768" s="99"/>
      <c r="L768" s="99"/>
      <c r="M768" s="99"/>
      <c r="N768" s="99"/>
      <c r="O768" s="99"/>
      <c r="P768" s="99"/>
      <c r="Q768" s="99"/>
      <c r="R768" s="99"/>
    </row>
    <row r="769">
      <c r="A769" s="99"/>
      <c r="B769" s="99"/>
      <c r="C769" s="99"/>
      <c r="D769" s="99"/>
      <c r="E769" s="99"/>
      <c r="F769" s="99"/>
      <c r="G769" s="99"/>
      <c r="H769" s="99"/>
      <c r="I769" s="99"/>
      <c r="J769" s="99"/>
      <c r="K769" s="99"/>
      <c r="L769" s="99"/>
      <c r="M769" s="99"/>
      <c r="N769" s="99"/>
      <c r="O769" s="99"/>
      <c r="P769" s="99"/>
      <c r="Q769" s="99"/>
      <c r="R769" s="99"/>
    </row>
    <row r="770">
      <c r="A770" s="99"/>
      <c r="B770" s="99"/>
      <c r="C770" s="99"/>
      <c r="D770" s="99"/>
      <c r="E770" s="99"/>
      <c r="F770" s="99"/>
      <c r="G770" s="99"/>
      <c r="H770" s="99"/>
      <c r="I770" s="99"/>
      <c r="J770" s="99"/>
      <c r="K770" s="99"/>
      <c r="L770" s="99"/>
      <c r="M770" s="99"/>
      <c r="N770" s="99"/>
      <c r="O770" s="99"/>
      <c r="P770" s="99"/>
      <c r="Q770" s="99"/>
      <c r="R770" s="99"/>
    </row>
    <row r="771">
      <c r="A771" s="99"/>
      <c r="B771" s="99"/>
      <c r="C771" s="99"/>
      <c r="D771" s="99"/>
      <c r="E771" s="99"/>
      <c r="F771" s="99"/>
      <c r="G771" s="99"/>
      <c r="H771" s="99"/>
      <c r="I771" s="99"/>
      <c r="J771" s="99"/>
      <c r="K771" s="99"/>
      <c r="L771" s="99"/>
      <c r="M771" s="99"/>
      <c r="N771" s="99"/>
      <c r="O771" s="99"/>
      <c r="P771" s="99"/>
      <c r="Q771" s="99"/>
      <c r="R771" s="99"/>
    </row>
    <row r="772">
      <c r="A772" s="99"/>
      <c r="B772" s="99"/>
      <c r="C772" s="99"/>
      <c r="D772" s="99"/>
      <c r="E772" s="99"/>
      <c r="F772" s="99"/>
      <c r="G772" s="99"/>
      <c r="H772" s="99"/>
      <c r="I772" s="99"/>
      <c r="J772" s="99"/>
      <c r="K772" s="99"/>
      <c r="L772" s="99"/>
      <c r="M772" s="99"/>
      <c r="N772" s="99"/>
      <c r="O772" s="99"/>
      <c r="P772" s="99"/>
      <c r="Q772" s="99"/>
      <c r="R772" s="99"/>
    </row>
    <row r="773">
      <c r="A773" s="99"/>
      <c r="B773" s="99"/>
      <c r="C773" s="99"/>
      <c r="D773" s="99"/>
      <c r="E773" s="99"/>
      <c r="F773" s="99"/>
      <c r="G773" s="99"/>
      <c r="H773" s="99"/>
      <c r="I773" s="99"/>
      <c r="J773" s="99"/>
      <c r="K773" s="99"/>
      <c r="L773" s="99"/>
      <c r="M773" s="99"/>
      <c r="N773" s="99"/>
      <c r="O773" s="99"/>
      <c r="P773" s="99"/>
      <c r="Q773" s="99"/>
      <c r="R773" s="99"/>
    </row>
    <row r="774">
      <c r="A774" s="99"/>
      <c r="B774" s="99"/>
      <c r="C774" s="99"/>
      <c r="D774" s="99"/>
      <c r="E774" s="99"/>
      <c r="F774" s="99"/>
      <c r="G774" s="99"/>
      <c r="H774" s="99"/>
      <c r="I774" s="99"/>
      <c r="J774" s="99"/>
      <c r="K774" s="99"/>
      <c r="L774" s="99"/>
      <c r="M774" s="99"/>
      <c r="N774" s="99"/>
      <c r="O774" s="99"/>
      <c r="P774" s="99"/>
      <c r="Q774" s="99"/>
      <c r="R774" s="99"/>
    </row>
    <row r="775">
      <c r="A775" s="99"/>
      <c r="B775" s="99"/>
      <c r="C775" s="99"/>
      <c r="D775" s="99"/>
      <c r="E775" s="99"/>
      <c r="F775" s="99"/>
      <c r="G775" s="99"/>
      <c r="H775" s="99"/>
      <c r="I775" s="99"/>
      <c r="J775" s="99"/>
      <c r="K775" s="99"/>
      <c r="L775" s="99"/>
      <c r="M775" s="99"/>
      <c r="N775" s="99"/>
      <c r="O775" s="99"/>
      <c r="P775" s="99"/>
      <c r="Q775" s="99"/>
      <c r="R775" s="99"/>
    </row>
    <row r="776">
      <c r="A776" s="99"/>
      <c r="B776" s="99"/>
      <c r="C776" s="99"/>
      <c r="D776" s="99"/>
      <c r="E776" s="99"/>
      <c r="F776" s="99"/>
      <c r="G776" s="99"/>
      <c r="H776" s="99"/>
      <c r="I776" s="99"/>
      <c r="J776" s="99"/>
      <c r="K776" s="99"/>
      <c r="L776" s="99"/>
      <c r="M776" s="99"/>
      <c r="N776" s="99"/>
      <c r="O776" s="99"/>
      <c r="P776" s="99"/>
      <c r="Q776" s="99"/>
      <c r="R776" s="99"/>
    </row>
    <row r="777">
      <c r="A777" s="99"/>
      <c r="B777" s="99"/>
      <c r="C777" s="99"/>
      <c r="D777" s="99"/>
      <c r="E777" s="99"/>
      <c r="F777" s="99"/>
      <c r="G777" s="99"/>
      <c r="H777" s="99"/>
      <c r="I777" s="99"/>
      <c r="J777" s="99"/>
      <c r="K777" s="99"/>
      <c r="L777" s="99"/>
      <c r="M777" s="99"/>
      <c r="N777" s="99"/>
      <c r="O777" s="99"/>
      <c r="P777" s="99"/>
      <c r="Q777" s="99"/>
      <c r="R777" s="99"/>
    </row>
    <row r="778">
      <c r="A778" s="99"/>
      <c r="B778" s="99"/>
      <c r="C778" s="99"/>
      <c r="D778" s="99"/>
      <c r="E778" s="99"/>
      <c r="F778" s="99"/>
      <c r="G778" s="99"/>
      <c r="H778" s="99"/>
      <c r="I778" s="99"/>
      <c r="J778" s="99"/>
      <c r="K778" s="99"/>
      <c r="L778" s="99"/>
      <c r="M778" s="99"/>
      <c r="N778" s="99"/>
      <c r="O778" s="99"/>
      <c r="P778" s="99"/>
      <c r="Q778" s="99"/>
      <c r="R778" s="99"/>
    </row>
    <row r="779">
      <c r="A779" s="99"/>
      <c r="B779" s="99"/>
      <c r="C779" s="99"/>
      <c r="D779" s="99"/>
      <c r="E779" s="99"/>
      <c r="F779" s="99"/>
      <c r="G779" s="99"/>
      <c r="H779" s="99"/>
      <c r="I779" s="99"/>
      <c r="J779" s="99"/>
      <c r="K779" s="99"/>
      <c r="L779" s="99"/>
      <c r="M779" s="99"/>
      <c r="N779" s="99"/>
      <c r="O779" s="99"/>
      <c r="P779" s="99"/>
      <c r="Q779" s="99"/>
      <c r="R779" s="99"/>
    </row>
    <row r="780">
      <c r="A780" s="99"/>
      <c r="B780" s="99"/>
      <c r="C780" s="99"/>
      <c r="D780" s="99"/>
      <c r="E780" s="99"/>
      <c r="F780" s="99"/>
      <c r="G780" s="99"/>
      <c r="H780" s="99"/>
      <c r="I780" s="99"/>
      <c r="J780" s="99"/>
      <c r="K780" s="99"/>
      <c r="L780" s="99"/>
      <c r="M780" s="99"/>
      <c r="N780" s="99"/>
      <c r="O780" s="99"/>
      <c r="P780" s="99"/>
      <c r="Q780" s="99"/>
      <c r="R780" s="99"/>
    </row>
    <row r="781">
      <c r="A781" s="99"/>
      <c r="B781" s="99"/>
      <c r="C781" s="99"/>
      <c r="D781" s="99"/>
      <c r="E781" s="99"/>
      <c r="F781" s="99"/>
      <c r="G781" s="99"/>
      <c r="H781" s="99"/>
      <c r="I781" s="99"/>
      <c r="J781" s="99"/>
      <c r="K781" s="99"/>
      <c r="L781" s="99"/>
      <c r="M781" s="99"/>
      <c r="N781" s="99"/>
      <c r="O781" s="99"/>
      <c r="P781" s="99"/>
      <c r="Q781" s="99"/>
      <c r="R781" s="99"/>
    </row>
    <row r="782">
      <c r="A782" s="99"/>
      <c r="B782" s="99"/>
      <c r="C782" s="99"/>
      <c r="D782" s="99"/>
      <c r="E782" s="99"/>
      <c r="F782" s="99"/>
      <c r="G782" s="99"/>
      <c r="H782" s="99"/>
      <c r="I782" s="99"/>
      <c r="J782" s="99"/>
      <c r="K782" s="99"/>
      <c r="L782" s="99"/>
      <c r="M782" s="99"/>
      <c r="N782" s="99"/>
      <c r="O782" s="99"/>
      <c r="P782" s="99"/>
      <c r="Q782" s="99"/>
      <c r="R782" s="99"/>
    </row>
    <row r="783">
      <c r="A783" s="99"/>
      <c r="B783" s="99"/>
      <c r="C783" s="99"/>
      <c r="D783" s="99"/>
      <c r="E783" s="99"/>
      <c r="F783" s="99"/>
      <c r="G783" s="99"/>
      <c r="H783" s="99"/>
      <c r="I783" s="99"/>
      <c r="J783" s="99"/>
      <c r="K783" s="99"/>
      <c r="L783" s="99"/>
      <c r="M783" s="99"/>
      <c r="N783" s="99"/>
      <c r="O783" s="99"/>
      <c r="P783" s="99"/>
      <c r="Q783" s="99"/>
      <c r="R783" s="99"/>
    </row>
    <row r="784">
      <c r="A784" s="99"/>
      <c r="B784" s="99"/>
      <c r="C784" s="99"/>
      <c r="D784" s="99"/>
      <c r="E784" s="99"/>
      <c r="F784" s="99"/>
      <c r="G784" s="99"/>
      <c r="H784" s="99"/>
      <c r="I784" s="99"/>
      <c r="J784" s="99"/>
      <c r="K784" s="99"/>
      <c r="L784" s="99"/>
      <c r="M784" s="99"/>
      <c r="N784" s="99"/>
      <c r="O784" s="99"/>
      <c r="P784" s="99"/>
      <c r="Q784" s="99"/>
      <c r="R784" s="99"/>
    </row>
    <row r="785">
      <c r="A785" s="99"/>
      <c r="B785" s="99"/>
      <c r="C785" s="99"/>
      <c r="D785" s="99"/>
      <c r="E785" s="99"/>
      <c r="F785" s="99"/>
      <c r="G785" s="99"/>
      <c r="H785" s="99"/>
      <c r="I785" s="99"/>
      <c r="J785" s="99"/>
      <c r="K785" s="99"/>
      <c r="L785" s="99"/>
      <c r="M785" s="99"/>
      <c r="N785" s="99"/>
      <c r="O785" s="99"/>
      <c r="P785" s="99"/>
      <c r="Q785" s="99"/>
      <c r="R785" s="99"/>
    </row>
    <row r="786">
      <c r="A786" s="99"/>
      <c r="B786" s="99"/>
      <c r="C786" s="99"/>
      <c r="D786" s="99"/>
      <c r="E786" s="99"/>
      <c r="F786" s="99"/>
      <c r="G786" s="99"/>
      <c r="H786" s="99"/>
      <c r="I786" s="99"/>
      <c r="J786" s="99"/>
      <c r="K786" s="99"/>
      <c r="L786" s="99"/>
      <c r="M786" s="99"/>
      <c r="N786" s="99"/>
      <c r="O786" s="99"/>
      <c r="P786" s="99"/>
      <c r="Q786" s="99"/>
      <c r="R786" s="99"/>
    </row>
    <row r="787">
      <c r="A787" s="99"/>
      <c r="B787" s="99"/>
      <c r="C787" s="99"/>
      <c r="D787" s="99"/>
      <c r="E787" s="99"/>
      <c r="F787" s="99"/>
      <c r="G787" s="99"/>
      <c r="H787" s="99"/>
      <c r="I787" s="99"/>
      <c r="J787" s="99"/>
      <c r="K787" s="99"/>
      <c r="L787" s="99"/>
      <c r="M787" s="99"/>
      <c r="N787" s="99"/>
      <c r="O787" s="99"/>
      <c r="P787" s="99"/>
      <c r="Q787" s="99"/>
      <c r="R787" s="99"/>
    </row>
    <row r="788">
      <c r="A788" s="99"/>
      <c r="B788" s="99"/>
      <c r="C788" s="99"/>
      <c r="D788" s="99"/>
      <c r="E788" s="99"/>
      <c r="F788" s="99"/>
      <c r="G788" s="99"/>
      <c r="H788" s="99"/>
      <c r="I788" s="99"/>
      <c r="J788" s="99"/>
      <c r="K788" s="99"/>
      <c r="L788" s="99"/>
      <c r="M788" s="99"/>
      <c r="N788" s="99"/>
      <c r="O788" s="99"/>
      <c r="P788" s="99"/>
      <c r="Q788" s="99"/>
      <c r="R788" s="99"/>
    </row>
    <row r="789">
      <c r="A789" s="99"/>
      <c r="B789" s="99"/>
      <c r="C789" s="99"/>
      <c r="D789" s="99"/>
      <c r="E789" s="99"/>
      <c r="F789" s="99"/>
      <c r="G789" s="99"/>
      <c r="H789" s="99"/>
      <c r="I789" s="99"/>
      <c r="J789" s="99"/>
      <c r="K789" s="99"/>
      <c r="L789" s="99"/>
      <c r="M789" s="99"/>
      <c r="N789" s="99"/>
      <c r="O789" s="99"/>
      <c r="P789" s="99"/>
      <c r="Q789" s="99"/>
      <c r="R789" s="99"/>
    </row>
    <row r="790">
      <c r="A790" s="99"/>
      <c r="B790" s="99"/>
      <c r="C790" s="99"/>
      <c r="D790" s="99"/>
      <c r="E790" s="99"/>
      <c r="F790" s="99"/>
      <c r="G790" s="99"/>
      <c r="H790" s="99"/>
      <c r="I790" s="99"/>
      <c r="J790" s="99"/>
      <c r="K790" s="99"/>
      <c r="L790" s="99"/>
      <c r="M790" s="99"/>
      <c r="N790" s="99"/>
      <c r="O790" s="99"/>
      <c r="P790" s="99"/>
      <c r="Q790" s="99"/>
      <c r="R790" s="99"/>
    </row>
    <row r="791">
      <c r="A791" s="99"/>
      <c r="B791" s="99"/>
      <c r="C791" s="99"/>
      <c r="D791" s="99"/>
      <c r="E791" s="99"/>
      <c r="F791" s="99"/>
      <c r="G791" s="99"/>
      <c r="H791" s="99"/>
      <c r="I791" s="99"/>
      <c r="J791" s="99"/>
      <c r="K791" s="99"/>
      <c r="L791" s="99"/>
      <c r="M791" s="99"/>
      <c r="N791" s="99"/>
      <c r="O791" s="99"/>
      <c r="P791" s="99"/>
      <c r="Q791" s="99"/>
      <c r="R791" s="99"/>
    </row>
    <row r="792">
      <c r="A792" s="99"/>
      <c r="B792" s="99"/>
      <c r="C792" s="99"/>
      <c r="D792" s="99"/>
      <c r="E792" s="99"/>
      <c r="F792" s="99"/>
      <c r="G792" s="99"/>
      <c r="H792" s="99"/>
      <c r="I792" s="99"/>
      <c r="J792" s="99"/>
      <c r="K792" s="99"/>
      <c r="L792" s="99"/>
      <c r="M792" s="99"/>
      <c r="N792" s="99"/>
      <c r="O792" s="99"/>
      <c r="P792" s="99"/>
      <c r="Q792" s="99"/>
      <c r="R792" s="99"/>
    </row>
    <row r="793">
      <c r="A793" s="99"/>
      <c r="B793" s="99"/>
      <c r="C793" s="99"/>
      <c r="D793" s="99"/>
      <c r="E793" s="99"/>
      <c r="F793" s="99"/>
      <c r="G793" s="99"/>
      <c r="H793" s="99"/>
      <c r="I793" s="99"/>
      <c r="J793" s="99"/>
      <c r="K793" s="99"/>
      <c r="L793" s="99"/>
      <c r="M793" s="99"/>
      <c r="N793" s="99"/>
      <c r="O793" s="99"/>
      <c r="P793" s="99"/>
      <c r="Q793" s="99"/>
      <c r="R793" s="99"/>
    </row>
    <row r="794">
      <c r="A794" s="99"/>
      <c r="B794" s="99"/>
      <c r="C794" s="99"/>
      <c r="D794" s="99"/>
      <c r="E794" s="99"/>
      <c r="F794" s="99"/>
      <c r="G794" s="99"/>
      <c r="H794" s="99"/>
      <c r="I794" s="99"/>
      <c r="J794" s="99"/>
      <c r="K794" s="99"/>
      <c r="L794" s="99"/>
      <c r="M794" s="99"/>
      <c r="N794" s="99"/>
      <c r="O794" s="99"/>
      <c r="P794" s="99"/>
      <c r="Q794" s="99"/>
      <c r="R794" s="99"/>
    </row>
    <row r="795">
      <c r="A795" s="99"/>
      <c r="B795" s="99"/>
      <c r="C795" s="99"/>
      <c r="D795" s="99"/>
      <c r="E795" s="99"/>
      <c r="F795" s="99"/>
      <c r="G795" s="99"/>
      <c r="H795" s="99"/>
      <c r="I795" s="99"/>
      <c r="J795" s="99"/>
      <c r="K795" s="99"/>
      <c r="L795" s="99"/>
      <c r="M795" s="99"/>
      <c r="N795" s="99"/>
      <c r="O795" s="99"/>
      <c r="P795" s="99"/>
      <c r="Q795" s="99"/>
      <c r="R795" s="99"/>
    </row>
    <row r="796">
      <c r="A796" s="99"/>
      <c r="B796" s="99"/>
      <c r="C796" s="99"/>
      <c r="D796" s="99"/>
      <c r="E796" s="99"/>
      <c r="F796" s="99"/>
      <c r="G796" s="99"/>
      <c r="H796" s="99"/>
      <c r="I796" s="99"/>
      <c r="J796" s="99"/>
      <c r="K796" s="99"/>
      <c r="L796" s="99"/>
      <c r="M796" s="99"/>
      <c r="N796" s="99"/>
      <c r="O796" s="99"/>
      <c r="P796" s="99"/>
      <c r="Q796" s="99"/>
      <c r="R796" s="99"/>
    </row>
    <row r="797">
      <c r="A797" s="99"/>
      <c r="B797" s="99"/>
      <c r="C797" s="99"/>
      <c r="D797" s="99"/>
      <c r="E797" s="99"/>
      <c r="F797" s="99"/>
      <c r="G797" s="99"/>
      <c r="H797" s="99"/>
      <c r="I797" s="99"/>
      <c r="J797" s="99"/>
      <c r="K797" s="99"/>
      <c r="L797" s="99"/>
      <c r="M797" s="99"/>
      <c r="N797" s="99"/>
      <c r="O797" s="99"/>
      <c r="P797" s="99"/>
      <c r="Q797" s="99"/>
      <c r="R797" s="99"/>
    </row>
    <row r="798">
      <c r="A798" s="99"/>
      <c r="B798" s="99"/>
      <c r="C798" s="99"/>
      <c r="D798" s="99"/>
      <c r="E798" s="99"/>
      <c r="F798" s="99"/>
      <c r="G798" s="99"/>
      <c r="H798" s="99"/>
      <c r="I798" s="99"/>
      <c r="J798" s="99"/>
      <c r="K798" s="99"/>
      <c r="L798" s="99"/>
      <c r="M798" s="99"/>
      <c r="N798" s="99"/>
      <c r="O798" s="99"/>
      <c r="P798" s="99"/>
      <c r="Q798" s="99"/>
      <c r="R798" s="99"/>
    </row>
    <row r="799">
      <c r="A799" s="99"/>
      <c r="B799" s="99"/>
      <c r="C799" s="99"/>
      <c r="D799" s="99"/>
      <c r="E799" s="99"/>
      <c r="F799" s="99"/>
      <c r="G799" s="99"/>
      <c r="H799" s="99"/>
      <c r="I799" s="99"/>
      <c r="J799" s="99"/>
      <c r="K799" s="99"/>
      <c r="L799" s="99"/>
      <c r="M799" s="99"/>
      <c r="N799" s="99"/>
      <c r="O799" s="99"/>
      <c r="P799" s="99"/>
      <c r="Q799" s="99"/>
      <c r="R799" s="99"/>
    </row>
    <row r="800">
      <c r="A800" s="99"/>
      <c r="B800" s="99"/>
      <c r="C800" s="99"/>
      <c r="D800" s="99"/>
      <c r="E800" s="99"/>
      <c r="F800" s="99"/>
      <c r="G800" s="99"/>
      <c r="H800" s="99"/>
      <c r="I800" s="99"/>
      <c r="J800" s="99"/>
      <c r="K800" s="99"/>
      <c r="L800" s="99"/>
      <c r="M800" s="99"/>
      <c r="N800" s="99"/>
      <c r="O800" s="99"/>
      <c r="P800" s="99"/>
      <c r="Q800" s="99"/>
      <c r="R800" s="99"/>
    </row>
    <row r="801">
      <c r="A801" s="99"/>
      <c r="B801" s="99"/>
      <c r="C801" s="99"/>
      <c r="D801" s="99"/>
      <c r="E801" s="99"/>
      <c r="F801" s="99"/>
      <c r="G801" s="99"/>
      <c r="H801" s="99"/>
      <c r="I801" s="99"/>
      <c r="J801" s="99"/>
      <c r="K801" s="99"/>
      <c r="L801" s="99"/>
      <c r="M801" s="99"/>
      <c r="N801" s="99"/>
      <c r="O801" s="99"/>
      <c r="P801" s="99"/>
      <c r="Q801" s="99"/>
      <c r="R801" s="99"/>
    </row>
    <row r="802">
      <c r="A802" s="99"/>
      <c r="B802" s="99"/>
      <c r="C802" s="99"/>
      <c r="D802" s="99"/>
      <c r="E802" s="99"/>
      <c r="F802" s="99"/>
      <c r="G802" s="99"/>
      <c r="H802" s="99"/>
      <c r="I802" s="99"/>
      <c r="J802" s="99"/>
      <c r="K802" s="99"/>
      <c r="L802" s="99"/>
      <c r="M802" s="99"/>
      <c r="N802" s="99"/>
      <c r="O802" s="99"/>
      <c r="P802" s="99"/>
      <c r="Q802" s="99"/>
      <c r="R802" s="99"/>
    </row>
    <row r="803">
      <c r="A803" s="99"/>
      <c r="B803" s="99"/>
      <c r="C803" s="99"/>
      <c r="D803" s="99"/>
      <c r="E803" s="99"/>
      <c r="F803" s="99"/>
      <c r="G803" s="99"/>
      <c r="H803" s="99"/>
      <c r="I803" s="99"/>
      <c r="J803" s="99"/>
      <c r="K803" s="99"/>
      <c r="L803" s="99"/>
      <c r="M803" s="99"/>
      <c r="N803" s="99"/>
      <c r="O803" s="99"/>
      <c r="P803" s="99"/>
      <c r="Q803" s="99"/>
      <c r="R803" s="99"/>
    </row>
    <row r="804">
      <c r="A804" s="99"/>
      <c r="B804" s="99"/>
      <c r="C804" s="99"/>
      <c r="D804" s="99"/>
      <c r="E804" s="99"/>
      <c r="F804" s="99"/>
      <c r="G804" s="99"/>
      <c r="H804" s="99"/>
      <c r="I804" s="99"/>
      <c r="J804" s="99"/>
      <c r="K804" s="99"/>
      <c r="L804" s="99"/>
      <c r="M804" s="99"/>
      <c r="N804" s="99"/>
      <c r="O804" s="99"/>
      <c r="P804" s="99"/>
      <c r="Q804" s="99"/>
      <c r="R804" s="99"/>
    </row>
    <row r="805">
      <c r="A805" s="99"/>
      <c r="B805" s="99"/>
      <c r="C805" s="99"/>
      <c r="D805" s="99"/>
      <c r="E805" s="99"/>
      <c r="F805" s="99"/>
      <c r="G805" s="99"/>
      <c r="H805" s="99"/>
      <c r="I805" s="99"/>
      <c r="J805" s="99"/>
      <c r="K805" s="99"/>
      <c r="L805" s="99"/>
      <c r="M805" s="99"/>
      <c r="N805" s="99"/>
      <c r="O805" s="99"/>
      <c r="P805" s="99"/>
      <c r="Q805" s="99"/>
      <c r="R805" s="99"/>
    </row>
    <row r="806">
      <c r="A806" s="99"/>
      <c r="B806" s="99"/>
      <c r="C806" s="99"/>
      <c r="D806" s="99"/>
      <c r="E806" s="99"/>
      <c r="F806" s="99"/>
      <c r="G806" s="99"/>
      <c r="H806" s="99"/>
      <c r="I806" s="99"/>
      <c r="J806" s="99"/>
      <c r="K806" s="99"/>
      <c r="L806" s="99"/>
      <c r="M806" s="99"/>
      <c r="N806" s="99"/>
      <c r="O806" s="99"/>
      <c r="P806" s="99"/>
      <c r="Q806" s="99"/>
      <c r="R806" s="99"/>
    </row>
    <row r="807">
      <c r="A807" s="99"/>
      <c r="B807" s="99"/>
      <c r="C807" s="99"/>
      <c r="D807" s="99"/>
      <c r="E807" s="99"/>
      <c r="F807" s="99"/>
      <c r="G807" s="99"/>
      <c r="H807" s="99"/>
      <c r="I807" s="99"/>
      <c r="J807" s="99"/>
      <c r="K807" s="99"/>
      <c r="L807" s="99"/>
      <c r="M807" s="99"/>
      <c r="N807" s="99"/>
      <c r="O807" s="99"/>
      <c r="P807" s="99"/>
      <c r="Q807" s="99"/>
      <c r="R807" s="99"/>
    </row>
    <row r="808">
      <c r="A808" s="99"/>
      <c r="B808" s="99"/>
      <c r="C808" s="99"/>
      <c r="D808" s="99"/>
      <c r="E808" s="99"/>
      <c r="F808" s="99"/>
      <c r="G808" s="99"/>
      <c r="H808" s="99"/>
      <c r="I808" s="99"/>
      <c r="J808" s="99"/>
      <c r="K808" s="99"/>
      <c r="L808" s="99"/>
      <c r="M808" s="99"/>
      <c r="N808" s="99"/>
      <c r="O808" s="99"/>
      <c r="P808" s="99"/>
      <c r="Q808" s="99"/>
      <c r="R808" s="99"/>
    </row>
    <row r="809">
      <c r="A809" s="99"/>
      <c r="B809" s="99"/>
      <c r="C809" s="99"/>
      <c r="D809" s="99"/>
      <c r="E809" s="99"/>
      <c r="F809" s="99"/>
      <c r="G809" s="99"/>
      <c r="H809" s="99"/>
      <c r="I809" s="99"/>
      <c r="J809" s="99"/>
      <c r="K809" s="99"/>
      <c r="L809" s="99"/>
      <c r="M809" s="99"/>
      <c r="N809" s="99"/>
      <c r="O809" s="99"/>
      <c r="P809" s="99"/>
      <c r="Q809" s="99"/>
      <c r="R809" s="99"/>
    </row>
    <row r="810">
      <c r="A810" s="99"/>
      <c r="B810" s="99"/>
      <c r="C810" s="99"/>
      <c r="D810" s="99"/>
      <c r="E810" s="99"/>
      <c r="F810" s="99"/>
      <c r="G810" s="99"/>
      <c r="H810" s="99"/>
      <c r="I810" s="99"/>
      <c r="J810" s="99"/>
      <c r="K810" s="99"/>
      <c r="L810" s="99"/>
      <c r="M810" s="99"/>
      <c r="N810" s="99"/>
      <c r="O810" s="99"/>
      <c r="P810" s="99"/>
      <c r="Q810" s="99"/>
      <c r="R810" s="99"/>
    </row>
    <row r="811">
      <c r="A811" s="99"/>
      <c r="B811" s="99"/>
      <c r="C811" s="99"/>
      <c r="D811" s="99"/>
      <c r="E811" s="99"/>
      <c r="F811" s="99"/>
      <c r="G811" s="99"/>
      <c r="H811" s="99"/>
      <c r="I811" s="99"/>
      <c r="J811" s="99"/>
      <c r="K811" s="99"/>
      <c r="L811" s="99"/>
      <c r="M811" s="99"/>
      <c r="N811" s="99"/>
      <c r="O811" s="99"/>
      <c r="P811" s="99"/>
      <c r="Q811" s="99"/>
      <c r="R811" s="99"/>
    </row>
    <row r="812">
      <c r="A812" s="99"/>
      <c r="B812" s="99"/>
      <c r="C812" s="99"/>
      <c r="D812" s="99"/>
      <c r="E812" s="99"/>
      <c r="F812" s="99"/>
      <c r="G812" s="99"/>
      <c r="H812" s="99"/>
      <c r="I812" s="99"/>
      <c r="J812" s="99"/>
      <c r="K812" s="99"/>
      <c r="L812" s="99"/>
      <c r="M812" s="99"/>
      <c r="N812" s="99"/>
      <c r="O812" s="99"/>
      <c r="P812" s="99"/>
      <c r="Q812" s="99"/>
      <c r="R812" s="99"/>
    </row>
    <row r="813">
      <c r="A813" s="99"/>
      <c r="B813" s="99"/>
      <c r="C813" s="99"/>
      <c r="D813" s="99"/>
      <c r="E813" s="99"/>
      <c r="F813" s="99"/>
      <c r="G813" s="99"/>
      <c r="H813" s="99"/>
      <c r="I813" s="99"/>
      <c r="J813" s="99"/>
      <c r="K813" s="99"/>
      <c r="L813" s="99"/>
      <c r="M813" s="99"/>
      <c r="N813" s="99"/>
      <c r="O813" s="99"/>
      <c r="P813" s="99"/>
      <c r="Q813" s="99"/>
      <c r="R813" s="99"/>
    </row>
    <row r="814">
      <c r="A814" s="99"/>
      <c r="B814" s="99"/>
      <c r="C814" s="99"/>
      <c r="D814" s="99"/>
      <c r="E814" s="99"/>
      <c r="F814" s="99"/>
      <c r="G814" s="99"/>
      <c r="H814" s="99"/>
      <c r="I814" s="99"/>
      <c r="J814" s="99"/>
      <c r="K814" s="99"/>
      <c r="L814" s="99"/>
      <c r="M814" s="99"/>
      <c r="N814" s="99"/>
      <c r="O814" s="99"/>
      <c r="P814" s="99"/>
      <c r="Q814" s="99"/>
      <c r="R814" s="99"/>
    </row>
    <row r="815">
      <c r="A815" s="99"/>
      <c r="B815" s="99"/>
      <c r="C815" s="99"/>
      <c r="D815" s="99"/>
      <c r="E815" s="99"/>
      <c r="F815" s="99"/>
      <c r="G815" s="99"/>
      <c r="H815" s="99"/>
      <c r="I815" s="99"/>
      <c r="J815" s="99"/>
      <c r="K815" s="99"/>
      <c r="L815" s="99"/>
      <c r="M815" s="99"/>
      <c r="N815" s="99"/>
      <c r="O815" s="99"/>
      <c r="P815" s="99"/>
      <c r="Q815" s="99"/>
      <c r="R815" s="99"/>
    </row>
    <row r="816">
      <c r="A816" s="99"/>
      <c r="B816" s="99"/>
      <c r="C816" s="99"/>
      <c r="D816" s="99"/>
      <c r="E816" s="99"/>
      <c r="F816" s="99"/>
      <c r="G816" s="99"/>
      <c r="H816" s="99"/>
      <c r="I816" s="99"/>
      <c r="J816" s="99"/>
      <c r="K816" s="99"/>
      <c r="L816" s="99"/>
      <c r="M816" s="99"/>
      <c r="N816" s="99"/>
      <c r="O816" s="99"/>
      <c r="P816" s="99"/>
      <c r="Q816" s="99"/>
      <c r="R816" s="99"/>
    </row>
    <row r="817">
      <c r="A817" s="99"/>
      <c r="B817" s="99"/>
      <c r="C817" s="99"/>
      <c r="D817" s="99"/>
      <c r="E817" s="99"/>
      <c r="F817" s="99"/>
      <c r="G817" s="99"/>
      <c r="H817" s="99"/>
      <c r="I817" s="99"/>
      <c r="J817" s="99"/>
      <c r="K817" s="99"/>
      <c r="L817" s="99"/>
      <c r="M817" s="99"/>
      <c r="N817" s="99"/>
      <c r="O817" s="99"/>
      <c r="P817" s="99"/>
      <c r="Q817" s="99"/>
      <c r="R817" s="99"/>
    </row>
    <row r="818">
      <c r="A818" s="99"/>
      <c r="B818" s="99"/>
      <c r="C818" s="99"/>
      <c r="D818" s="99"/>
      <c r="E818" s="99"/>
      <c r="F818" s="99"/>
      <c r="G818" s="99"/>
      <c r="H818" s="99"/>
      <c r="I818" s="99"/>
      <c r="J818" s="99"/>
      <c r="K818" s="99"/>
      <c r="L818" s="99"/>
      <c r="M818" s="99"/>
      <c r="N818" s="99"/>
      <c r="O818" s="99"/>
      <c r="P818" s="99"/>
      <c r="Q818" s="99"/>
      <c r="R818" s="99"/>
    </row>
    <row r="819">
      <c r="A819" s="99"/>
      <c r="B819" s="99"/>
      <c r="C819" s="99"/>
      <c r="D819" s="99"/>
      <c r="E819" s="99"/>
      <c r="F819" s="99"/>
      <c r="G819" s="99"/>
      <c r="H819" s="99"/>
      <c r="I819" s="99"/>
      <c r="J819" s="99"/>
      <c r="K819" s="99"/>
      <c r="L819" s="99"/>
      <c r="M819" s="99"/>
      <c r="N819" s="99"/>
      <c r="O819" s="99"/>
      <c r="P819" s="99"/>
      <c r="Q819" s="99"/>
      <c r="R819" s="99"/>
    </row>
    <row r="820">
      <c r="A820" s="99"/>
      <c r="B820" s="99"/>
      <c r="C820" s="99"/>
      <c r="D820" s="99"/>
      <c r="E820" s="99"/>
      <c r="F820" s="99"/>
      <c r="G820" s="99"/>
      <c r="H820" s="99"/>
      <c r="I820" s="99"/>
      <c r="J820" s="99"/>
      <c r="K820" s="99"/>
      <c r="L820" s="99"/>
      <c r="M820" s="99"/>
      <c r="N820" s="99"/>
      <c r="O820" s="99"/>
      <c r="P820" s="99"/>
      <c r="Q820" s="99"/>
      <c r="R820" s="99"/>
    </row>
    <row r="821">
      <c r="A821" s="99"/>
      <c r="B821" s="99"/>
      <c r="C821" s="99"/>
      <c r="D821" s="99"/>
      <c r="E821" s="99"/>
      <c r="F821" s="99"/>
      <c r="G821" s="99"/>
      <c r="H821" s="99"/>
      <c r="I821" s="99"/>
      <c r="J821" s="99"/>
      <c r="K821" s="99"/>
      <c r="L821" s="99"/>
      <c r="M821" s="99"/>
      <c r="N821" s="99"/>
      <c r="O821" s="99"/>
      <c r="P821" s="99"/>
      <c r="Q821" s="99"/>
      <c r="R821" s="99"/>
    </row>
    <row r="822">
      <c r="A822" s="99"/>
      <c r="B822" s="99"/>
      <c r="C822" s="99"/>
      <c r="D822" s="99"/>
      <c r="E822" s="99"/>
      <c r="F822" s="99"/>
      <c r="G822" s="99"/>
      <c r="H822" s="99"/>
      <c r="I822" s="99"/>
      <c r="J822" s="99"/>
      <c r="K822" s="99"/>
      <c r="L822" s="99"/>
      <c r="M822" s="99"/>
      <c r="N822" s="99"/>
      <c r="O822" s="99"/>
      <c r="P822" s="99"/>
      <c r="Q822" s="99"/>
      <c r="R822" s="99"/>
    </row>
    <row r="823">
      <c r="A823" s="99"/>
      <c r="B823" s="99"/>
      <c r="C823" s="99"/>
      <c r="D823" s="99"/>
      <c r="E823" s="99"/>
      <c r="F823" s="99"/>
      <c r="G823" s="99"/>
      <c r="H823" s="99"/>
      <c r="I823" s="99"/>
      <c r="J823" s="99"/>
      <c r="K823" s="99"/>
      <c r="L823" s="99"/>
      <c r="M823" s="99"/>
      <c r="N823" s="99"/>
      <c r="O823" s="99"/>
      <c r="P823" s="99"/>
      <c r="Q823" s="99"/>
      <c r="R823" s="99"/>
    </row>
    <row r="824">
      <c r="A824" s="99"/>
      <c r="B824" s="99"/>
      <c r="C824" s="99"/>
      <c r="D824" s="99"/>
      <c r="E824" s="99"/>
      <c r="F824" s="99"/>
      <c r="G824" s="99"/>
      <c r="H824" s="99"/>
      <c r="I824" s="99"/>
      <c r="J824" s="99"/>
      <c r="K824" s="99"/>
      <c r="L824" s="99"/>
      <c r="M824" s="99"/>
      <c r="N824" s="99"/>
      <c r="O824" s="99"/>
      <c r="P824" s="99"/>
      <c r="Q824" s="99"/>
      <c r="R824" s="99"/>
    </row>
    <row r="825">
      <c r="A825" s="99"/>
      <c r="B825" s="99"/>
      <c r="C825" s="99"/>
      <c r="D825" s="99"/>
      <c r="E825" s="99"/>
      <c r="F825" s="99"/>
      <c r="G825" s="99"/>
      <c r="H825" s="99"/>
      <c r="I825" s="99"/>
      <c r="J825" s="99"/>
      <c r="K825" s="99"/>
      <c r="L825" s="99"/>
      <c r="M825" s="99"/>
      <c r="N825" s="99"/>
      <c r="O825" s="99"/>
      <c r="P825" s="99"/>
      <c r="Q825" s="99"/>
      <c r="R825" s="99"/>
    </row>
    <row r="826">
      <c r="A826" s="99"/>
      <c r="B826" s="99"/>
      <c r="C826" s="99"/>
      <c r="D826" s="99"/>
      <c r="E826" s="99"/>
      <c r="F826" s="99"/>
      <c r="G826" s="99"/>
      <c r="H826" s="99"/>
      <c r="I826" s="99"/>
      <c r="J826" s="99"/>
      <c r="K826" s="99"/>
      <c r="L826" s="99"/>
      <c r="M826" s="99"/>
      <c r="N826" s="99"/>
      <c r="O826" s="99"/>
      <c r="P826" s="99"/>
      <c r="Q826" s="99"/>
      <c r="R826" s="99"/>
    </row>
    <row r="827">
      <c r="A827" s="99"/>
      <c r="B827" s="99"/>
      <c r="C827" s="99"/>
      <c r="D827" s="99"/>
      <c r="E827" s="99"/>
      <c r="F827" s="99"/>
      <c r="G827" s="99"/>
      <c r="H827" s="99"/>
      <c r="I827" s="99"/>
      <c r="J827" s="99"/>
      <c r="K827" s="99"/>
      <c r="L827" s="99"/>
      <c r="M827" s="99"/>
      <c r="N827" s="99"/>
      <c r="O827" s="99"/>
      <c r="P827" s="99"/>
      <c r="Q827" s="99"/>
      <c r="R827" s="99"/>
    </row>
    <row r="828">
      <c r="A828" s="99"/>
      <c r="B828" s="99"/>
      <c r="C828" s="99"/>
      <c r="D828" s="99"/>
      <c r="E828" s="99"/>
      <c r="F828" s="99"/>
      <c r="G828" s="99"/>
      <c r="H828" s="99"/>
      <c r="I828" s="99"/>
      <c r="J828" s="99"/>
      <c r="K828" s="99"/>
      <c r="L828" s="99"/>
      <c r="M828" s="99"/>
      <c r="N828" s="99"/>
      <c r="O828" s="99"/>
      <c r="P828" s="99"/>
      <c r="Q828" s="99"/>
      <c r="R828" s="99"/>
    </row>
    <row r="829">
      <c r="A829" s="99"/>
      <c r="B829" s="99"/>
      <c r="C829" s="99"/>
      <c r="D829" s="99"/>
      <c r="E829" s="99"/>
      <c r="F829" s="99"/>
      <c r="G829" s="99"/>
      <c r="H829" s="99"/>
      <c r="I829" s="99"/>
      <c r="J829" s="99"/>
      <c r="K829" s="99"/>
      <c r="L829" s="99"/>
      <c r="M829" s="99"/>
      <c r="N829" s="99"/>
      <c r="O829" s="99"/>
      <c r="P829" s="99"/>
      <c r="Q829" s="99"/>
      <c r="R829" s="99"/>
    </row>
    <row r="830">
      <c r="A830" s="99"/>
      <c r="B830" s="99"/>
      <c r="C830" s="99"/>
      <c r="D830" s="99"/>
      <c r="E830" s="99"/>
      <c r="F830" s="99"/>
      <c r="G830" s="99"/>
      <c r="H830" s="99"/>
      <c r="I830" s="99"/>
      <c r="J830" s="99"/>
      <c r="K830" s="99"/>
      <c r="L830" s="99"/>
      <c r="M830" s="99"/>
      <c r="N830" s="99"/>
      <c r="O830" s="99"/>
      <c r="P830" s="99"/>
      <c r="Q830" s="99"/>
      <c r="R830" s="99"/>
    </row>
    <row r="831">
      <c r="A831" s="99"/>
      <c r="B831" s="99"/>
      <c r="C831" s="99"/>
      <c r="D831" s="99"/>
      <c r="E831" s="99"/>
      <c r="F831" s="99"/>
      <c r="G831" s="99"/>
      <c r="H831" s="99"/>
      <c r="I831" s="99"/>
      <c r="J831" s="99"/>
      <c r="K831" s="99"/>
      <c r="L831" s="99"/>
      <c r="M831" s="99"/>
      <c r="N831" s="99"/>
      <c r="O831" s="99"/>
      <c r="P831" s="99"/>
      <c r="Q831" s="99"/>
      <c r="R831" s="99"/>
    </row>
    <row r="832">
      <c r="A832" s="99"/>
      <c r="B832" s="99"/>
      <c r="C832" s="99"/>
      <c r="D832" s="99"/>
      <c r="E832" s="99"/>
      <c r="F832" s="99"/>
      <c r="G832" s="99"/>
      <c r="H832" s="99"/>
      <c r="I832" s="99"/>
      <c r="J832" s="99"/>
      <c r="K832" s="99"/>
      <c r="L832" s="99"/>
      <c r="M832" s="99"/>
      <c r="N832" s="99"/>
      <c r="O832" s="99"/>
      <c r="P832" s="99"/>
      <c r="Q832" s="99"/>
      <c r="R832" s="99"/>
    </row>
    <row r="833">
      <c r="A833" s="99"/>
      <c r="B833" s="99"/>
      <c r="C833" s="99"/>
      <c r="D833" s="99"/>
      <c r="E833" s="99"/>
      <c r="F833" s="99"/>
      <c r="G833" s="99"/>
      <c r="H833" s="99"/>
      <c r="I833" s="99"/>
      <c r="J833" s="99"/>
      <c r="K833" s="99"/>
      <c r="L833" s="99"/>
      <c r="M833" s="99"/>
      <c r="N833" s="99"/>
      <c r="O833" s="99"/>
      <c r="P833" s="99"/>
      <c r="Q833" s="99"/>
      <c r="R833" s="99"/>
    </row>
    <row r="834">
      <c r="A834" s="99"/>
      <c r="B834" s="99"/>
      <c r="C834" s="99"/>
      <c r="D834" s="99"/>
      <c r="E834" s="99"/>
      <c r="F834" s="99"/>
      <c r="G834" s="99"/>
      <c r="H834" s="99"/>
      <c r="I834" s="99"/>
      <c r="J834" s="99"/>
      <c r="K834" s="99"/>
      <c r="L834" s="99"/>
      <c r="M834" s="99"/>
      <c r="N834" s="99"/>
      <c r="O834" s="99"/>
      <c r="P834" s="99"/>
      <c r="Q834" s="99"/>
      <c r="R834" s="99"/>
    </row>
    <row r="835">
      <c r="A835" s="99"/>
      <c r="B835" s="99"/>
      <c r="C835" s="99"/>
      <c r="D835" s="99"/>
      <c r="E835" s="99"/>
      <c r="F835" s="99"/>
      <c r="G835" s="99"/>
      <c r="H835" s="99"/>
      <c r="I835" s="99"/>
      <c r="J835" s="99"/>
      <c r="K835" s="99"/>
      <c r="L835" s="99"/>
      <c r="M835" s="99"/>
      <c r="N835" s="99"/>
      <c r="O835" s="99"/>
      <c r="P835" s="99"/>
      <c r="Q835" s="99"/>
      <c r="R835" s="99"/>
    </row>
    <row r="836">
      <c r="A836" s="99"/>
      <c r="B836" s="99"/>
      <c r="C836" s="99"/>
      <c r="D836" s="99"/>
      <c r="E836" s="99"/>
      <c r="F836" s="99"/>
      <c r="G836" s="99"/>
      <c r="H836" s="99"/>
      <c r="I836" s="99"/>
      <c r="J836" s="99"/>
      <c r="K836" s="99"/>
      <c r="L836" s="99"/>
      <c r="M836" s="99"/>
      <c r="N836" s="99"/>
      <c r="O836" s="99"/>
      <c r="P836" s="99"/>
      <c r="Q836" s="99"/>
      <c r="R836" s="99"/>
    </row>
    <row r="837">
      <c r="A837" s="99"/>
      <c r="B837" s="99"/>
      <c r="C837" s="99"/>
      <c r="D837" s="99"/>
      <c r="E837" s="99"/>
      <c r="F837" s="99"/>
      <c r="G837" s="99"/>
      <c r="H837" s="99"/>
      <c r="I837" s="99"/>
      <c r="J837" s="99"/>
      <c r="K837" s="99"/>
      <c r="L837" s="99"/>
      <c r="M837" s="99"/>
      <c r="N837" s="99"/>
      <c r="O837" s="99"/>
      <c r="P837" s="99"/>
      <c r="Q837" s="99"/>
      <c r="R837" s="99"/>
    </row>
    <row r="838">
      <c r="A838" s="99"/>
      <c r="B838" s="99"/>
      <c r="C838" s="99"/>
      <c r="D838" s="99"/>
      <c r="E838" s="99"/>
      <c r="F838" s="99"/>
      <c r="G838" s="99"/>
      <c r="H838" s="99"/>
      <c r="I838" s="99"/>
      <c r="J838" s="99"/>
      <c r="K838" s="99"/>
      <c r="L838" s="99"/>
      <c r="M838" s="99"/>
      <c r="N838" s="99"/>
      <c r="O838" s="99"/>
      <c r="P838" s="99"/>
      <c r="Q838" s="99"/>
      <c r="R838" s="99"/>
    </row>
    <row r="839">
      <c r="A839" s="99"/>
      <c r="B839" s="99"/>
      <c r="C839" s="99"/>
      <c r="D839" s="99"/>
      <c r="E839" s="99"/>
      <c r="F839" s="99"/>
      <c r="G839" s="99"/>
      <c r="H839" s="99"/>
      <c r="I839" s="99"/>
      <c r="J839" s="99"/>
      <c r="K839" s="99"/>
      <c r="L839" s="99"/>
      <c r="M839" s="99"/>
      <c r="N839" s="99"/>
      <c r="O839" s="99"/>
      <c r="P839" s="99"/>
      <c r="Q839" s="99"/>
      <c r="R839" s="99"/>
    </row>
    <row r="840">
      <c r="A840" s="99"/>
      <c r="B840" s="99"/>
      <c r="C840" s="99"/>
      <c r="D840" s="99"/>
      <c r="E840" s="99"/>
      <c r="F840" s="99"/>
      <c r="G840" s="99"/>
      <c r="H840" s="99"/>
      <c r="I840" s="99"/>
      <c r="J840" s="99"/>
      <c r="K840" s="99"/>
      <c r="L840" s="99"/>
      <c r="M840" s="99"/>
      <c r="N840" s="99"/>
      <c r="O840" s="99"/>
      <c r="P840" s="99"/>
      <c r="Q840" s="99"/>
      <c r="R840" s="99"/>
    </row>
    <row r="841">
      <c r="A841" s="99"/>
      <c r="B841" s="99"/>
      <c r="C841" s="99"/>
      <c r="D841" s="99"/>
      <c r="E841" s="99"/>
      <c r="F841" s="99"/>
      <c r="G841" s="99"/>
      <c r="H841" s="99"/>
      <c r="I841" s="99"/>
      <c r="J841" s="99"/>
      <c r="K841" s="99"/>
      <c r="L841" s="99"/>
      <c r="M841" s="99"/>
      <c r="N841" s="99"/>
      <c r="O841" s="99"/>
      <c r="P841" s="99"/>
      <c r="Q841" s="99"/>
      <c r="R841" s="99"/>
    </row>
    <row r="842">
      <c r="A842" s="99"/>
      <c r="B842" s="99"/>
      <c r="C842" s="99"/>
      <c r="D842" s="99"/>
      <c r="E842" s="99"/>
      <c r="F842" s="99"/>
      <c r="G842" s="99"/>
      <c r="H842" s="99"/>
      <c r="I842" s="99"/>
      <c r="J842" s="99"/>
      <c r="K842" s="99"/>
      <c r="L842" s="99"/>
      <c r="M842" s="99"/>
      <c r="N842" s="99"/>
      <c r="O842" s="99"/>
      <c r="P842" s="99"/>
      <c r="Q842" s="99"/>
      <c r="R842" s="99"/>
    </row>
    <row r="843">
      <c r="A843" s="99"/>
      <c r="B843" s="99"/>
      <c r="C843" s="99"/>
      <c r="D843" s="99"/>
      <c r="E843" s="99"/>
      <c r="F843" s="99"/>
      <c r="G843" s="99"/>
      <c r="H843" s="99"/>
      <c r="I843" s="99"/>
      <c r="J843" s="99"/>
      <c r="K843" s="99"/>
      <c r="L843" s="99"/>
      <c r="M843" s="99"/>
      <c r="N843" s="99"/>
      <c r="O843" s="99"/>
      <c r="P843" s="99"/>
      <c r="Q843" s="99"/>
      <c r="R843" s="99"/>
    </row>
    <row r="844">
      <c r="A844" s="99"/>
      <c r="B844" s="99"/>
      <c r="C844" s="99"/>
      <c r="D844" s="99"/>
      <c r="E844" s="99"/>
      <c r="F844" s="99"/>
      <c r="G844" s="99"/>
      <c r="H844" s="99"/>
      <c r="I844" s="99"/>
      <c r="J844" s="99"/>
      <c r="K844" s="99"/>
      <c r="L844" s="99"/>
      <c r="M844" s="99"/>
      <c r="N844" s="99"/>
      <c r="O844" s="99"/>
      <c r="P844" s="99"/>
      <c r="Q844" s="99"/>
      <c r="R844" s="99"/>
    </row>
    <row r="845">
      <c r="A845" s="99"/>
      <c r="B845" s="99"/>
      <c r="C845" s="99"/>
      <c r="D845" s="99"/>
      <c r="E845" s="99"/>
      <c r="F845" s="99"/>
      <c r="G845" s="99"/>
      <c r="H845" s="99"/>
      <c r="I845" s="99"/>
      <c r="J845" s="99"/>
      <c r="K845" s="99"/>
      <c r="L845" s="99"/>
      <c r="M845" s="99"/>
      <c r="N845" s="99"/>
      <c r="O845" s="99"/>
      <c r="P845" s="99"/>
      <c r="Q845" s="99"/>
      <c r="R845" s="99"/>
    </row>
    <row r="846">
      <c r="A846" s="99"/>
      <c r="B846" s="99"/>
      <c r="C846" s="99"/>
      <c r="D846" s="99"/>
      <c r="E846" s="99"/>
      <c r="F846" s="99"/>
      <c r="G846" s="99"/>
      <c r="H846" s="99"/>
      <c r="I846" s="99"/>
      <c r="J846" s="99"/>
      <c r="K846" s="99"/>
      <c r="L846" s="99"/>
      <c r="M846" s="99"/>
      <c r="N846" s="99"/>
      <c r="O846" s="99"/>
      <c r="P846" s="99"/>
      <c r="Q846" s="99"/>
      <c r="R846" s="99"/>
    </row>
    <row r="847">
      <c r="A847" s="99"/>
      <c r="B847" s="99"/>
      <c r="C847" s="99"/>
      <c r="D847" s="99"/>
      <c r="E847" s="99"/>
      <c r="F847" s="99"/>
      <c r="G847" s="99"/>
      <c r="H847" s="99"/>
      <c r="I847" s="99"/>
      <c r="J847" s="99"/>
      <c r="K847" s="99"/>
      <c r="L847" s="99"/>
      <c r="M847" s="99"/>
      <c r="N847" s="99"/>
      <c r="O847" s="99"/>
      <c r="P847" s="99"/>
      <c r="Q847" s="99"/>
      <c r="R847" s="99"/>
    </row>
    <row r="848">
      <c r="A848" s="99"/>
      <c r="B848" s="99"/>
      <c r="C848" s="99"/>
      <c r="D848" s="99"/>
      <c r="E848" s="99"/>
      <c r="F848" s="99"/>
      <c r="G848" s="99"/>
      <c r="H848" s="99"/>
      <c r="I848" s="99"/>
      <c r="J848" s="99"/>
      <c r="K848" s="99"/>
      <c r="L848" s="99"/>
      <c r="M848" s="99"/>
      <c r="N848" s="99"/>
      <c r="O848" s="99"/>
      <c r="P848" s="99"/>
      <c r="Q848" s="99"/>
      <c r="R848" s="99"/>
    </row>
    <row r="849">
      <c r="A849" s="99"/>
      <c r="B849" s="99"/>
      <c r="C849" s="99"/>
      <c r="D849" s="99"/>
      <c r="E849" s="99"/>
      <c r="F849" s="99"/>
      <c r="G849" s="99"/>
      <c r="H849" s="99"/>
      <c r="I849" s="99"/>
      <c r="J849" s="99"/>
      <c r="K849" s="99"/>
      <c r="L849" s="99"/>
      <c r="M849" s="99"/>
      <c r="N849" s="99"/>
      <c r="O849" s="99"/>
      <c r="P849" s="99"/>
      <c r="Q849" s="99"/>
      <c r="R849" s="99"/>
    </row>
    <row r="850">
      <c r="A850" s="99"/>
      <c r="B850" s="99"/>
      <c r="C850" s="99"/>
      <c r="D850" s="99"/>
      <c r="E850" s="99"/>
      <c r="F850" s="99"/>
      <c r="G850" s="99"/>
      <c r="H850" s="99"/>
      <c r="I850" s="99"/>
      <c r="J850" s="99"/>
      <c r="K850" s="99"/>
      <c r="L850" s="99"/>
      <c r="M850" s="99"/>
      <c r="N850" s="99"/>
      <c r="O850" s="99"/>
      <c r="P850" s="99"/>
      <c r="Q850" s="99"/>
      <c r="R850" s="99"/>
    </row>
    <row r="851">
      <c r="A851" s="99"/>
      <c r="B851" s="99"/>
      <c r="C851" s="99"/>
      <c r="D851" s="99"/>
      <c r="E851" s="99"/>
      <c r="F851" s="99"/>
      <c r="G851" s="99"/>
      <c r="H851" s="99"/>
      <c r="I851" s="99"/>
      <c r="J851" s="99"/>
      <c r="K851" s="99"/>
      <c r="L851" s="99"/>
      <c r="M851" s="99"/>
      <c r="N851" s="99"/>
      <c r="O851" s="99"/>
      <c r="P851" s="99"/>
      <c r="Q851" s="99"/>
      <c r="R851" s="99"/>
    </row>
    <row r="852">
      <c r="A852" s="99"/>
      <c r="B852" s="99"/>
      <c r="C852" s="99"/>
      <c r="D852" s="99"/>
      <c r="E852" s="99"/>
      <c r="F852" s="99"/>
      <c r="G852" s="99"/>
      <c r="H852" s="99"/>
      <c r="I852" s="99"/>
      <c r="J852" s="99"/>
      <c r="K852" s="99"/>
      <c r="L852" s="99"/>
      <c r="M852" s="99"/>
      <c r="N852" s="99"/>
      <c r="O852" s="99"/>
      <c r="P852" s="99"/>
      <c r="Q852" s="99"/>
      <c r="R852" s="99"/>
    </row>
    <row r="853">
      <c r="A853" s="99"/>
      <c r="B853" s="99"/>
      <c r="C853" s="99"/>
      <c r="D853" s="99"/>
      <c r="E853" s="99"/>
      <c r="F853" s="99"/>
      <c r="G853" s="99"/>
      <c r="H853" s="99"/>
      <c r="I853" s="99"/>
      <c r="J853" s="99"/>
      <c r="K853" s="99"/>
      <c r="L853" s="99"/>
      <c r="M853" s="99"/>
      <c r="N853" s="99"/>
      <c r="O853" s="99"/>
      <c r="P853" s="99"/>
      <c r="Q853" s="99"/>
      <c r="R853" s="99"/>
    </row>
    <row r="854">
      <c r="A854" s="99"/>
      <c r="B854" s="99"/>
      <c r="C854" s="99"/>
      <c r="D854" s="99"/>
      <c r="E854" s="99"/>
      <c r="F854" s="99"/>
      <c r="G854" s="99"/>
      <c r="H854" s="99"/>
      <c r="I854" s="99"/>
      <c r="J854" s="99"/>
      <c r="K854" s="99"/>
      <c r="L854" s="99"/>
      <c r="M854" s="99"/>
      <c r="N854" s="99"/>
      <c r="O854" s="99"/>
      <c r="P854" s="99"/>
      <c r="Q854" s="99"/>
      <c r="R854" s="99"/>
    </row>
    <row r="855">
      <c r="A855" s="99"/>
      <c r="B855" s="99"/>
      <c r="C855" s="99"/>
      <c r="D855" s="99"/>
      <c r="E855" s="99"/>
      <c r="F855" s="99"/>
      <c r="G855" s="99"/>
      <c r="H855" s="99"/>
      <c r="I855" s="99"/>
      <c r="J855" s="99"/>
      <c r="K855" s="99"/>
      <c r="L855" s="99"/>
      <c r="M855" s="99"/>
      <c r="N855" s="99"/>
      <c r="O855" s="99"/>
      <c r="P855" s="99"/>
      <c r="Q855" s="99"/>
      <c r="R855" s="99"/>
    </row>
    <row r="856">
      <c r="A856" s="99"/>
      <c r="B856" s="99"/>
      <c r="C856" s="99"/>
      <c r="D856" s="99"/>
      <c r="E856" s="99"/>
      <c r="F856" s="99"/>
      <c r="G856" s="99"/>
      <c r="H856" s="99"/>
      <c r="I856" s="99"/>
      <c r="J856" s="99"/>
      <c r="K856" s="99"/>
      <c r="L856" s="99"/>
      <c r="M856" s="99"/>
      <c r="N856" s="99"/>
      <c r="O856" s="99"/>
      <c r="P856" s="99"/>
      <c r="Q856" s="99"/>
      <c r="R856" s="99"/>
    </row>
    <row r="857">
      <c r="A857" s="99"/>
      <c r="B857" s="99"/>
      <c r="C857" s="99"/>
      <c r="D857" s="99"/>
      <c r="E857" s="99"/>
      <c r="F857" s="99"/>
      <c r="G857" s="99"/>
      <c r="H857" s="99"/>
      <c r="I857" s="99"/>
      <c r="J857" s="99"/>
      <c r="K857" s="99"/>
      <c r="L857" s="99"/>
      <c r="M857" s="99"/>
      <c r="N857" s="99"/>
      <c r="O857" s="99"/>
      <c r="P857" s="99"/>
      <c r="Q857" s="99"/>
      <c r="R857" s="99"/>
    </row>
    <row r="858">
      <c r="A858" s="99"/>
      <c r="B858" s="99"/>
      <c r="C858" s="99"/>
      <c r="D858" s="99"/>
      <c r="E858" s="99"/>
      <c r="F858" s="99"/>
      <c r="G858" s="99"/>
      <c r="H858" s="99"/>
      <c r="I858" s="99"/>
      <c r="J858" s="99"/>
      <c r="K858" s="99"/>
      <c r="L858" s="99"/>
      <c r="M858" s="99"/>
      <c r="N858" s="99"/>
      <c r="O858" s="99"/>
      <c r="P858" s="99"/>
      <c r="Q858" s="99"/>
      <c r="R858" s="99"/>
    </row>
    <row r="859">
      <c r="A859" s="99"/>
      <c r="B859" s="99"/>
      <c r="C859" s="99"/>
      <c r="D859" s="99"/>
      <c r="E859" s="99"/>
      <c r="F859" s="99"/>
      <c r="G859" s="99"/>
      <c r="H859" s="99"/>
      <c r="I859" s="99"/>
      <c r="J859" s="99"/>
      <c r="K859" s="99"/>
      <c r="L859" s="99"/>
      <c r="M859" s="99"/>
      <c r="N859" s="99"/>
      <c r="O859" s="99"/>
      <c r="P859" s="99"/>
      <c r="Q859" s="99"/>
      <c r="R859" s="99"/>
    </row>
    <row r="860">
      <c r="A860" s="99"/>
      <c r="B860" s="99"/>
      <c r="C860" s="99"/>
      <c r="D860" s="99"/>
      <c r="E860" s="99"/>
      <c r="F860" s="99"/>
      <c r="G860" s="99"/>
      <c r="H860" s="99"/>
      <c r="I860" s="99"/>
      <c r="J860" s="99"/>
      <c r="K860" s="99"/>
      <c r="L860" s="99"/>
      <c r="M860" s="99"/>
      <c r="N860" s="99"/>
      <c r="O860" s="99"/>
      <c r="P860" s="99"/>
      <c r="Q860" s="99"/>
      <c r="R860" s="99"/>
    </row>
    <row r="861">
      <c r="A861" s="99"/>
      <c r="B861" s="99"/>
      <c r="C861" s="99"/>
      <c r="D861" s="99"/>
      <c r="E861" s="99"/>
      <c r="F861" s="99"/>
      <c r="G861" s="99"/>
      <c r="H861" s="99"/>
      <c r="I861" s="99"/>
      <c r="J861" s="99"/>
      <c r="K861" s="99"/>
      <c r="L861" s="99"/>
      <c r="M861" s="99"/>
      <c r="N861" s="99"/>
      <c r="O861" s="99"/>
      <c r="P861" s="99"/>
      <c r="Q861" s="99"/>
      <c r="R861" s="99"/>
    </row>
    <row r="862">
      <c r="A862" s="99"/>
      <c r="B862" s="99"/>
      <c r="C862" s="99"/>
      <c r="D862" s="99"/>
      <c r="E862" s="99"/>
      <c r="F862" s="99"/>
      <c r="G862" s="99"/>
      <c r="H862" s="99"/>
      <c r="I862" s="99"/>
      <c r="J862" s="99"/>
      <c r="K862" s="99"/>
      <c r="L862" s="99"/>
      <c r="M862" s="99"/>
      <c r="N862" s="99"/>
      <c r="O862" s="99"/>
      <c r="P862" s="99"/>
      <c r="Q862" s="99"/>
      <c r="R862" s="99"/>
    </row>
    <row r="863">
      <c r="A863" s="99"/>
      <c r="B863" s="99"/>
      <c r="C863" s="99"/>
      <c r="D863" s="99"/>
      <c r="E863" s="99"/>
      <c r="F863" s="99"/>
      <c r="G863" s="99"/>
      <c r="H863" s="99"/>
      <c r="I863" s="99"/>
      <c r="J863" s="99"/>
      <c r="K863" s="99"/>
      <c r="L863" s="99"/>
      <c r="M863" s="99"/>
      <c r="N863" s="99"/>
      <c r="O863" s="99"/>
      <c r="P863" s="99"/>
      <c r="Q863" s="99"/>
      <c r="R863" s="99"/>
    </row>
    <row r="864">
      <c r="A864" s="99"/>
      <c r="B864" s="99"/>
      <c r="C864" s="99"/>
      <c r="D864" s="99"/>
      <c r="E864" s="99"/>
      <c r="F864" s="99"/>
      <c r="G864" s="99"/>
      <c r="H864" s="99"/>
      <c r="I864" s="99"/>
      <c r="J864" s="99"/>
      <c r="K864" s="99"/>
      <c r="L864" s="99"/>
      <c r="M864" s="99"/>
      <c r="N864" s="99"/>
      <c r="O864" s="99"/>
      <c r="P864" s="99"/>
      <c r="Q864" s="99"/>
      <c r="R864" s="99"/>
    </row>
    <row r="865">
      <c r="A865" s="99"/>
      <c r="B865" s="99"/>
      <c r="C865" s="99"/>
      <c r="D865" s="99"/>
      <c r="E865" s="99"/>
      <c r="F865" s="99"/>
      <c r="G865" s="99"/>
      <c r="H865" s="99"/>
      <c r="I865" s="99"/>
      <c r="J865" s="99"/>
      <c r="K865" s="99"/>
      <c r="L865" s="99"/>
      <c r="M865" s="99"/>
      <c r="N865" s="99"/>
      <c r="O865" s="99"/>
      <c r="P865" s="99"/>
      <c r="Q865" s="99"/>
      <c r="R865" s="99"/>
    </row>
    <row r="866">
      <c r="A866" s="99"/>
      <c r="B866" s="99"/>
      <c r="C866" s="99"/>
      <c r="D866" s="99"/>
      <c r="E866" s="99"/>
      <c r="F866" s="99"/>
      <c r="G866" s="99"/>
      <c r="H866" s="99"/>
      <c r="I866" s="99"/>
      <c r="J866" s="99"/>
      <c r="K866" s="99"/>
      <c r="L866" s="99"/>
      <c r="M866" s="99"/>
      <c r="N866" s="99"/>
      <c r="O866" s="99"/>
      <c r="P866" s="99"/>
      <c r="Q866" s="99"/>
      <c r="R866" s="99"/>
    </row>
    <row r="867">
      <c r="A867" s="99"/>
      <c r="B867" s="99"/>
      <c r="C867" s="99"/>
      <c r="D867" s="99"/>
      <c r="E867" s="99"/>
      <c r="F867" s="99"/>
      <c r="G867" s="99"/>
      <c r="H867" s="99"/>
      <c r="I867" s="99"/>
      <c r="J867" s="99"/>
      <c r="K867" s="99"/>
      <c r="L867" s="99"/>
      <c r="M867" s="99"/>
      <c r="N867" s="99"/>
      <c r="O867" s="99"/>
      <c r="P867" s="99"/>
      <c r="Q867" s="99"/>
      <c r="R867" s="99"/>
    </row>
    <row r="868">
      <c r="A868" s="99"/>
      <c r="B868" s="99"/>
      <c r="C868" s="99"/>
      <c r="D868" s="99"/>
      <c r="E868" s="99"/>
      <c r="F868" s="99"/>
      <c r="G868" s="99"/>
      <c r="H868" s="99"/>
      <c r="I868" s="99"/>
      <c r="J868" s="99"/>
      <c r="K868" s="99"/>
      <c r="L868" s="99"/>
      <c r="M868" s="99"/>
      <c r="N868" s="99"/>
      <c r="O868" s="99"/>
      <c r="P868" s="99"/>
      <c r="Q868" s="99"/>
      <c r="R868" s="99"/>
    </row>
    <row r="869">
      <c r="A869" s="99"/>
      <c r="B869" s="99"/>
      <c r="C869" s="99"/>
      <c r="D869" s="99"/>
      <c r="E869" s="99"/>
      <c r="F869" s="99"/>
      <c r="G869" s="99"/>
      <c r="H869" s="99"/>
      <c r="I869" s="99"/>
      <c r="J869" s="99"/>
      <c r="K869" s="99"/>
      <c r="L869" s="99"/>
      <c r="M869" s="99"/>
      <c r="N869" s="99"/>
      <c r="O869" s="99"/>
      <c r="P869" s="99"/>
      <c r="Q869" s="99"/>
      <c r="R869" s="99"/>
    </row>
    <row r="870">
      <c r="A870" s="99"/>
      <c r="B870" s="99"/>
      <c r="C870" s="99"/>
      <c r="D870" s="99"/>
      <c r="E870" s="99"/>
      <c r="F870" s="99"/>
      <c r="G870" s="99"/>
      <c r="H870" s="99"/>
      <c r="I870" s="99"/>
      <c r="J870" s="99"/>
      <c r="K870" s="99"/>
      <c r="L870" s="99"/>
      <c r="M870" s="99"/>
      <c r="N870" s="99"/>
      <c r="O870" s="99"/>
      <c r="P870" s="99"/>
      <c r="Q870" s="99"/>
      <c r="R870" s="99"/>
    </row>
    <row r="871">
      <c r="A871" s="99"/>
      <c r="B871" s="99"/>
      <c r="C871" s="99"/>
      <c r="D871" s="99"/>
      <c r="E871" s="99"/>
      <c r="F871" s="99"/>
      <c r="G871" s="99"/>
      <c r="H871" s="99"/>
      <c r="I871" s="99"/>
      <c r="J871" s="99"/>
      <c r="K871" s="99"/>
      <c r="L871" s="99"/>
      <c r="M871" s="99"/>
      <c r="N871" s="99"/>
      <c r="O871" s="99"/>
      <c r="P871" s="99"/>
      <c r="Q871" s="99"/>
      <c r="R871" s="99"/>
    </row>
    <row r="872">
      <c r="A872" s="99"/>
      <c r="B872" s="99"/>
      <c r="C872" s="99"/>
      <c r="D872" s="99"/>
      <c r="E872" s="99"/>
      <c r="F872" s="99"/>
      <c r="G872" s="99"/>
      <c r="H872" s="99"/>
      <c r="I872" s="99"/>
      <c r="J872" s="99"/>
      <c r="K872" s="99"/>
      <c r="L872" s="99"/>
      <c r="M872" s="99"/>
      <c r="N872" s="99"/>
      <c r="O872" s="99"/>
      <c r="P872" s="99"/>
      <c r="Q872" s="99"/>
      <c r="R872" s="99"/>
    </row>
    <row r="873">
      <c r="A873" s="99"/>
      <c r="B873" s="99"/>
      <c r="C873" s="99"/>
      <c r="D873" s="99"/>
      <c r="E873" s="99"/>
      <c r="F873" s="99"/>
      <c r="G873" s="99"/>
      <c r="H873" s="99"/>
      <c r="I873" s="99"/>
      <c r="J873" s="99"/>
      <c r="K873" s="99"/>
      <c r="L873" s="99"/>
      <c r="M873" s="99"/>
      <c r="N873" s="99"/>
      <c r="O873" s="99"/>
      <c r="P873" s="99"/>
      <c r="Q873" s="99"/>
      <c r="R873" s="99"/>
    </row>
    <row r="874">
      <c r="A874" s="99"/>
      <c r="B874" s="99"/>
      <c r="C874" s="99"/>
      <c r="D874" s="99"/>
      <c r="E874" s="99"/>
      <c r="F874" s="99"/>
      <c r="G874" s="99"/>
      <c r="H874" s="99"/>
      <c r="I874" s="99"/>
      <c r="J874" s="99"/>
      <c r="K874" s="99"/>
      <c r="L874" s="99"/>
      <c r="M874" s="99"/>
      <c r="N874" s="99"/>
      <c r="O874" s="99"/>
      <c r="P874" s="99"/>
      <c r="Q874" s="99"/>
      <c r="R874" s="99"/>
    </row>
    <row r="875">
      <c r="A875" s="99"/>
      <c r="B875" s="99"/>
      <c r="C875" s="99"/>
      <c r="D875" s="99"/>
      <c r="E875" s="99"/>
      <c r="F875" s="99"/>
      <c r="G875" s="99"/>
      <c r="H875" s="99"/>
      <c r="I875" s="99"/>
      <c r="J875" s="99"/>
      <c r="K875" s="99"/>
      <c r="L875" s="99"/>
      <c r="M875" s="99"/>
      <c r="N875" s="99"/>
      <c r="O875" s="99"/>
      <c r="P875" s="99"/>
      <c r="Q875" s="99"/>
      <c r="R875" s="99"/>
    </row>
    <row r="876">
      <c r="A876" s="99"/>
      <c r="B876" s="99"/>
      <c r="C876" s="99"/>
      <c r="D876" s="99"/>
      <c r="E876" s="99"/>
      <c r="F876" s="99"/>
      <c r="G876" s="99"/>
      <c r="H876" s="99"/>
      <c r="I876" s="99"/>
      <c r="J876" s="99"/>
      <c r="K876" s="99"/>
      <c r="L876" s="99"/>
      <c r="M876" s="99"/>
      <c r="N876" s="99"/>
      <c r="O876" s="99"/>
      <c r="P876" s="99"/>
      <c r="Q876" s="99"/>
      <c r="R876" s="99"/>
    </row>
    <row r="877">
      <c r="A877" s="99"/>
      <c r="B877" s="99"/>
      <c r="C877" s="99"/>
      <c r="D877" s="99"/>
      <c r="E877" s="99"/>
      <c r="F877" s="99"/>
      <c r="G877" s="99"/>
      <c r="H877" s="99"/>
      <c r="I877" s="99"/>
      <c r="J877" s="99"/>
      <c r="K877" s="99"/>
      <c r="L877" s="99"/>
      <c r="M877" s="99"/>
      <c r="N877" s="99"/>
      <c r="O877" s="99"/>
      <c r="P877" s="99"/>
      <c r="Q877" s="99"/>
      <c r="R877" s="99"/>
    </row>
    <row r="878">
      <c r="A878" s="99"/>
      <c r="B878" s="99"/>
      <c r="C878" s="99"/>
      <c r="D878" s="99"/>
      <c r="E878" s="99"/>
      <c r="F878" s="99"/>
      <c r="G878" s="99"/>
      <c r="H878" s="99"/>
      <c r="I878" s="99"/>
      <c r="J878" s="99"/>
      <c r="K878" s="99"/>
      <c r="L878" s="99"/>
      <c r="M878" s="99"/>
      <c r="N878" s="99"/>
      <c r="O878" s="99"/>
      <c r="P878" s="99"/>
      <c r="Q878" s="99"/>
      <c r="R878" s="99"/>
    </row>
    <row r="879">
      <c r="A879" s="99"/>
      <c r="B879" s="99"/>
      <c r="C879" s="99"/>
      <c r="D879" s="99"/>
      <c r="E879" s="99"/>
      <c r="F879" s="99"/>
      <c r="G879" s="99"/>
      <c r="H879" s="99"/>
      <c r="I879" s="99"/>
      <c r="J879" s="99"/>
      <c r="K879" s="99"/>
      <c r="L879" s="99"/>
      <c r="M879" s="99"/>
      <c r="N879" s="99"/>
      <c r="O879" s="99"/>
      <c r="P879" s="99"/>
      <c r="Q879" s="99"/>
      <c r="R879" s="99"/>
    </row>
    <row r="880">
      <c r="A880" s="99"/>
      <c r="B880" s="99"/>
      <c r="C880" s="99"/>
      <c r="D880" s="99"/>
      <c r="E880" s="99"/>
      <c r="F880" s="99"/>
      <c r="G880" s="99"/>
      <c r="H880" s="99"/>
      <c r="I880" s="99"/>
      <c r="J880" s="99"/>
      <c r="K880" s="99"/>
      <c r="L880" s="99"/>
      <c r="M880" s="99"/>
      <c r="N880" s="99"/>
      <c r="O880" s="99"/>
      <c r="P880" s="99"/>
      <c r="Q880" s="99"/>
      <c r="R880" s="99"/>
    </row>
    <row r="881">
      <c r="A881" s="99"/>
      <c r="B881" s="99"/>
      <c r="C881" s="99"/>
      <c r="D881" s="99"/>
      <c r="E881" s="99"/>
      <c r="F881" s="99"/>
      <c r="G881" s="99"/>
      <c r="H881" s="99"/>
      <c r="I881" s="99"/>
      <c r="J881" s="99"/>
      <c r="K881" s="99"/>
      <c r="L881" s="99"/>
      <c r="M881" s="99"/>
      <c r="N881" s="99"/>
      <c r="O881" s="99"/>
      <c r="P881" s="99"/>
      <c r="Q881" s="99"/>
      <c r="R881" s="99"/>
    </row>
    <row r="882">
      <c r="A882" s="99"/>
      <c r="B882" s="99"/>
      <c r="C882" s="99"/>
      <c r="D882" s="99"/>
      <c r="E882" s="99"/>
      <c r="F882" s="99"/>
      <c r="G882" s="99"/>
      <c r="H882" s="99"/>
      <c r="I882" s="99"/>
      <c r="J882" s="99"/>
      <c r="K882" s="99"/>
      <c r="L882" s="99"/>
      <c r="M882" s="99"/>
      <c r="N882" s="99"/>
      <c r="O882" s="99"/>
      <c r="P882" s="99"/>
      <c r="Q882" s="99"/>
      <c r="R882" s="99"/>
    </row>
    <row r="883">
      <c r="A883" s="99"/>
      <c r="B883" s="99"/>
      <c r="C883" s="99"/>
      <c r="D883" s="99"/>
      <c r="E883" s="99"/>
      <c r="F883" s="99"/>
      <c r="G883" s="99"/>
      <c r="H883" s="99"/>
      <c r="I883" s="99"/>
      <c r="J883" s="99"/>
      <c r="K883" s="99"/>
      <c r="L883" s="99"/>
      <c r="M883" s="99"/>
      <c r="N883" s="99"/>
      <c r="O883" s="99"/>
      <c r="P883" s="99"/>
      <c r="Q883" s="99"/>
      <c r="R883" s="99"/>
    </row>
    <row r="884">
      <c r="A884" s="99"/>
      <c r="B884" s="99"/>
      <c r="C884" s="99"/>
      <c r="D884" s="99"/>
      <c r="E884" s="99"/>
      <c r="F884" s="99"/>
      <c r="G884" s="99"/>
      <c r="H884" s="99"/>
      <c r="I884" s="99"/>
      <c r="J884" s="99"/>
      <c r="K884" s="99"/>
      <c r="L884" s="99"/>
      <c r="M884" s="99"/>
      <c r="N884" s="99"/>
      <c r="O884" s="99"/>
      <c r="P884" s="99"/>
      <c r="Q884" s="99"/>
      <c r="R884" s="99"/>
    </row>
    <row r="885">
      <c r="A885" s="99"/>
      <c r="B885" s="99"/>
      <c r="C885" s="99"/>
      <c r="D885" s="99"/>
      <c r="E885" s="99"/>
      <c r="F885" s="99"/>
      <c r="G885" s="99"/>
      <c r="H885" s="99"/>
      <c r="I885" s="99"/>
      <c r="J885" s="99"/>
      <c r="K885" s="99"/>
      <c r="L885" s="99"/>
      <c r="M885" s="99"/>
      <c r="N885" s="99"/>
      <c r="O885" s="99"/>
      <c r="P885" s="99"/>
      <c r="Q885" s="99"/>
      <c r="R885" s="99"/>
    </row>
    <row r="886">
      <c r="A886" s="99"/>
      <c r="B886" s="99"/>
      <c r="C886" s="99"/>
      <c r="D886" s="99"/>
      <c r="E886" s="99"/>
      <c r="F886" s="99"/>
      <c r="G886" s="99"/>
      <c r="H886" s="99"/>
      <c r="I886" s="99"/>
      <c r="J886" s="99"/>
      <c r="K886" s="99"/>
      <c r="L886" s="99"/>
      <c r="M886" s="99"/>
      <c r="N886" s="99"/>
      <c r="O886" s="99"/>
      <c r="P886" s="99"/>
      <c r="Q886" s="99"/>
      <c r="R886" s="99"/>
    </row>
    <row r="887">
      <c r="A887" s="99"/>
      <c r="B887" s="99"/>
      <c r="C887" s="99"/>
      <c r="D887" s="99"/>
      <c r="E887" s="99"/>
      <c r="F887" s="99"/>
      <c r="G887" s="99"/>
      <c r="H887" s="99"/>
      <c r="I887" s="99"/>
      <c r="J887" s="99"/>
      <c r="K887" s="99"/>
      <c r="L887" s="99"/>
      <c r="M887" s="99"/>
      <c r="N887" s="99"/>
      <c r="O887" s="99"/>
      <c r="P887" s="99"/>
      <c r="Q887" s="99"/>
      <c r="R887" s="99"/>
    </row>
    <row r="888">
      <c r="A888" s="99"/>
      <c r="B888" s="99"/>
      <c r="C888" s="99"/>
      <c r="D888" s="99"/>
      <c r="E888" s="99"/>
      <c r="F888" s="99"/>
      <c r="G888" s="99"/>
      <c r="H888" s="99"/>
      <c r="I888" s="99"/>
      <c r="J888" s="99"/>
      <c r="K888" s="99"/>
      <c r="L888" s="99"/>
      <c r="M888" s="99"/>
      <c r="N888" s="99"/>
      <c r="O888" s="99"/>
      <c r="P888" s="99"/>
      <c r="Q888" s="99"/>
      <c r="R888" s="99"/>
    </row>
    <row r="889">
      <c r="A889" s="99"/>
      <c r="B889" s="99"/>
      <c r="C889" s="99"/>
      <c r="D889" s="99"/>
      <c r="E889" s="99"/>
      <c r="F889" s="99"/>
      <c r="G889" s="99"/>
      <c r="H889" s="99"/>
      <c r="I889" s="99"/>
      <c r="J889" s="99"/>
      <c r="K889" s="99"/>
      <c r="L889" s="99"/>
      <c r="M889" s="99"/>
      <c r="N889" s="99"/>
      <c r="O889" s="99"/>
      <c r="P889" s="99"/>
      <c r="Q889" s="99"/>
      <c r="R889" s="99"/>
    </row>
    <row r="890">
      <c r="A890" s="99"/>
      <c r="B890" s="99"/>
      <c r="C890" s="99"/>
      <c r="D890" s="99"/>
      <c r="E890" s="99"/>
      <c r="F890" s="99"/>
      <c r="G890" s="99"/>
      <c r="H890" s="99"/>
      <c r="I890" s="99"/>
      <c r="J890" s="99"/>
      <c r="K890" s="99"/>
      <c r="L890" s="99"/>
      <c r="M890" s="99"/>
      <c r="N890" s="99"/>
      <c r="O890" s="99"/>
      <c r="P890" s="99"/>
      <c r="Q890" s="99"/>
      <c r="R890" s="99"/>
    </row>
    <row r="891">
      <c r="A891" s="99"/>
      <c r="B891" s="99"/>
      <c r="C891" s="99"/>
      <c r="D891" s="99"/>
      <c r="E891" s="99"/>
      <c r="F891" s="99"/>
      <c r="G891" s="99"/>
      <c r="H891" s="99"/>
      <c r="I891" s="99"/>
      <c r="J891" s="99"/>
      <c r="K891" s="99"/>
      <c r="L891" s="99"/>
      <c r="M891" s="99"/>
      <c r="N891" s="99"/>
      <c r="O891" s="99"/>
      <c r="P891" s="99"/>
      <c r="Q891" s="99"/>
      <c r="R891" s="99"/>
    </row>
    <row r="892">
      <c r="A892" s="99"/>
      <c r="B892" s="99"/>
      <c r="C892" s="99"/>
      <c r="D892" s="99"/>
      <c r="E892" s="99"/>
      <c r="F892" s="99"/>
      <c r="G892" s="99"/>
      <c r="H892" s="99"/>
      <c r="I892" s="99"/>
      <c r="J892" s="99"/>
      <c r="K892" s="99"/>
      <c r="L892" s="99"/>
      <c r="M892" s="99"/>
      <c r="N892" s="99"/>
      <c r="O892" s="99"/>
      <c r="P892" s="99"/>
      <c r="Q892" s="99"/>
      <c r="R892" s="99"/>
    </row>
    <row r="893">
      <c r="A893" s="99"/>
      <c r="B893" s="99"/>
      <c r="C893" s="99"/>
      <c r="D893" s="99"/>
      <c r="E893" s="99"/>
      <c r="F893" s="99"/>
      <c r="G893" s="99"/>
      <c r="H893" s="99"/>
      <c r="I893" s="99"/>
      <c r="J893" s="99"/>
      <c r="K893" s="99"/>
      <c r="L893" s="99"/>
      <c r="M893" s="99"/>
      <c r="N893" s="99"/>
      <c r="O893" s="99"/>
      <c r="P893" s="99"/>
      <c r="Q893" s="99"/>
      <c r="R893" s="99"/>
    </row>
    <row r="894">
      <c r="A894" s="99"/>
      <c r="B894" s="99"/>
      <c r="C894" s="99"/>
      <c r="D894" s="99"/>
      <c r="E894" s="99"/>
      <c r="F894" s="99"/>
      <c r="G894" s="99"/>
      <c r="H894" s="99"/>
      <c r="I894" s="99"/>
      <c r="J894" s="99"/>
      <c r="K894" s="99"/>
      <c r="L894" s="99"/>
      <c r="M894" s="99"/>
      <c r="N894" s="99"/>
      <c r="O894" s="99"/>
      <c r="P894" s="99"/>
      <c r="Q894" s="99"/>
      <c r="R894" s="99"/>
    </row>
    <row r="895">
      <c r="A895" s="99"/>
      <c r="B895" s="99"/>
      <c r="C895" s="99"/>
      <c r="D895" s="99"/>
      <c r="E895" s="99"/>
      <c r="F895" s="99"/>
      <c r="G895" s="99"/>
      <c r="H895" s="99"/>
      <c r="I895" s="99"/>
      <c r="J895" s="99"/>
      <c r="K895" s="99"/>
      <c r="L895" s="99"/>
      <c r="M895" s="99"/>
      <c r="N895" s="99"/>
      <c r="O895" s="99"/>
      <c r="P895" s="99"/>
      <c r="Q895" s="99"/>
      <c r="R895" s="99"/>
    </row>
    <row r="896">
      <c r="A896" s="99"/>
      <c r="B896" s="99"/>
      <c r="C896" s="99"/>
      <c r="D896" s="99"/>
      <c r="E896" s="99"/>
      <c r="F896" s="99"/>
      <c r="G896" s="99"/>
      <c r="H896" s="99"/>
      <c r="I896" s="99"/>
      <c r="J896" s="99"/>
      <c r="K896" s="99"/>
      <c r="L896" s="99"/>
      <c r="M896" s="99"/>
      <c r="N896" s="99"/>
      <c r="O896" s="99"/>
      <c r="P896" s="99"/>
      <c r="Q896" s="99"/>
      <c r="R896" s="99"/>
    </row>
    <row r="897">
      <c r="A897" s="99"/>
      <c r="B897" s="99"/>
      <c r="C897" s="99"/>
      <c r="D897" s="99"/>
      <c r="E897" s="99"/>
      <c r="F897" s="99"/>
      <c r="G897" s="99"/>
      <c r="H897" s="99"/>
      <c r="I897" s="99"/>
      <c r="J897" s="99"/>
      <c r="K897" s="99"/>
      <c r="L897" s="99"/>
      <c r="M897" s="99"/>
      <c r="N897" s="99"/>
      <c r="O897" s="99"/>
      <c r="P897" s="99"/>
      <c r="Q897" s="99"/>
      <c r="R897" s="99"/>
    </row>
    <row r="898">
      <c r="A898" s="99"/>
      <c r="B898" s="99"/>
      <c r="C898" s="99"/>
      <c r="D898" s="99"/>
      <c r="E898" s="99"/>
      <c r="F898" s="99"/>
      <c r="G898" s="99"/>
      <c r="H898" s="99"/>
      <c r="I898" s="99"/>
      <c r="J898" s="99"/>
      <c r="K898" s="99"/>
      <c r="L898" s="99"/>
      <c r="M898" s="99"/>
      <c r="N898" s="99"/>
      <c r="O898" s="99"/>
      <c r="P898" s="99"/>
      <c r="Q898" s="99"/>
      <c r="R898" s="99"/>
    </row>
    <row r="899">
      <c r="A899" s="99"/>
      <c r="B899" s="99"/>
      <c r="C899" s="99"/>
      <c r="D899" s="99"/>
      <c r="E899" s="99"/>
      <c r="F899" s="99"/>
      <c r="G899" s="99"/>
      <c r="H899" s="99"/>
      <c r="I899" s="99"/>
      <c r="J899" s="99"/>
      <c r="K899" s="99"/>
      <c r="L899" s="99"/>
      <c r="M899" s="99"/>
      <c r="N899" s="99"/>
      <c r="O899" s="99"/>
      <c r="P899" s="99"/>
      <c r="Q899" s="99"/>
      <c r="R899" s="99"/>
    </row>
    <row r="900">
      <c r="A900" s="99"/>
      <c r="B900" s="99"/>
      <c r="C900" s="99"/>
      <c r="D900" s="99"/>
      <c r="E900" s="99"/>
      <c r="F900" s="99"/>
      <c r="G900" s="99"/>
      <c r="H900" s="99"/>
      <c r="I900" s="99"/>
      <c r="J900" s="99"/>
      <c r="K900" s="99"/>
      <c r="L900" s="99"/>
      <c r="M900" s="99"/>
      <c r="N900" s="99"/>
      <c r="O900" s="99"/>
      <c r="P900" s="99"/>
      <c r="Q900" s="99"/>
      <c r="R900" s="99"/>
    </row>
    <row r="901">
      <c r="A901" s="99"/>
      <c r="B901" s="99"/>
      <c r="C901" s="99"/>
      <c r="D901" s="99"/>
      <c r="E901" s="99"/>
      <c r="F901" s="99"/>
      <c r="G901" s="99"/>
      <c r="H901" s="99"/>
      <c r="I901" s="99"/>
      <c r="J901" s="99"/>
      <c r="K901" s="99"/>
      <c r="L901" s="99"/>
      <c r="M901" s="99"/>
      <c r="N901" s="99"/>
      <c r="O901" s="99"/>
      <c r="P901" s="99"/>
      <c r="Q901" s="99"/>
      <c r="R901" s="99"/>
    </row>
    <row r="902">
      <c r="A902" s="99"/>
      <c r="B902" s="99"/>
      <c r="C902" s="99"/>
      <c r="D902" s="99"/>
      <c r="E902" s="99"/>
      <c r="F902" s="99"/>
      <c r="G902" s="99"/>
      <c r="H902" s="99"/>
      <c r="I902" s="99"/>
      <c r="J902" s="99"/>
      <c r="K902" s="99"/>
      <c r="L902" s="99"/>
      <c r="M902" s="99"/>
      <c r="N902" s="99"/>
      <c r="O902" s="99"/>
      <c r="P902" s="99"/>
      <c r="Q902" s="99"/>
      <c r="R902" s="99"/>
    </row>
    <row r="903">
      <c r="A903" s="99"/>
      <c r="B903" s="99"/>
      <c r="C903" s="99"/>
      <c r="D903" s="99"/>
      <c r="E903" s="99"/>
      <c r="F903" s="99"/>
      <c r="G903" s="99"/>
      <c r="H903" s="99"/>
      <c r="I903" s="99"/>
      <c r="J903" s="99"/>
      <c r="K903" s="99"/>
      <c r="L903" s="99"/>
      <c r="M903" s="99"/>
      <c r="N903" s="99"/>
      <c r="O903" s="99"/>
      <c r="P903" s="99"/>
      <c r="Q903" s="99"/>
      <c r="R903" s="99"/>
    </row>
    <row r="904">
      <c r="A904" s="99"/>
      <c r="B904" s="99"/>
      <c r="C904" s="99"/>
      <c r="D904" s="99"/>
      <c r="E904" s="99"/>
      <c r="F904" s="99"/>
      <c r="G904" s="99"/>
      <c r="H904" s="99"/>
      <c r="I904" s="99"/>
      <c r="J904" s="99"/>
      <c r="K904" s="99"/>
      <c r="L904" s="99"/>
      <c r="M904" s="99"/>
      <c r="N904" s="99"/>
      <c r="O904" s="99"/>
      <c r="P904" s="99"/>
      <c r="Q904" s="99"/>
      <c r="R904" s="99"/>
    </row>
    <row r="905">
      <c r="A905" s="99"/>
      <c r="B905" s="99"/>
      <c r="C905" s="99"/>
      <c r="D905" s="99"/>
      <c r="E905" s="99"/>
      <c r="F905" s="99"/>
      <c r="G905" s="99"/>
      <c r="H905" s="99"/>
      <c r="I905" s="99"/>
      <c r="J905" s="99"/>
      <c r="K905" s="99"/>
      <c r="L905" s="99"/>
      <c r="M905" s="99"/>
      <c r="N905" s="99"/>
      <c r="O905" s="99"/>
      <c r="P905" s="99"/>
      <c r="Q905" s="99"/>
      <c r="R905" s="99"/>
    </row>
    <row r="906">
      <c r="A906" s="99"/>
      <c r="B906" s="99"/>
      <c r="C906" s="99"/>
      <c r="D906" s="99"/>
      <c r="E906" s="99"/>
      <c r="F906" s="99"/>
      <c r="G906" s="99"/>
      <c r="H906" s="99"/>
      <c r="I906" s="99"/>
      <c r="J906" s="99"/>
      <c r="K906" s="99"/>
      <c r="L906" s="99"/>
      <c r="M906" s="99"/>
      <c r="N906" s="99"/>
      <c r="O906" s="99"/>
      <c r="P906" s="99"/>
      <c r="Q906" s="99"/>
      <c r="R906" s="99"/>
    </row>
    <row r="907">
      <c r="A907" s="99"/>
      <c r="B907" s="99"/>
      <c r="C907" s="99"/>
      <c r="D907" s="99"/>
      <c r="E907" s="99"/>
      <c r="F907" s="99"/>
      <c r="G907" s="99"/>
      <c r="H907" s="99"/>
      <c r="I907" s="99"/>
      <c r="J907" s="99"/>
      <c r="K907" s="99"/>
      <c r="L907" s="99"/>
      <c r="M907" s="99"/>
      <c r="N907" s="99"/>
      <c r="O907" s="99"/>
      <c r="P907" s="99"/>
      <c r="Q907" s="99"/>
      <c r="R907" s="99"/>
    </row>
    <row r="908">
      <c r="A908" s="99"/>
      <c r="B908" s="99"/>
      <c r="C908" s="99"/>
      <c r="D908" s="99"/>
      <c r="E908" s="99"/>
      <c r="F908" s="99"/>
      <c r="G908" s="99"/>
      <c r="H908" s="99"/>
      <c r="I908" s="99"/>
      <c r="J908" s="99"/>
      <c r="K908" s="99"/>
      <c r="L908" s="99"/>
      <c r="M908" s="99"/>
      <c r="N908" s="99"/>
      <c r="O908" s="99"/>
      <c r="P908" s="99"/>
      <c r="Q908" s="99"/>
      <c r="R908" s="99"/>
    </row>
    <row r="909">
      <c r="A909" s="99"/>
      <c r="B909" s="99"/>
      <c r="C909" s="99"/>
      <c r="D909" s="99"/>
      <c r="E909" s="99"/>
      <c r="F909" s="99"/>
      <c r="G909" s="99"/>
      <c r="H909" s="99"/>
      <c r="I909" s="99"/>
      <c r="J909" s="99"/>
      <c r="K909" s="99"/>
      <c r="L909" s="99"/>
      <c r="M909" s="99"/>
      <c r="N909" s="99"/>
      <c r="O909" s="99"/>
      <c r="P909" s="99"/>
      <c r="Q909" s="99"/>
      <c r="R909" s="99"/>
    </row>
    <row r="910">
      <c r="A910" s="99"/>
      <c r="B910" s="99"/>
      <c r="C910" s="99"/>
      <c r="D910" s="99"/>
      <c r="E910" s="99"/>
      <c r="F910" s="99"/>
      <c r="G910" s="99"/>
      <c r="H910" s="99"/>
      <c r="I910" s="99"/>
      <c r="J910" s="99"/>
      <c r="K910" s="99"/>
      <c r="L910" s="99"/>
      <c r="M910" s="99"/>
      <c r="N910" s="99"/>
      <c r="O910" s="99"/>
      <c r="P910" s="99"/>
      <c r="Q910" s="99"/>
      <c r="R910" s="99"/>
    </row>
    <row r="911">
      <c r="A911" s="99"/>
      <c r="B911" s="99"/>
      <c r="C911" s="99"/>
      <c r="D911" s="99"/>
      <c r="E911" s="99"/>
      <c r="F911" s="99"/>
      <c r="G911" s="99"/>
      <c r="H911" s="99"/>
      <c r="I911" s="99"/>
      <c r="J911" s="99"/>
      <c r="K911" s="99"/>
      <c r="L911" s="99"/>
      <c r="M911" s="99"/>
      <c r="N911" s="99"/>
      <c r="O911" s="99"/>
      <c r="P911" s="99"/>
      <c r="Q911" s="99"/>
      <c r="R911" s="99"/>
    </row>
    <row r="912">
      <c r="A912" s="99"/>
      <c r="B912" s="99"/>
      <c r="C912" s="99"/>
      <c r="D912" s="99"/>
      <c r="E912" s="99"/>
      <c r="F912" s="99"/>
      <c r="G912" s="99"/>
      <c r="H912" s="99"/>
      <c r="I912" s="99"/>
      <c r="J912" s="99"/>
      <c r="K912" s="99"/>
      <c r="L912" s="99"/>
      <c r="M912" s="99"/>
      <c r="N912" s="99"/>
      <c r="O912" s="99"/>
      <c r="P912" s="99"/>
      <c r="Q912" s="99"/>
      <c r="R912" s="99"/>
    </row>
    <row r="913">
      <c r="A913" s="99"/>
      <c r="B913" s="99"/>
      <c r="C913" s="99"/>
      <c r="D913" s="99"/>
      <c r="E913" s="99"/>
      <c r="F913" s="99"/>
      <c r="G913" s="99"/>
      <c r="H913" s="99"/>
      <c r="I913" s="99"/>
      <c r="J913" s="99"/>
      <c r="K913" s="99"/>
      <c r="L913" s="99"/>
      <c r="M913" s="99"/>
      <c r="N913" s="99"/>
      <c r="O913" s="99"/>
      <c r="P913" s="99"/>
      <c r="Q913" s="99"/>
      <c r="R913" s="99"/>
    </row>
    <row r="914">
      <c r="A914" s="99"/>
      <c r="B914" s="99"/>
      <c r="C914" s="99"/>
      <c r="D914" s="99"/>
      <c r="E914" s="99"/>
      <c r="F914" s="99"/>
      <c r="G914" s="99"/>
      <c r="H914" s="99"/>
      <c r="I914" s="99"/>
      <c r="J914" s="99"/>
      <c r="K914" s="99"/>
      <c r="L914" s="99"/>
      <c r="M914" s="99"/>
      <c r="N914" s="99"/>
      <c r="O914" s="99"/>
      <c r="P914" s="99"/>
      <c r="Q914" s="99"/>
      <c r="R914" s="99"/>
    </row>
    <row r="915">
      <c r="A915" s="99"/>
      <c r="B915" s="99"/>
      <c r="C915" s="99"/>
      <c r="D915" s="99"/>
      <c r="E915" s="99"/>
      <c r="F915" s="99"/>
      <c r="G915" s="99"/>
      <c r="H915" s="99"/>
      <c r="I915" s="99"/>
      <c r="J915" s="99"/>
      <c r="K915" s="99"/>
      <c r="L915" s="99"/>
      <c r="M915" s="99"/>
      <c r="N915" s="99"/>
      <c r="O915" s="99"/>
      <c r="P915" s="99"/>
      <c r="Q915" s="99"/>
      <c r="R915" s="99"/>
    </row>
    <row r="916">
      <c r="A916" s="99"/>
      <c r="B916" s="99"/>
      <c r="C916" s="99"/>
      <c r="D916" s="99"/>
      <c r="E916" s="99"/>
      <c r="F916" s="99"/>
      <c r="G916" s="99"/>
      <c r="H916" s="99"/>
      <c r="I916" s="99"/>
      <c r="J916" s="99"/>
      <c r="K916" s="99"/>
      <c r="L916" s="99"/>
      <c r="M916" s="99"/>
      <c r="N916" s="99"/>
      <c r="O916" s="99"/>
      <c r="P916" s="99"/>
      <c r="Q916" s="99"/>
      <c r="R916" s="99"/>
    </row>
    <row r="917">
      <c r="A917" s="99"/>
      <c r="B917" s="99"/>
      <c r="C917" s="99"/>
      <c r="D917" s="99"/>
      <c r="E917" s="99"/>
      <c r="F917" s="99"/>
      <c r="G917" s="99"/>
      <c r="H917" s="99"/>
      <c r="I917" s="99"/>
      <c r="J917" s="99"/>
      <c r="K917" s="99"/>
      <c r="L917" s="99"/>
      <c r="M917" s="99"/>
      <c r="N917" s="99"/>
      <c r="O917" s="99"/>
      <c r="P917" s="99"/>
      <c r="Q917" s="99"/>
      <c r="R917" s="99"/>
    </row>
    <row r="918">
      <c r="A918" s="99"/>
      <c r="B918" s="99"/>
      <c r="C918" s="99"/>
      <c r="D918" s="99"/>
      <c r="E918" s="99"/>
      <c r="F918" s="99"/>
      <c r="G918" s="99"/>
      <c r="H918" s="99"/>
      <c r="I918" s="99"/>
      <c r="J918" s="99"/>
      <c r="K918" s="99"/>
      <c r="L918" s="99"/>
      <c r="M918" s="99"/>
      <c r="N918" s="99"/>
      <c r="O918" s="99"/>
      <c r="P918" s="99"/>
      <c r="Q918" s="99"/>
      <c r="R918" s="99"/>
    </row>
    <row r="919">
      <c r="A919" s="99"/>
      <c r="B919" s="99"/>
      <c r="C919" s="99"/>
      <c r="D919" s="99"/>
      <c r="E919" s="99"/>
      <c r="F919" s="99"/>
      <c r="G919" s="99"/>
      <c r="H919" s="99"/>
      <c r="I919" s="99"/>
      <c r="J919" s="99"/>
      <c r="K919" s="99"/>
      <c r="L919" s="99"/>
      <c r="M919" s="99"/>
      <c r="N919" s="99"/>
      <c r="O919" s="99"/>
      <c r="P919" s="99"/>
      <c r="Q919" s="99"/>
      <c r="R919" s="99"/>
    </row>
    <row r="920">
      <c r="A920" s="99"/>
      <c r="B920" s="99"/>
      <c r="C920" s="99"/>
      <c r="D920" s="99"/>
      <c r="E920" s="99"/>
      <c r="F920" s="99"/>
      <c r="G920" s="99"/>
      <c r="H920" s="99"/>
      <c r="I920" s="99"/>
      <c r="J920" s="99"/>
      <c r="K920" s="99"/>
      <c r="L920" s="99"/>
      <c r="M920" s="99"/>
      <c r="N920" s="99"/>
      <c r="O920" s="99"/>
      <c r="P920" s="99"/>
      <c r="Q920" s="99"/>
      <c r="R920" s="99"/>
    </row>
    <row r="921">
      <c r="A921" s="99"/>
      <c r="B921" s="99"/>
      <c r="C921" s="99"/>
      <c r="D921" s="99"/>
      <c r="E921" s="99"/>
      <c r="F921" s="99"/>
      <c r="G921" s="99"/>
      <c r="H921" s="99"/>
      <c r="I921" s="99"/>
      <c r="J921" s="99"/>
      <c r="K921" s="99"/>
      <c r="L921" s="99"/>
      <c r="M921" s="99"/>
      <c r="N921" s="99"/>
      <c r="O921" s="99"/>
      <c r="P921" s="99"/>
      <c r="Q921" s="99"/>
      <c r="R921" s="99"/>
    </row>
    <row r="922">
      <c r="A922" s="99"/>
      <c r="B922" s="99"/>
      <c r="C922" s="99"/>
      <c r="D922" s="99"/>
      <c r="E922" s="99"/>
      <c r="F922" s="99"/>
      <c r="G922" s="99"/>
      <c r="H922" s="99"/>
      <c r="I922" s="99"/>
      <c r="J922" s="99"/>
      <c r="K922" s="99"/>
      <c r="L922" s="99"/>
      <c r="M922" s="99"/>
      <c r="N922" s="99"/>
      <c r="O922" s="99"/>
      <c r="P922" s="99"/>
      <c r="Q922" s="99"/>
      <c r="R922" s="99"/>
    </row>
    <row r="923">
      <c r="A923" s="99"/>
      <c r="B923" s="99"/>
      <c r="C923" s="99"/>
      <c r="D923" s="99"/>
      <c r="E923" s="99"/>
      <c r="F923" s="99"/>
      <c r="G923" s="99"/>
      <c r="H923" s="99"/>
      <c r="I923" s="99"/>
      <c r="J923" s="99"/>
      <c r="K923" s="99"/>
      <c r="L923" s="99"/>
      <c r="M923" s="99"/>
      <c r="N923" s="99"/>
      <c r="O923" s="99"/>
      <c r="P923" s="99"/>
      <c r="Q923" s="99"/>
      <c r="R923" s="99"/>
    </row>
    <row r="924">
      <c r="A924" s="99"/>
      <c r="B924" s="99"/>
      <c r="C924" s="99"/>
      <c r="D924" s="99"/>
      <c r="E924" s="99"/>
      <c r="F924" s="99"/>
      <c r="G924" s="99"/>
      <c r="H924" s="99"/>
      <c r="I924" s="99"/>
      <c r="J924" s="99"/>
      <c r="K924" s="99"/>
      <c r="L924" s="99"/>
      <c r="M924" s="99"/>
      <c r="N924" s="99"/>
      <c r="O924" s="99"/>
      <c r="P924" s="99"/>
      <c r="Q924" s="99"/>
      <c r="R924" s="99"/>
    </row>
    <row r="925">
      <c r="A925" s="99"/>
      <c r="B925" s="99"/>
      <c r="C925" s="99"/>
      <c r="D925" s="99"/>
      <c r="E925" s="99"/>
      <c r="F925" s="99"/>
      <c r="G925" s="99"/>
      <c r="H925" s="99"/>
      <c r="I925" s="99"/>
      <c r="J925" s="99"/>
      <c r="K925" s="99"/>
      <c r="L925" s="99"/>
      <c r="M925" s="99"/>
      <c r="N925" s="99"/>
      <c r="O925" s="99"/>
      <c r="P925" s="99"/>
      <c r="Q925" s="99"/>
      <c r="R925" s="99"/>
    </row>
    <row r="926">
      <c r="A926" s="99"/>
      <c r="B926" s="99"/>
      <c r="C926" s="99"/>
      <c r="D926" s="99"/>
      <c r="E926" s="99"/>
      <c r="F926" s="99"/>
      <c r="G926" s="99"/>
      <c r="H926" s="99"/>
      <c r="I926" s="99"/>
      <c r="J926" s="99"/>
      <c r="K926" s="99"/>
      <c r="L926" s="99"/>
      <c r="M926" s="99"/>
      <c r="N926" s="99"/>
      <c r="O926" s="99"/>
      <c r="P926" s="99"/>
      <c r="Q926" s="99"/>
      <c r="R926" s="99"/>
    </row>
    <row r="927">
      <c r="A927" s="99"/>
      <c r="B927" s="99"/>
      <c r="C927" s="99"/>
      <c r="D927" s="99"/>
      <c r="E927" s="99"/>
      <c r="F927" s="99"/>
      <c r="G927" s="99"/>
      <c r="H927" s="99"/>
      <c r="I927" s="99"/>
      <c r="J927" s="99"/>
      <c r="K927" s="99"/>
      <c r="L927" s="99"/>
      <c r="M927" s="99"/>
      <c r="N927" s="99"/>
      <c r="O927" s="99"/>
      <c r="P927" s="99"/>
      <c r="Q927" s="99"/>
      <c r="R927" s="99"/>
    </row>
    <row r="928">
      <c r="A928" s="99"/>
      <c r="B928" s="99"/>
      <c r="C928" s="99"/>
      <c r="D928" s="99"/>
      <c r="E928" s="99"/>
      <c r="F928" s="99"/>
      <c r="G928" s="99"/>
      <c r="H928" s="99"/>
      <c r="I928" s="99"/>
      <c r="J928" s="99"/>
      <c r="K928" s="99"/>
      <c r="L928" s="99"/>
      <c r="M928" s="99"/>
      <c r="N928" s="99"/>
      <c r="O928" s="99"/>
      <c r="P928" s="99"/>
      <c r="Q928" s="99"/>
      <c r="R928" s="99"/>
    </row>
    <row r="929">
      <c r="A929" s="99"/>
      <c r="B929" s="99"/>
      <c r="C929" s="99"/>
      <c r="D929" s="99"/>
      <c r="E929" s="99"/>
      <c r="F929" s="99"/>
      <c r="G929" s="99"/>
      <c r="H929" s="99"/>
      <c r="I929" s="99"/>
      <c r="J929" s="99"/>
      <c r="K929" s="99"/>
      <c r="L929" s="99"/>
      <c r="M929" s="99"/>
      <c r="N929" s="99"/>
      <c r="O929" s="99"/>
      <c r="P929" s="99"/>
      <c r="Q929" s="99"/>
      <c r="R929" s="99"/>
    </row>
    <row r="930">
      <c r="A930" s="99"/>
      <c r="B930" s="99"/>
      <c r="C930" s="99"/>
      <c r="D930" s="99"/>
      <c r="E930" s="99"/>
      <c r="F930" s="99"/>
      <c r="G930" s="99"/>
      <c r="H930" s="99"/>
      <c r="I930" s="99"/>
      <c r="J930" s="99"/>
      <c r="K930" s="99"/>
      <c r="L930" s="99"/>
      <c r="M930" s="99"/>
      <c r="N930" s="99"/>
      <c r="O930" s="99"/>
      <c r="P930" s="99"/>
      <c r="Q930" s="99"/>
      <c r="R930" s="99"/>
    </row>
    <row r="931">
      <c r="A931" s="99"/>
      <c r="B931" s="99"/>
      <c r="C931" s="99"/>
      <c r="D931" s="99"/>
      <c r="E931" s="99"/>
      <c r="F931" s="99"/>
      <c r="G931" s="99"/>
      <c r="H931" s="99"/>
      <c r="I931" s="99"/>
      <c r="J931" s="99"/>
      <c r="K931" s="99"/>
      <c r="L931" s="99"/>
      <c r="M931" s="99"/>
      <c r="N931" s="99"/>
      <c r="O931" s="99"/>
      <c r="P931" s="99"/>
      <c r="Q931" s="99"/>
      <c r="R931" s="99"/>
    </row>
    <row r="932">
      <c r="A932" s="99"/>
      <c r="B932" s="99"/>
      <c r="C932" s="99"/>
      <c r="D932" s="99"/>
      <c r="E932" s="99"/>
      <c r="F932" s="99"/>
      <c r="G932" s="99"/>
      <c r="H932" s="99"/>
      <c r="I932" s="99"/>
      <c r="J932" s="99"/>
      <c r="K932" s="99"/>
      <c r="L932" s="99"/>
      <c r="M932" s="99"/>
      <c r="N932" s="99"/>
      <c r="O932" s="99"/>
      <c r="P932" s="99"/>
      <c r="Q932" s="99"/>
      <c r="R932" s="99"/>
    </row>
    <row r="933">
      <c r="A933" s="99"/>
      <c r="B933" s="99"/>
      <c r="C933" s="99"/>
      <c r="D933" s="99"/>
      <c r="E933" s="99"/>
      <c r="F933" s="99"/>
      <c r="G933" s="99"/>
      <c r="H933" s="99"/>
      <c r="I933" s="99"/>
      <c r="J933" s="99"/>
      <c r="K933" s="99"/>
      <c r="L933" s="99"/>
      <c r="M933" s="99"/>
      <c r="N933" s="99"/>
      <c r="O933" s="99"/>
      <c r="P933" s="99"/>
      <c r="Q933" s="99"/>
      <c r="R933" s="99"/>
    </row>
    <row r="934">
      <c r="A934" s="99"/>
      <c r="B934" s="99"/>
      <c r="C934" s="99"/>
      <c r="D934" s="99"/>
      <c r="E934" s="99"/>
      <c r="F934" s="99"/>
      <c r="G934" s="99"/>
      <c r="H934" s="99"/>
      <c r="I934" s="99"/>
      <c r="J934" s="99"/>
      <c r="K934" s="99"/>
      <c r="L934" s="99"/>
      <c r="M934" s="99"/>
      <c r="N934" s="99"/>
      <c r="O934" s="99"/>
      <c r="P934" s="99"/>
      <c r="Q934" s="99"/>
      <c r="R934" s="99"/>
    </row>
    <row r="935">
      <c r="A935" s="99"/>
      <c r="B935" s="99"/>
      <c r="C935" s="99"/>
      <c r="D935" s="99"/>
      <c r="E935" s="99"/>
      <c r="F935" s="99"/>
      <c r="G935" s="99"/>
      <c r="H935" s="99"/>
      <c r="I935" s="99"/>
      <c r="J935" s="99"/>
      <c r="K935" s="99"/>
      <c r="L935" s="99"/>
      <c r="M935" s="99"/>
      <c r="N935" s="99"/>
      <c r="O935" s="99"/>
      <c r="P935" s="99"/>
      <c r="Q935" s="99"/>
      <c r="R935" s="99"/>
    </row>
    <row r="936">
      <c r="A936" s="99"/>
      <c r="B936" s="99"/>
      <c r="C936" s="99"/>
      <c r="D936" s="99"/>
      <c r="E936" s="99"/>
      <c r="F936" s="99"/>
      <c r="G936" s="99"/>
      <c r="H936" s="99"/>
      <c r="I936" s="99"/>
      <c r="J936" s="99"/>
      <c r="K936" s="99"/>
      <c r="L936" s="99"/>
      <c r="M936" s="99"/>
      <c r="N936" s="99"/>
      <c r="O936" s="99"/>
      <c r="P936" s="99"/>
      <c r="Q936" s="99"/>
      <c r="R936" s="99"/>
    </row>
    <row r="937">
      <c r="A937" s="99"/>
      <c r="B937" s="99"/>
      <c r="C937" s="99"/>
      <c r="D937" s="99"/>
      <c r="E937" s="99"/>
      <c r="F937" s="99"/>
      <c r="G937" s="99"/>
      <c r="H937" s="99"/>
      <c r="I937" s="99"/>
      <c r="J937" s="99"/>
      <c r="K937" s="99"/>
      <c r="L937" s="99"/>
      <c r="M937" s="99"/>
      <c r="N937" s="99"/>
      <c r="O937" s="99"/>
      <c r="P937" s="99"/>
      <c r="Q937" s="99"/>
      <c r="R937" s="99"/>
    </row>
    <row r="938">
      <c r="A938" s="99"/>
      <c r="B938" s="99"/>
      <c r="C938" s="99"/>
      <c r="D938" s="99"/>
      <c r="E938" s="99"/>
      <c r="F938" s="99"/>
      <c r="G938" s="99"/>
      <c r="H938" s="99"/>
      <c r="I938" s="99"/>
      <c r="J938" s="99"/>
      <c r="K938" s="99"/>
      <c r="L938" s="99"/>
      <c r="M938" s="99"/>
      <c r="N938" s="99"/>
      <c r="O938" s="99"/>
      <c r="P938" s="99"/>
      <c r="Q938" s="99"/>
      <c r="R938" s="99"/>
    </row>
    <row r="939">
      <c r="A939" s="99"/>
      <c r="B939" s="99"/>
      <c r="C939" s="99"/>
      <c r="D939" s="99"/>
      <c r="E939" s="99"/>
      <c r="F939" s="99"/>
      <c r="G939" s="99"/>
      <c r="H939" s="99"/>
      <c r="I939" s="99"/>
      <c r="J939" s="99"/>
      <c r="K939" s="99"/>
      <c r="L939" s="99"/>
      <c r="M939" s="99"/>
      <c r="N939" s="99"/>
      <c r="O939" s="99"/>
      <c r="P939" s="99"/>
      <c r="Q939" s="99"/>
      <c r="R939" s="99"/>
    </row>
    <row r="940">
      <c r="A940" s="99"/>
      <c r="B940" s="99"/>
      <c r="C940" s="99"/>
      <c r="D940" s="99"/>
      <c r="E940" s="99"/>
      <c r="F940" s="99"/>
      <c r="G940" s="99"/>
      <c r="H940" s="99"/>
      <c r="I940" s="99"/>
      <c r="J940" s="99"/>
      <c r="K940" s="99"/>
      <c r="L940" s="99"/>
      <c r="M940" s="99"/>
      <c r="N940" s="99"/>
      <c r="O940" s="99"/>
      <c r="P940" s="99"/>
      <c r="Q940" s="99"/>
      <c r="R940" s="99"/>
    </row>
    <row r="941">
      <c r="A941" s="99"/>
      <c r="B941" s="99"/>
      <c r="C941" s="99"/>
      <c r="D941" s="99"/>
      <c r="E941" s="99"/>
      <c r="F941" s="99"/>
      <c r="G941" s="99"/>
      <c r="H941" s="99"/>
      <c r="I941" s="99"/>
      <c r="J941" s="99"/>
      <c r="K941" s="99"/>
      <c r="L941" s="99"/>
      <c r="M941" s="99"/>
      <c r="N941" s="99"/>
      <c r="O941" s="99"/>
      <c r="P941" s="99"/>
      <c r="Q941" s="99"/>
      <c r="R941" s="99"/>
    </row>
    <row r="942">
      <c r="A942" s="99"/>
      <c r="B942" s="99"/>
      <c r="C942" s="99"/>
      <c r="D942" s="99"/>
      <c r="E942" s="99"/>
      <c r="F942" s="99"/>
      <c r="G942" s="99"/>
      <c r="H942" s="99"/>
      <c r="I942" s="99"/>
      <c r="J942" s="99"/>
      <c r="K942" s="99"/>
      <c r="L942" s="99"/>
      <c r="M942" s="99"/>
      <c r="N942" s="99"/>
      <c r="O942" s="99"/>
      <c r="P942" s="99"/>
      <c r="Q942" s="99"/>
      <c r="R942" s="99"/>
    </row>
    <row r="943">
      <c r="A943" s="99"/>
      <c r="B943" s="99"/>
      <c r="C943" s="99"/>
      <c r="D943" s="99"/>
      <c r="E943" s="99"/>
      <c r="F943" s="99"/>
      <c r="G943" s="99"/>
      <c r="H943" s="99"/>
      <c r="I943" s="99"/>
      <c r="J943" s="99"/>
      <c r="K943" s="99"/>
      <c r="L943" s="99"/>
      <c r="M943" s="99"/>
      <c r="N943" s="99"/>
      <c r="O943" s="99"/>
      <c r="P943" s="99"/>
      <c r="Q943" s="99"/>
      <c r="R943" s="99"/>
    </row>
    <row r="944">
      <c r="A944" s="99"/>
      <c r="B944" s="99"/>
      <c r="C944" s="99"/>
      <c r="D944" s="99"/>
      <c r="E944" s="99"/>
      <c r="F944" s="99"/>
      <c r="G944" s="99"/>
      <c r="H944" s="99"/>
      <c r="I944" s="99"/>
      <c r="J944" s="99"/>
      <c r="K944" s="99"/>
      <c r="L944" s="99"/>
      <c r="M944" s="99"/>
      <c r="N944" s="99"/>
      <c r="O944" s="99"/>
      <c r="P944" s="99"/>
      <c r="Q944" s="99"/>
      <c r="R944" s="99"/>
    </row>
    <row r="945">
      <c r="A945" s="99"/>
      <c r="B945" s="99"/>
      <c r="C945" s="99"/>
      <c r="D945" s="99"/>
      <c r="E945" s="99"/>
      <c r="F945" s="99"/>
      <c r="G945" s="99"/>
      <c r="H945" s="99"/>
      <c r="I945" s="99"/>
      <c r="J945" s="99"/>
      <c r="K945" s="99"/>
      <c r="L945" s="99"/>
      <c r="M945" s="99"/>
      <c r="N945" s="99"/>
      <c r="O945" s="99"/>
      <c r="P945" s="99"/>
      <c r="Q945" s="99"/>
      <c r="R945" s="99"/>
    </row>
    <row r="946">
      <c r="A946" s="99"/>
      <c r="B946" s="99"/>
      <c r="C946" s="99"/>
      <c r="D946" s="99"/>
      <c r="E946" s="99"/>
      <c r="F946" s="99"/>
      <c r="G946" s="99"/>
      <c r="H946" s="99"/>
      <c r="I946" s="99"/>
      <c r="J946" s="99"/>
      <c r="K946" s="99"/>
      <c r="L946" s="99"/>
      <c r="M946" s="99"/>
      <c r="N946" s="99"/>
      <c r="O946" s="99"/>
      <c r="P946" s="99"/>
      <c r="Q946" s="99"/>
      <c r="R946" s="99"/>
    </row>
    <row r="947">
      <c r="A947" s="99"/>
      <c r="B947" s="99"/>
      <c r="C947" s="99"/>
      <c r="D947" s="99"/>
      <c r="E947" s="99"/>
      <c r="F947" s="99"/>
      <c r="G947" s="99"/>
      <c r="H947" s="99"/>
      <c r="I947" s="99"/>
      <c r="J947" s="99"/>
      <c r="K947" s="99"/>
      <c r="L947" s="99"/>
      <c r="M947" s="99"/>
      <c r="N947" s="99"/>
      <c r="O947" s="99"/>
      <c r="P947" s="99"/>
      <c r="Q947" s="99"/>
      <c r="R947" s="99"/>
    </row>
    <row r="948">
      <c r="A948" s="99"/>
      <c r="B948" s="99"/>
      <c r="C948" s="99"/>
      <c r="D948" s="99"/>
      <c r="E948" s="99"/>
      <c r="F948" s="99"/>
      <c r="G948" s="99"/>
      <c r="H948" s="99"/>
      <c r="I948" s="99"/>
      <c r="J948" s="99"/>
      <c r="K948" s="99"/>
      <c r="L948" s="99"/>
      <c r="M948" s="99"/>
      <c r="N948" s="99"/>
      <c r="O948" s="99"/>
      <c r="P948" s="99"/>
      <c r="Q948" s="99"/>
      <c r="R948" s="99"/>
    </row>
    <row r="949">
      <c r="A949" s="99"/>
      <c r="B949" s="99"/>
      <c r="C949" s="99"/>
      <c r="D949" s="99"/>
      <c r="E949" s="99"/>
      <c r="F949" s="99"/>
      <c r="G949" s="99"/>
      <c r="H949" s="99"/>
      <c r="I949" s="99"/>
      <c r="J949" s="99"/>
      <c r="K949" s="99"/>
      <c r="L949" s="99"/>
      <c r="M949" s="99"/>
      <c r="N949" s="99"/>
      <c r="O949" s="99"/>
      <c r="P949" s="99"/>
      <c r="Q949" s="99"/>
      <c r="R949" s="99"/>
    </row>
    <row r="950">
      <c r="A950" s="99"/>
      <c r="B950" s="99"/>
      <c r="C950" s="99"/>
      <c r="D950" s="99"/>
      <c r="E950" s="99"/>
      <c r="F950" s="99"/>
      <c r="G950" s="99"/>
      <c r="H950" s="99"/>
      <c r="I950" s="99"/>
      <c r="J950" s="99"/>
      <c r="K950" s="99"/>
      <c r="L950" s="99"/>
      <c r="M950" s="99"/>
      <c r="N950" s="99"/>
      <c r="O950" s="99"/>
      <c r="P950" s="99"/>
      <c r="Q950" s="99"/>
      <c r="R950" s="99"/>
    </row>
    <row r="951">
      <c r="A951" s="99"/>
      <c r="B951" s="99"/>
      <c r="C951" s="99"/>
      <c r="D951" s="99"/>
      <c r="E951" s="99"/>
      <c r="F951" s="99"/>
      <c r="G951" s="99"/>
      <c r="H951" s="99"/>
      <c r="I951" s="99"/>
      <c r="J951" s="99"/>
      <c r="K951" s="99"/>
      <c r="L951" s="99"/>
      <c r="M951" s="99"/>
      <c r="N951" s="99"/>
      <c r="O951" s="99"/>
      <c r="P951" s="99"/>
      <c r="Q951" s="99"/>
      <c r="R951" s="99"/>
    </row>
    <row r="952">
      <c r="A952" s="99"/>
      <c r="B952" s="99"/>
      <c r="C952" s="99"/>
      <c r="D952" s="99"/>
      <c r="E952" s="99"/>
      <c r="F952" s="99"/>
      <c r="G952" s="99"/>
      <c r="H952" s="99"/>
      <c r="I952" s="99"/>
      <c r="J952" s="99"/>
      <c r="K952" s="99"/>
      <c r="L952" s="99"/>
      <c r="M952" s="99"/>
      <c r="N952" s="99"/>
      <c r="O952" s="99"/>
      <c r="P952" s="99"/>
      <c r="Q952" s="99"/>
      <c r="R952" s="99"/>
    </row>
    <row r="953">
      <c r="A953" s="99"/>
      <c r="B953" s="99"/>
      <c r="C953" s="99"/>
      <c r="D953" s="99"/>
      <c r="E953" s="99"/>
      <c r="F953" s="99"/>
      <c r="G953" s="99"/>
      <c r="H953" s="99"/>
      <c r="I953" s="99"/>
      <c r="J953" s="99"/>
      <c r="K953" s="99"/>
      <c r="L953" s="99"/>
      <c r="M953" s="99"/>
      <c r="N953" s="99"/>
      <c r="O953" s="99"/>
      <c r="P953" s="99"/>
      <c r="Q953" s="99"/>
      <c r="R953" s="99"/>
    </row>
    <row r="954">
      <c r="A954" s="99"/>
      <c r="B954" s="99"/>
      <c r="C954" s="99"/>
      <c r="D954" s="99"/>
      <c r="E954" s="99"/>
      <c r="F954" s="99"/>
      <c r="G954" s="99"/>
      <c r="H954" s="99"/>
      <c r="I954" s="99"/>
      <c r="J954" s="99"/>
      <c r="K954" s="99"/>
      <c r="L954" s="99"/>
      <c r="M954" s="99"/>
      <c r="N954" s="99"/>
      <c r="O954" s="99"/>
      <c r="P954" s="99"/>
      <c r="Q954" s="99"/>
      <c r="R954" s="99"/>
    </row>
    <row r="955">
      <c r="A955" s="99"/>
      <c r="B955" s="99"/>
      <c r="C955" s="99"/>
      <c r="D955" s="99"/>
      <c r="E955" s="99"/>
      <c r="F955" s="99"/>
      <c r="G955" s="99"/>
      <c r="H955" s="99"/>
      <c r="I955" s="99"/>
      <c r="J955" s="99"/>
      <c r="K955" s="99"/>
      <c r="L955" s="99"/>
      <c r="M955" s="99"/>
      <c r="N955" s="99"/>
      <c r="O955" s="99"/>
      <c r="P955" s="99"/>
      <c r="Q955" s="99"/>
      <c r="R955" s="99"/>
    </row>
    <row r="956">
      <c r="A956" s="99"/>
      <c r="B956" s="99"/>
      <c r="C956" s="99"/>
      <c r="D956" s="99"/>
      <c r="E956" s="99"/>
      <c r="F956" s="99"/>
      <c r="G956" s="99"/>
      <c r="H956" s="99"/>
      <c r="I956" s="99"/>
      <c r="J956" s="99"/>
      <c r="K956" s="99"/>
      <c r="L956" s="99"/>
      <c r="M956" s="99"/>
      <c r="N956" s="99"/>
      <c r="O956" s="99"/>
      <c r="P956" s="99"/>
      <c r="Q956" s="99"/>
      <c r="R956" s="99"/>
    </row>
    <row r="957">
      <c r="A957" s="99"/>
      <c r="B957" s="99"/>
      <c r="C957" s="99"/>
      <c r="D957" s="99"/>
      <c r="E957" s="99"/>
      <c r="F957" s="99"/>
      <c r="G957" s="99"/>
      <c r="H957" s="99"/>
      <c r="I957" s="99"/>
      <c r="J957" s="99"/>
      <c r="K957" s="99"/>
      <c r="L957" s="99"/>
      <c r="M957" s="99"/>
      <c r="N957" s="99"/>
      <c r="O957" s="99"/>
      <c r="P957" s="99"/>
      <c r="Q957" s="99"/>
      <c r="R957" s="99"/>
    </row>
    <row r="958">
      <c r="A958" s="99"/>
      <c r="B958" s="99"/>
      <c r="C958" s="99"/>
      <c r="D958" s="99"/>
      <c r="E958" s="99"/>
      <c r="F958" s="99"/>
      <c r="G958" s="99"/>
      <c r="H958" s="99"/>
      <c r="I958" s="99"/>
      <c r="J958" s="99"/>
      <c r="K958" s="99"/>
      <c r="L958" s="99"/>
      <c r="M958" s="99"/>
      <c r="N958" s="99"/>
      <c r="O958" s="99"/>
      <c r="P958" s="99"/>
      <c r="Q958" s="99"/>
      <c r="R958" s="99"/>
    </row>
    <row r="959">
      <c r="A959" s="99"/>
      <c r="B959" s="99"/>
      <c r="C959" s="99"/>
      <c r="D959" s="99"/>
      <c r="E959" s="99"/>
      <c r="F959" s="99"/>
      <c r="G959" s="99"/>
      <c r="H959" s="99"/>
      <c r="I959" s="99"/>
      <c r="J959" s="99"/>
      <c r="K959" s="99"/>
      <c r="L959" s="99"/>
      <c r="M959" s="99"/>
      <c r="N959" s="99"/>
      <c r="O959" s="99"/>
      <c r="P959" s="99"/>
      <c r="Q959" s="99"/>
      <c r="R959" s="99"/>
    </row>
    <row r="960">
      <c r="A960" s="99"/>
      <c r="B960" s="99"/>
      <c r="C960" s="99"/>
      <c r="D960" s="99"/>
      <c r="E960" s="99"/>
      <c r="F960" s="99"/>
      <c r="G960" s="99"/>
      <c r="H960" s="99"/>
      <c r="I960" s="99"/>
      <c r="J960" s="99"/>
      <c r="K960" s="99"/>
      <c r="L960" s="99"/>
      <c r="M960" s="99"/>
      <c r="N960" s="99"/>
      <c r="O960" s="99"/>
      <c r="P960" s="99"/>
      <c r="Q960" s="99"/>
      <c r="R960" s="99"/>
    </row>
    <row r="961">
      <c r="A961" s="99"/>
      <c r="B961" s="99"/>
      <c r="C961" s="99"/>
      <c r="D961" s="99"/>
      <c r="E961" s="99"/>
      <c r="F961" s="99"/>
      <c r="G961" s="99"/>
      <c r="H961" s="99"/>
      <c r="I961" s="99"/>
      <c r="J961" s="99"/>
      <c r="K961" s="99"/>
      <c r="L961" s="99"/>
      <c r="M961" s="99"/>
      <c r="N961" s="99"/>
      <c r="O961" s="99"/>
      <c r="P961" s="99"/>
      <c r="Q961" s="99"/>
      <c r="R961" s="99"/>
    </row>
    <row r="962">
      <c r="A962" s="99"/>
      <c r="B962" s="99"/>
      <c r="C962" s="99"/>
      <c r="D962" s="99"/>
      <c r="E962" s="99"/>
      <c r="F962" s="99"/>
      <c r="G962" s="99"/>
      <c r="H962" s="99"/>
      <c r="I962" s="99"/>
      <c r="J962" s="99"/>
      <c r="K962" s="99"/>
      <c r="L962" s="99"/>
      <c r="M962" s="99"/>
      <c r="N962" s="99"/>
      <c r="O962" s="99"/>
      <c r="P962" s="99"/>
      <c r="Q962" s="99"/>
      <c r="R962" s="99"/>
    </row>
    <row r="963">
      <c r="A963" s="99"/>
      <c r="B963" s="99"/>
      <c r="C963" s="99"/>
      <c r="D963" s="99"/>
      <c r="E963" s="99"/>
      <c r="F963" s="99"/>
      <c r="G963" s="99"/>
      <c r="H963" s="99"/>
      <c r="I963" s="99"/>
      <c r="J963" s="99"/>
      <c r="K963" s="99"/>
      <c r="L963" s="99"/>
      <c r="M963" s="99"/>
      <c r="N963" s="99"/>
      <c r="O963" s="99"/>
      <c r="P963" s="99"/>
      <c r="Q963" s="99"/>
      <c r="R963" s="99"/>
    </row>
    <row r="964">
      <c r="A964" s="99"/>
      <c r="B964" s="99"/>
      <c r="C964" s="99"/>
      <c r="D964" s="99"/>
      <c r="E964" s="99"/>
      <c r="F964" s="99"/>
      <c r="G964" s="99"/>
      <c r="H964" s="99"/>
      <c r="I964" s="99"/>
      <c r="J964" s="99"/>
      <c r="K964" s="99"/>
      <c r="L964" s="99"/>
      <c r="M964" s="99"/>
      <c r="N964" s="99"/>
      <c r="O964" s="99"/>
      <c r="P964" s="99"/>
      <c r="Q964" s="99"/>
      <c r="R964" s="99"/>
    </row>
    <row r="965">
      <c r="A965" s="99"/>
      <c r="B965" s="99"/>
      <c r="C965" s="99"/>
      <c r="D965" s="99"/>
      <c r="E965" s="99"/>
      <c r="F965" s="99"/>
      <c r="G965" s="99"/>
      <c r="H965" s="99"/>
      <c r="I965" s="99"/>
      <c r="J965" s="99"/>
      <c r="K965" s="99"/>
      <c r="L965" s="99"/>
      <c r="M965" s="99"/>
      <c r="N965" s="99"/>
      <c r="O965" s="99"/>
      <c r="P965" s="99"/>
      <c r="Q965" s="99"/>
      <c r="R965" s="99"/>
    </row>
    <row r="966">
      <c r="A966" s="99"/>
      <c r="B966" s="99"/>
      <c r="C966" s="99"/>
      <c r="D966" s="99"/>
      <c r="E966" s="99"/>
      <c r="F966" s="99"/>
      <c r="G966" s="99"/>
      <c r="H966" s="99"/>
      <c r="I966" s="99"/>
      <c r="J966" s="99"/>
      <c r="K966" s="99"/>
      <c r="L966" s="99"/>
      <c r="M966" s="99"/>
      <c r="N966" s="99"/>
      <c r="O966" s="99"/>
      <c r="P966" s="99"/>
      <c r="Q966" s="99"/>
      <c r="R966" s="99"/>
    </row>
    <row r="967">
      <c r="A967" s="99"/>
      <c r="B967" s="99"/>
      <c r="C967" s="99"/>
      <c r="D967" s="99"/>
      <c r="E967" s="99"/>
      <c r="F967" s="99"/>
      <c r="G967" s="99"/>
      <c r="H967" s="99"/>
      <c r="I967" s="99"/>
      <c r="J967" s="99"/>
      <c r="K967" s="99"/>
      <c r="L967" s="99"/>
      <c r="M967" s="99"/>
      <c r="N967" s="99"/>
      <c r="O967" s="99"/>
      <c r="P967" s="99"/>
      <c r="Q967" s="99"/>
      <c r="R967" s="99"/>
    </row>
    <row r="968">
      <c r="A968" s="99"/>
      <c r="B968" s="99"/>
      <c r="C968" s="99"/>
      <c r="D968" s="99"/>
      <c r="E968" s="99"/>
      <c r="F968" s="99"/>
      <c r="G968" s="99"/>
      <c r="H968" s="99"/>
      <c r="I968" s="99"/>
      <c r="J968" s="99"/>
      <c r="K968" s="99"/>
      <c r="L968" s="99"/>
      <c r="M968" s="99"/>
      <c r="N968" s="99"/>
      <c r="O968" s="99"/>
      <c r="P968" s="99"/>
      <c r="Q968" s="99"/>
      <c r="R968" s="99"/>
    </row>
    <row r="969">
      <c r="A969" s="99"/>
      <c r="B969" s="99"/>
      <c r="C969" s="99"/>
      <c r="D969" s="99"/>
      <c r="E969" s="99"/>
      <c r="F969" s="99"/>
      <c r="G969" s="99"/>
      <c r="H969" s="99"/>
      <c r="I969" s="99"/>
      <c r="J969" s="99"/>
      <c r="K969" s="99"/>
      <c r="L969" s="99"/>
      <c r="M969" s="99"/>
      <c r="N969" s="99"/>
      <c r="O969" s="99"/>
      <c r="P969" s="99"/>
      <c r="Q969" s="99"/>
      <c r="R969" s="99"/>
    </row>
    <row r="970">
      <c r="A970" s="99"/>
      <c r="B970" s="99"/>
      <c r="C970" s="99"/>
      <c r="D970" s="99"/>
      <c r="E970" s="99"/>
      <c r="F970" s="99"/>
      <c r="G970" s="99"/>
      <c r="H970" s="99"/>
      <c r="I970" s="99"/>
      <c r="J970" s="99"/>
      <c r="K970" s="99"/>
      <c r="L970" s="99"/>
      <c r="M970" s="99"/>
      <c r="N970" s="99"/>
      <c r="O970" s="99"/>
      <c r="P970" s="99"/>
      <c r="Q970" s="99"/>
      <c r="R970" s="99"/>
    </row>
    <row r="971">
      <c r="A971" s="99"/>
      <c r="B971" s="99"/>
      <c r="C971" s="99"/>
      <c r="D971" s="99"/>
      <c r="E971" s="99"/>
      <c r="F971" s="99"/>
      <c r="G971" s="99"/>
      <c r="H971" s="99"/>
      <c r="I971" s="99"/>
      <c r="J971" s="99"/>
      <c r="K971" s="99"/>
      <c r="L971" s="99"/>
      <c r="M971" s="99"/>
      <c r="N971" s="99"/>
      <c r="O971" s="99"/>
      <c r="P971" s="99"/>
      <c r="Q971" s="99"/>
      <c r="R971" s="99"/>
    </row>
    <row r="972">
      <c r="A972" s="99"/>
      <c r="B972" s="99"/>
      <c r="C972" s="99"/>
      <c r="D972" s="99"/>
      <c r="E972" s="99"/>
      <c r="F972" s="99"/>
      <c r="G972" s="99"/>
      <c r="H972" s="99"/>
      <c r="I972" s="99"/>
      <c r="J972" s="99"/>
      <c r="K972" s="99"/>
      <c r="L972" s="99"/>
      <c r="M972" s="99"/>
      <c r="N972" s="99"/>
      <c r="O972" s="99"/>
      <c r="P972" s="99"/>
      <c r="Q972" s="99"/>
      <c r="R972" s="99"/>
    </row>
    <row r="973">
      <c r="A973" s="99"/>
      <c r="B973" s="99"/>
      <c r="C973" s="99"/>
      <c r="D973" s="99"/>
      <c r="E973" s="99"/>
      <c r="F973" s="99"/>
      <c r="G973" s="99"/>
      <c r="H973" s="99"/>
      <c r="I973" s="99"/>
      <c r="J973" s="99"/>
      <c r="K973" s="99"/>
      <c r="L973" s="99"/>
      <c r="M973" s="99"/>
      <c r="N973" s="99"/>
      <c r="O973" s="99"/>
      <c r="P973" s="99"/>
      <c r="Q973" s="99"/>
      <c r="R973" s="99"/>
    </row>
    <row r="974">
      <c r="A974" s="99"/>
      <c r="B974" s="99"/>
      <c r="C974" s="99"/>
      <c r="D974" s="99"/>
      <c r="E974" s="99"/>
      <c r="F974" s="99"/>
      <c r="G974" s="99"/>
      <c r="H974" s="99"/>
      <c r="I974" s="99"/>
      <c r="J974" s="99"/>
      <c r="K974" s="99"/>
      <c r="L974" s="99"/>
      <c r="M974" s="99"/>
      <c r="N974" s="99"/>
      <c r="O974" s="99"/>
      <c r="P974" s="99"/>
      <c r="Q974" s="99"/>
      <c r="R974" s="99"/>
    </row>
    <row r="975">
      <c r="A975" s="99"/>
      <c r="B975" s="99"/>
      <c r="C975" s="99"/>
      <c r="D975" s="99"/>
      <c r="E975" s="99"/>
      <c r="F975" s="99"/>
      <c r="G975" s="99"/>
      <c r="H975" s="99"/>
      <c r="I975" s="99"/>
      <c r="J975" s="99"/>
      <c r="K975" s="99"/>
      <c r="L975" s="99"/>
      <c r="M975" s="99"/>
      <c r="N975" s="99"/>
      <c r="O975" s="99"/>
      <c r="P975" s="99"/>
      <c r="Q975" s="99"/>
      <c r="R975" s="99"/>
    </row>
    <row r="976">
      <c r="A976" s="99"/>
      <c r="B976" s="99"/>
      <c r="C976" s="99"/>
      <c r="D976" s="99"/>
      <c r="E976" s="99"/>
      <c r="F976" s="99"/>
      <c r="G976" s="99"/>
      <c r="H976" s="99"/>
      <c r="I976" s="99"/>
      <c r="J976" s="99"/>
      <c r="K976" s="99"/>
      <c r="L976" s="99"/>
      <c r="M976" s="99"/>
      <c r="N976" s="99"/>
      <c r="O976" s="99"/>
      <c r="P976" s="99"/>
      <c r="Q976" s="99"/>
      <c r="R976" s="99"/>
    </row>
    <row r="977">
      <c r="A977" s="99"/>
      <c r="B977" s="99"/>
      <c r="C977" s="99"/>
      <c r="D977" s="99"/>
      <c r="E977" s="99"/>
      <c r="F977" s="99"/>
      <c r="G977" s="99"/>
      <c r="H977" s="99"/>
      <c r="I977" s="99"/>
      <c r="J977" s="99"/>
      <c r="K977" s="99"/>
      <c r="L977" s="99"/>
      <c r="M977" s="99"/>
      <c r="N977" s="99"/>
      <c r="O977" s="99"/>
      <c r="P977" s="99"/>
      <c r="Q977" s="99"/>
      <c r="R977" s="99"/>
    </row>
    <row r="978">
      <c r="A978" s="99"/>
      <c r="B978" s="99"/>
      <c r="C978" s="99"/>
      <c r="D978" s="99"/>
      <c r="E978" s="99"/>
      <c r="F978" s="99"/>
      <c r="G978" s="99"/>
      <c r="H978" s="99"/>
      <c r="I978" s="99"/>
      <c r="J978" s="99"/>
      <c r="K978" s="99"/>
      <c r="L978" s="99"/>
      <c r="M978" s="99"/>
      <c r="N978" s="99"/>
      <c r="O978" s="99"/>
      <c r="P978" s="99"/>
      <c r="Q978" s="99"/>
      <c r="R978" s="99"/>
    </row>
    <row r="979">
      <c r="A979" s="99"/>
      <c r="B979" s="99"/>
      <c r="C979" s="99"/>
      <c r="D979" s="99"/>
      <c r="E979" s="99"/>
      <c r="F979" s="99"/>
      <c r="G979" s="99"/>
      <c r="H979" s="99"/>
      <c r="I979" s="99"/>
      <c r="J979" s="99"/>
      <c r="K979" s="99"/>
      <c r="L979" s="99"/>
      <c r="M979" s="99"/>
      <c r="N979" s="99"/>
      <c r="O979" s="99"/>
      <c r="P979" s="99"/>
      <c r="Q979" s="99"/>
      <c r="R979" s="99"/>
    </row>
    <row r="980">
      <c r="A980" s="99"/>
      <c r="B980" s="99"/>
      <c r="C980" s="99"/>
      <c r="D980" s="99"/>
      <c r="E980" s="99"/>
      <c r="F980" s="99"/>
      <c r="G980" s="99"/>
      <c r="H980" s="99"/>
      <c r="I980" s="99"/>
      <c r="J980" s="99"/>
      <c r="K980" s="99"/>
      <c r="L980" s="99"/>
      <c r="M980" s="99"/>
      <c r="N980" s="99"/>
      <c r="O980" s="99"/>
      <c r="P980" s="99"/>
      <c r="Q980" s="99"/>
      <c r="R980" s="99"/>
    </row>
    <row r="981">
      <c r="A981" s="99"/>
      <c r="B981" s="99"/>
      <c r="C981" s="99"/>
      <c r="D981" s="99"/>
      <c r="E981" s="99"/>
      <c r="F981" s="99"/>
      <c r="G981" s="99"/>
      <c r="H981" s="99"/>
      <c r="I981" s="99"/>
      <c r="J981" s="99"/>
      <c r="K981" s="99"/>
      <c r="L981" s="99"/>
      <c r="M981" s="99"/>
      <c r="N981" s="99"/>
      <c r="O981" s="99"/>
      <c r="P981" s="99"/>
      <c r="Q981" s="99"/>
      <c r="R981" s="99"/>
    </row>
    <row r="982">
      <c r="A982" s="99"/>
      <c r="B982" s="99"/>
      <c r="C982" s="99"/>
      <c r="D982" s="99"/>
      <c r="E982" s="99"/>
      <c r="F982" s="99"/>
      <c r="G982" s="99"/>
      <c r="H982" s="99"/>
      <c r="I982" s="99"/>
      <c r="J982" s="99"/>
      <c r="K982" s="99"/>
      <c r="L982" s="99"/>
      <c r="M982" s="99"/>
      <c r="N982" s="99"/>
      <c r="O982" s="99"/>
      <c r="P982" s="99"/>
      <c r="Q982" s="99"/>
      <c r="R982" s="99"/>
    </row>
    <row r="983">
      <c r="A983" s="99"/>
      <c r="B983" s="99"/>
      <c r="C983" s="99"/>
      <c r="D983" s="99"/>
      <c r="E983" s="99"/>
      <c r="F983" s="99"/>
      <c r="G983" s="99"/>
      <c r="H983" s="99"/>
      <c r="I983" s="99"/>
      <c r="J983" s="99"/>
      <c r="K983" s="99"/>
      <c r="L983" s="99"/>
      <c r="M983" s="99"/>
      <c r="N983" s="99"/>
      <c r="O983" s="99"/>
      <c r="P983" s="99"/>
      <c r="Q983" s="99"/>
      <c r="R983" s="99"/>
    </row>
    <row r="984">
      <c r="A984" s="99"/>
      <c r="B984" s="99"/>
      <c r="C984" s="99"/>
      <c r="D984" s="99"/>
      <c r="E984" s="99"/>
      <c r="F984" s="99"/>
      <c r="G984" s="99"/>
      <c r="H984" s="99"/>
      <c r="I984" s="99"/>
      <c r="J984" s="99"/>
      <c r="K984" s="99"/>
      <c r="L984" s="99"/>
      <c r="M984" s="99"/>
      <c r="N984" s="99"/>
      <c r="O984" s="99"/>
      <c r="P984" s="99"/>
      <c r="Q984" s="99"/>
      <c r="R984" s="99"/>
    </row>
    <row r="985">
      <c r="A985" s="99"/>
      <c r="B985" s="99"/>
      <c r="C985" s="99"/>
      <c r="D985" s="99"/>
      <c r="E985" s="99"/>
      <c r="F985" s="99"/>
      <c r="G985" s="99"/>
      <c r="H985" s="99"/>
      <c r="I985" s="99"/>
      <c r="J985" s="99"/>
      <c r="K985" s="99"/>
      <c r="L985" s="99"/>
      <c r="M985" s="99"/>
      <c r="N985" s="99"/>
      <c r="O985" s="99"/>
      <c r="P985" s="99"/>
      <c r="Q985" s="99"/>
      <c r="R985" s="99"/>
    </row>
    <row r="986">
      <c r="A986" s="99"/>
      <c r="B986" s="99"/>
      <c r="C986" s="99"/>
      <c r="D986" s="99"/>
      <c r="E986" s="99"/>
      <c r="F986" s="99"/>
      <c r="G986" s="99"/>
      <c r="H986" s="99"/>
      <c r="I986" s="99"/>
      <c r="J986" s="99"/>
      <c r="K986" s="99"/>
      <c r="L986" s="99"/>
      <c r="M986" s="99"/>
      <c r="N986" s="99"/>
      <c r="O986" s="99"/>
      <c r="P986" s="99"/>
      <c r="Q986" s="99"/>
      <c r="R986" s="99"/>
    </row>
    <row r="987">
      <c r="A987" s="99"/>
      <c r="B987" s="99"/>
      <c r="C987" s="99"/>
      <c r="D987" s="99"/>
      <c r="E987" s="99"/>
      <c r="F987" s="99"/>
      <c r="G987" s="99"/>
      <c r="H987" s="99"/>
      <c r="I987" s="99"/>
      <c r="J987" s="99"/>
      <c r="K987" s="99"/>
      <c r="L987" s="99"/>
      <c r="M987" s="99"/>
      <c r="N987" s="99"/>
      <c r="O987" s="99"/>
      <c r="P987" s="99"/>
      <c r="Q987" s="99"/>
      <c r="R987" s="99"/>
    </row>
    <row r="988">
      <c r="A988" s="99"/>
      <c r="B988" s="99"/>
      <c r="C988" s="99"/>
      <c r="D988" s="99"/>
      <c r="E988" s="99"/>
      <c r="F988" s="99"/>
      <c r="G988" s="99"/>
      <c r="H988" s="99"/>
      <c r="I988" s="99"/>
      <c r="J988" s="99"/>
      <c r="K988" s="99"/>
      <c r="L988" s="99"/>
      <c r="M988" s="99"/>
      <c r="N988" s="99"/>
      <c r="O988" s="99"/>
      <c r="P988" s="99"/>
      <c r="Q988" s="99"/>
      <c r="R988" s="99"/>
    </row>
    <row r="989">
      <c r="A989" s="99"/>
      <c r="B989" s="99"/>
      <c r="C989" s="99"/>
      <c r="D989" s="99"/>
      <c r="E989" s="99"/>
      <c r="F989" s="99"/>
      <c r="G989" s="99"/>
      <c r="H989" s="99"/>
      <c r="I989" s="99"/>
      <c r="J989" s="99"/>
      <c r="K989" s="99"/>
      <c r="L989" s="99"/>
      <c r="M989" s="99"/>
      <c r="N989" s="99"/>
      <c r="O989" s="99"/>
      <c r="P989" s="99"/>
      <c r="Q989" s="99"/>
      <c r="R989" s="99"/>
    </row>
    <row r="990">
      <c r="A990" s="99"/>
      <c r="B990" s="99"/>
      <c r="C990" s="99"/>
      <c r="D990" s="99"/>
      <c r="E990" s="99"/>
      <c r="F990" s="99"/>
      <c r="G990" s="99"/>
      <c r="H990" s="99"/>
      <c r="I990" s="99"/>
      <c r="J990" s="99"/>
      <c r="K990" s="99"/>
      <c r="L990" s="99"/>
      <c r="M990" s="99"/>
      <c r="N990" s="99"/>
      <c r="O990" s="99"/>
      <c r="P990" s="99"/>
      <c r="Q990" s="99"/>
      <c r="R990" s="99"/>
    </row>
    <row r="991">
      <c r="A991" s="99"/>
      <c r="B991" s="99"/>
      <c r="C991" s="99"/>
      <c r="D991" s="99"/>
      <c r="E991" s="99"/>
      <c r="F991" s="99"/>
      <c r="G991" s="99"/>
      <c r="H991" s="99"/>
      <c r="I991" s="99"/>
      <c r="J991" s="99"/>
      <c r="K991" s="99"/>
      <c r="L991" s="99"/>
      <c r="M991" s="99"/>
      <c r="N991" s="99"/>
      <c r="O991" s="99"/>
      <c r="P991" s="99"/>
      <c r="Q991" s="99"/>
      <c r="R991" s="99"/>
    </row>
    <row r="992">
      <c r="A992" s="99"/>
      <c r="B992" s="99"/>
      <c r="C992" s="99"/>
      <c r="D992" s="99"/>
      <c r="E992" s="99"/>
      <c r="F992" s="99"/>
      <c r="G992" s="99"/>
      <c r="H992" s="99"/>
      <c r="I992" s="99"/>
      <c r="J992" s="99"/>
      <c r="K992" s="99"/>
      <c r="L992" s="99"/>
      <c r="M992" s="99"/>
      <c r="N992" s="99"/>
      <c r="O992" s="99"/>
      <c r="P992" s="99"/>
      <c r="Q992" s="99"/>
      <c r="R992" s="99"/>
    </row>
    <row r="993">
      <c r="A993" s="99"/>
      <c r="B993" s="99"/>
      <c r="C993" s="99"/>
      <c r="D993" s="99"/>
      <c r="E993" s="99"/>
      <c r="F993" s="99"/>
      <c r="G993" s="99"/>
      <c r="H993" s="99"/>
      <c r="I993" s="99"/>
      <c r="J993" s="99"/>
      <c r="K993" s="99"/>
      <c r="L993" s="99"/>
      <c r="M993" s="99"/>
      <c r="N993" s="99"/>
      <c r="O993" s="99"/>
      <c r="P993" s="99"/>
      <c r="Q993" s="99"/>
      <c r="R993" s="99"/>
    </row>
    <row r="994">
      <c r="A994" s="99"/>
      <c r="B994" s="99"/>
      <c r="C994" s="99"/>
      <c r="D994" s="99"/>
      <c r="E994" s="99"/>
      <c r="F994" s="99"/>
      <c r="G994" s="99"/>
      <c r="H994" s="99"/>
      <c r="I994" s="99"/>
      <c r="J994" s="99"/>
      <c r="K994" s="99"/>
      <c r="L994" s="99"/>
      <c r="M994" s="99"/>
      <c r="N994" s="99"/>
      <c r="O994" s="99"/>
      <c r="P994" s="99"/>
      <c r="Q994" s="99"/>
      <c r="R994" s="99"/>
    </row>
    <row r="995">
      <c r="A995" s="99"/>
      <c r="B995" s="99"/>
      <c r="C995" s="99"/>
      <c r="D995" s="99"/>
      <c r="E995" s="99"/>
      <c r="F995" s="99"/>
      <c r="G995" s="99"/>
      <c r="H995" s="99"/>
      <c r="I995" s="99"/>
      <c r="J995" s="99"/>
      <c r="K995" s="99"/>
      <c r="L995" s="99"/>
      <c r="M995" s="99"/>
      <c r="N995" s="99"/>
      <c r="O995" s="99"/>
      <c r="P995" s="99"/>
      <c r="Q995" s="99"/>
      <c r="R995" s="99"/>
    </row>
    <row r="996">
      <c r="A996" s="99"/>
      <c r="B996" s="99"/>
      <c r="C996" s="99"/>
      <c r="D996" s="99"/>
      <c r="E996" s="99"/>
      <c r="F996" s="99"/>
      <c r="G996" s="99"/>
      <c r="H996" s="99"/>
      <c r="I996" s="99"/>
      <c r="J996" s="99"/>
      <c r="K996" s="99"/>
      <c r="L996" s="99"/>
      <c r="M996" s="99"/>
      <c r="N996" s="99"/>
      <c r="O996" s="99"/>
      <c r="P996" s="99"/>
      <c r="Q996" s="99"/>
      <c r="R996" s="99"/>
    </row>
    <row r="997">
      <c r="A997" s="99"/>
      <c r="B997" s="99"/>
      <c r="C997" s="99"/>
      <c r="D997" s="99"/>
      <c r="E997" s="99"/>
      <c r="F997" s="99"/>
      <c r="G997" s="99"/>
      <c r="H997" s="99"/>
      <c r="I997" s="99"/>
      <c r="J997" s="99"/>
      <c r="K997" s="99"/>
      <c r="L997" s="99"/>
      <c r="M997" s="99"/>
      <c r="N997" s="99"/>
      <c r="O997" s="99"/>
      <c r="P997" s="99"/>
      <c r="Q997" s="99"/>
      <c r="R997" s="99"/>
    </row>
    <row r="998">
      <c r="A998" s="99"/>
      <c r="B998" s="99"/>
      <c r="C998" s="99"/>
      <c r="D998" s="99"/>
      <c r="E998" s="99"/>
      <c r="F998" s="99"/>
      <c r="G998" s="99"/>
      <c r="H998" s="99"/>
      <c r="I998" s="99"/>
      <c r="J998" s="99"/>
      <c r="K998" s="99"/>
      <c r="L998" s="99"/>
      <c r="M998" s="99"/>
      <c r="N998" s="99"/>
      <c r="O998" s="99"/>
      <c r="P998" s="99"/>
      <c r="Q998" s="99"/>
      <c r="R998" s="99"/>
    </row>
    <row r="999">
      <c r="A999" s="99"/>
      <c r="B999" s="99"/>
      <c r="C999" s="99"/>
      <c r="D999" s="99"/>
      <c r="E999" s="99"/>
      <c r="F999" s="99"/>
      <c r="G999" s="99"/>
      <c r="H999" s="99"/>
      <c r="I999" s="99"/>
      <c r="J999" s="99"/>
      <c r="K999" s="99"/>
      <c r="L999" s="99"/>
      <c r="M999" s="99"/>
      <c r="N999" s="99"/>
      <c r="O999" s="99"/>
      <c r="P999" s="99"/>
      <c r="Q999" s="99"/>
      <c r="R999" s="99"/>
    </row>
    <row r="1000">
      <c r="A1000" s="99"/>
      <c r="B1000" s="99"/>
      <c r="C1000" s="99"/>
      <c r="D1000" s="99"/>
      <c r="E1000" s="99"/>
      <c r="F1000" s="99"/>
      <c r="G1000" s="99"/>
      <c r="H1000" s="99"/>
      <c r="I1000" s="99"/>
      <c r="J1000" s="99"/>
      <c r="K1000" s="99"/>
      <c r="L1000" s="99"/>
      <c r="M1000" s="99"/>
      <c r="N1000" s="99"/>
      <c r="O1000" s="99"/>
      <c r="P1000" s="99"/>
      <c r="Q1000" s="99"/>
      <c r="R1000" s="9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cols>
    <col customWidth="1" min="1" max="1" width="19.38"/>
    <col customWidth="1" min="2" max="2" width="14.5"/>
    <col customWidth="1" min="3" max="3" width="19.38"/>
  </cols>
  <sheetData>
    <row r="1">
      <c r="A1" s="105" t="s">
        <v>234</v>
      </c>
      <c r="B1" s="105" t="s">
        <v>15</v>
      </c>
      <c r="C1" s="105" t="s">
        <v>234</v>
      </c>
    </row>
    <row r="2">
      <c r="A2" s="106" t="s">
        <v>145</v>
      </c>
      <c r="B2" s="106" t="s">
        <v>235</v>
      </c>
      <c r="C2" s="107" t="str">
        <f>IFERROR(__xludf.DUMMYFUNCTION("QUERY({Equipo!A:B},""SELECT Col1 WHERE Col2='ACTIVO'"")"),"PEÑA, AGUSTÍN")</f>
        <v>PEÑA, AGUSTÍN</v>
      </c>
    </row>
    <row r="3">
      <c r="A3" s="106" t="s">
        <v>67</v>
      </c>
      <c r="B3" s="106" t="s">
        <v>235</v>
      </c>
      <c r="C3" s="106" t="str">
        <f>IFERROR(__xludf.DUMMYFUNCTION("""COMPUTED_VALUE"""),"ASCON, ALEX")</f>
        <v>ASCON, ALEX</v>
      </c>
    </row>
    <row r="4">
      <c r="A4" s="106" t="s">
        <v>236</v>
      </c>
      <c r="B4" s="106" t="s">
        <v>235</v>
      </c>
      <c r="C4" s="106" t="str">
        <f>IFERROR(__xludf.DUMMYFUNCTION("""COMPUTED_VALUE"""),"ZAMORA, MOISES")</f>
        <v>ZAMORA, MOISES</v>
      </c>
    </row>
    <row r="5">
      <c r="A5" s="106" t="s">
        <v>171</v>
      </c>
      <c r="B5" s="106" t="s">
        <v>235</v>
      </c>
      <c r="C5" s="106" t="str">
        <f>IFERROR(__xludf.DUMMYFUNCTION("""COMPUTED_VALUE"""),"POLO, JOSELYNE")</f>
        <v>POLO, JOSELYNE</v>
      </c>
    </row>
    <row r="6">
      <c r="A6" s="106" t="s">
        <v>115</v>
      </c>
      <c r="B6" s="106" t="s">
        <v>235</v>
      </c>
      <c r="C6" s="106" t="str">
        <f>IFERROR(__xludf.DUMMYFUNCTION("""COMPUTED_VALUE"""),"LAVERIANO, BETSABE")</f>
        <v>LAVERIANO, BETSABE</v>
      </c>
    </row>
    <row r="7">
      <c r="A7" s="106" t="s">
        <v>237</v>
      </c>
      <c r="B7" s="106" t="s">
        <v>235</v>
      </c>
      <c r="C7" s="106" t="str">
        <f>IFERROR(__xludf.DUMMYFUNCTION("""COMPUTED_VALUE"""),"PINEDO, DIXON")</f>
        <v>PINEDO, DIXON</v>
      </c>
    </row>
    <row r="8">
      <c r="A8" s="106" t="s">
        <v>202</v>
      </c>
      <c r="B8" s="106" t="s">
        <v>235</v>
      </c>
      <c r="C8" s="106" t="str">
        <f>IFERROR(__xludf.DUMMYFUNCTION("""COMPUTED_VALUE"""),"ENCARNACION, JHOYMA")</f>
        <v>ENCARNACION, JHOYMA</v>
      </c>
    </row>
    <row r="9">
      <c r="A9" s="106" t="s">
        <v>193</v>
      </c>
      <c r="B9" s="106" t="s">
        <v>235</v>
      </c>
      <c r="C9" s="106" t="str">
        <f>IFERROR(__xludf.DUMMYFUNCTION("""COMPUTED_VALUE"""),"CORCUERA, ALDO")</f>
        <v>CORCUERA, ALDO</v>
      </c>
    </row>
    <row r="10">
      <c r="A10" s="106" t="s">
        <v>238</v>
      </c>
      <c r="B10" s="106" t="s">
        <v>235</v>
      </c>
      <c r="C10" s="106" t="str">
        <f>IFERROR(__xludf.DUMMYFUNCTION("""COMPUTED_VALUE"""),"RODRIGUEZ, MARICARMEN")</f>
        <v>RODRIGUEZ, MARICARMEN</v>
      </c>
    </row>
    <row r="11">
      <c r="A11" s="106" t="s">
        <v>239</v>
      </c>
      <c r="B11" s="106" t="s">
        <v>235</v>
      </c>
      <c r="C11" s="106" t="str">
        <f>IFERROR(__xludf.DUMMYFUNCTION("""COMPUTED_VALUE"""),"RODRIGUEZ, MARIA")</f>
        <v>RODRIGUEZ, MARIA</v>
      </c>
    </row>
    <row r="12">
      <c r="A12" s="106" t="s">
        <v>209</v>
      </c>
      <c r="B12" s="106" t="s">
        <v>235</v>
      </c>
      <c r="C12" s="106" t="str">
        <f>IFERROR(__xludf.DUMMYFUNCTION("""COMPUTED_VALUE"""),"ARAUJO, LAYNN")</f>
        <v>ARAUJO, LAYNN</v>
      </c>
    </row>
    <row r="13">
      <c r="A13" s="106" t="s">
        <v>181</v>
      </c>
      <c r="B13" s="106" t="s">
        <v>235</v>
      </c>
      <c r="C13" s="106" t="str">
        <f>IFERROR(__xludf.DUMMYFUNCTION("""COMPUTED_VALUE"""),"RIMACHI, LUIS")</f>
        <v>RIMACHI, LUIS</v>
      </c>
    </row>
    <row r="14">
      <c r="A14" s="106" t="s">
        <v>240</v>
      </c>
      <c r="B14" s="106" t="s">
        <v>235</v>
      </c>
      <c r="C14" s="106" t="str">
        <f>IFERROR(__xludf.DUMMYFUNCTION("""COMPUTED_VALUE"""),"REQUEJO, SANTISTEBAN")</f>
        <v>REQUEJO, SANTISTEBAN</v>
      </c>
    </row>
    <row r="15">
      <c r="A15" s="106" t="s">
        <v>241</v>
      </c>
      <c r="B15" s="106" t="s">
        <v>235</v>
      </c>
      <c r="C15" s="106" t="str">
        <f>IFERROR(__xludf.DUMMYFUNCTION("""COMPUTED_VALUE"""),"AGUIRRE, ALEJANDRA")</f>
        <v>AGUIRRE, ALEJANDRA</v>
      </c>
    </row>
    <row r="16">
      <c r="A16" s="106" t="s">
        <v>242</v>
      </c>
      <c r="B16" s="106" t="s">
        <v>235</v>
      </c>
      <c r="C16" s="106" t="str">
        <f>IFERROR(__xludf.DUMMYFUNCTION("""COMPUTED_VALUE"""),"ESPINOZA, JACKELINE")</f>
        <v>ESPINOZA, JACKELINE</v>
      </c>
    </row>
    <row r="17">
      <c r="A17" s="106" t="s">
        <v>243</v>
      </c>
      <c r="B17" s="106" t="s">
        <v>235</v>
      </c>
      <c r="C17" s="106" t="str">
        <f>IFERROR(__xludf.DUMMYFUNCTION("""COMPUTED_VALUE"""),"GUTIERREZ, PAUL")</f>
        <v>GUTIERREZ, PAUL</v>
      </c>
    </row>
    <row r="18">
      <c r="A18" s="106" t="s">
        <v>147</v>
      </c>
      <c r="B18" s="106" t="s">
        <v>235</v>
      </c>
      <c r="C18" s="106" t="str">
        <f>IFERROR(__xludf.DUMMYFUNCTION("""COMPUTED_VALUE"""),"DSAP")</f>
        <v>DSAP</v>
      </c>
    </row>
    <row r="19">
      <c r="A19" s="106" t="s">
        <v>244</v>
      </c>
      <c r="B19" s="106" t="s">
        <v>235</v>
      </c>
      <c r="C19" s="106" t="str">
        <f>IFERROR(__xludf.DUMMYFUNCTION("""COMPUTED_VALUE"""),"VENEGAS, ANDREA")</f>
        <v>VENEGAS, ANDREA</v>
      </c>
    </row>
    <row r="20">
      <c r="A20" s="106" t="s">
        <v>245</v>
      </c>
      <c r="B20" s="106" t="s">
        <v>235</v>
      </c>
      <c r="C20" s="106" t="str">
        <f>IFERROR(__xludf.DUMMYFUNCTION("""COMPUTED_VALUE"""),"PAICO, EDSON")</f>
        <v>PAICO, EDSON</v>
      </c>
    </row>
    <row r="21">
      <c r="A21" s="106" t="s">
        <v>144</v>
      </c>
      <c r="B21" s="106" t="s">
        <v>235</v>
      </c>
      <c r="C21" s="106" t="str">
        <f>IFERROR(__xludf.DUMMYFUNCTION("""COMPUTED_VALUE"""),"SEERANO, CRISTIAN")</f>
        <v>SEERANO, CRISTIAN</v>
      </c>
    </row>
    <row r="22">
      <c r="B22" s="108"/>
    </row>
    <row r="23">
      <c r="B23" s="108"/>
    </row>
    <row r="24">
      <c r="B24" s="108"/>
    </row>
    <row r="25">
      <c r="B25" s="108"/>
    </row>
    <row r="26">
      <c r="B26" s="108"/>
    </row>
    <row r="27">
      <c r="B27" s="108"/>
    </row>
    <row r="28">
      <c r="B28" s="108"/>
    </row>
    <row r="29">
      <c r="B29" s="108"/>
    </row>
    <row r="30">
      <c r="B30" s="108"/>
    </row>
    <row r="31">
      <c r="B31" s="108"/>
    </row>
    <row r="32">
      <c r="B32" s="108"/>
    </row>
    <row r="33">
      <c r="B33" s="108"/>
    </row>
    <row r="34">
      <c r="B34" s="108"/>
    </row>
    <row r="35">
      <c r="B35" s="108"/>
    </row>
    <row r="36">
      <c r="B36" s="108"/>
    </row>
    <row r="37">
      <c r="B37" s="108"/>
    </row>
    <row r="38">
      <c r="B38" s="108"/>
    </row>
    <row r="39">
      <c r="B39" s="108"/>
    </row>
    <row r="40">
      <c r="B40" s="108"/>
    </row>
    <row r="41">
      <c r="B41" s="108"/>
    </row>
    <row r="42">
      <c r="B42" s="108"/>
    </row>
    <row r="43">
      <c r="B43" s="108"/>
    </row>
    <row r="44">
      <c r="B44" s="108"/>
    </row>
    <row r="45">
      <c r="B45" s="108"/>
    </row>
    <row r="46">
      <c r="B46" s="108"/>
    </row>
    <row r="47">
      <c r="B47" s="108"/>
    </row>
    <row r="48">
      <c r="B48" s="108"/>
    </row>
    <row r="49">
      <c r="B49" s="108"/>
    </row>
    <row r="50">
      <c r="B50" s="108"/>
    </row>
    <row r="51">
      <c r="B51" s="108"/>
    </row>
    <row r="52">
      <c r="B52" s="108"/>
    </row>
    <row r="53">
      <c r="B53" s="108"/>
    </row>
    <row r="54">
      <c r="B54" s="108"/>
    </row>
    <row r="55">
      <c r="B55" s="108"/>
    </row>
    <row r="56">
      <c r="B56" s="108"/>
    </row>
    <row r="57">
      <c r="B57" s="108"/>
    </row>
    <row r="58">
      <c r="B58" s="108"/>
    </row>
    <row r="59">
      <c r="B59" s="108"/>
    </row>
    <row r="60">
      <c r="B60" s="108"/>
    </row>
    <row r="61">
      <c r="B61" s="108"/>
    </row>
    <row r="62">
      <c r="B62" s="108"/>
    </row>
    <row r="63">
      <c r="B63" s="108"/>
    </row>
    <row r="64">
      <c r="B64" s="108"/>
    </row>
    <row r="65">
      <c r="B65" s="108"/>
    </row>
    <row r="66">
      <c r="B66" s="108"/>
    </row>
    <row r="67">
      <c r="B67" s="108"/>
    </row>
    <row r="68">
      <c r="B68" s="108"/>
    </row>
    <row r="69">
      <c r="B69" s="108"/>
    </row>
    <row r="70">
      <c r="B70" s="108"/>
    </row>
    <row r="71">
      <c r="B71" s="108"/>
    </row>
    <row r="72">
      <c r="B72" s="108"/>
    </row>
    <row r="73">
      <c r="B73" s="108"/>
    </row>
    <row r="74">
      <c r="B74" s="108"/>
    </row>
    <row r="75">
      <c r="B75" s="108"/>
    </row>
    <row r="76">
      <c r="B76" s="108"/>
    </row>
    <row r="77">
      <c r="B77" s="108"/>
    </row>
    <row r="78">
      <c r="B78" s="108"/>
    </row>
    <row r="79">
      <c r="B79" s="108"/>
    </row>
    <row r="80">
      <c r="B80" s="108"/>
    </row>
    <row r="81">
      <c r="B81" s="108"/>
    </row>
    <row r="82">
      <c r="B82" s="108"/>
    </row>
    <row r="83">
      <c r="B83" s="108"/>
    </row>
    <row r="84">
      <c r="B84" s="108"/>
    </row>
    <row r="85">
      <c r="B85" s="108"/>
    </row>
    <row r="86">
      <c r="B86" s="108"/>
    </row>
    <row r="87">
      <c r="B87" s="108"/>
    </row>
    <row r="88">
      <c r="B88" s="108"/>
    </row>
    <row r="89">
      <c r="B89" s="108"/>
    </row>
    <row r="90">
      <c r="B90" s="108"/>
    </row>
    <row r="91">
      <c r="B91" s="108"/>
    </row>
    <row r="92">
      <c r="B92" s="108"/>
    </row>
    <row r="93">
      <c r="B93" s="108"/>
    </row>
    <row r="94">
      <c r="B94" s="108"/>
    </row>
    <row r="95">
      <c r="B95" s="108"/>
    </row>
    <row r="96">
      <c r="B96" s="108"/>
    </row>
    <row r="97">
      <c r="B97" s="108"/>
    </row>
    <row r="98">
      <c r="B98" s="108"/>
    </row>
    <row r="99">
      <c r="B99" s="108"/>
    </row>
    <row r="100">
      <c r="B100" s="108"/>
    </row>
    <row r="101">
      <c r="B101" s="108"/>
    </row>
    <row r="102">
      <c r="B102" s="108"/>
    </row>
    <row r="103">
      <c r="B103" s="108"/>
    </row>
    <row r="104">
      <c r="B104" s="108"/>
    </row>
    <row r="105">
      <c r="B105" s="108"/>
    </row>
    <row r="106">
      <c r="B106" s="108"/>
    </row>
    <row r="107">
      <c r="B107" s="108"/>
    </row>
    <row r="108">
      <c r="B108" s="108"/>
    </row>
    <row r="109">
      <c r="B109" s="108"/>
    </row>
    <row r="110">
      <c r="B110" s="108"/>
    </row>
    <row r="111">
      <c r="B111" s="108"/>
    </row>
    <row r="112">
      <c r="B112" s="108"/>
    </row>
    <row r="113">
      <c r="B113" s="108"/>
    </row>
    <row r="114">
      <c r="B114" s="108"/>
    </row>
    <row r="115">
      <c r="B115" s="108"/>
    </row>
    <row r="116">
      <c r="B116" s="108"/>
    </row>
    <row r="117">
      <c r="B117" s="108"/>
    </row>
    <row r="118">
      <c r="B118" s="108"/>
    </row>
    <row r="119">
      <c r="B119" s="108"/>
    </row>
    <row r="120">
      <c r="B120" s="108"/>
    </row>
    <row r="121">
      <c r="B121" s="108"/>
    </row>
    <row r="122">
      <c r="B122" s="108"/>
    </row>
    <row r="123">
      <c r="B123" s="108"/>
    </row>
    <row r="124">
      <c r="B124" s="108"/>
    </row>
    <row r="125">
      <c r="B125" s="108"/>
    </row>
    <row r="126">
      <c r="B126" s="108"/>
    </row>
    <row r="127">
      <c r="A127" s="109"/>
      <c r="B127" s="108"/>
    </row>
    <row r="128">
      <c r="B128" s="108"/>
    </row>
    <row r="129">
      <c r="B129" s="108"/>
    </row>
    <row r="130">
      <c r="B130" s="108"/>
    </row>
    <row r="131">
      <c r="B131" s="108"/>
    </row>
    <row r="132">
      <c r="B132" s="108"/>
    </row>
    <row r="133">
      <c r="B133" s="108"/>
    </row>
    <row r="134">
      <c r="B134" s="108"/>
    </row>
    <row r="135">
      <c r="B135" s="108"/>
    </row>
    <row r="136">
      <c r="B136" s="108"/>
    </row>
    <row r="137">
      <c r="B137" s="108"/>
    </row>
    <row r="138">
      <c r="B138" s="108"/>
    </row>
    <row r="139">
      <c r="B139" s="108"/>
    </row>
    <row r="140">
      <c r="B140" s="108"/>
    </row>
    <row r="141">
      <c r="B141" s="108"/>
    </row>
    <row r="142">
      <c r="B142" s="108"/>
    </row>
    <row r="143">
      <c r="B143" s="108"/>
    </row>
    <row r="144">
      <c r="B144" s="108"/>
    </row>
    <row r="145">
      <c r="B145" s="108"/>
    </row>
    <row r="146">
      <c r="B146" s="108"/>
    </row>
    <row r="147">
      <c r="B147" s="108"/>
    </row>
    <row r="148">
      <c r="B148" s="108"/>
    </row>
    <row r="149">
      <c r="B149" s="108"/>
    </row>
    <row r="150">
      <c r="B150" s="108"/>
    </row>
    <row r="151">
      <c r="B151" s="108"/>
    </row>
    <row r="152">
      <c r="B152" s="108"/>
    </row>
    <row r="153">
      <c r="B153" s="108"/>
    </row>
    <row r="154">
      <c r="B154" s="108"/>
    </row>
    <row r="155">
      <c r="B155" s="108"/>
    </row>
    <row r="156">
      <c r="B156" s="108"/>
    </row>
    <row r="157">
      <c r="B157" s="108"/>
    </row>
    <row r="158">
      <c r="B158" s="108"/>
    </row>
    <row r="159">
      <c r="B159" s="108"/>
    </row>
    <row r="160">
      <c r="B160" s="108"/>
    </row>
    <row r="161">
      <c r="B161" s="108"/>
    </row>
    <row r="162">
      <c r="B162" s="108"/>
    </row>
    <row r="163">
      <c r="B163" s="108"/>
    </row>
    <row r="164">
      <c r="B164" s="108"/>
    </row>
    <row r="165">
      <c r="B165" s="108"/>
    </row>
    <row r="166">
      <c r="B166" s="108"/>
    </row>
    <row r="167">
      <c r="B167" s="108"/>
    </row>
    <row r="168">
      <c r="B168" s="108"/>
    </row>
    <row r="169">
      <c r="B169" s="108"/>
    </row>
    <row r="170">
      <c r="B170" s="108"/>
    </row>
    <row r="171">
      <c r="B171" s="108"/>
    </row>
    <row r="172">
      <c r="B172" s="108"/>
    </row>
    <row r="173">
      <c r="B173" s="108"/>
    </row>
    <row r="174">
      <c r="B174" s="108"/>
    </row>
    <row r="175">
      <c r="B175" s="108"/>
    </row>
    <row r="176">
      <c r="B176" s="108"/>
    </row>
    <row r="177">
      <c r="B177" s="108"/>
    </row>
    <row r="178">
      <c r="B178" s="108"/>
    </row>
    <row r="179">
      <c r="B179" s="108"/>
    </row>
    <row r="180">
      <c r="B180" s="108"/>
    </row>
    <row r="181">
      <c r="B181" s="108"/>
    </row>
    <row r="182">
      <c r="B182" s="108"/>
    </row>
    <row r="183">
      <c r="B183" s="108"/>
    </row>
    <row r="184">
      <c r="B184" s="108"/>
    </row>
    <row r="185">
      <c r="B185" s="108"/>
    </row>
    <row r="186">
      <c r="B186" s="108"/>
    </row>
    <row r="187">
      <c r="B187" s="108"/>
    </row>
    <row r="188">
      <c r="B188" s="108"/>
    </row>
    <row r="189">
      <c r="B189" s="108"/>
    </row>
    <row r="190">
      <c r="B190" s="108"/>
    </row>
    <row r="191">
      <c r="B191" s="108"/>
    </row>
    <row r="192">
      <c r="B192" s="108"/>
    </row>
    <row r="193">
      <c r="B193" s="108"/>
    </row>
    <row r="194">
      <c r="B194" s="108"/>
    </row>
    <row r="195">
      <c r="B195" s="108"/>
    </row>
    <row r="196">
      <c r="B196" s="108"/>
    </row>
    <row r="197">
      <c r="B197" s="108"/>
    </row>
    <row r="198">
      <c r="B198" s="108"/>
    </row>
    <row r="199">
      <c r="B199" s="108"/>
    </row>
    <row r="200">
      <c r="B200" s="108"/>
    </row>
    <row r="201">
      <c r="B201" s="108"/>
    </row>
    <row r="202">
      <c r="B202" s="108"/>
    </row>
    <row r="203">
      <c r="B203" s="108"/>
    </row>
    <row r="204">
      <c r="B204" s="108"/>
    </row>
    <row r="205">
      <c r="B205" s="108"/>
    </row>
    <row r="206">
      <c r="B206" s="108"/>
    </row>
    <row r="207">
      <c r="B207" s="108"/>
    </row>
    <row r="208">
      <c r="B208" s="108"/>
    </row>
    <row r="209">
      <c r="B209" s="108"/>
    </row>
    <row r="210">
      <c r="B210" s="108"/>
    </row>
    <row r="211">
      <c r="B211" s="108"/>
    </row>
    <row r="212">
      <c r="B212" s="108"/>
    </row>
    <row r="213">
      <c r="B213" s="108"/>
    </row>
    <row r="214">
      <c r="B214" s="108"/>
    </row>
    <row r="215">
      <c r="B215" s="108"/>
    </row>
    <row r="216">
      <c r="B216" s="108"/>
    </row>
    <row r="217">
      <c r="B217" s="108"/>
    </row>
    <row r="218">
      <c r="B218" s="108"/>
    </row>
    <row r="219">
      <c r="B219" s="108"/>
    </row>
    <row r="220">
      <c r="B220" s="108"/>
    </row>
    <row r="221">
      <c r="B221" s="108"/>
    </row>
    <row r="222">
      <c r="B222" s="108"/>
    </row>
    <row r="223">
      <c r="B223" s="108"/>
    </row>
    <row r="224">
      <c r="B224" s="108"/>
    </row>
    <row r="225">
      <c r="B225" s="108"/>
    </row>
    <row r="226">
      <c r="B226" s="108"/>
    </row>
    <row r="227">
      <c r="B227" s="108"/>
    </row>
    <row r="228">
      <c r="B228" s="108"/>
    </row>
    <row r="229">
      <c r="B229" s="108"/>
    </row>
    <row r="230">
      <c r="B230" s="108"/>
    </row>
    <row r="231">
      <c r="B231" s="108"/>
    </row>
    <row r="232">
      <c r="B232" s="108"/>
    </row>
    <row r="233">
      <c r="B233" s="108"/>
    </row>
    <row r="234">
      <c r="B234" s="108"/>
    </row>
    <row r="235">
      <c r="B235" s="108"/>
    </row>
    <row r="236">
      <c r="B236" s="108"/>
    </row>
    <row r="237">
      <c r="B237" s="108"/>
    </row>
    <row r="238">
      <c r="B238" s="108"/>
    </row>
    <row r="239">
      <c r="B239" s="108"/>
    </row>
    <row r="240">
      <c r="B240" s="108"/>
    </row>
    <row r="241">
      <c r="B241" s="108"/>
    </row>
    <row r="242">
      <c r="B242" s="108"/>
    </row>
    <row r="243">
      <c r="B243" s="108"/>
    </row>
    <row r="244">
      <c r="B244" s="108"/>
    </row>
    <row r="245">
      <c r="B245" s="108"/>
    </row>
    <row r="246">
      <c r="B246" s="108"/>
    </row>
    <row r="247">
      <c r="B247" s="108"/>
    </row>
    <row r="248">
      <c r="B248" s="108"/>
    </row>
    <row r="249">
      <c r="B249" s="108"/>
    </row>
    <row r="250">
      <c r="B250" s="108"/>
    </row>
    <row r="251">
      <c r="B251" s="108"/>
    </row>
    <row r="252">
      <c r="B252" s="108"/>
    </row>
    <row r="253">
      <c r="B253" s="108"/>
    </row>
    <row r="254">
      <c r="B254" s="108"/>
    </row>
    <row r="255">
      <c r="B255" s="108"/>
    </row>
    <row r="256">
      <c r="B256" s="108"/>
    </row>
    <row r="257">
      <c r="B257" s="108"/>
    </row>
    <row r="258">
      <c r="B258" s="108"/>
    </row>
    <row r="259">
      <c r="B259" s="108"/>
    </row>
    <row r="260">
      <c r="B260" s="108"/>
    </row>
    <row r="261">
      <c r="B261" s="108"/>
    </row>
    <row r="262">
      <c r="B262" s="108"/>
    </row>
    <row r="263">
      <c r="B263" s="108"/>
    </row>
    <row r="264">
      <c r="B264" s="108"/>
    </row>
    <row r="265">
      <c r="B265" s="108"/>
    </row>
    <row r="266">
      <c r="B266" s="108"/>
    </row>
    <row r="267">
      <c r="B267" s="108"/>
    </row>
    <row r="268">
      <c r="B268" s="108"/>
    </row>
    <row r="269">
      <c r="B269" s="108"/>
    </row>
    <row r="270">
      <c r="B270" s="108"/>
    </row>
    <row r="271">
      <c r="B271" s="108"/>
    </row>
    <row r="272">
      <c r="B272" s="108"/>
    </row>
    <row r="273">
      <c r="B273" s="108"/>
    </row>
    <row r="274">
      <c r="B274" s="108"/>
    </row>
    <row r="275">
      <c r="B275" s="108"/>
    </row>
    <row r="276">
      <c r="B276" s="108"/>
    </row>
    <row r="277">
      <c r="B277" s="108"/>
    </row>
    <row r="278">
      <c r="B278" s="108"/>
    </row>
    <row r="279">
      <c r="B279" s="108"/>
    </row>
    <row r="280">
      <c r="B280" s="108"/>
    </row>
    <row r="281">
      <c r="B281" s="108"/>
    </row>
    <row r="282">
      <c r="B282" s="108"/>
    </row>
    <row r="283">
      <c r="B283" s="108"/>
    </row>
    <row r="284">
      <c r="B284" s="108"/>
    </row>
    <row r="285">
      <c r="B285" s="108"/>
    </row>
    <row r="286">
      <c r="B286" s="108"/>
    </row>
    <row r="287">
      <c r="B287" s="108"/>
    </row>
    <row r="288">
      <c r="B288" s="108"/>
    </row>
    <row r="289">
      <c r="B289" s="108"/>
    </row>
    <row r="290">
      <c r="B290" s="108"/>
    </row>
    <row r="291">
      <c r="B291" s="108"/>
    </row>
    <row r="292">
      <c r="B292" s="108"/>
    </row>
    <row r="293">
      <c r="B293" s="108"/>
    </row>
    <row r="294">
      <c r="B294" s="108"/>
    </row>
    <row r="295">
      <c r="B295" s="108"/>
    </row>
    <row r="296">
      <c r="B296" s="108"/>
    </row>
    <row r="297">
      <c r="B297" s="108"/>
    </row>
    <row r="298">
      <c r="B298" s="108"/>
    </row>
    <row r="299">
      <c r="B299" s="108"/>
    </row>
    <row r="300">
      <c r="B300" s="108"/>
    </row>
    <row r="301">
      <c r="B301" s="108"/>
    </row>
    <row r="302">
      <c r="B302" s="108"/>
    </row>
    <row r="303">
      <c r="B303" s="108"/>
    </row>
    <row r="304">
      <c r="B304" s="108"/>
    </row>
    <row r="305">
      <c r="B305" s="108"/>
    </row>
    <row r="306">
      <c r="B306" s="108"/>
    </row>
    <row r="307">
      <c r="B307" s="108"/>
    </row>
    <row r="308">
      <c r="B308" s="108"/>
    </row>
    <row r="309">
      <c r="B309" s="108"/>
    </row>
    <row r="310">
      <c r="B310" s="108"/>
    </row>
    <row r="311">
      <c r="B311" s="108"/>
    </row>
    <row r="312">
      <c r="B312" s="108"/>
    </row>
    <row r="313">
      <c r="B313" s="108"/>
    </row>
    <row r="314">
      <c r="B314" s="108"/>
    </row>
    <row r="315">
      <c r="B315" s="108"/>
    </row>
    <row r="316">
      <c r="B316" s="108"/>
    </row>
    <row r="317">
      <c r="B317" s="108"/>
    </row>
    <row r="318">
      <c r="B318" s="108"/>
    </row>
    <row r="319">
      <c r="B319" s="108"/>
    </row>
    <row r="320">
      <c r="B320" s="108"/>
    </row>
    <row r="321">
      <c r="B321" s="108"/>
    </row>
    <row r="322">
      <c r="B322" s="108"/>
    </row>
    <row r="323">
      <c r="B323" s="108"/>
    </row>
    <row r="324">
      <c r="B324" s="108"/>
    </row>
    <row r="325">
      <c r="B325" s="108"/>
    </row>
    <row r="326">
      <c r="B326" s="108"/>
    </row>
    <row r="327">
      <c r="B327" s="108"/>
    </row>
    <row r="328">
      <c r="B328" s="108"/>
    </row>
    <row r="329">
      <c r="B329" s="108"/>
    </row>
    <row r="330">
      <c r="B330" s="108"/>
    </row>
    <row r="331">
      <c r="B331" s="108"/>
    </row>
    <row r="332">
      <c r="B332" s="108"/>
    </row>
    <row r="333">
      <c r="B333" s="108"/>
    </row>
    <row r="334">
      <c r="B334" s="108"/>
    </row>
    <row r="335">
      <c r="B335" s="108"/>
    </row>
    <row r="336">
      <c r="B336" s="108"/>
    </row>
    <row r="337">
      <c r="B337" s="108"/>
    </row>
    <row r="338">
      <c r="B338" s="108"/>
    </row>
    <row r="339">
      <c r="B339" s="108"/>
    </row>
    <row r="340">
      <c r="B340" s="108"/>
    </row>
    <row r="341">
      <c r="B341" s="108"/>
    </row>
    <row r="342">
      <c r="B342" s="108"/>
    </row>
    <row r="343">
      <c r="B343" s="108"/>
    </row>
    <row r="344">
      <c r="B344" s="108"/>
    </row>
    <row r="345">
      <c r="B345" s="108"/>
    </row>
    <row r="346">
      <c r="B346" s="108"/>
    </row>
    <row r="347">
      <c r="B347" s="108"/>
    </row>
    <row r="348">
      <c r="B348" s="108"/>
    </row>
    <row r="349">
      <c r="B349" s="108"/>
    </row>
    <row r="350">
      <c r="B350" s="108"/>
    </row>
    <row r="351">
      <c r="B351" s="108"/>
    </row>
    <row r="352">
      <c r="B352" s="108"/>
    </row>
    <row r="353">
      <c r="B353" s="108"/>
    </row>
    <row r="354">
      <c r="B354" s="108"/>
    </row>
    <row r="355">
      <c r="B355" s="108"/>
    </row>
    <row r="356">
      <c r="B356" s="108"/>
    </row>
    <row r="357">
      <c r="B357" s="108"/>
    </row>
    <row r="358">
      <c r="B358" s="108"/>
    </row>
    <row r="359">
      <c r="B359" s="108"/>
    </row>
    <row r="360">
      <c r="B360" s="108"/>
    </row>
    <row r="361">
      <c r="B361" s="108"/>
    </row>
    <row r="362">
      <c r="B362" s="108"/>
    </row>
    <row r="363">
      <c r="B363" s="108"/>
    </row>
    <row r="364">
      <c r="B364" s="108"/>
    </row>
    <row r="365">
      <c r="B365" s="108"/>
    </row>
    <row r="366">
      <c r="B366" s="108"/>
    </row>
    <row r="367">
      <c r="B367" s="108"/>
    </row>
    <row r="368">
      <c r="B368" s="108"/>
    </row>
    <row r="369">
      <c r="B369" s="108"/>
    </row>
    <row r="370">
      <c r="B370" s="108"/>
    </row>
    <row r="371">
      <c r="B371" s="108"/>
    </row>
    <row r="372">
      <c r="B372" s="108"/>
    </row>
    <row r="373">
      <c r="B373" s="108"/>
    </row>
    <row r="374">
      <c r="B374" s="108"/>
    </row>
    <row r="375">
      <c r="B375" s="108"/>
    </row>
    <row r="376">
      <c r="B376" s="108"/>
    </row>
    <row r="377">
      <c r="B377" s="108"/>
    </row>
    <row r="378">
      <c r="B378" s="108"/>
    </row>
    <row r="379">
      <c r="B379" s="108"/>
    </row>
    <row r="380">
      <c r="B380" s="108"/>
    </row>
    <row r="381">
      <c r="B381" s="108"/>
    </row>
    <row r="382">
      <c r="B382" s="108"/>
    </row>
    <row r="383">
      <c r="B383" s="108"/>
    </row>
    <row r="384">
      <c r="B384" s="108"/>
    </row>
    <row r="385">
      <c r="B385" s="108"/>
    </row>
    <row r="386">
      <c r="B386" s="108"/>
    </row>
    <row r="387">
      <c r="B387" s="108"/>
    </row>
    <row r="388">
      <c r="B388" s="108"/>
    </row>
    <row r="389">
      <c r="B389" s="108"/>
    </row>
    <row r="390">
      <c r="B390" s="108"/>
    </row>
    <row r="391">
      <c r="B391" s="108"/>
    </row>
    <row r="392">
      <c r="B392" s="108"/>
    </row>
    <row r="393">
      <c r="B393" s="108"/>
    </row>
    <row r="394">
      <c r="B394" s="108"/>
    </row>
    <row r="395">
      <c r="B395" s="108"/>
    </row>
    <row r="396">
      <c r="B396" s="108"/>
    </row>
    <row r="397">
      <c r="B397" s="108"/>
    </row>
    <row r="398">
      <c r="B398" s="108"/>
    </row>
    <row r="399">
      <c r="B399" s="108"/>
    </row>
    <row r="400">
      <c r="B400" s="108"/>
    </row>
    <row r="401">
      <c r="B401" s="108"/>
    </row>
    <row r="402">
      <c r="B402" s="108"/>
    </row>
    <row r="403">
      <c r="B403" s="108"/>
    </row>
    <row r="404">
      <c r="B404" s="108"/>
    </row>
    <row r="405">
      <c r="B405" s="108"/>
    </row>
    <row r="406">
      <c r="B406" s="108"/>
    </row>
    <row r="407">
      <c r="B407" s="108"/>
    </row>
    <row r="408">
      <c r="B408" s="108"/>
    </row>
    <row r="409">
      <c r="B409" s="108"/>
    </row>
    <row r="410">
      <c r="B410" s="108"/>
    </row>
    <row r="411">
      <c r="B411" s="108"/>
    </row>
    <row r="412">
      <c r="B412" s="108"/>
    </row>
    <row r="413">
      <c r="B413" s="108"/>
    </row>
    <row r="414">
      <c r="B414" s="108"/>
    </row>
    <row r="415">
      <c r="B415" s="108"/>
    </row>
    <row r="416">
      <c r="B416" s="108"/>
    </row>
    <row r="417">
      <c r="B417" s="108"/>
    </row>
    <row r="418">
      <c r="B418" s="108"/>
    </row>
    <row r="419">
      <c r="B419" s="108"/>
    </row>
    <row r="420">
      <c r="B420" s="108"/>
    </row>
    <row r="421">
      <c r="B421" s="108"/>
    </row>
    <row r="422">
      <c r="B422" s="108"/>
    </row>
    <row r="423">
      <c r="B423" s="108"/>
    </row>
    <row r="424">
      <c r="B424" s="108"/>
    </row>
    <row r="425">
      <c r="B425" s="108"/>
    </row>
    <row r="426">
      <c r="B426" s="108"/>
    </row>
    <row r="427">
      <c r="B427" s="108"/>
    </row>
    <row r="428">
      <c r="B428" s="108"/>
    </row>
    <row r="429">
      <c r="B429" s="108"/>
    </row>
    <row r="430">
      <c r="B430" s="108"/>
    </row>
    <row r="431">
      <c r="B431" s="108"/>
    </row>
    <row r="432">
      <c r="B432" s="108"/>
    </row>
    <row r="433">
      <c r="B433" s="108"/>
    </row>
    <row r="434">
      <c r="B434" s="108"/>
    </row>
    <row r="435">
      <c r="B435" s="108"/>
    </row>
    <row r="436">
      <c r="B436" s="108"/>
    </row>
    <row r="437">
      <c r="B437" s="108"/>
    </row>
    <row r="438">
      <c r="B438" s="108"/>
    </row>
    <row r="439">
      <c r="B439" s="108"/>
    </row>
    <row r="440">
      <c r="B440" s="108"/>
    </row>
    <row r="441">
      <c r="B441" s="108"/>
    </row>
    <row r="442">
      <c r="B442" s="108"/>
    </row>
    <row r="443">
      <c r="B443" s="108"/>
    </row>
    <row r="444">
      <c r="B444" s="108"/>
    </row>
    <row r="445">
      <c r="B445" s="108"/>
    </row>
    <row r="446">
      <c r="B446" s="108"/>
    </row>
    <row r="447">
      <c r="B447" s="108"/>
    </row>
    <row r="448">
      <c r="B448" s="108"/>
    </row>
    <row r="449">
      <c r="B449" s="108"/>
    </row>
    <row r="450">
      <c r="B450" s="108"/>
    </row>
    <row r="451">
      <c r="B451" s="108"/>
    </row>
    <row r="452">
      <c r="B452" s="108"/>
    </row>
    <row r="453">
      <c r="B453" s="108"/>
    </row>
    <row r="454">
      <c r="B454" s="108"/>
    </row>
    <row r="455">
      <c r="B455" s="108"/>
    </row>
    <row r="456">
      <c r="B456" s="108"/>
    </row>
    <row r="457">
      <c r="B457" s="108"/>
    </row>
    <row r="458">
      <c r="B458" s="108"/>
    </row>
    <row r="459">
      <c r="B459" s="108"/>
    </row>
    <row r="460">
      <c r="B460" s="108"/>
    </row>
    <row r="461">
      <c r="B461" s="108"/>
    </row>
    <row r="462">
      <c r="B462" s="108"/>
    </row>
    <row r="463">
      <c r="B463" s="108"/>
    </row>
    <row r="464">
      <c r="B464" s="108"/>
    </row>
    <row r="465">
      <c r="B465" s="108"/>
    </row>
    <row r="466">
      <c r="B466" s="108"/>
    </row>
    <row r="467">
      <c r="B467" s="108"/>
    </row>
    <row r="468">
      <c r="B468" s="108"/>
    </row>
    <row r="469">
      <c r="B469" s="108"/>
    </row>
    <row r="470">
      <c r="B470" s="108"/>
    </row>
    <row r="471">
      <c r="B471" s="108"/>
    </row>
    <row r="472">
      <c r="B472" s="108"/>
    </row>
    <row r="473">
      <c r="B473" s="108"/>
    </row>
    <row r="474">
      <c r="B474" s="108"/>
    </row>
    <row r="475">
      <c r="B475" s="108"/>
    </row>
    <row r="476">
      <c r="B476" s="108"/>
    </row>
    <row r="477">
      <c r="B477" s="108"/>
    </row>
    <row r="478">
      <c r="B478" s="108"/>
    </row>
    <row r="479">
      <c r="B479" s="108"/>
    </row>
    <row r="480">
      <c r="B480" s="108"/>
    </row>
    <row r="481">
      <c r="B481" s="108"/>
    </row>
    <row r="482">
      <c r="B482" s="108"/>
    </row>
    <row r="483">
      <c r="B483" s="108"/>
    </row>
    <row r="484">
      <c r="B484" s="108"/>
    </row>
    <row r="485">
      <c r="B485" s="108"/>
    </row>
    <row r="486">
      <c r="B486" s="108"/>
    </row>
    <row r="487">
      <c r="B487" s="108"/>
    </row>
    <row r="488">
      <c r="B488" s="108"/>
    </row>
    <row r="489">
      <c r="B489" s="108"/>
    </row>
    <row r="490">
      <c r="B490" s="108"/>
    </row>
    <row r="491">
      <c r="B491" s="108"/>
    </row>
    <row r="492">
      <c r="B492" s="108"/>
    </row>
    <row r="493">
      <c r="B493" s="108"/>
    </row>
    <row r="494">
      <c r="B494" s="108"/>
    </row>
    <row r="495">
      <c r="B495" s="108"/>
    </row>
    <row r="496">
      <c r="B496" s="108"/>
    </row>
    <row r="497">
      <c r="B497" s="108"/>
    </row>
    <row r="498">
      <c r="B498" s="108"/>
    </row>
    <row r="499">
      <c r="B499" s="108"/>
    </row>
    <row r="500">
      <c r="B500" s="108"/>
    </row>
    <row r="501">
      <c r="B501" s="108"/>
    </row>
    <row r="502">
      <c r="B502" s="108"/>
    </row>
    <row r="503">
      <c r="B503" s="108"/>
    </row>
    <row r="504">
      <c r="B504" s="108"/>
    </row>
    <row r="505">
      <c r="B505" s="108"/>
    </row>
    <row r="506">
      <c r="B506" s="108"/>
    </row>
    <row r="507">
      <c r="B507" s="108"/>
    </row>
    <row r="508">
      <c r="B508" s="108"/>
    </row>
    <row r="509">
      <c r="B509" s="108"/>
    </row>
    <row r="510">
      <c r="B510" s="108"/>
    </row>
    <row r="511">
      <c r="B511" s="108"/>
    </row>
    <row r="512">
      <c r="B512" s="108"/>
    </row>
    <row r="513">
      <c r="B513" s="108"/>
    </row>
    <row r="514">
      <c r="B514" s="108"/>
    </row>
    <row r="515">
      <c r="B515" s="108"/>
    </row>
    <row r="516">
      <c r="B516" s="108"/>
    </row>
    <row r="517">
      <c r="B517" s="108"/>
    </row>
    <row r="518">
      <c r="B518" s="108"/>
    </row>
    <row r="519">
      <c r="B519" s="108"/>
    </row>
    <row r="520">
      <c r="B520" s="108"/>
    </row>
    <row r="521">
      <c r="B521" s="108"/>
    </row>
    <row r="522">
      <c r="B522" s="108"/>
    </row>
    <row r="523">
      <c r="B523" s="108"/>
    </row>
    <row r="524">
      <c r="B524" s="108"/>
    </row>
    <row r="525">
      <c r="B525" s="108"/>
    </row>
    <row r="526">
      <c r="B526" s="108"/>
    </row>
    <row r="527">
      <c r="B527" s="108"/>
    </row>
    <row r="528">
      <c r="B528" s="108"/>
    </row>
    <row r="529">
      <c r="B529" s="108"/>
    </row>
    <row r="530">
      <c r="B530" s="108"/>
    </row>
    <row r="531">
      <c r="B531" s="108"/>
    </row>
    <row r="532">
      <c r="B532" s="108"/>
    </row>
    <row r="533">
      <c r="B533" s="108"/>
    </row>
    <row r="534">
      <c r="B534" s="108"/>
    </row>
    <row r="535">
      <c r="B535" s="108"/>
    </row>
    <row r="536">
      <c r="B536" s="108"/>
    </row>
    <row r="537">
      <c r="B537" s="108"/>
    </row>
    <row r="538">
      <c r="B538" s="108"/>
    </row>
    <row r="539">
      <c r="B539" s="108"/>
    </row>
    <row r="540">
      <c r="B540" s="108"/>
    </row>
    <row r="541">
      <c r="B541" s="108"/>
    </row>
    <row r="542">
      <c r="B542" s="108"/>
    </row>
    <row r="543">
      <c r="B543" s="108"/>
    </row>
    <row r="544">
      <c r="B544" s="108"/>
    </row>
    <row r="545">
      <c r="B545" s="108"/>
    </row>
    <row r="546">
      <c r="B546" s="108"/>
    </row>
    <row r="547">
      <c r="B547" s="108"/>
    </row>
    <row r="548">
      <c r="B548" s="108"/>
    </row>
    <row r="549">
      <c r="B549" s="108"/>
    </row>
    <row r="550">
      <c r="B550" s="108"/>
    </row>
    <row r="551">
      <c r="B551" s="108"/>
    </row>
    <row r="552">
      <c r="B552" s="108"/>
    </row>
    <row r="553">
      <c r="B553" s="108"/>
    </row>
    <row r="554">
      <c r="B554" s="108"/>
    </row>
    <row r="555">
      <c r="B555" s="108"/>
    </row>
    <row r="556">
      <c r="B556" s="108"/>
    </row>
    <row r="557">
      <c r="B557" s="108"/>
    </row>
    <row r="558">
      <c r="B558" s="108"/>
    </row>
    <row r="559">
      <c r="B559" s="108"/>
    </row>
    <row r="560">
      <c r="B560" s="108"/>
    </row>
    <row r="561">
      <c r="B561" s="108"/>
    </row>
    <row r="562">
      <c r="B562" s="108"/>
    </row>
    <row r="563">
      <c r="B563" s="108"/>
    </row>
    <row r="564">
      <c r="B564" s="108"/>
    </row>
    <row r="565">
      <c r="B565" s="108"/>
    </row>
    <row r="566">
      <c r="B566" s="108"/>
    </row>
    <row r="567">
      <c r="B567" s="108"/>
    </row>
    <row r="568">
      <c r="B568" s="108"/>
    </row>
    <row r="569">
      <c r="B569" s="108"/>
    </row>
    <row r="570">
      <c r="B570" s="108"/>
    </row>
    <row r="571">
      <c r="B571" s="108"/>
    </row>
    <row r="572">
      <c r="B572" s="108"/>
    </row>
    <row r="573">
      <c r="B573" s="108"/>
    </row>
    <row r="574">
      <c r="B574" s="108"/>
    </row>
    <row r="575">
      <c r="B575" s="108"/>
    </row>
    <row r="576">
      <c r="B576" s="108"/>
    </row>
    <row r="577">
      <c r="B577" s="108"/>
    </row>
    <row r="578">
      <c r="B578" s="108"/>
    </row>
    <row r="579">
      <c r="B579" s="108"/>
    </row>
    <row r="580">
      <c r="B580" s="108"/>
    </row>
    <row r="581">
      <c r="B581" s="108"/>
    </row>
    <row r="582">
      <c r="B582" s="108"/>
    </row>
    <row r="583">
      <c r="B583" s="108"/>
    </row>
    <row r="584">
      <c r="B584" s="108"/>
    </row>
    <row r="585">
      <c r="B585" s="108"/>
    </row>
    <row r="586">
      <c r="B586" s="108"/>
    </row>
    <row r="587">
      <c r="B587" s="108"/>
    </row>
    <row r="588">
      <c r="B588" s="108"/>
    </row>
    <row r="589">
      <c r="B589" s="108"/>
    </row>
    <row r="590">
      <c r="B590" s="108"/>
    </row>
    <row r="591">
      <c r="B591" s="108"/>
    </row>
    <row r="592">
      <c r="B592" s="108"/>
    </row>
    <row r="593">
      <c r="B593" s="108"/>
    </row>
    <row r="594">
      <c r="B594" s="108"/>
    </row>
    <row r="595">
      <c r="B595" s="108"/>
    </row>
    <row r="596">
      <c r="B596" s="108"/>
    </row>
    <row r="597">
      <c r="B597" s="108"/>
    </row>
    <row r="598">
      <c r="B598" s="108"/>
    </row>
    <row r="599">
      <c r="B599" s="108"/>
    </row>
    <row r="600">
      <c r="B600" s="108"/>
    </row>
    <row r="601">
      <c r="B601" s="108"/>
    </row>
    <row r="602">
      <c r="B602" s="108"/>
    </row>
    <row r="603">
      <c r="B603" s="108"/>
    </row>
    <row r="604">
      <c r="B604" s="108"/>
    </row>
    <row r="605">
      <c r="B605" s="108"/>
    </row>
    <row r="606">
      <c r="B606" s="108"/>
    </row>
    <row r="607">
      <c r="B607" s="108"/>
    </row>
    <row r="608">
      <c r="B608" s="108"/>
    </row>
    <row r="609">
      <c r="B609" s="108"/>
    </row>
    <row r="610">
      <c r="B610" s="108"/>
    </row>
    <row r="611">
      <c r="B611" s="108"/>
    </row>
    <row r="612">
      <c r="B612" s="108"/>
    </row>
    <row r="613">
      <c r="B613" s="108"/>
    </row>
    <row r="614">
      <c r="B614" s="108"/>
    </row>
    <row r="615">
      <c r="B615" s="108"/>
    </row>
    <row r="616">
      <c r="B616" s="108"/>
    </row>
    <row r="617">
      <c r="B617" s="108"/>
    </row>
    <row r="618">
      <c r="B618" s="108"/>
    </row>
    <row r="619">
      <c r="B619" s="108"/>
    </row>
    <row r="620">
      <c r="B620" s="108"/>
    </row>
    <row r="621">
      <c r="B621" s="108"/>
    </row>
    <row r="622">
      <c r="B622" s="108"/>
    </row>
    <row r="623">
      <c r="B623" s="108"/>
    </row>
    <row r="624">
      <c r="B624" s="108"/>
    </row>
    <row r="625">
      <c r="B625" s="108"/>
    </row>
    <row r="626">
      <c r="B626" s="108"/>
    </row>
    <row r="627">
      <c r="B627" s="108"/>
    </row>
    <row r="628">
      <c r="B628" s="108"/>
    </row>
    <row r="629">
      <c r="B629" s="108"/>
    </row>
    <row r="630">
      <c r="B630" s="108"/>
    </row>
    <row r="631">
      <c r="B631" s="108"/>
    </row>
    <row r="632">
      <c r="B632" s="108"/>
    </row>
    <row r="633">
      <c r="B633" s="108"/>
    </row>
    <row r="634">
      <c r="B634" s="108"/>
    </row>
    <row r="635">
      <c r="B635" s="108"/>
    </row>
    <row r="636">
      <c r="B636" s="108"/>
    </row>
    <row r="637">
      <c r="B637" s="108"/>
    </row>
    <row r="638">
      <c r="B638" s="108"/>
    </row>
    <row r="639">
      <c r="B639" s="108"/>
    </row>
    <row r="640">
      <c r="B640" s="108"/>
    </row>
    <row r="641">
      <c r="B641" s="108"/>
    </row>
    <row r="642">
      <c r="B642" s="108"/>
    </row>
    <row r="643">
      <c r="B643" s="108"/>
    </row>
    <row r="644">
      <c r="B644" s="108"/>
    </row>
    <row r="645">
      <c r="B645" s="108"/>
    </row>
    <row r="646">
      <c r="B646" s="108"/>
    </row>
    <row r="647">
      <c r="B647" s="108"/>
    </row>
    <row r="648">
      <c r="B648" s="108"/>
    </row>
    <row r="649">
      <c r="B649" s="108"/>
    </row>
    <row r="650">
      <c r="B650" s="108"/>
    </row>
    <row r="651">
      <c r="B651" s="108"/>
    </row>
    <row r="652">
      <c r="B652" s="108"/>
    </row>
    <row r="653">
      <c r="B653" s="108"/>
    </row>
    <row r="654">
      <c r="B654" s="108"/>
    </row>
    <row r="655">
      <c r="B655" s="108"/>
    </row>
    <row r="656">
      <c r="B656" s="108"/>
    </row>
    <row r="657">
      <c r="B657" s="108"/>
    </row>
    <row r="658">
      <c r="B658" s="108"/>
    </row>
    <row r="659">
      <c r="B659" s="108"/>
    </row>
    <row r="660">
      <c r="B660" s="108"/>
    </row>
    <row r="661">
      <c r="B661" s="108"/>
    </row>
    <row r="662">
      <c r="B662" s="108"/>
    </row>
    <row r="663">
      <c r="B663" s="108"/>
    </row>
    <row r="664">
      <c r="B664" s="108"/>
    </row>
    <row r="665">
      <c r="B665" s="108"/>
    </row>
    <row r="666">
      <c r="B666" s="108"/>
    </row>
    <row r="667">
      <c r="B667" s="108"/>
    </row>
    <row r="668">
      <c r="B668" s="108"/>
    </row>
    <row r="669">
      <c r="B669" s="108"/>
    </row>
    <row r="670">
      <c r="B670" s="108"/>
    </row>
    <row r="671">
      <c r="B671" s="108"/>
    </row>
    <row r="672">
      <c r="B672" s="108"/>
    </row>
    <row r="673">
      <c r="B673" s="108"/>
    </row>
    <row r="674">
      <c r="B674" s="108"/>
    </row>
    <row r="675">
      <c r="B675" s="108"/>
    </row>
    <row r="676">
      <c r="B676" s="108"/>
    </row>
    <row r="677">
      <c r="B677" s="108"/>
    </row>
    <row r="678">
      <c r="B678" s="108"/>
    </row>
    <row r="679">
      <c r="B679" s="108"/>
    </row>
    <row r="680">
      <c r="B680" s="108"/>
    </row>
    <row r="681">
      <c r="B681" s="108"/>
    </row>
    <row r="682">
      <c r="B682" s="108"/>
    </row>
    <row r="683">
      <c r="B683" s="108"/>
    </row>
    <row r="684">
      <c r="B684" s="108"/>
    </row>
    <row r="685">
      <c r="B685" s="108"/>
    </row>
    <row r="686">
      <c r="B686" s="108"/>
    </row>
    <row r="687">
      <c r="B687" s="108"/>
    </row>
    <row r="688">
      <c r="B688" s="108"/>
    </row>
    <row r="689">
      <c r="B689" s="108"/>
    </row>
    <row r="690">
      <c r="B690" s="108"/>
    </row>
    <row r="691">
      <c r="B691" s="108"/>
    </row>
    <row r="692">
      <c r="B692" s="108"/>
    </row>
    <row r="693">
      <c r="B693" s="108"/>
    </row>
    <row r="694">
      <c r="B694" s="108"/>
    </row>
    <row r="695">
      <c r="B695" s="108"/>
    </row>
    <row r="696">
      <c r="B696" s="108"/>
    </row>
    <row r="697">
      <c r="B697" s="108"/>
    </row>
    <row r="698">
      <c r="B698" s="108"/>
    </row>
    <row r="699">
      <c r="B699" s="108"/>
    </row>
    <row r="700">
      <c r="B700" s="108"/>
    </row>
    <row r="701">
      <c r="B701" s="108"/>
    </row>
    <row r="702">
      <c r="B702" s="108"/>
    </row>
    <row r="703">
      <c r="B703" s="108"/>
    </row>
    <row r="704">
      <c r="B704" s="108"/>
    </row>
    <row r="705">
      <c r="B705" s="108"/>
    </row>
    <row r="706">
      <c r="B706" s="108"/>
    </row>
    <row r="707">
      <c r="B707" s="108"/>
    </row>
    <row r="708">
      <c r="B708" s="108"/>
    </row>
    <row r="709">
      <c r="B709" s="108"/>
    </row>
    <row r="710">
      <c r="B710" s="108"/>
    </row>
    <row r="711">
      <c r="B711" s="108"/>
    </row>
    <row r="712">
      <c r="B712" s="108"/>
    </row>
    <row r="713">
      <c r="B713" s="108"/>
    </row>
    <row r="714">
      <c r="B714" s="108"/>
    </row>
    <row r="715">
      <c r="B715" s="108"/>
    </row>
    <row r="716">
      <c r="B716" s="108"/>
    </row>
    <row r="717">
      <c r="B717" s="108"/>
    </row>
    <row r="718">
      <c r="B718" s="108"/>
    </row>
    <row r="719">
      <c r="B719" s="108"/>
    </row>
    <row r="720">
      <c r="B720" s="108"/>
    </row>
    <row r="721">
      <c r="B721" s="108"/>
    </row>
    <row r="722">
      <c r="B722" s="108"/>
    </row>
    <row r="723">
      <c r="B723" s="108"/>
    </row>
    <row r="724">
      <c r="B724" s="108"/>
    </row>
    <row r="725">
      <c r="B725" s="108"/>
    </row>
    <row r="726">
      <c r="B726" s="108"/>
    </row>
    <row r="727">
      <c r="B727" s="108"/>
    </row>
    <row r="728">
      <c r="B728" s="108"/>
    </row>
    <row r="729">
      <c r="B729" s="108"/>
    </row>
    <row r="730">
      <c r="B730" s="108"/>
    </row>
    <row r="731">
      <c r="B731" s="108"/>
    </row>
    <row r="732">
      <c r="B732" s="108"/>
    </row>
    <row r="733">
      <c r="B733" s="108"/>
    </row>
    <row r="734">
      <c r="B734" s="108"/>
    </row>
    <row r="735">
      <c r="B735" s="108"/>
    </row>
    <row r="736">
      <c r="B736" s="108"/>
    </row>
    <row r="737">
      <c r="B737" s="108"/>
    </row>
    <row r="738">
      <c r="B738" s="108"/>
    </row>
    <row r="739">
      <c r="B739" s="108"/>
    </row>
    <row r="740">
      <c r="B740" s="108"/>
    </row>
    <row r="741">
      <c r="B741" s="108"/>
    </row>
    <row r="742">
      <c r="B742" s="108"/>
    </row>
    <row r="743">
      <c r="B743" s="108"/>
    </row>
    <row r="744">
      <c r="B744" s="108"/>
    </row>
    <row r="745">
      <c r="B745" s="108"/>
    </row>
    <row r="746">
      <c r="B746" s="108"/>
    </row>
    <row r="747">
      <c r="B747" s="108"/>
    </row>
    <row r="748">
      <c r="B748" s="108"/>
    </row>
    <row r="749">
      <c r="B749" s="108"/>
    </row>
    <row r="750">
      <c r="B750" s="108"/>
    </row>
    <row r="751">
      <c r="B751" s="108"/>
    </row>
    <row r="752">
      <c r="B752" s="108"/>
    </row>
    <row r="753">
      <c r="B753" s="108"/>
    </row>
    <row r="754">
      <c r="B754" s="108"/>
    </row>
    <row r="755">
      <c r="B755" s="108"/>
    </row>
    <row r="756">
      <c r="B756" s="108"/>
    </row>
    <row r="757">
      <c r="B757" s="108"/>
    </row>
    <row r="758">
      <c r="B758" s="108"/>
    </row>
    <row r="759">
      <c r="B759" s="108"/>
    </row>
    <row r="760">
      <c r="B760" s="108"/>
    </row>
    <row r="761">
      <c r="B761" s="108"/>
    </row>
    <row r="762">
      <c r="B762" s="108"/>
    </row>
    <row r="763">
      <c r="B763" s="108"/>
    </row>
    <row r="764">
      <c r="B764" s="108"/>
    </row>
    <row r="765">
      <c r="B765" s="108"/>
    </row>
    <row r="766">
      <c r="B766" s="108"/>
    </row>
    <row r="767">
      <c r="B767" s="108"/>
    </row>
    <row r="768">
      <c r="B768" s="108"/>
    </row>
    <row r="769">
      <c r="B769" s="108"/>
    </row>
    <row r="770">
      <c r="B770" s="108"/>
    </row>
    <row r="771">
      <c r="B771" s="108"/>
    </row>
    <row r="772">
      <c r="B772" s="108"/>
    </row>
    <row r="773">
      <c r="B773" s="108"/>
    </row>
    <row r="774">
      <c r="B774" s="108"/>
    </row>
    <row r="775">
      <c r="B775" s="108"/>
    </row>
    <row r="776">
      <c r="B776" s="108"/>
    </row>
    <row r="777">
      <c r="B777" s="108"/>
    </row>
    <row r="778">
      <c r="B778" s="108"/>
    </row>
    <row r="779">
      <c r="B779" s="108"/>
    </row>
    <row r="780">
      <c r="B780" s="108"/>
    </row>
    <row r="781">
      <c r="B781" s="108"/>
    </row>
    <row r="782">
      <c r="B782" s="108"/>
    </row>
    <row r="783">
      <c r="B783" s="108"/>
    </row>
    <row r="784">
      <c r="B784" s="108"/>
    </row>
    <row r="785">
      <c r="B785" s="108"/>
    </row>
    <row r="786">
      <c r="B786" s="108"/>
    </row>
    <row r="787">
      <c r="B787" s="108"/>
    </row>
    <row r="788">
      <c r="B788" s="108"/>
    </row>
    <row r="789">
      <c r="B789" s="108"/>
    </row>
    <row r="790">
      <c r="B790" s="108"/>
    </row>
    <row r="791">
      <c r="B791" s="108"/>
    </row>
    <row r="792">
      <c r="B792" s="108"/>
    </row>
    <row r="793">
      <c r="B793" s="108"/>
    </row>
    <row r="794">
      <c r="B794" s="108"/>
    </row>
    <row r="795">
      <c r="B795" s="108"/>
    </row>
    <row r="796">
      <c r="B796" s="108"/>
    </row>
    <row r="797">
      <c r="B797" s="108"/>
    </row>
    <row r="798">
      <c r="B798" s="108"/>
    </row>
    <row r="799">
      <c r="B799" s="108"/>
    </row>
    <row r="800">
      <c r="B800" s="108"/>
    </row>
    <row r="801">
      <c r="B801" s="108"/>
    </row>
    <row r="802">
      <c r="B802" s="108"/>
    </row>
    <row r="803">
      <c r="B803" s="108"/>
    </row>
    <row r="804">
      <c r="B804" s="108"/>
    </row>
    <row r="805">
      <c r="B805" s="108"/>
    </row>
    <row r="806">
      <c r="B806" s="108"/>
    </row>
    <row r="807">
      <c r="B807" s="108"/>
    </row>
    <row r="808">
      <c r="B808" s="108"/>
    </row>
    <row r="809">
      <c r="B809" s="108"/>
    </row>
    <row r="810">
      <c r="B810" s="108"/>
    </row>
    <row r="811">
      <c r="B811" s="108"/>
    </row>
    <row r="812">
      <c r="B812" s="108"/>
    </row>
    <row r="813">
      <c r="B813" s="108"/>
    </row>
    <row r="814">
      <c r="B814" s="108"/>
    </row>
    <row r="815">
      <c r="B815" s="108"/>
    </row>
    <row r="816">
      <c r="B816" s="108"/>
    </row>
    <row r="817">
      <c r="B817" s="108"/>
    </row>
    <row r="818">
      <c r="B818" s="108"/>
    </row>
    <row r="819">
      <c r="B819" s="108"/>
    </row>
    <row r="820">
      <c r="B820" s="108"/>
    </row>
    <row r="821">
      <c r="B821" s="108"/>
    </row>
    <row r="822">
      <c r="B822" s="108"/>
    </row>
    <row r="823">
      <c r="B823" s="108"/>
    </row>
    <row r="824">
      <c r="B824" s="108"/>
    </row>
    <row r="825">
      <c r="B825" s="108"/>
    </row>
    <row r="826">
      <c r="B826" s="108"/>
    </row>
    <row r="827">
      <c r="B827" s="108"/>
    </row>
    <row r="828">
      <c r="B828" s="108"/>
    </row>
    <row r="829">
      <c r="B829" s="108"/>
    </row>
    <row r="830">
      <c r="B830" s="108"/>
    </row>
    <row r="831">
      <c r="B831" s="108"/>
    </row>
    <row r="832">
      <c r="B832" s="108"/>
    </row>
    <row r="833">
      <c r="B833" s="108"/>
    </row>
    <row r="834">
      <c r="B834" s="108"/>
    </row>
    <row r="835">
      <c r="B835" s="108"/>
    </row>
    <row r="836">
      <c r="B836" s="108"/>
    </row>
    <row r="837">
      <c r="B837" s="108"/>
    </row>
    <row r="838">
      <c r="B838" s="108"/>
    </row>
    <row r="839">
      <c r="B839" s="108"/>
    </row>
    <row r="840">
      <c r="B840" s="108"/>
    </row>
    <row r="841">
      <c r="B841" s="108"/>
    </row>
    <row r="842">
      <c r="B842" s="108"/>
    </row>
    <row r="843">
      <c r="B843" s="108"/>
    </row>
    <row r="844">
      <c r="B844" s="108"/>
    </row>
    <row r="845">
      <c r="B845" s="108"/>
    </row>
    <row r="846">
      <c r="B846" s="108"/>
    </row>
    <row r="847">
      <c r="B847" s="108"/>
    </row>
    <row r="848">
      <c r="B848" s="108"/>
    </row>
    <row r="849">
      <c r="B849" s="108"/>
    </row>
    <row r="850">
      <c r="B850" s="108"/>
    </row>
    <row r="851">
      <c r="B851" s="108"/>
    </row>
    <row r="852">
      <c r="B852" s="108"/>
    </row>
    <row r="853">
      <c r="B853" s="108"/>
    </row>
    <row r="854">
      <c r="B854" s="108"/>
    </row>
    <row r="855">
      <c r="B855" s="108"/>
    </row>
    <row r="856">
      <c r="B856" s="108"/>
    </row>
    <row r="857">
      <c r="B857" s="108"/>
    </row>
    <row r="858">
      <c r="B858" s="108"/>
    </row>
    <row r="859">
      <c r="B859" s="108"/>
    </row>
    <row r="860">
      <c r="B860" s="108"/>
    </row>
    <row r="861">
      <c r="B861" s="108"/>
    </row>
    <row r="862">
      <c r="B862" s="108"/>
    </row>
    <row r="863">
      <c r="B863" s="108"/>
    </row>
    <row r="864">
      <c r="B864" s="108"/>
    </row>
    <row r="865">
      <c r="B865" s="108"/>
    </row>
    <row r="866">
      <c r="B866" s="108"/>
    </row>
    <row r="867">
      <c r="B867" s="108"/>
    </row>
    <row r="868">
      <c r="B868" s="108"/>
    </row>
    <row r="869">
      <c r="B869" s="108"/>
    </row>
    <row r="870">
      <c r="B870" s="108"/>
    </row>
    <row r="871">
      <c r="B871" s="108"/>
    </row>
    <row r="872">
      <c r="B872" s="108"/>
    </row>
    <row r="873">
      <c r="B873" s="108"/>
    </row>
    <row r="874">
      <c r="B874" s="108"/>
    </row>
    <row r="875">
      <c r="B875" s="108"/>
    </row>
    <row r="876">
      <c r="B876" s="108"/>
    </row>
    <row r="877">
      <c r="B877" s="108"/>
    </row>
    <row r="878">
      <c r="B878" s="108"/>
    </row>
    <row r="879">
      <c r="B879" s="108"/>
    </row>
    <row r="880">
      <c r="B880" s="108"/>
    </row>
    <row r="881">
      <c r="B881" s="108"/>
    </row>
    <row r="882">
      <c r="B882" s="108"/>
    </row>
    <row r="883">
      <c r="B883" s="108"/>
    </row>
    <row r="884">
      <c r="B884" s="108"/>
    </row>
    <row r="885">
      <c r="B885" s="108"/>
    </row>
    <row r="886">
      <c r="B886" s="108"/>
    </row>
    <row r="887">
      <c r="B887" s="108"/>
    </row>
    <row r="888">
      <c r="B888" s="108"/>
    </row>
    <row r="889">
      <c r="B889" s="108"/>
    </row>
    <row r="890">
      <c r="B890" s="108"/>
    </row>
    <row r="891">
      <c r="B891" s="108"/>
    </row>
    <row r="892">
      <c r="B892" s="108"/>
    </row>
    <row r="893">
      <c r="B893" s="108"/>
    </row>
    <row r="894">
      <c r="B894" s="108"/>
    </row>
    <row r="895">
      <c r="B895" s="108"/>
    </row>
    <row r="896">
      <c r="B896" s="108"/>
    </row>
    <row r="897">
      <c r="B897" s="108"/>
    </row>
    <row r="898">
      <c r="B898" s="108"/>
    </row>
    <row r="899">
      <c r="B899" s="108"/>
    </row>
    <row r="900">
      <c r="B900" s="108"/>
    </row>
    <row r="901">
      <c r="B901" s="108"/>
    </row>
    <row r="902">
      <c r="B902" s="108"/>
    </row>
    <row r="903">
      <c r="B903" s="108"/>
    </row>
    <row r="904">
      <c r="B904" s="108"/>
    </row>
    <row r="905">
      <c r="B905" s="108"/>
    </row>
    <row r="906">
      <c r="B906" s="108"/>
    </row>
    <row r="907">
      <c r="B907" s="108"/>
    </row>
    <row r="908">
      <c r="B908" s="108"/>
    </row>
    <row r="909">
      <c r="B909" s="108"/>
    </row>
    <row r="910">
      <c r="B910" s="108"/>
    </row>
    <row r="911">
      <c r="B911" s="108"/>
    </row>
    <row r="912">
      <c r="B912" s="108"/>
    </row>
    <row r="913">
      <c r="B913" s="108"/>
    </row>
    <row r="914">
      <c r="B914" s="108"/>
    </row>
    <row r="915">
      <c r="B915" s="108"/>
    </row>
    <row r="916">
      <c r="B916" s="108"/>
    </row>
    <row r="917">
      <c r="B917" s="108"/>
    </row>
    <row r="918">
      <c r="B918" s="108"/>
    </row>
    <row r="919">
      <c r="B919" s="108"/>
    </row>
    <row r="920">
      <c r="B920" s="108"/>
    </row>
    <row r="921">
      <c r="B921" s="108"/>
    </row>
    <row r="922">
      <c r="B922" s="108"/>
    </row>
    <row r="923">
      <c r="B923" s="108"/>
    </row>
    <row r="924">
      <c r="B924" s="108"/>
    </row>
    <row r="925">
      <c r="B925" s="108"/>
    </row>
    <row r="926">
      <c r="B926" s="108"/>
    </row>
    <row r="927">
      <c r="B927" s="108"/>
    </row>
    <row r="928">
      <c r="B928" s="108"/>
    </row>
    <row r="929">
      <c r="B929" s="108"/>
    </row>
    <row r="930">
      <c r="B930" s="108"/>
    </row>
    <row r="931">
      <c r="B931" s="108"/>
    </row>
    <row r="932">
      <c r="B932" s="108"/>
    </row>
    <row r="933">
      <c r="B933" s="108"/>
    </row>
    <row r="934">
      <c r="B934" s="108"/>
    </row>
    <row r="935">
      <c r="B935" s="108"/>
    </row>
    <row r="936">
      <c r="B936" s="108"/>
    </row>
    <row r="937">
      <c r="B937" s="108"/>
    </row>
    <row r="938">
      <c r="B938" s="108"/>
    </row>
    <row r="939">
      <c r="B939" s="108"/>
    </row>
    <row r="940">
      <c r="B940" s="108"/>
    </row>
    <row r="941">
      <c r="B941" s="108"/>
    </row>
    <row r="942">
      <c r="B942" s="108"/>
    </row>
    <row r="943">
      <c r="B943" s="108"/>
    </row>
    <row r="944">
      <c r="B944" s="108"/>
    </row>
    <row r="945">
      <c r="B945" s="108"/>
    </row>
    <row r="946">
      <c r="B946" s="108"/>
    </row>
    <row r="947">
      <c r="B947" s="108"/>
    </row>
    <row r="948">
      <c r="B948" s="108"/>
    </row>
    <row r="949">
      <c r="B949" s="108"/>
    </row>
    <row r="950">
      <c r="B950" s="108"/>
    </row>
    <row r="951">
      <c r="B951" s="108"/>
    </row>
    <row r="952">
      <c r="B952" s="108"/>
    </row>
    <row r="953">
      <c r="B953" s="108"/>
    </row>
    <row r="954">
      <c r="B954" s="108"/>
    </row>
    <row r="955">
      <c r="B955" s="108"/>
    </row>
    <row r="956">
      <c r="B956" s="108"/>
    </row>
    <row r="957">
      <c r="B957" s="108"/>
    </row>
    <row r="958">
      <c r="B958" s="108"/>
    </row>
    <row r="959">
      <c r="B959" s="108"/>
    </row>
    <row r="960">
      <c r="B960" s="108"/>
    </row>
    <row r="961">
      <c r="B961" s="108"/>
    </row>
    <row r="962">
      <c r="B962" s="108"/>
    </row>
    <row r="963">
      <c r="B963" s="108"/>
    </row>
    <row r="964">
      <c r="B964" s="108"/>
    </row>
    <row r="965">
      <c r="B965" s="108"/>
    </row>
    <row r="966">
      <c r="B966" s="108"/>
    </row>
    <row r="967">
      <c r="B967" s="108"/>
    </row>
    <row r="968">
      <c r="B968" s="108"/>
    </row>
    <row r="969">
      <c r="B969" s="108"/>
    </row>
    <row r="970">
      <c r="B970" s="108"/>
    </row>
    <row r="971">
      <c r="B971" s="108"/>
    </row>
    <row r="972">
      <c r="B972" s="108"/>
    </row>
    <row r="973">
      <c r="B973" s="108"/>
    </row>
    <row r="974">
      <c r="B974" s="108"/>
    </row>
    <row r="975">
      <c r="B975" s="108"/>
    </row>
    <row r="976">
      <c r="B976" s="108"/>
    </row>
    <row r="977">
      <c r="B977" s="108"/>
    </row>
    <row r="978">
      <c r="B978" s="108"/>
    </row>
    <row r="979">
      <c r="B979" s="108"/>
    </row>
    <row r="980">
      <c r="B980" s="108"/>
    </row>
    <row r="981">
      <c r="B981" s="108"/>
    </row>
    <row r="982">
      <c r="B982" s="108"/>
    </row>
    <row r="983">
      <c r="B983" s="108"/>
    </row>
    <row r="984">
      <c r="B984" s="108"/>
    </row>
    <row r="985">
      <c r="B985" s="108"/>
    </row>
    <row r="986">
      <c r="B986" s="108"/>
    </row>
    <row r="987">
      <c r="B987" s="108"/>
    </row>
    <row r="988">
      <c r="B988" s="108"/>
    </row>
    <row r="989">
      <c r="B989" s="108"/>
    </row>
    <row r="990">
      <c r="B990" s="108"/>
    </row>
    <row r="991">
      <c r="B991" s="108"/>
    </row>
    <row r="992">
      <c r="B992" s="108"/>
    </row>
    <row r="993">
      <c r="B993" s="108"/>
    </row>
    <row r="994">
      <c r="B994" s="108"/>
    </row>
    <row r="995">
      <c r="B995" s="108"/>
    </row>
    <row r="996">
      <c r="B996" s="108"/>
    </row>
    <row r="997">
      <c r="B997" s="108"/>
    </row>
    <row r="998">
      <c r="B998" s="108"/>
    </row>
    <row r="999">
      <c r="B999" s="108"/>
    </row>
    <row r="1000">
      <c r="B1000" s="108"/>
    </row>
  </sheetData>
  <dataValidations>
    <dataValidation type="list" allowBlank="1" sqref="B2:B21">
      <formula1>"ACTIVO,INACTIVO"</formula1>
    </dataValidation>
    <dataValidation type="list" allowBlank="1" showErrorMessage="1" sqref="B22:B1000">
      <formula1>"ACTIVO,INACTIVO"</formula1>
    </dataValidation>
  </dataValidations>
  <drawing r:id="rId1"/>
</worksheet>
</file>